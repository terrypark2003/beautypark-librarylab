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워크 받은 파일\"/>
    </mc:Choice>
  </mc:AlternateContent>
  <xr:revisionPtr revIDLastSave="0" documentId="13_ncr:1_{80EF2833-1B9E-4AC7-A3E4-0BC5AFDAD9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.7" sheetId="1" r:id="rId1"/>
    <sheet name="2026.6" sheetId="2" r:id="rId2"/>
    <sheet name="2026.5" sheetId="3" r:id="rId3"/>
    <sheet name="2026.4" sheetId="4" r:id="rId4"/>
    <sheet name="2026.3" sheetId="5" r:id="rId5"/>
    <sheet name="2026.2" sheetId="6" r:id="rId6"/>
    <sheet name="2026.1" sheetId="7" r:id="rId7"/>
    <sheet name="2025.12" sheetId="8" r:id="rId8"/>
    <sheet name="2025.11" sheetId="9" r:id="rId9"/>
    <sheet name="2025.10" sheetId="10" r:id="rId10"/>
    <sheet name="2025.09" sheetId="11" r:id="rId11"/>
    <sheet name="2025.08" sheetId="12" r:id="rId12"/>
    <sheet name="2025.07" sheetId="13" r:id="rId13"/>
    <sheet name="2025.06" sheetId="14" r:id="rId14"/>
    <sheet name="2025.05" sheetId="15" r:id="rId15"/>
    <sheet name="2025.04" sheetId="16" r:id="rId16"/>
    <sheet name="2025.03" sheetId="17" r:id="rId17"/>
    <sheet name="2025.02" sheetId="18" r:id="rId18"/>
    <sheet name="2025.01" sheetId="19" r:id="rId19"/>
    <sheet name="2024.12" sheetId="20" r:id="rId20"/>
    <sheet name="2024.11" sheetId="21" r:id="rId21"/>
    <sheet name="2024.10" sheetId="22" r:id="rId22"/>
    <sheet name="2024.09" sheetId="23" r:id="rId23"/>
  </sheets>
  <definedNames>
    <definedName name="___PNT1" localSheetId="22">#REF!</definedName>
    <definedName name="___PNT1" localSheetId="20">#REF!</definedName>
    <definedName name="___PNT1" localSheetId="19">#REF!</definedName>
    <definedName name="___PNT1" localSheetId="18">#REF!</definedName>
    <definedName name="___PNT1" localSheetId="17">#REF!</definedName>
    <definedName name="___PNT1" localSheetId="16">#REF!</definedName>
    <definedName name="___PNT1" localSheetId="15">#REF!</definedName>
    <definedName name="___PNT1" localSheetId="14">#REF!</definedName>
    <definedName name="___PNT1" localSheetId="13">#REF!</definedName>
    <definedName name="___PNT1" localSheetId="12">#REF!</definedName>
    <definedName name="___PNT1" localSheetId="11">#REF!</definedName>
    <definedName name="___PNT1" localSheetId="10">#REF!</definedName>
    <definedName name="___PNT1" localSheetId="9">#REF!</definedName>
    <definedName name="___PNT1">#REF!</definedName>
    <definedName name="___PNT2" localSheetId="22">#REF!</definedName>
    <definedName name="___PNT2" localSheetId="20">#REF!</definedName>
    <definedName name="___PNT2" localSheetId="19">#REF!</definedName>
    <definedName name="___PNT2" localSheetId="18">#REF!</definedName>
    <definedName name="___PNT2" localSheetId="17">#REF!</definedName>
    <definedName name="___PNT2" localSheetId="16">#REF!</definedName>
    <definedName name="___PNT2" localSheetId="15">#REF!</definedName>
    <definedName name="___PNT2" localSheetId="14">#REF!</definedName>
    <definedName name="___PNT2" localSheetId="13">#REF!</definedName>
    <definedName name="___PNT2" localSheetId="12">#REF!</definedName>
    <definedName name="___PNT2" localSheetId="11">#REF!</definedName>
    <definedName name="___PNT2" localSheetId="10">#REF!</definedName>
    <definedName name="___PNT2" localSheetId="9">#REF!</definedName>
    <definedName name="___PNT2">#REF!</definedName>
    <definedName name="___PNT3" localSheetId="22">#REF!</definedName>
    <definedName name="___PNT3" localSheetId="20">#REF!</definedName>
    <definedName name="___PNT3" localSheetId="19">#REF!</definedName>
    <definedName name="___PNT3" localSheetId="18">#REF!</definedName>
    <definedName name="___PNT3" localSheetId="17">#REF!</definedName>
    <definedName name="___PNT3" localSheetId="16">#REF!</definedName>
    <definedName name="___PNT3" localSheetId="15">#REF!</definedName>
    <definedName name="___PNT3" localSheetId="14">#REF!</definedName>
    <definedName name="___PNT3" localSheetId="13">#REF!</definedName>
    <definedName name="___PNT3" localSheetId="12">#REF!</definedName>
    <definedName name="___PNT3" localSheetId="11">#REF!</definedName>
    <definedName name="___PNT3" localSheetId="10">#REF!</definedName>
    <definedName name="___PNT3" localSheetId="9">#REF!</definedName>
    <definedName name="___PNT3">#REF!</definedName>
    <definedName name="___PNT4" localSheetId="22">#REF!</definedName>
    <definedName name="___PNT4" localSheetId="20">#REF!</definedName>
    <definedName name="___PNT4" localSheetId="19">#REF!</definedName>
    <definedName name="___PNT4" localSheetId="18">#REF!</definedName>
    <definedName name="___PNT4" localSheetId="17">#REF!</definedName>
    <definedName name="___PNT4" localSheetId="16">#REF!</definedName>
    <definedName name="___PNT4" localSheetId="15">#REF!</definedName>
    <definedName name="___PNT4" localSheetId="14">#REF!</definedName>
    <definedName name="___PNT4" localSheetId="13">#REF!</definedName>
    <definedName name="___PNT4" localSheetId="12">#REF!</definedName>
    <definedName name="___PNT4" localSheetId="11">#REF!</definedName>
    <definedName name="___PNT4" localSheetId="10">#REF!</definedName>
    <definedName name="___PNT4" localSheetId="9">#REF!</definedName>
    <definedName name="___PNT4">#REF!</definedName>
    <definedName name="__PNT1" localSheetId="22">#REF!</definedName>
    <definedName name="__PNT1" localSheetId="20">#REF!</definedName>
    <definedName name="__PNT1" localSheetId="19">#REF!</definedName>
    <definedName name="__PNT1" localSheetId="18">#REF!</definedName>
    <definedName name="__PNT1" localSheetId="17">#REF!</definedName>
    <definedName name="__PNT1" localSheetId="16">#REF!</definedName>
    <definedName name="__PNT1" localSheetId="15">#REF!</definedName>
    <definedName name="__PNT1" localSheetId="14">#REF!</definedName>
    <definedName name="__PNT1" localSheetId="13">#REF!</definedName>
    <definedName name="__PNT1" localSheetId="12">#REF!</definedName>
    <definedName name="__PNT1" localSheetId="11">#REF!</definedName>
    <definedName name="__PNT1" localSheetId="10">#REF!</definedName>
    <definedName name="__PNT1" localSheetId="9">#REF!</definedName>
    <definedName name="__PNT1">#REF!</definedName>
    <definedName name="__PNT2" localSheetId="22">#REF!</definedName>
    <definedName name="__PNT2" localSheetId="20">#REF!</definedName>
    <definedName name="__PNT2" localSheetId="19">#REF!</definedName>
    <definedName name="__PNT2" localSheetId="18">#REF!</definedName>
    <definedName name="__PNT2" localSheetId="17">#REF!</definedName>
    <definedName name="__PNT2" localSheetId="16">#REF!</definedName>
    <definedName name="__PNT2" localSheetId="15">#REF!</definedName>
    <definedName name="__PNT2" localSheetId="14">#REF!</definedName>
    <definedName name="__PNT2" localSheetId="13">#REF!</definedName>
    <definedName name="__PNT2" localSheetId="12">#REF!</definedName>
    <definedName name="__PNT2" localSheetId="11">#REF!</definedName>
    <definedName name="__PNT2" localSheetId="10">#REF!</definedName>
    <definedName name="__PNT2" localSheetId="9">#REF!</definedName>
    <definedName name="__PNT2">#REF!</definedName>
    <definedName name="__PNT3" localSheetId="22">#REF!</definedName>
    <definedName name="__PNT3" localSheetId="20">#REF!</definedName>
    <definedName name="__PNT3" localSheetId="19">#REF!</definedName>
    <definedName name="__PNT3" localSheetId="18">#REF!</definedName>
    <definedName name="__PNT3" localSheetId="17">#REF!</definedName>
    <definedName name="__PNT3" localSheetId="16">#REF!</definedName>
    <definedName name="__PNT3" localSheetId="15">#REF!</definedName>
    <definedName name="__PNT3" localSheetId="14">#REF!</definedName>
    <definedName name="__PNT3" localSheetId="13">#REF!</definedName>
    <definedName name="__PNT3" localSheetId="12">#REF!</definedName>
    <definedName name="__PNT3" localSheetId="11">#REF!</definedName>
    <definedName name="__PNT3" localSheetId="10">#REF!</definedName>
    <definedName name="__PNT3" localSheetId="9">#REF!</definedName>
    <definedName name="__PNT3">#REF!</definedName>
    <definedName name="__PNT4" localSheetId="22">#REF!</definedName>
    <definedName name="__PNT4" localSheetId="20">#REF!</definedName>
    <definedName name="__PNT4" localSheetId="19">#REF!</definedName>
    <definedName name="__PNT4" localSheetId="18">#REF!</definedName>
    <definedName name="__PNT4" localSheetId="17">#REF!</definedName>
    <definedName name="__PNT4" localSheetId="16">#REF!</definedName>
    <definedName name="__PNT4" localSheetId="15">#REF!</definedName>
    <definedName name="__PNT4" localSheetId="14">#REF!</definedName>
    <definedName name="__PNT4" localSheetId="13">#REF!</definedName>
    <definedName name="__PNT4" localSheetId="12">#REF!</definedName>
    <definedName name="__PNT4" localSheetId="11">#REF!</definedName>
    <definedName name="__PNT4" localSheetId="10">#REF!</definedName>
    <definedName name="__PNT4" localSheetId="9">#REF!</definedName>
    <definedName name="__PNT4">#REF!</definedName>
    <definedName name="_Dist_Values" localSheetId="22">#REF!</definedName>
    <definedName name="_Dist_Values" localSheetId="20">#REF!</definedName>
    <definedName name="_Dist_Values" localSheetId="19">#REF!</definedName>
    <definedName name="_Dist_Values" localSheetId="18">#REF!</definedName>
    <definedName name="_Dist_Values" localSheetId="17">#REF!</definedName>
    <definedName name="_Dist_Values" localSheetId="16">#REF!</definedName>
    <definedName name="_Dist_Values" localSheetId="15">#REF!</definedName>
    <definedName name="_Dist_Values" localSheetId="14">#REF!</definedName>
    <definedName name="_Dist_Values" localSheetId="13">#REF!</definedName>
    <definedName name="_Dist_Values" localSheetId="12">#REF!</definedName>
    <definedName name="_Dist_Values" localSheetId="11">#REF!</definedName>
    <definedName name="_Dist_Values" localSheetId="10">#REF!</definedName>
    <definedName name="_Dist_Values" localSheetId="9">#REF!</definedName>
    <definedName name="_Dist_Values">#REF!</definedName>
    <definedName name="_Key1" localSheetId="20">#REF!</definedName>
    <definedName name="_Key1" localSheetId="19">#REF!</definedName>
    <definedName name="_Key1" localSheetId="18">#REF!</definedName>
    <definedName name="_Key1" localSheetId="17">#REF!</definedName>
    <definedName name="_Key1" localSheetId="16">#REF!</definedName>
    <definedName name="_Key1" localSheetId="15">#REF!</definedName>
    <definedName name="_Key1" localSheetId="14">#REF!</definedName>
    <definedName name="_Key1" localSheetId="13">#REF!</definedName>
    <definedName name="_Key1" localSheetId="12">#REF!</definedName>
    <definedName name="_Key1" localSheetId="11">#REF!</definedName>
    <definedName name="_Key1" localSheetId="10">#REF!</definedName>
    <definedName name="_Key1" localSheetId="9">#REF!</definedName>
    <definedName name="_Key1">#REF!</definedName>
    <definedName name="_Key2" localSheetId="22">#REF!</definedName>
    <definedName name="_Key2" localSheetId="20">#REF!</definedName>
    <definedName name="_Key2" localSheetId="19">#REF!</definedName>
    <definedName name="_Key2" localSheetId="18">#REF!</definedName>
    <definedName name="_Key2" localSheetId="17">#REF!</definedName>
    <definedName name="_Key2" localSheetId="16">#REF!</definedName>
    <definedName name="_Key2" localSheetId="15">#REF!</definedName>
    <definedName name="_Key2" localSheetId="14">#REF!</definedName>
    <definedName name="_Key2" localSheetId="13">#REF!</definedName>
    <definedName name="_Key2" localSheetId="12">#REF!</definedName>
    <definedName name="_Key2" localSheetId="11">#REF!</definedName>
    <definedName name="_Key2" localSheetId="10">#REF!</definedName>
    <definedName name="_Key2" localSheetId="9">#REF!</definedName>
    <definedName name="_Key2">#REF!</definedName>
    <definedName name="_KO2" localSheetId="22">#REF!</definedName>
    <definedName name="_KO2" localSheetId="20">#REF!</definedName>
    <definedName name="_KO2" localSheetId="19">#REF!</definedName>
    <definedName name="_KO2" localSheetId="18">#REF!</definedName>
    <definedName name="_KO2" localSheetId="17">#REF!</definedName>
    <definedName name="_KO2" localSheetId="16">#REF!</definedName>
    <definedName name="_KO2" localSheetId="15">#REF!</definedName>
    <definedName name="_KO2" localSheetId="14">#REF!</definedName>
    <definedName name="_KO2" localSheetId="13">#REF!</definedName>
    <definedName name="_KO2" localSheetId="12">#REF!</definedName>
    <definedName name="_KO2" localSheetId="11">#REF!</definedName>
    <definedName name="_KO2" localSheetId="10">#REF!</definedName>
    <definedName name="_KO2" localSheetId="9">#REF!</definedName>
    <definedName name="_KO2">#REF!</definedName>
    <definedName name="_PNT1" localSheetId="22">#REF!</definedName>
    <definedName name="_PNT1" localSheetId="20">#REF!</definedName>
    <definedName name="_PNT1" localSheetId="19">#REF!</definedName>
    <definedName name="_PNT1" localSheetId="18">#REF!</definedName>
    <definedName name="_PNT1" localSheetId="17">#REF!</definedName>
    <definedName name="_PNT1" localSheetId="16">#REF!</definedName>
    <definedName name="_PNT1" localSheetId="15">#REF!</definedName>
    <definedName name="_PNT1" localSheetId="14">#REF!</definedName>
    <definedName name="_PNT1" localSheetId="13">#REF!</definedName>
    <definedName name="_PNT1" localSheetId="12">#REF!</definedName>
    <definedName name="_PNT1" localSheetId="11">#REF!</definedName>
    <definedName name="_PNT1" localSheetId="10">#REF!</definedName>
    <definedName name="_PNT1" localSheetId="9">#REF!</definedName>
    <definedName name="_PNT1">#REF!</definedName>
    <definedName name="_PNT2" localSheetId="22">#REF!</definedName>
    <definedName name="_PNT2" localSheetId="20">#REF!</definedName>
    <definedName name="_PNT2" localSheetId="19">#REF!</definedName>
    <definedName name="_PNT2" localSheetId="18">#REF!</definedName>
    <definedName name="_PNT2" localSheetId="17">#REF!</definedName>
    <definedName name="_PNT2" localSheetId="16">#REF!</definedName>
    <definedName name="_PNT2" localSheetId="15">#REF!</definedName>
    <definedName name="_PNT2" localSheetId="14">#REF!</definedName>
    <definedName name="_PNT2" localSheetId="13">#REF!</definedName>
    <definedName name="_PNT2" localSheetId="12">#REF!</definedName>
    <definedName name="_PNT2" localSheetId="11">#REF!</definedName>
    <definedName name="_PNT2" localSheetId="10">#REF!</definedName>
    <definedName name="_PNT2" localSheetId="9">#REF!</definedName>
    <definedName name="_PNT2">#REF!</definedName>
    <definedName name="_PNT3" localSheetId="22">#REF!</definedName>
    <definedName name="_PNT3" localSheetId="20">#REF!</definedName>
    <definedName name="_PNT3" localSheetId="19">#REF!</definedName>
    <definedName name="_PNT3" localSheetId="18">#REF!</definedName>
    <definedName name="_PNT3" localSheetId="17">#REF!</definedName>
    <definedName name="_PNT3" localSheetId="16">#REF!</definedName>
    <definedName name="_PNT3" localSheetId="15">#REF!</definedName>
    <definedName name="_PNT3" localSheetId="14">#REF!</definedName>
    <definedName name="_PNT3" localSheetId="13">#REF!</definedName>
    <definedName name="_PNT3" localSheetId="12">#REF!</definedName>
    <definedName name="_PNT3" localSheetId="11">#REF!</definedName>
    <definedName name="_PNT3" localSheetId="10">#REF!</definedName>
    <definedName name="_PNT3" localSheetId="9">#REF!</definedName>
    <definedName name="_PNT3">#REF!</definedName>
    <definedName name="_PNT4" localSheetId="22">#REF!</definedName>
    <definedName name="_PNT4" localSheetId="20">#REF!</definedName>
    <definedName name="_PNT4" localSheetId="19">#REF!</definedName>
    <definedName name="_PNT4" localSheetId="18">#REF!</definedName>
    <definedName name="_PNT4" localSheetId="17">#REF!</definedName>
    <definedName name="_PNT4" localSheetId="16">#REF!</definedName>
    <definedName name="_PNT4" localSheetId="15">#REF!</definedName>
    <definedName name="_PNT4" localSheetId="14">#REF!</definedName>
    <definedName name="_PNT4" localSheetId="13">#REF!</definedName>
    <definedName name="_PNT4" localSheetId="12">#REF!</definedName>
    <definedName name="_PNT4" localSheetId="11">#REF!</definedName>
    <definedName name="_PNT4" localSheetId="10">#REF!</definedName>
    <definedName name="_PNT4" localSheetId="9">#REF!</definedName>
    <definedName name="_PNT4">#REF!</definedName>
    <definedName name="_Sort" localSheetId="22">#REF!</definedName>
    <definedName name="_Sort" localSheetId="20">#REF!</definedName>
    <definedName name="_Sort" localSheetId="19">#REF!</definedName>
    <definedName name="_Sort" localSheetId="18">#REF!</definedName>
    <definedName name="_Sort" localSheetId="17">#REF!</definedName>
    <definedName name="_Sort" localSheetId="16">#REF!</definedName>
    <definedName name="_Sort" localSheetId="15">#REF!</definedName>
    <definedName name="_Sort" localSheetId="14">#REF!</definedName>
    <definedName name="_Sort" localSheetId="13">#REF!</definedName>
    <definedName name="_Sort" localSheetId="12">#REF!</definedName>
    <definedName name="_Sort" localSheetId="11">#REF!</definedName>
    <definedName name="_Sort" localSheetId="10">#REF!</definedName>
    <definedName name="_Sort" localSheetId="9">#REF!</definedName>
    <definedName name="_Sort">#REF!</definedName>
    <definedName name="_tt2" localSheetId="22">#REF!</definedName>
    <definedName name="_tt2" localSheetId="20">#REF!</definedName>
    <definedName name="_tt2" localSheetId="19">#REF!</definedName>
    <definedName name="_tt2" localSheetId="18">#REF!</definedName>
    <definedName name="_tt2" localSheetId="17">#REF!</definedName>
    <definedName name="_tt2" localSheetId="16">#REF!</definedName>
    <definedName name="_tt2" localSheetId="15">#REF!</definedName>
    <definedName name="_tt2" localSheetId="14">#REF!</definedName>
    <definedName name="_tt2" localSheetId="13">#REF!</definedName>
    <definedName name="_tt2" localSheetId="12">#REF!</definedName>
    <definedName name="_tt2" localSheetId="11">#REF!</definedName>
    <definedName name="_tt2" localSheetId="10">#REF!</definedName>
    <definedName name="_tt2" localSheetId="9">#REF!</definedName>
    <definedName name="_tt2">#REF!</definedName>
    <definedName name="AcqGrowth" localSheetId="22">#REF!</definedName>
    <definedName name="AcqGrowth" localSheetId="20">#REF!</definedName>
    <definedName name="AcqGrowth" localSheetId="19">#REF!</definedName>
    <definedName name="AcqGrowth" localSheetId="18">#REF!</definedName>
    <definedName name="AcqGrowth" localSheetId="17">#REF!</definedName>
    <definedName name="AcqGrowth" localSheetId="16">#REF!</definedName>
    <definedName name="AcqGrowth" localSheetId="15">#REF!</definedName>
    <definedName name="AcqGrowth" localSheetId="14">#REF!</definedName>
    <definedName name="AcqGrowth" localSheetId="13">#REF!</definedName>
    <definedName name="AcqGrowth" localSheetId="12">#REF!</definedName>
    <definedName name="AcqGrowth" localSheetId="11">#REF!</definedName>
    <definedName name="AcqGrowth" localSheetId="10">#REF!</definedName>
    <definedName name="AcqGrowth" localSheetId="9">#REF!</definedName>
    <definedName name="AcqGrowth">#REF!</definedName>
    <definedName name="All" localSheetId="22">#REF!</definedName>
    <definedName name="All" localSheetId="20">#REF!</definedName>
    <definedName name="All" localSheetId="19">#REF!</definedName>
    <definedName name="All" localSheetId="18">#REF!</definedName>
    <definedName name="All" localSheetId="17">#REF!</definedName>
    <definedName name="All" localSheetId="16">#REF!</definedName>
    <definedName name="All" localSheetId="15">#REF!</definedName>
    <definedName name="All" localSheetId="14">#REF!</definedName>
    <definedName name="All" localSheetId="13">#REF!</definedName>
    <definedName name="All" localSheetId="12">#REF!</definedName>
    <definedName name="All" localSheetId="11">#REF!</definedName>
    <definedName name="All" localSheetId="10">#REF!</definedName>
    <definedName name="All" localSheetId="9">#REF!</definedName>
    <definedName name="All">#REF!</definedName>
    <definedName name="AW" localSheetId="22">#REF!</definedName>
    <definedName name="AW" localSheetId="20">#REF!</definedName>
    <definedName name="AW" localSheetId="19">#REF!</definedName>
    <definedName name="AW" localSheetId="18">#REF!</definedName>
    <definedName name="AW" localSheetId="17">#REF!</definedName>
    <definedName name="AW" localSheetId="16">#REF!</definedName>
    <definedName name="AW" localSheetId="15">#REF!</definedName>
    <definedName name="AW" localSheetId="14">#REF!</definedName>
    <definedName name="AW" localSheetId="13">#REF!</definedName>
    <definedName name="AW" localSheetId="12">#REF!</definedName>
    <definedName name="AW" localSheetId="11">#REF!</definedName>
    <definedName name="AW" localSheetId="10">#REF!</definedName>
    <definedName name="AW" localSheetId="9">#REF!</definedName>
    <definedName name="AW">#REF!</definedName>
    <definedName name="B안" localSheetId="22">#REF!</definedName>
    <definedName name="B안" localSheetId="20">#REF!</definedName>
    <definedName name="B안" localSheetId="19">#REF!</definedName>
    <definedName name="B안" localSheetId="18">#REF!</definedName>
    <definedName name="B안" localSheetId="17">#REF!</definedName>
    <definedName name="B안" localSheetId="16">#REF!</definedName>
    <definedName name="B안" localSheetId="15">#REF!</definedName>
    <definedName name="B안" localSheetId="14">#REF!</definedName>
    <definedName name="B안" localSheetId="13">#REF!</definedName>
    <definedName name="B안" localSheetId="12">#REF!</definedName>
    <definedName name="B안" localSheetId="11">#REF!</definedName>
    <definedName name="B안" localSheetId="10">#REF!</definedName>
    <definedName name="B안" localSheetId="9">#REF!</definedName>
    <definedName name="B안">#REF!</definedName>
    <definedName name="Criteria_MI" localSheetId="22">#REF!</definedName>
    <definedName name="Criteria_MI" localSheetId="20">#REF!</definedName>
    <definedName name="Criteria_MI" localSheetId="19">#REF!</definedName>
    <definedName name="Criteria_MI" localSheetId="18">#REF!</definedName>
    <definedName name="Criteria_MI" localSheetId="17">#REF!</definedName>
    <definedName name="Criteria_MI" localSheetId="16">#REF!</definedName>
    <definedName name="Criteria_MI" localSheetId="15">#REF!</definedName>
    <definedName name="Criteria_MI" localSheetId="14">#REF!</definedName>
    <definedName name="Criteria_MI" localSheetId="13">#REF!</definedName>
    <definedName name="Criteria_MI" localSheetId="12">#REF!</definedName>
    <definedName name="Criteria_MI" localSheetId="11">#REF!</definedName>
    <definedName name="Criteria_MI" localSheetId="10">#REF!</definedName>
    <definedName name="Criteria_MI" localSheetId="9">#REF!</definedName>
    <definedName name="Criteria_MI">#REF!</definedName>
    <definedName name="D" localSheetId="22">#REF!</definedName>
    <definedName name="D" localSheetId="20">#REF!</definedName>
    <definedName name="D" localSheetId="19">#REF!</definedName>
    <definedName name="D" localSheetId="18">#REF!</definedName>
    <definedName name="D" localSheetId="17">#REF!</definedName>
    <definedName name="D" localSheetId="16">#REF!</definedName>
    <definedName name="D" localSheetId="15">#REF!</definedName>
    <definedName name="D" localSheetId="14">#REF!</definedName>
    <definedName name="D" localSheetId="13">#REF!</definedName>
    <definedName name="D" localSheetId="12">#REF!</definedName>
    <definedName name="D" localSheetId="11">#REF!</definedName>
    <definedName name="D" localSheetId="10">#REF!</definedName>
    <definedName name="D" localSheetId="9">#REF!</definedName>
    <definedName name="D">#REF!</definedName>
    <definedName name="DA" localSheetId="22">#REF!</definedName>
    <definedName name="DA" localSheetId="20">#REF!</definedName>
    <definedName name="DA" localSheetId="19">#REF!</definedName>
    <definedName name="DA" localSheetId="18">#REF!</definedName>
    <definedName name="DA" localSheetId="17">#REF!</definedName>
    <definedName name="DA" localSheetId="16">#REF!</definedName>
    <definedName name="DA" localSheetId="15">#REF!</definedName>
    <definedName name="DA" localSheetId="14">#REF!</definedName>
    <definedName name="DA" localSheetId="13">#REF!</definedName>
    <definedName name="DA" localSheetId="12">#REF!</definedName>
    <definedName name="DA" localSheetId="11">#REF!</definedName>
    <definedName name="DA" localSheetId="10">#REF!</definedName>
    <definedName name="DA" localSheetId="9">#REF!</definedName>
    <definedName name="DA">#REF!</definedName>
    <definedName name="DACM" localSheetId="22">#REF!</definedName>
    <definedName name="DACM" localSheetId="20">#REF!</definedName>
    <definedName name="DACM" localSheetId="19">#REF!</definedName>
    <definedName name="DACM" localSheetId="18">#REF!</definedName>
    <definedName name="DACM">#REF!</definedName>
    <definedName name="DAS" localSheetId="22">#REF!</definedName>
    <definedName name="DAS" localSheetId="20">#REF!</definedName>
    <definedName name="DAS" localSheetId="19">#REF!</definedName>
    <definedName name="DAS" localSheetId="18">#REF!</definedName>
    <definedName name="DAS">#REF!</definedName>
    <definedName name="DATA03" localSheetId="22">#REF!</definedName>
    <definedName name="DATA03" localSheetId="20">#REF!</definedName>
    <definedName name="DATA03" localSheetId="19">#REF!</definedName>
    <definedName name="DATA03" localSheetId="18">#REF!</definedName>
    <definedName name="DATA03">#REF!</definedName>
    <definedName name="DATA2" localSheetId="22">#REF!</definedName>
    <definedName name="DATA2" localSheetId="20">#REF!</definedName>
    <definedName name="DATA2" localSheetId="19">#REF!</definedName>
    <definedName name="DATA2" localSheetId="18">#REF!</definedName>
    <definedName name="DATA2" localSheetId="17">#REF!</definedName>
    <definedName name="DATA2" localSheetId="16">#REF!</definedName>
    <definedName name="DATA2" localSheetId="15">#REF!</definedName>
    <definedName name="DATA2" localSheetId="14">#REF!</definedName>
    <definedName name="DATA2" localSheetId="13">#REF!</definedName>
    <definedName name="DATA2" localSheetId="12">#REF!</definedName>
    <definedName name="DATA2" localSheetId="11">#REF!</definedName>
    <definedName name="DATA2" localSheetId="10">#REF!</definedName>
    <definedName name="DATA2" localSheetId="9">#REF!</definedName>
    <definedName name="DATA2">#REF!</definedName>
    <definedName name="DATA3" localSheetId="22">#REF!</definedName>
    <definedName name="DATA3" localSheetId="20">#REF!</definedName>
    <definedName name="DATA3" localSheetId="19">#REF!</definedName>
    <definedName name="DATA3" localSheetId="18">#REF!</definedName>
    <definedName name="DATA3" localSheetId="17">#REF!</definedName>
    <definedName name="DATA3" localSheetId="16">#REF!</definedName>
    <definedName name="DATA3" localSheetId="15">#REF!</definedName>
    <definedName name="DATA3" localSheetId="14">#REF!</definedName>
    <definedName name="DATA3" localSheetId="13">#REF!</definedName>
    <definedName name="DATA3" localSheetId="12">#REF!</definedName>
    <definedName name="DATA3" localSheetId="11">#REF!</definedName>
    <definedName name="DATA3" localSheetId="10">#REF!</definedName>
    <definedName name="DATA3" localSheetId="9">#REF!</definedName>
    <definedName name="DATA3">#REF!</definedName>
    <definedName name="DATA4" localSheetId="22">#REF!</definedName>
    <definedName name="DATA4" localSheetId="20">#REF!</definedName>
    <definedName name="DATA4" localSheetId="19">#REF!</definedName>
    <definedName name="DATA4" localSheetId="18">#REF!</definedName>
    <definedName name="DATA4" localSheetId="17">#REF!</definedName>
    <definedName name="DATA4" localSheetId="16">#REF!</definedName>
    <definedName name="DATA4" localSheetId="15">#REF!</definedName>
    <definedName name="DATA4" localSheetId="14">#REF!</definedName>
    <definedName name="DATA4" localSheetId="13">#REF!</definedName>
    <definedName name="DATA4" localSheetId="12">#REF!</definedName>
    <definedName name="DATA4" localSheetId="11">#REF!</definedName>
    <definedName name="DATA4" localSheetId="10">#REF!</definedName>
    <definedName name="DATA4" localSheetId="9">#REF!</definedName>
    <definedName name="DATA4">#REF!</definedName>
    <definedName name="Database_MI" localSheetId="22">#REF!</definedName>
    <definedName name="Database_MI" localSheetId="20">#REF!</definedName>
    <definedName name="Database_MI" localSheetId="19">#REF!</definedName>
    <definedName name="Database_MI" localSheetId="18">#REF!</definedName>
    <definedName name="Database_MI">#REF!</definedName>
    <definedName name="Days_Of_Week" localSheetId="22">#REF!</definedName>
    <definedName name="Days_Of_Week" localSheetId="20">#REF!</definedName>
    <definedName name="Days_Of_Week" localSheetId="19">#REF!</definedName>
    <definedName name="Days_Of_Week" localSheetId="18">#REF!</definedName>
    <definedName name="Days_Of_Week">#REF!</definedName>
    <definedName name="dd" localSheetId="22">#REF!</definedName>
    <definedName name="dd" localSheetId="20">#REF!</definedName>
    <definedName name="dd" localSheetId="19">#REF!</definedName>
    <definedName name="dd" localSheetId="18">#REF!</definedName>
    <definedName name="dd">#REF!</definedName>
    <definedName name="DDD" localSheetId="22">#REF!</definedName>
    <definedName name="DDD" localSheetId="20">#REF!</definedName>
    <definedName name="DDD" localSheetId="19">#REF!</definedName>
    <definedName name="DDD" localSheetId="18">#REF!</definedName>
    <definedName name="DDD">#REF!</definedName>
    <definedName name="ddf" localSheetId="22">#REF!</definedName>
    <definedName name="ddf" localSheetId="20">#REF!</definedName>
    <definedName name="ddf" localSheetId="19">#REF!</definedName>
    <definedName name="ddf" localSheetId="18">#REF!</definedName>
    <definedName name="ddf">#REF!</definedName>
    <definedName name="dflkdflkd" localSheetId="22">#REF!</definedName>
    <definedName name="dflkdflkd" localSheetId="20">#REF!</definedName>
    <definedName name="dflkdflkd" localSheetId="19">#REF!</definedName>
    <definedName name="dflkdflkd" localSheetId="18">#REF!</definedName>
    <definedName name="dflkdflkd" localSheetId="17">#REF!</definedName>
    <definedName name="dflkdflkd" localSheetId="16">#REF!</definedName>
    <definedName name="dflkdflkd" localSheetId="15">#REF!</definedName>
    <definedName name="dflkdflkd" localSheetId="14">#REF!</definedName>
    <definedName name="dflkdflkd" localSheetId="13">#REF!</definedName>
    <definedName name="dflkdflkd" localSheetId="12">#REF!</definedName>
    <definedName name="dflkdflkd" localSheetId="11">#REF!</definedName>
    <definedName name="dflkdflkd" localSheetId="10">#REF!</definedName>
    <definedName name="dflkdflkd" localSheetId="9">#REF!</definedName>
    <definedName name="dflkdflkd">#REF!</definedName>
    <definedName name="Dollar" localSheetId="22">#REF!</definedName>
    <definedName name="Dollar" localSheetId="20">#REF!</definedName>
    <definedName name="Dollar" localSheetId="19">#REF!</definedName>
    <definedName name="Dollar" localSheetId="18">#REF!</definedName>
    <definedName name="Dollar" localSheetId="17">#REF!</definedName>
    <definedName name="Dollar" localSheetId="16">#REF!</definedName>
    <definedName name="Dollar" localSheetId="15">#REF!</definedName>
    <definedName name="Dollar" localSheetId="14">#REF!</definedName>
    <definedName name="Dollar" localSheetId="13">#REF!</definedName>
    <definedName name="Dollar" localSheetId="12">#REF!</definedName>
    <definedName name="Dollar" localSheetId="11">#REF!</definedName>
    <definedName name="Dollar" localSheetId="10">#REF!</definedName>
    <definedName name="Dollar" localSheetId="9">#REF!</definedName>
    <definedName name="Dollar">#REF!</definedName>
    <definedName name="DW" localSheetId="22">#REF!</definedName>
    <definedName name="DW" localSheetId="20">#REF!</definedName>
    <definedName name="DW" localSheetId="19">#REF!</definedName>
    <definedName name="DW" localSheetId="18">#REF!</definedName>
    <definedName name="DW" localSheetId="17">#REF!</definedName>
    <definedName name="DW" localSheetId="16">#REF!</definedName>
    <definedName name="DW" localSheetId="15">#REF!</definedName>
    <definedName name="DW" localSheetId="14">#REF!</definedName>
    <definedName name="DW" localSheetId="13">#REF!</definedName>
    <definedName name="DW" localSheetId="12">#REF!</definedName>
    <definedName name="DW" localSheetId="11">#REF!</definedName>
    <definedName name="DW" localSheetId="10">#REF!</definedName>
    <definedName name="DW" localSheetId="9">#REF!</definedName>
    <definedName name="DW">#REF!</definedName>
    <definedName name="Excel_BuiltIn__FilterDatabase_1" localSheetId="22">#REF!</definedName>
    <definedName name="Excel_BuiltIn__FilterDatabase_1" localSheetId="20">#REF!</definedName>
    <definedName name="Excel_BuiltIn__FilterDatabase_1" localSheetId="19">#REF!</definedName>
    <definedName name="Excel_BuiltIn__FilterDatabase_1" localSheetId="18">#REF!</definedName>
    <definedName name="Excel_BuiltIn__FilterDatabase_1" localSheetId="17">#REF!</definedName>
    <definedName name="Excel_BuiltIn__FilterDatabase_1" localSheetId="16">#REF!</definedName>
    <definedName name="Excel_BuiltIn__FilterDatabase_1" localSheetId="15">#REF!</definedName>
    <definedName name="Excel_BuiltIn__FilterDatabase_1" localSheetId="14">#REF!</definedName>
    <definedName name="Excel_BuiltIn__FilterDatabase_1" localSheetId="13">#REF!</definedName>
    <definedName name="Excel_BuiltIn__FilterDatabase_1" localSheetId="12">#REF!</definedName>
    <definedName name="Excel_BuiltIn__FilterDatabase_1" localSheetId="11">#REF!</definedName>
    <definedName name="Excel_BuiltIn__FilterDatabase_1" localSheetId="10">#REF!</definedName>
    <definedName name="Excel_BuiltIn__FilterDatabase_1" localSheetId="9">#REF!</definedName>
    <definedName name="Excel_BuiltIn__FilterDatabase_1">#REF!</definedName>
    <definedName name="Extract_MI" localSheetId="22">#REF!</definedName>
    <definedName name="Extract_MI" localSheetId="20">#REF!</definedName>
    <definedName name="Extract_MI" localSheetId="19">#REF!</definedName>
    <definedName name="Extract_MI" localSheetId="18">#REF!</definedName>
    <definedName name="Extract_MI" localSheetId="17">#REF!</definedName>
    <definedName name="Extract_MI" localSheetId="16">#REF!</definedName>
    <definedName name="Extract_MI" localSheetId="15">#REF!</definedName>
    <definedName name="Extract_MI" localSheetId="14">#REF!</definedName>
    <definedName name="Extract_MI" localSheetId="13">#REF!</definedName>
    <definedName name="Extract_MI" localSheetId="12">#REF!</definedName>
    <definedName name="Extract_MI" localSheetId="11">#REF!</definedName>
    <definedName name="Extract_MI" localSheetId="10">#REF!</definedName>
    <definedName name="Extract_MI" localSheetId="9">#REF!</definedName>
    <definedName name="Extract_MI">#REF!</definedName>
    <definedName name="FG46TBTB4RTDKDK" localSheetId="22">#REF!</definedName>
    <definedName name="FG46TBTB4RTDKDK" localSheetId="20">#REF!</definedName>
    <definedName name="FG46TBTB4RTDKDK" localSheetId="19">#REF!</definedName>
    <definedName name="FG46TBTB4RTDKDK" localSheetId="18">#REF!</definedName>
    <definedName name="FG46TBTB4RTDKDK" localSheetId="17">#REF!</definedName>
    <definedName name="FG46TBTB4RTDKDK" localSheetId="16">#REF!</definedName>
    <definedName name="FG46TBTB4RTDKDK" localSheetId="15">#REF!</definedName>
    <definedName name="FG46TBTB4RTDKDK" localSheetId="14">#REF!</definedName>
    <definedName name="FG46TBTB4RTDKDK" localSheetId="13">#REF!</definedName>
    <definedName name="FG46TBTB4RTDKDK" localSheetId="12">#REF!</definedName>
    <definedName name="FG46TBTB4RTDKDK" localSheetId="11">#REF!</definedName>
    <definedName name="FG46TBTB4RTDKDK" localSheetId="10">#REF!</definedName>
    <definedName name="FG46TBTB4RTDKDK" localSheetId="9">#REF!</definedName>
    <definedName name="FG46TBTB4RTDKDK">#REF!</definedName>
    <definedName name="Growth" localSheetId="22">#REF!</definedName>
    <definedName name="Growth" localSheetId="20">#REF!</definedName>
    <definedName name="Growth" localSheetId="19">#REF!</definedName>
    <definedName name="Growth" localSheetId="18">#REF!</definedName>
    <definedName name="Growth" localSheetId="17">#REF!</definedName>
    <definedName name="Growth" localSheetId="16">#REF!</definedName>
    <definedName name="Growth" localSheetId="15">#REF!</definedName>
    <definedName name="Growth" localSheetId="14">#REF!</definedName>
    <definedName name="Growth" localSheetId="13">#REF!</definedName>
    <definedName name="Growth" localSheetId="12">#REF!</definedName>
    <definedName name="Growth" localSheetId="11">#REF!</definedName>
    <definedName name="Growth" localSheetId="10">#REF!</definedName>
    <definedName name="Growth" localSheetId="9">#REF!</definedName>
    <definedName name="Growth">#REF!</definedName>
    <definedName name="HKD" localSheetId="22">#REF!</definedName>
    <definedName name="HKD" localSheetId="20">#REF!</definedName>
    <definedName name="HKD" localSheetId="19">#REF!</definedName>
    <definedName name="HKD" localSheetId="18">#REF!</definedName>
    <definedName name="HKD" localSheetId="17">#REF!</definedName>
    <definedName name="HKD" localSheetId="16">#REF!</definedName>
    <definedName name="HKD" localSheetId="15">#REF!</definedName>
    <definedName name="HKD" localSheetId="14">#REF!</definedName>
    <definedName name="HKD" localSheetId="13">#REF!</definedName>
    <definedName name="HKD" localSheetId="12">#REF!</definedName>
    <definedName name="HKD" localSheetId="11">#REF!</definedName>
    <definedName name="HKD" localSheetId="10">#REF!</definedName>
    <definedName name="HKD" localSheetId="9">#REF!</definedName>
    <definedName name="HKD">#REF!</definedName>
    <definedName name="Home" localSheetId="22">#REF!</definedName>
    <definedName name="Home" localSheetId="20">#REF!</definedName>
    <definedName name="Home" localSheetId="19">#REF!</definedName>
    <definedName name="Home" localSheetId="18">#REF!</definedName>
    <definedName name="Home" localSheetId="17">#REF!</definedName>
    <definedName name="Home" localSheetId="16">#REF!</definedName>
    <definedName name="Home" localSheetId="15">#REF!</definedName>
    <definedName name="Home" localSheetId="14">#REF!</definedName>
    <definedName name="Home" localSheetId="13">#REF!</definedName>
    <definedName name="Home" localSheetId="12">#REF!</definedName>
    <definedName name="Home" localSheetId="11">#REF!</definedName>
    <definedName name="Home" localSheetId="10">#REF!</definedName>
    <definedName name="Home" localSheetId="9">#REF!</definedName>
    <definedName name="Home">#REF!</definedName>
    <definedName name="in" localSheetId="22">#REF!</definedName>
    <definedName name="in" localSheetId="20">#REF!</definedName>
    <definedName name="in" localSheetId="19">#REF!</definedName>
    <definedName name="in" localSheetId="18">#REF!</definedName>
    <definedName name="in" localSheetId="17">#REF!</definedName>
    <definedName name="in" localSheetId="16">#REF!</definedName>
    <definedName name="in" localSheetId="15">#REF!</definedName>
    <definedName name="in" localSheetId="14">#REF!</definedName>
    <definedName name="in" localSheetId="13">#REF!</definedName>
    <definedName name="in" localSheetId="12">#REF!</definedName>
    <definedName name="in" localSheetId="11">#REF!</definedName>
    <definedName name="in" localSheetId="10">#REF!</definedName>
    <definedName name="in" localSheetId="9">#REF!</definedName>
    <definedName name="in">#REF!</definedName>
    <definedName name="internet" localSheetId="22">#REF!</definedName>
    <definedName name="internet" localSheetId="20">#REF!</definedName>
    <definedName name="internet" localSheetId="19">#REF!</definedName>
    <definedName name="internet" localSheetId="18">#REF!</definedName>
    <definedName name="internet">#REF!</definedName>
    <definedName name="IPTVOTT" localSheetId="22">#REF!</definedName>
    <definedName name="IPTVOTT" localSheetId="20">#REF!</definedName>
    <definedName name="IPTVOTT" localSheetId="19">#REF!</definedName>
    <definedName name="IPTVOTT" localSheetId="18">#REF!</definedName>
    <definedName name="IPTVOTT">#REF!</definedName>
    <definedName name="KEY" localSheetId="22">#REF!</definedName>
    <definedName name="KEY" localSheetId="20">#REF!</definedName>
    <definedName name="KEY" localSheetId="19">#REF!</definedName>
    <definedName name="KEY" localSheetId="18">#REF!</definedName>
    <definedName name="KEY" localSheetId="17">#REF!</definedName>
    <definedName name="KEY" localSheetId="16">#REF!</definedName>
    <definedName name="KEY" localSheetId="15">#REF!</definedName>
    <definedName name="KEY" localSheetId="14">#REF!</definedName>
    <definedName name="KEY" localSheetId="13">#REF!</definedName>
    <definedName name="KEY" localSheetId="12">#REF!</definedName>
    <definedName name="KEY" localSheetId="11">#REF!</definedName>
    <definedName name="KEY" localSheetId="10">#REF!</definedName>
    <definedName name="KEY" localSheetId="9">#REF!</definedName>
    <definedName name="KEY">#REF!</definedName>
    <definedName name="KKK" localSheetId="22">#REF!</definedName>
    <definedName name="KKK" localSheetId="20">#REF!</definedName>
    <definedName name="KKK" localSheetId="19">#REF!</definedName>
    <definedName name="KKK" localSheetId="18">#REF!</definedName>
    <definedName name="KKK" localSheetId="17">#REF!</definedName>
    <definedName name="KKK" localSheetId="16">#REF!</definedName>
    <definedName name="KKK" localSheetId="15">#REF!</definedName>
    <definedName name="KKK" localSheetId="14">#REF!</definedName>
    <definedName name="KKK" localSheetId="13">#REF!</definedName>
    <definedName name="KKK" localSheetId="12">#REF!</definedName>
    <definedName name="KKK" localSheetId="11">#REF!</definedName>
    <definedName name="KKK" localSheetId="10">#REF!</definedName>
    <definedName name="KKK" localSheetId="9">#REF!</definedName>
    <definedName name="KKK">#REF!</definedName>
    <definedName name="LOOPKEY" localSheetId="22">#REF!</definedName>
    <definedName name="LOOPKEY" localSheetId="20">#REF!</definedName>
    <definedName name="LOOPKEY" localSheetId="19">#REF!</definedName>
    <definedName name="LOOPKEY" localSheetId="18">#REF!</definedName>
    <definedName name="LOOPKEY" localSheetId="17">#REF!</definedName>
    <definedName name="LOOPKEY" localSheetId="16">#REF!</definedName>
    <definedName name="LOOPKEY" localSheetId="15">#REF!</definedName>
    <definedName name="LOOPKEY" localSheetId="14">#REF!</definedName>
    <definedName name="LOOPKEY" localSheetId="13">#REF!</definedName>
    <definedName name="LOOPKEY" localSheetId="12">#REF!</definedName>
    <definedName name="LOOPKEY" localSheetId="11">#REF!</definedName>
    <definedName name="LOOPKEY" localSheetId="10">#REF!</definedName>
    <definedName name="LOOPKEY" localSheetId="9">#REF!</definedName>
    <definedName name="LOOPKEY">#REF!</definedName>
    <definedName name="M" localSheetId="22">#REF!</definedName>
    <definedName name="M" localSheetId="20">#REF!</definedName>
    <definedName name="M" localSheetId="19">#REF!</definedName>
    <definedName name="M" localSheetId="18">#REF!</definedName>
    <definedName name="M" localSheetId="17">#REF!</definedName>
    <definedName name="M" localSheetId="16">#REF!</definedName>
    <definedName name="M" localSheetId="15">#REF!</definedName>
    <definedName name="M" localSheetId="14">#REF!</definedName>
    <definedName name="M" localSheetId="13">#REF!</definedName>
    <definedName name="M" localSheetId="12">#REF!</definedName>
    <definedName name="M" localSheetId="11">#REF!</definedName>
    <definedName name="M" localSheetId="10">#REF!</definedName>
    <definedName name="M" localSheetId="9">#REF!</definedName>
    <definedName name="M">#REF!</definedName>
    <definedName name="M_Drama" localSheetId="22">#REF!</definedName>
    <definedName name="M_Drama" localSheetId="20">#REF!</definedName>
    <definedName name="M_Drama" localSheetId="19">#REF!</definedName>
    <definedName name="M_Drama" localSheetId="18">#REF!</definedName>
    <definedName name="M_Drama" localSheetId="17">#REF!</definedName>
    <definedName name="M_Drama" localSheetId="16">#REF!</definedName>
    <definedName name="M_Drama" localSheetId="15">#REF!</definedName>
    <definedName name="M_Drama" localSheetId="14">#REF!</definedName>
    <definedName name="M_Drama" localSheetId="13">#REF!</definedName>
    <definedName name="M_Drama" localSheetId="12">#REF!</definedName>
    <definedName name="M_Drama" localSheetId="11">#REF!</definedName>
    <definedName name="M_Drama" localSheetId="10">#REF!</definedName>
    <definedName name="M_Drama" localSheetId="9">#REF!</definedName>
    <definedName name="M_Drama">#REF!</definedName>
    <definedName name="MBC_D" localSheetId="22">#REF!</definedName>
    <definedName name="MBC_D" localSheetId="20">#REF!</definedName>
    <definedName name="MBC_D" localSheetId="19">#REF!</definedName>
    <definedName name="MBC_D" localSheetId="18">#REF!</definedName>
    <definedName name="MBC_D" localSheetId="17">#REF!</definedName>
    <definedName name="MBC_D" localSheetId="16">#REF!</definedName>
    <definedName name="MBC_D" localSheetId="15">#REF!</definedName>
    <definedName name="MBC_D" localSheetId="14">#REF!</definedName>
    <definedName name="MBC_D" localSheetId="13">#REF!</definedName>
    <definedName name="MBC_D" localSheetId="12">#REF!</definedName>
    <definedName name="MBC_D" localSheetId="11">#REF!</definedName>
    <definedName name="MBC_D" localSheetId="10">#REF!</definedName>
    <definedName name="MBC_D" localSheetId="9">#REF!</definedName>
    <definedName name="MBC_D">#REF!</definedName>
    <definedName name="MESS" localSheetId="22">#REF!</definedName>
    <definedName name="MESS" localSheetId="20">#REF!</definedName>
    <definedName name="MESS" localSheetId="19">#REF!</definedName>
    <definedName name="MESS" localSheetId="18">#REF!</definedName>
    <definedName name="MESS" localSheetId="17">#REF!</definedName>
    <definedName name="MESS" localSheetId="16">#REF!</definedName>
    <definedName name="MESS" localSheetId="15">#REF!</definedName>
    <definedName name="MESS" localSheetId="14">#REF!</definedName>
    <definedName name="MESS" localSheetId="13">#REF!</definedName>
    <definedName name="MESS" localSheetId="12">#REF!</definedName>
    <definedName name="MESS" localSheetId="11">#REF!</definedName>
    <definedName name="MESS" localSheetId="10">#REF!</definedName>
    <definedName name="MESS" localSheetId="9">#REF!</definedName>
    <definedName name="MESS">#REF!</definedName>
    <definedName name="MESSSCR" localSheetId="22">#REF!</definedName>
    <definedName name="MESSSCR" localSheetId="20">#REF!</definedName>
    <definedName name="MESSSCR" localSheetId="19">#REF!</definedName>
    <definedName name="MESSSCR" localSheetId="18">#REF!</definedName>
    <definedName name="MESSSCR" localSheetId="17">#REF!</definedName>
    <definedName name="MESSSCR" localSheetId="16">#REF!</definedName>
    <definedName name="MESSSCR" localSheetId="15">#REF!</definedName>
    <definedName name="MESSSCR" localSheetId="14">#REF!</definedName>
    <definedName name="MESSSCR" localSheetId="13">#REF!</definedName>
    <definedName name="MESSSCR" localSheetId="12">#REF!</definedName>
    <definedName name="MESSSCR" localSheetId="11">#REF!</definedName>
    <definedName name="MESSSCR" localSheetId="10">#REF!</definedName>
    <definedName name="MESSSCR" localSheetId="9">#REF!</definedName>
    <definedName name="MESSSCR">#REF!</definedName>
    <definedName name="NEW" localSheetId="22">#REF!</definedName>
    <definedName name="NEW" localSheetId="20">#REF!</definedName>
    <definedName name="NEW" localSheetId="19">#REF!</definedName>
    <definedName name="NEW" localSheetId="18">#REF!</definedName>
    <definedName name="NEW" localSheetId="17">#REF!</definedName>
    <definedName name="NEW" localSheetId="16">#REF!</definedName>
    <definedName name="NEW" localSheetId="15">#REF!</definedName>
    <definedName name="NEW" localSheetId="14">#REF!</definedName>
    <definedName name="NEW" localSheetId="13">#REF!</definedName>
    <definedName name="NEW" localSheetId="12">#REF!</definedName>
    <definedName name="NEW" localSheetId="11">#REF!</definedName>
    <definedName name="NEW" localSheetId="10">#REF!</definedName>
    <definedName name="NEW" localSheetId="9">#REF!</definedName>
    <definedName name="NEW">#REF!</definedName>
    <definedName name="NK" localSheetId="22">#REF!</definedName>
    <definedName name="NK" localSheetId="20">#REF!</definedName>
    <definedName name="NK" localSheetId="19">#REF!</definedName>
    <definedName name="NK" localSheetId="18">#REF!</definedName>
    <definedName name="NK" localSheetId="17">#REF!</definedName>
    <definedName name="NK" localSheetId="16">#REF!</definedName>
    <definedName name="NK" localSheetId="15">#REF!</definedName>
    <definedName name="NK" localSheetId="14">#REF!</definedName>
    <definedName name="NK" localSheetId="13">#REF!</definedName>
    <definedName name="NK" localSheetId="12">#REF!</definedName>
    <definedName name="NK" localSheetId="11">#REF!</definedName>
    <definedName name="NK" localSheetId="10">#REF!</definedName>
    <definedName name="NK" localSheetId="9">#REF!</definedName>
    <definedName name="NK">#REF!</definedName>
    <definedName name="OF" localSheetId="22">#REF!</definedName>
    <definedName name="OF" localSheetId="20">#REF!</definedName>
    <definedName name="OF" localSheetId="19">#REF!</definedName>
    <definedName name="OF" localSheetId="18">#REF!</definedName>
    <definedName name="OF" localSheetId="17">#REF!</definedName>
    <definedName name="OF" localSheetId="16">#REF!</definedName>
    <definedName name="OF" localSheetId="15">#REF!</definedName>
    <definedName name="OF" localSheetId="14">#REF!</definedName>
    <definedName name="OF" localSheetId="13">#REF!</definedName>
    <definedName name="OF" localSheetId="12">#REF!</definedName>
    <definedName name="OF" localSheetId="11">#REF!</definedName>
    <definedName name="OF" localSheetId="10">#REF!</definedName>
    <definedName name="OF" localSheetId="9">#REF!</definedName>
    <definedName name="OF">#REF!</definedName>
    <definedName name="OllehTV15초안" localSheetId="22">#REF!</definedName>
    <definedName name="OllehTV15초안" localSheetId="20">#REF!</definedName>
    <definedName name="OllehTV15초안" localSheetId="19">#REF!</definedName>
    <definedName name="OllehTV15초안" localSheetId="18">#REF!</definedName>
    <definedName name="OllehTV15초안" localSheetId="17">#REF!</definedName>
    <definedName name="OllehTV15초안" localSheetId="16">#REF!</definedName>
    <definedName name="OllehTV15초안" localSheetId="15">#REF!</definedName>
    <definedName name="OllehTV15초안" localSheetId="14">#REF!</definedName>
    <definedName name="OllehTV15초안" localSheetId="13">#REF!</definedName>
    <definedName name="OllehTV15초안" localSheetId="12">#REF!</definedName>
    <definedName name="OllehTV15초안" localSheetId="11">#REF!</definedName>
    <definedName name="OllehTV15초안" localSheetId="10">#REF!</definedName>
    <definedName name="OllehTV15초안" localSheetId="9">#REF!</definedName>
    <definedName name="OllehTV15초안">#REF!</definedName>
    <definedName name="pessimistic" localSheetId="22">#REF!</definedName>
    <definedName name="pessimistic" localSheetId="20">#REF!</definedName>
    <definedName name="pessimistic" localSheetId="19">#REF!</definedName>
    <definedName name="pessimistic" localSheetId="18">#REF!</definedName>
    <definedName name="pessimistic" localSheetId="17">#REF!</definedName>
    <definedName name="pessimistic" localSheetId="16">#REF!</definedName>
    <definedName name="pessimistic" localSheetId="15">#REF!</definedName>
    <definedName name="pessimistic" localSheetId="14">#REF!</definedName>
    <definedName name="pessimistic" localSheetId="13">#REF!</definedName>
    <definedName name="pessimistic" localSheetId="12">#REF!</definedName>
    <definedName name="pessimistic" localSheetId="11">#REF!</definedName>
    <definedName name="pessimistic" localSheetId="10">#REF!</definedName>
    <definedName name="pessimistic" localSheetId="9">#REF!</definedName>
    <definedName name="pessimistic">#REF!</definedName>
    <definedName name="PRINT_AREA_MI" localSheetId="22">#REF!</definedName>
    <definedName name="PRINT_AREA_MI" localSheetId="20">#REF!</definedName>
    <definedName name="PRINT_AREA_MI" localSheetId="19">#REF!</definedName>
    <definedName name="PRINT_AREA_MI" localSheetId="18">#REF!</definedName>
    <definedName name="PRINT_AREA_MI" localSheetId="17">#REF!</definedName>
    <definedName name="PRINT_AREA_MI" localSheetId="16">#REF!</definedName>
    <definedName name="PRINT_AREA_MI" localSheetId="15">#REF!</definedName>
    <definedName name="PRINT_AREA_MI" localSheetId="14">#REF!</definedName>
    <definedName name="PRINT_AREA_MI" localSheetId="13">#REF!</definedName>
    <definedName name="PRINT_AREA_MI" localSheetId="12">#REF!</definedName>
    <definedName name="PRINT_AREA_MI" localSheetId="11">#REF!</definedName>
    <definedName name="PRINT_AREA_MI" localSheetId="10">#REF!</definedName>
    <definedName name="PRINT_AREA_MI" localSheetId="9">#REF!</definedName>
    <definedName name="PRINT_AREA_MI">#REF!</definedName>
    <definedName name="PRINTGO" localSheetId="22">#REF!</definedName>
    <definedName name="PRINTGO" localSheetId="20">#REF!</definedName>
    <definedName name="PRINTGO" localSheetId="19">#REF!</definedName>
    <definedName name="PRINTGO" localSheetId="18">#REF!</definedName>
    <definedName name="PRINTGO" localSheetId="17">#REF!</definedName>
    <definedName name="PRINTGO" localSheetId="16">#REF!</definedName>
    <definedName name="PRINTGO" localSheetId="15">#REF!</definedName>
    <definedName name="PRINTGO" localSheetId="14">#REF!</definedName>
    <definedName name="PRINTGO" localSheetId="13">#REF!</definedName>
    <definedName name="PRINTGO" localSheetId="12">#REF!</definedName>
    <definedName name="PRINTGO" localSheetId="11">#REF!</definedName>
    <definedName name="PRINTGO" localSheetId="10">#REF!</definedName>
    <definedName name="PRINTGO" localSheetId="9">#REF!</definedName>
    <definedName name="PRINTGO">#REF!</definedName>
    <definedName name="ROW" localSheetId="22">#REF!</definedName>
    <definedName name="ROW" localSheetId="20">#REF!</definedName>
    <definedName name="ROW" localSheetId="19">#REF!</definedName>
    <definedName name="ROW" localSheetId="18">#REF!</definedName>
    <definedName name="ROW" localSheetId="17">#REF!</definedName>
    <definedName name="ROW" localSheetId="16">#REF!</definedName>
    <definedName name="ROW" localSheetId="15">#REF!</definedName>
    <definedName name="ROW" localSheetId="14">#REF!</definedName>
    <definedName name="ROW" localSheetId="13">#REF!</definedName>
    <definedName name="ROW" localSheetId="12">#REF!</definedName>
    <definedName name="ROW" localSheetId="11">#REF!</definedName>
    <definedName name="ROW" localSheetId="10">#REF!</definedName>
    <definedName name="ROW" localSheetId="9">#REF!</definedName>
    <definedName name="ROW">#REF!</definedName>
    <definedName name="rrr" localSheetId="22">#REF!</definedName>
    <definedName name="rrr" localSheetId="20">#REF!</definedName>
    <definedName name="rrr" localSheetId="19">#REF!</definedName>
    <definedName name="rrr" localSheetId="18">#REF!</definedName>
    <definedName name="rrr" localSheetId="17">#REF!</definedName>
    <definedName name="rrr" localSheetId="16">#REF!</definedName>
    <definedName name="rrr" localSheetId="15">#REF!</definedName>
    <definedName name="rrr" localSheetId="14">#REF!</definedName>
    <definedName name="rrr" localSheetId="13">#REF!</definedName>
    <definedName name="rrr" localSheetId="12">#REF!</definedName>
    <definedName name="rrr" localSheetId="11">#REF!</definedName>
    <definedName name="rrr" localSheetId="10">#REF!</definedName>
    <definedName name="rrr" localSheetId="9">#REF!</definedName>
    <definedName name="rrr">#REF!</definedName>
    <definedName name="rrrr" localSheetId="22">#REF!</definedName>
    <definedName name="rrrr" localSheetId="20">#REF!</definedName>
    <definedName name="rrrr" localSheetId="19">#REF!</definedName>
    <definedName name="rrrr" localSheetId="18">#REF!</definedName>
    <definedName name="rrrr" localSheetId="17">#REF!</definedName>
    <definedName name="rrrr" localSheetId="16">#REF!</definedName>
    <definedName name="rrrr" localSheetId="15">#REF!</definedName>
    <definedName name="rrrr" localSheetId="14">#REF!</definedName>
    <definedName name="rrrr" localSheetId="13">#REF!</definedName>
    <definedName name="rrrr" localSheetId="12">#REF!</definedName>
    <definedName name="rrrr" localSheetId="11">#REF!</definedName>
    <definedName name="rrrr" localSheetId="10">#REF!</definedName>
    <definedName name="rrrr" localSheetId="9">#REF!</definedName>
    <definedName name="rrrr">#REF!</definedName>
    <definedName name="s" localSheetId="22">#REF!</definedName>
    <definedName name="s" localSheetId="20">#REF!</definedName>
    <definedName name="s" localSheetId="19">#REF!</definedName>
    <definedName name="s" localSheetId="18">#REF!</definedName>
    <definedName name="s" localSheetId="17">#REF!</definedName>
    <definedName name="s" localSheetId="16">#REF!</definedName>
    <definedName name="s" localSheetId="15">#REF!</definedName>
    <definedName name="s" localSheetId="14">#REF!</definedName>
    <definedName name="s" localSheetId="13">#REF!</definedName>
    <definedName name="s" localSheetId="12">#REF!</definedName>
    <definedName name="s" localSheetId="11">#REF!</definedName>
    <definedName name="s" localSheetId="10">#REF!</definedName>
    <definedName name="s" localSheetId="9">#REF!</definedName>
    <definedName name="s">#REF!</definedName>
    <definedName name="Scenario" localSheetId="22">#REF!</definedName>
    <definedName name="Scenario" localSheetId="20">#REF!</definedName>
    <definedName name="Scenario" localSheetId="19">#REF!</definedName>
    <definedName name="Scenario" localSheetId="18">#REF!</definedName>
    <definedName name="Scenario" localSheetId="17">#REF!</definedName>
    <definedName name="Scenario" localSheetId="16">#REF!</definedName>
    <definedName name="Scenario" localSheetId="15">#REF!</definedName>
    <definedName name="Scenario" localSheetId="14">#REF!</definedName>
    <definedName name="Scenario" localSheetId="13">#REF!</definedName>
    <definedName name="Scenario" localSheetId="12">#REF!</definedName>
    <definedName name="Scenario" localSheetId="11">#REF!</definedName>
    <definedName name="Scenario" localSheetId="10">#REF!</definedName>
    <definedName name="Scenario" localSheetId="9">#REF!</definedName>
    <definedName name="Scenario">#REF!</definedName>
    <definedName name="Scenario2" localSheetId="22">#REF!</definedName>
    <definedName name="Scenario2" localSheetId="20">#REF!</definedName>
    <definedName name="Scenario2" localSheetId="19">#REF!</definedName>
    <definedName name="Scenario2" localSheetId="18">#REF!</definedName>
    <definedName name="Scenario2" localSheetId="17">#REF!</definedName>
    <definedName name="Scenario2" localSheetId="16">#REF!</definedName>
    <definedName name="Scenario2" localSheetId="15">#REF!</definedName>
    <definedName name="Scenario2" localSheetId="14">#REF!</definedName>
    <definedName name="Scenario2" localSheetId="13">#REF!</definedName>
    <definedName name="Scenario2" localSheetId="12">#REF!</definedName>
    <definedName name="Scenario2" localSheetId="11">#REF!</definedName>
    <definedName name="Scenario2" localSheetId="10">#REF!</definedName>
    <definedName name="Scenario2" localSheetId="9">#REF!</definedName>
    <definedName name="Scenario2">#REF!</definedName>
    <definedName name="SGD" localSheetId="22">#REF!</definedName>
    <definedName name="SGD" localSheetId="20">#REF!</definedName>
    <definedName name="SGD" localSheetId="19">#REF!</definedName>
    <definedName name="SGD" localSheetId="18">#REF!</definedName>
    <definedName name="SGD">#REF!</definedName>
    <definedName name="SHEET_1" localSheetId="22">#REF!</definedName>
    <definedName name="SHEET_1" localSheetId="20">#REF!</definedName>
    <definedName name="SHEET_1" localSheetId="19">#REF!</definedName>
    <definedName name="SHEET_1" localSheetId="18">#REF!</definedName>
    <definedName name="SHEET_1" localSheetId="17">#REF!</definedName>
    <definedName name="SHEET_1" localSheetId="16">#REF!</definedName>
    <definedName name="SHEET_1" localSheetId="15">#REF!</definedName>
    <definedName name="SHEET_1" localSheetId="14">#REF!</definedName>
    <definedName name="SHEET_1" localSheetId="13">#REF!</definedName>
    <definedName name="SHEET_1" localSheetId="12">#REF!</definedName>
    <definedName name="SHEET_1" localSheetId="11">#REF!</definedName>
    <definedName name="SHEET_1" localSheetId="10">#REF!</definedName>
    <definedName name="SHEET_1" localSheetId="9">#REF!</definedName>
    <definedName name="SHEET_1">#REF!</definedName>
    <definedName name="SHEET_2" localSheetId="22">#REF!</definedName>
    <definedName name="SHEET_2" localSheetId="20">#REF!</definedName>
    <definedName name="SHEET_2" localSheetId="19">#REF!</definedName>
    <definedName name="SHEET_2" localSheetId="18">#REF!</definedName>
    <definedName name="SHEET_2" localSheetId="17">#REF!</definedName>
    <definedName name="SHEET_2" localSheetId="16">#REF!</definedName>
    <definedName name="SHEET_2" localSheetId="15">#REF!</definedName>
    <definedName name="SHEET_2" localSheetId="14">#REF!</definedName>
    <definedName name="SHEET_2" localSheetId="13">#REF!</definedName>
    <definedName name="SHEET_2" localSheetId="12">#REF!</definedName>
    <definedName name="SHEET_2" localSheetId="11">#REF!</definedName>
    <definedName name="SHEET_2" localSheetId="10">#REF!</definedName>
    <definedName name="SHEET_2" localSheetId="9">#REF!</definedName>
    <definedName name="SHEET_2">#REF!</definedName>
    <definedName name="SHEET_3" localSheetId="22">#REF!</definedName>
    <definedName name="SHEET_3" localSheetId="20">#REF!</definedName>
    <definedName name="SHEET_3" localSheetId="19">#REF!</definedName>
    <definedName name="SHEET_3" localSheetId="18">#REF!</definedName>
    <definedName name="SHEET_3" localSheetId="17">#REF!</definedName>
    <definedName name="SHEET_3" localSheetId="16">#REF!</definedName>
    <definedName name="SHEET_3" localSheetId="15">#REF!</definedName>
    <definedName name="SHEET_3" localSheetId="14">#REF!</definedName>
    <definedName name="SHEET_3" localSheetId="13">#REF!</definedName>
    <definedName name="SHEET_3" localSheetId="12">#REF!</definedName>
    <definedName name="SHEET_3" localSheetId="11">#REF!</definedName>
    <definedName name="SHEET_3" localSheetId="10">#REF!</definedName>
    <definedName name="SHEET_3" localSheetId="9">#REF!</definedName>
    <definedName name="SHEET_3">#REF!</definedName>
    <definedName name="sk투" localSheetId="22">#REF!</definedName>
    <definedName name="sk투" localSheetId="20">#REF!</definedName>
    <definedName name="sk투" localSheetId="19">#REF!</definedName>
    <definedName name="sk투" localSheetId="18">#REF!</definedName>
    <definedName name="sk투">#REF!</definedName>
    <definedName name="SLM" localSheetId="22">#REF!</definedName>
    <definedName name="SLM" localSheetId="20">#REF!</definedName>
    <definedName name="SLM" localSheetId="19">#REF!</definedName>
    <definedName name="SLM" localSheetId="18">#REF!</definedName>
    <definedName name="SLM">#REF!</definedName>
    <definedName name="ss" localSheetId="22">#REF!</definedName>
    <definedName name="ss" localSheetId="20">#REF!</definedName>
    <definedName name="ss" localSheetId="19">#REF!</definedName>
    <definedName name="ss" localSheetId="18">#REF!</definedName>
    <definedName name="ss">#REF!</definedName>
    <definedName name="sss" localSheetId="22">#REF!</definedName>
    <definedName name="sss" localSheetId="20">#REF!</definedName>
    <definedName name="sss" localSheetId="19">#REF!</definedName>
    <definedName name="sss" localSheetId="18">#REF!</definedName>
    <definedName name="sss">#REF!</definedName>
    <definedName name="start" localSheetId="22">#REF!</definedName>
    <definedName name="start" localSheetId="20">#REF!</definedName>
    <definedName name="start" localSheetId="19">#REF!</definedName>
    <definedName name="start" localSheetId="18">#REF!</definedName>
    <definedName name="start">#REF!</definedName>
    <definedName name="start1" localSheetId="22">#REF!</definedName>
    <definedName name="start1" localSheetId="20">#REF!</definedName>
    <definedName name="start1" localSheetId="19">#REF!</definedName>
    <definedName name="start1" localSheetId="18">#REF!</definedName>
    <definedName name="start1">#REF!</definedName>
    <definedName name="stations_old" localSheetId="22">#REF!</definedName>
    <definedName name="stations_old" localSheetId="20">#REF!</definedName>
    <definedName name="stations_old" localSheetId="19">#REF!</definedName>
    <definedName name="stations_old" localSheetId="18">#REF!</definedName>
    <definedName name="stations_old" localSheetId="17">#REF!</definedName>
    <definedName name="stations_old" localSheetId="16">#REF!</definedName>
    <definedName name="stations_old" localSheetId="15">#REF!</definedName>
    <definedName name="stations_old" localSheetId="14">#REF!</definedName>
    <definedName name="stations_old" localSheetId="13">#REF!</definedName>
    <definedName name="stations_old" localSheetId="12">#REF!</definedName>
    <definedName name="stations_old" localSheetId="11">#REF!</definedName>
    <definedName name="stations_old" localSheetId="10">#REF!</definedName>
    <definedName name="stations_old" localSheetId="9">#REF!</definedName>
    <definedName name="stations_old">#REF!</definedName>
    <definedName name="SUM" localSheetId="22">#REF!</definedName>
    <definedName name="SUM" localSheetId="20">#REF!</definedName>
    <definedName name="SUM" localSheetId="19">#REF!</definedName>
    <definedName name="SUM" localSheetId="18">#REF!</definedName>
    <definedName name="SUM" localSheetId="17">#REF!</definedName>
    <definedName name="SUM" localSheetId="16">#REF!</definedName>
    <definedName name="SUM" localSheetId="15">#REF!</definedName>
    <definedName name="SUM" localSheetId="14">#REF!</definedName>
    <definedName name="SUM" localSheetId="13">#REF!</definedName>
    <definedName name="SUM" localSheetId="12">#REF!</definedName>
    <definedName name="SUM" localSheetId="11">#REF!</definedName>
    <definedName name="SUM" localSheetId="10">#REF!</definedName>
    <definedName name="SUM" localSheetId="9">#REF!</definedName>
    <definedName name="SUM">#REF!</definedName>
    <definedName name="T1_" localSheetId="22">#REF!</definedName>
    <definedName name="T1_" localSheetId="20">#REF!</definedName>
    <definedName name="T1_" localSheetId="19">#REF!</definedName>
    <definedName name="T1_" localSheetId="18">#REF!</definedName>
    <definedName name="T1_" localSheetId="17">#REF!</definedName>
    <definedName name="T1_" localSheetId="16">#REF!</definedName>
    <definedName name="T1_" localSheetId="15">#REF!</definedName>
    <definedName name="T1_" localSheetId="14">#REF!</definedName>
    <definedName name="T1_" localSheetId="13">#REF!</definedName>
    <definedName name="T1_" localSheetId="12">#REF!</definedName>
    <definedName name="T1_" localSheetId="11">#REF!</definedName>
    <definedName name="T1_" localSheetId="10">#REF!</definedName>
    <definedName name="T1_" localSheetId="9">#REF!</definedName>
    <definedName name="T1_">#REF!</definedName>
    <definedName name="tag" localSheetId="22">#REF!</definedName>
    <definedName name="tag" localSheetId="20">#REF!</definedName>
    <definedName name="tag" localSheetId="19">#REF!</definedName>
    <definedName name="tag" localSheetId="18">#REF!</definedName>
    <definedName name="tag" localSheetId="17">#REF!</definedName>
    <definedName name="tag" localSheetId="16">#REF!</definedName>
    <definedName name="tag" localSheetId="15">#REF!</definedName>
    <definedName name="tag" localSheetId="14">#REF!</definedName>
    <definedName name="tag" localSheetId="13">#REF!</definedName>
    <definedName name="tag" localSheetId="12">#REF!</definedName>
    <definedName name="tag" localSheetId="11">#REF!</definedName>
    <definedName name="tag" localSheetId="10">#REF!</definedName>
    <definedName name="tag" localSheetId="9">#REF!</definedName>
    <definedName name="tag">#REF!</definedName>
    <definedName name="Times_Left" localSheetId="22">#REF!</definedName>
    <definedName name="Times_Left" localSheetId="20">#REF!</definedName>
    <definedName name="Times_Left" localSheetId="19">#REF!</definedName>
    <definedName name="Times_Left" localSheetId="18">#REF!</definedName>
    <definedName name="Times_Left" localSheetId="17">#REF!</definedName>
    <definedName name="Times_Left" localSheetId="16">#REF!</definedName>
    <definedName name="Times_Left" localSheetId="15">#REF!</definedName>
    <definedName name="Times_Left" localSheetId="14">#REF!</definedName>
    <definedName name="Times_Left" localSheetId="13">#REF!</definedName>
    <definedName name="Times_Left" localSheetId="12">#REF!</definedName>
    <definedName name="Times_Left" localSheetId="11">#REF!</definedName>
    <definedName name="Times_Left" localSheetId="10">#REF!</definedName>
    <definedName name="Times_Left" localSheetId="9">#REF!</definedName>
    <definedName name="Times_Left">#REF!</definedName>
    <definedName name="Times_Right" localSheetId="22">#REF!</definedName>
    <definedName name="Times_Right" localSheetId="20">#REF!</definedName>
    <definedName name="Times_Right" localSheetId="19">#REF!</definedName>
    <definedName name="Times_Right" localSheetId="18">#REF!</definedName>
    <definedName name="Times_Right">#REF!</definedName>
    <definedName name="TT" localSheetId="22">#REF!</definedName>
    <definedName name="TT" localSheetId="20">#REF!</definedName>
    <definedName name="TT" localSheetId="19">#REF!</definedName>
    <definedName name="TT" localSheetId="18">#REF!</definedName>
    <definedName name="TT">#REF!</definedName>
    <definedName name="Updated" localSheetId="22">#REF!</definedName>
    <definedName name="Updated" localSheetId="20">#REF!</definedName>
    <definedName name="Updated" localSheetId="19">#REF!</definedName>
    <definedName name="Updated" localSheetId="18">#REF!</definedName>
    <definedName name="Updated">#REF!</definedName>
    <definedName name="VOD프리롤" localSheetId="22">#REF!</definedName>
    <definedName name="VOD프리롤" localSheetId="20">#REF!</definedName>
    <definedName name="VOD프리롤" localSheetId="19">#REF!</definedName>
    <definedName name="VOD프리롤" localSheetId="18">#REF!</definedName>
    <definedName name="VOD프리롤">#REF!</definedName>
    <definedName name="WA" localSheetId="22">#REF!</definedName>
    <definedName name="WA" localSheetId="20">#REF!</definedName>
    <definedName name="WA" localSheetId="19">#REF!</definedName>
    <definedName name="WA" localSheetId="18">#REF!</definedName>
    <definedName name="WA" localSheetId="17">#REF!</definedName>
    <definedName name="WA" localSheetId="16">#REF!</definedName>
    <definedName name="WA" localSheetId="15">#REF!</definedName>
    <definedName name="WA" localSheetId="14">#REF!</definedName>
    <definedName name="WA" localSheetId="13">#REF!</definedName>
    <definedName name="WA" localSheetId="12">#REF!</definedName>
    <definedName name="WA" localSheetId="11">#REF!</definedName>
    <definedName name="WA" localSheetId="10">#REF!</definedName>
    <definedName name="WA" localSheetId="9">#REF!</definedName>
    <definedName name="WA">#REF!</definedName>
    <definedName name="WHAT" localSheetId="22">#REF!</definedName>
    <definedName name="WHAT" localSheetId="20">#REF!</definedName>
    <definedName name="WHAT" localSheetId="19">#REF!</definedName>
    <definedName name="WHAT" localSheetId="18">#REF!</definedName>
    <definedName name="WHAT">#REF!</definedName>
    <definedName name="Wk_Sched" localSheetId="22">#REF!</definedName>
    <definedName name="Wk_Sched" localSheetId="20">#REF!</definedName>
    <definedName name="Wk_Sched" localSheetId="19">#REF!</definedName>
    <definedName name="Wk_Sched" localSheetId="18">#REF!</definedName>
    <definedName name="Wk_Sched">#REF!</definedName>
    <definedName name="WQ" localSheetId="22">#REF!</definedName>
    <definedName name="WQ" localSheetId="20">#REF!</definedName>
    <definedName name="WQ" localSheetId="19">#REF!</definedName>
    <definedName name="WQ" localSheetId="18">#REF!</definedName>
    <definedName name="WQ" localSheetId="17">#REF!</definedName>
    <definedName name="WQ" localSheetId="16">#REF!</definedName>
    <definedName name="WQ" localSheetId="15">#REF!</definedName>
    <definedName name="WQ" localSheetId="14">#REF!</definedName>
    <definedName name="WQ" localSheetId="13">#REF!</definedName>
    <definedName name="WQ" localSheetId="12">#REF!</definedName>
    <definedName name="WQ" localSheetId="11">#REF!</definedName>
    <definedName name="WQ" localSheetId="10">#REF!</definedName>
    <definedName name="WQ" localSheetId="9">#REF!</definedName>
    <definedName name="WQ">#REF!</definedName>
    <definedName name="ZA" localSheetId="22">#REF!</definedName>
    <definedName name="ZA" localSheetId="20">#REF!</definedName>
    <definedName name="ZA" localSheetId="19">#REF!</definedName>
    <definedName name="ZA" localSheetId="18">#REF!</definedName>
    <definedName name="ZA">#REF!</definedName>
    <definedName name="강원" localSheetId="22">#REF!</definedName>
    <definedName name="강원" localSheetId="20">#REF!</definedName>
    <definedName name="강원" localSheetId="19">#REF!</definedName>
    <definedName name="강원" localSheetId="18">#REF!</definedName>
    <definedName name="강원">#REF!</definedName>
    <definedName name="경기" localSheetId="22">#REF!</definedName>
    <definedName name="경기" localSheetId="20">#REF!</definedName>
    <definedName name="경기" localSheetId="19">#REF!</definedName>
    <definedName name="경기" localSheetId="18">#REF!</definedName>
    <definedName name="경기">#REF!</definedName>
    <definedName name="경남" localSheetId="22">#REF!</definedName>
    <definedName name="경남" localSheetId="20">#REF!</definedName>
    <definedName name="경남" localSheetId="19">#REF!</definedName>
    <definedName name="경남" localSheetId="18">#REF!</definedName>
    <definedName name="경남">#REF!</definedName>
    <definedName name="경북" localSheetId="22">#REF!</definedName>
    <definedName name="경북" localSheetId="20">#REF!</definedName>
    <definedName name="경북" localSheetId="19">#REF!</definedName>
    <definedName name="경북" localSheetId="18">#REF!</definedName>
    <definedName name="경북">#REF!</definedName>
    <definedName name="고고" localSheetId="22">#REF!</definedName>
    <definedName name="고고" localSheetId="20">#REF!</definedName>
    <definedName name="고고" localSheetId="19">#REF!</definedName>
    <definedName name="고고" localSheetId="18">#REF!</definedName>
    <definedName name="고고">#REF!</definedName>
    <definedName name="고리" localSheetId="22">#REF!</definedName>
    <definedName name="고리" localSheetId="20">#REF!</definedName>
    <definedName name="고리" localSheetId="19">#REF!</definedName>
    <definedName name="고리" localSheetId="18">#REF!</definedName>
    <definedName name="고리">#REF!</definedName>
    <definedName name="구분" localSheetId="22">#REF!</definedName>
    <definedName name="구분" localSheetId="20">#REF!</definedName>
    <definedName name="구분" localSheetId="19">#REF!</definedName>
    <definedName name="구분" localSheetId="18">#REF!</definedName>
    <definedName name="구분">#REF!</definedName>
    <definedName name="근속" localSheetId="22">#REF!</definedName>
    <definedName name="근속" localSheetId="20">#REF!</definedName>
    <definedName name="근속" localSheetId="19">#REF!</definedName>
    <definedName name="근속" localSheetId="18">#REF!</definedName>
    <definedName name="근속">#REF!</definedName>
    <definedName name="기본" localSheetId="22">#REF!</definedName>
    <definedName name="기본" localSheetId="20">#REF!</definedName>
    <definedName name="기본" localSheetId="19">#REF!</definedName>
    <definedName name="기본" localSheetId="18">#REF!</definedName>
    <definedName name="기본" localSheetId="17">#REF!</definedName>
    <definedName name="기본" localSheetId="16">#REF!</definedName>
    <definedName name="기본" localSheetId="15">#REF!</definedName>
    <definedName name="기본" localSheetId="14">#REF!</definedName>
    <definedName name="기본" localSheetId="13">#REF!</definedName>
    <definedName name="기본" localSheetId="12">#REF!</definedName>
    <definedName name="기본" localSheetId="11">#REF!</definedName>
    <definedName name="기본" localSheetId="10">#REF!</definedName>
    <definedName name="기본" localSheetId="9">#REF!</definedName>
    <definedName name="기본">#REF!</definedName>
    <definedName name="ㄴㄷㅇ" localSheetId="22">#REF!</definedName>
    <definedName name="ㄴㄷㅇ" localSheetId="20">#REF!</definedName>
    <definedName name="ㄴㄷㅇ" localSheetId="19">#REF!</definedName>
    <definedName name="ㄴㄷㅇ" localSheetId="18">#REF!</definedName>
    <definedName name="ㄴㄷㅇ" localSheetId="17">#REF!</definedName>
    <definedName name="ㄴㄷㅇ" localSheetId="16">#REF!</definedName>
    <definedName name="ㄴㄷㅇ" localSheetId="15">#REF!</definedName>
    <definedName name="ㄴㄷㅇ" localSheetId="14">#REF!</definedName>
    <definedName name="ㄴㄷㅇ" localSheetId="13">#REF!</definedName>
    <definedName name="ㄴㄷㅇ" localSheetId="12">#REF!</definedName>
    <definedName name="ㄴㄷㅇ" localSheetId="11">#REF!</definedName>
    <definedName name="ㄴㄷㅇ" localSheetId="10">#REF!</definedName>
    <definedName name="ㄴㄷㅇ" localSheetId="9">#REF!</definedName>
    <definedName name="ㄴㄷㅇ">#REF!</definedName>
    <definedName name="ㄷㄷㄷㄷㄷ" localSheetId="22">#REF!</definedName>
    <definedName name="ㄷㄷㄷㄷㄷ" localSheetId="20">#REF!</definedName>
    <definedName name="ㄷㄷㄷㄷㄷ" localSheetId="19">#REF!</definedName>
    <definedName name="ㄷㄷㄷㄷㄷ" localSheetId="18">#REF!</definedName>
    <definedName name="ㄷㄷㄷㄷㄷ" localSheetId="17">#REF!</definedName>
    <definedName name="ㄷㄷㄷㄷㄷ" localSheetId="16">#REF!</definedName>
    <definedName name="ㄷㄷㄷㄷㄷ" localSheetId="15">#REF!</definedName>
    <definedName name="ㄷㄷㄷㄷㄷ" localSheetId="14">#REF!</definedName>
    <definedName name="ㄷㄷㄷㄷㄷ" localSheetId="13">#REF!</definedName>
    <definedName name="ㄷㄷㄷㄷㄷ" localSheetId="12">#REF!</definedName>
    <definedName name="ㄷㄷㄷㄷㄷ" localSheetId="11">#REF!</definedName>
    <definedName name="ㄷㄷㄷㄷㄷ" localSheetId="10">#REF!</definedName>
    <definedName name="ㄷㄷㄷㄷㄷ" localSheetId="9">#REF!</definedName>
    <definedName name="ㄷㄷㄷㄷㄷ">#REF!</definedName>
    <definedName name="ㄷㄹㄷㅈㄹ" localSheetId="22">#REF!</definedName>
    <definedName name="ㄷㄹㄷㅈㄹ" localSheetId="20">#REF!</definedName>
    <definedName name="ㄷㄹㄷㅈㄹ" localSheetId="19">#REF!</definedName>
    <definedName name="ㄷㄹㄷㅈㄹ" localSheetId="18">#REF!</definedName>
    <definedName name="ㄷㄹㄷㅈㄹ" localSheetId="17">#REF!</definedName>
    <definedName name="ㄷㄹㄷㅈㄹ" localSheetId="16">#REF!</definedName>
    <definedName name="ㄷㄹㄷㅈㄹ" localSheetId="15">#REF!</definedName>
    <definedName name="ㄷㄹㄷㅈㄹ" localSheetId="14">#REF!</definedName>
    <definedName name="ㄷㄹㄷㅈㄹ" localSheetId="13">#REF!</definedName>
    <definedName name="ㄷㄹㄷㅈㄹ" localSheetId="12">#REF!</definedName>
    <definedName name="ㄷㄹㄷㅈㄹ" localSheetId="11">#REF!</definedName>
    <definedName name="ㄷㄹㄷㅈㄹ" localSheetId="10">#REF!</definedName>
    <definedName name="ㄷㄹㄷㅈㄹ" localSheetId="9">#REF!</definedName>
    <definedName name="ㄷㄹㄷㅈㄹ">#REF!</definedName>
    <definedName name="ㄷㅎㅈㄷㅎ" localSheetId="22">#REF!</definedName>
    <definedName name="ㄷㅎㅈㄷㅎ" localSheetId="20">#REF!</definedName>
    <definedName name="ㄷㅎㅈㄷㅎ" localSheetId="19">#REF!</definedName>
    <definedName name="ㄷㅎㅈㄷㅎ" localSheetId="18">#REF!</definedName>
    <definedName name="ㄷㅎㅈㄷㅎ" localSheetId="17">#REF!</definedName>
    <definedName name="ㄷㅎㅈㄷㅎ" localSheetId="16">#REF!</definedName>
    <definedName name="ㄷㅎㅈㄷㅎ" localSheetId="15">#REF!</definedName>
    <definedName name="ㄷㅎㅈㄷㅎ" localSheetId="14">#REF!</definedName>
    <definedName name="ㄷㅎㅈㄷㅎ" localSheetId="13">#REF!</definedName>
    <definedName name="ㄷㅎㅈㄷㅎ" localSheetId="12">#REF!</definedName>
    <definedName name="ㄷㅎㅈㄷㅎ" localSheetId="11">#REF!</definedName>
    <definedName name="ㄷㅎㅈㄷㅎ" localSheetId="10">#REF!</definedName>
    <definedName name="ㄷㅎㅈㄷㅎ" localSheetId="9">#REF!</definedName>
    <definedName name="ㄷㅎㅈㄷㅎ">#REF!</definedName>
    <definedName name="단가" localSheetId="22">#REF!</definedName>
    <definedName name="단가" localSheetId="20">#REF!</definedName>
    <definedName name="단가" localSheetId="19">#REF!</definedName>
    <definedName name="단가" localSheetId="18">#REF!</definedName>
    <definedName name="단가">#REF!</definedName>
    <definedName name="대구" localSheetId="22">#REF!</definedName>
    <definedName name="대구" localSheetId="20">#REF!</definedName>
    <definedName name="대구" localSheetId="19">#REF!</definedName>
    <definedName name="대구" localSheetId="18">#REF!</definedName>
    <definedName name="대구" localSheetId="17">#REF!</definedName>
    <definedName name="대구" localSheetId="16">#REF!</definedName>
    <definedName name="대구" localSheetId="15">#REF!</definedName>
    <definedName name="대구" localSheetId="14">#REF!</definedName>
    <definedName name="대구" localSheetId="13">#REF!</definedName>
    <definedName name="대구" localSheetId="12">#REF!</definedName>
    <definedName name="대구" localSheetId="11">#REF!</definedName>
    <definedName name="대구" localSheetId="10">#REF!</definedName>
    <definedName name="대구" localSheetId="9">#REF!</definedName>
    <definedName name="대구">#REF!</definedName>
    <definedName name="등급" localSheetId="22">#REF!</definedName>
    <definedName name="등급" localSheetId="20">#REF!</definedName>
    <definedName name="등급" localSheetId="19">#REF!</definedName>
    <definedName name="등급" localSheetId="18">#REF!</definedName>
    <definedName name="등급" localSheetId="17">#REF!</definedName>
    <definedName name="등급" localSheetId="16">#REF!</definedName>
    <definedName name="등급" localSheetId="15">#REF!</definedName>
    <definedName name="등급" localSheetId="14">#REF!</definedName>
    <definedName name="등급" localSheetId="13">#REF!</definedName>
    <definedName name="등급" localSheetId="12">#REF!</definedName>
    <definedName name="등급" localSheetId="11">#REF!</definedName>
    <definedName name="등급" localSheetId="10">#REF!</definedName>
    <definedName name="등급" localSheetId="9">#REF!</definedName>
    <definedName name="등급">#REF!</definedName>
    <definedName name="ㄹ" localSheetId="22">#REF!</definedName>
    <definedName name="ㄹ" localSheetId="20">#REF!</definedName>
    <definedName name="ㄹ" localSheetId="19">#REF!</definedName>
    <definedName name="ㄹ" localSheetId="18">#REF!</definedName>
    <definedName name="ㄹ" localSheetId="17">#REF!</definedName>
    <definedName name="ㄹ" localSheetId="16">#REF!</definedName>
    <definedName name="ㄹ" localSheetId="15">#REF!</definedName>
    <definedName name="ㄹ" localSheetId="14">#REF!</definedName>
    <definedName name="ㄹ" localSheetId="13">#REF!</definedName>
    <definedName name="ㄹ" localSheetId="12">#REF!</definedName>
    <definedName name="ㄹ" localSheetId="11">#REF!</definedName>
    <definedName name="ㄹ" localSheetId="10">#REF!</definedName>
    <definedName name="ㄹ" localSheetId="9">#REF!</definedName>
    <definedName name="ㄹ">#REF!</definedName>
    <definedName name="라인독점" localSheetId="22">#REF!</definedName>
    <definedName name="라인독점" localSheetId="20">#REF!</definedName>
    <definedName name="라인독점" localSheetId="19">#REF!</definedName>
    <definedName name="라인독점" localSheetId="18">#REF!</definedName>
    <definedName name="라인독점" localSheetId="17">#REF!</definedName>
    <definedName name="라인독점" localSheetId="16">#REF!</definedName>
    <definedName name="라인독점" localSheetId="15">#REF!</definedName>
    <definedName name="라인독점" localSheetId="14">#REF!</definedName>
    <definedName name="라인독점" localSheetId="13">#REF!</definedName>
    <definedName name="라인독점" localSheetId="12">#REF!</definedName>
    <definedName name="라인독점" localSheetId="11">#REF!</definedName>
    <definedName name="라인독점" localSheetId="10">#REF!</definedName>
    <definedName name="라인독점" localSheetId="9">#REF!</definedName>
    <definedName name="라인독점">#REF!</definedName>
    <definedName name="렙" localSheetId="22">#REF!</definedName>
    <definedName name="렙" localSheetId="20">#REF!</definedName>
    <definedName name="렙" localSheetId="19">#REF!</definedName>
    <definedName name="렙" localSheetId="18">#REF!</definedName>
    <definedName name="렙">#REF!</definedName>
    <definedName name="ㅁㄴㄴ" localSheetId="22">#REF!</definedName>
    <definedName name="ㅁㄴㄴ" localSheetId="20">#REF!</definedName>
    <definedName name="ㅁㄴㄴ" localSheetId="19">#REF!</definedName>
    <definedName name="ㅁㄴㄴ" localSheetId="18">#REF!</definedName>
    <definedName name="ㅁㄴㄴ" localSheetId="17">#REF!</definedName>
    <definedName name="ㅁㄴㄴ" localSheetId="16">#REF!</definedName>
    <definedName name="ㅁㄴㄴ" localSheetId="15">#REF!</definedName>
    <definedName name="ㅁㄴㄴ" localSheetId="14">#REF!</definedName>
    <definedName name="ㅁㄴㄴ" localSheetId="13">#REF!</definedName>
    <definedName name="ㅁㄴㄴ" localSheetId="12">#REF!</definedName>
    <definedName name="ㅁㄴㄴ" localSheetId="11">#REF!</definedName>
    <definedName name="ㅁㄴㄴ" localSheetId="10">#REF!</definedName>
    <definedName name="ㅁㄴㄴ" localSheetId="9">#REF!</definedName>
    <definedName name="ㅁㄴㄴ">#REF!</definedName>
    <definedName name="매체" localSheetId="22">#REF!</definedName>
    <definedName name="매체" localSheetId="20">#REF!</definedName>
    <definedName name="매체" localSheetId="19">#REF!</definedName>
    <definedName name="매체" localSheetId="18">#REF!</definedName>
    <definedName name="매체" localSheetId="17">#REF!</definedName>
    <definedName name="매체" localSheetId="16">#REF!</definedName>
    <definedName name="매체" localSheetId="15">#REF!</definedName>
    <definedName name="매체" localSheetId="14">#REF!</definedName>
    <definedName name="매체" localSheetId="13">#REF!</definedName>
    <definedName name="매체" localSheetId="12">#REF!</definedName>
    <definedName name="매체" localSheetId="11">#REF!</definedName>
    <definedName name="매체" localSheetId="10">#REF!</definedName>
    <definedName name="매체" localSheetId="9">#REF!</definedName>
    <definedName name="매체">#REF!</definedName>
    <definedName name="맴매" localSheetId="22">#REF!</definedName>
    <definedName name="맴매" localSheetId="20">#REF!</definedName>
    <definedName name="맴매" localSheetId="19">#REF!</definedName>
    <definedName name="맴매" localSheetId="18">#REF!</definedName>
    <definedName name="맴매" localSheetId="17">#REF!</definedName>
    <definedName name="맴매" localSheetId="16">#REF!</definedName>
    <definedName name="맴매" localSheetId="15">#REF!</definedName>
    <definedName name="맴매" localSheetId="14">#REF!</definedName>
    <definedName name="맴매" localSheetId="13">#REF!</definedName>
    <definedName name="맴매" localSheetId="12">#REF!</definedName>
    <definedName name="맴매" localSheetId="11">#REF!</definedName>
    <definedName name="맴매" localSheetId="10">#REF!</definedName>
    <definedName name="맴매" localSheetId="9">#REF!</definedName>
    <definedName name="맴매">#REF!</definedName>
    <definedName name="목표" localSheetId="22">#REF!</definedName>
    <definedName name="목표" localSheetId="20">#REF!</definedName>
    <definedName name="목표" localSheetId="19">#REF!</definedName>
    <definedName name="목표" localSheetId="18">#REF!</definedName>
    <definedName name="목표" localSheetId="17">#REF!</definedName>
    <definedName name="목표" localSheetId="16">#REF!</definedName>
    <definedName name="목표" localSheetId="15">#REF!</definedName>
    <definedName name="목표" localSheetId="14">#REF!</definedName>
    <definedName name="목표" localSheetId="13">#REF!</definedName>
    <definedName name="목표" localSheetId="12">#REF!</definedName>
    <definedName name="목표" localSheetId="11">#REF!</definedName>
    <definedName name="목표" localSheetId="10">#REF!</definedName>
    <definedName name="목표" localSheetId="9">#REF!</definedName>
    <definedName name="목표">#REF!</definedName>
    <definedName name="백" localSheetId="22">#REF!</definedName>
    <definedName name="백" localSheetId="20">#REF!</definedName>
    <definedName name="백" localSheetId="19">#REF!</definedName>
    <definedName name="백" localSheetId="18">#REF!</definedName>
    <definedName name="백" localSheetId="17">#REF!</definedName>
    <definedName name="백" localSheetId="16">#REF!</definedName>
    <definedName name="백" localSheetId="15">#REF!</definedName>
    <definedName name="백" localSheetId="14">#REF!</definedName>
    <definedName name="백" localSheetId="13">#REF!</definedName>
    <definedName name="백" localSheetId="12">#REF!</definedName>
    <definedName name="백" localSheetId="11">#REF!</definedName>
    <definedName name="백" localSheetId="10">#REF!</definedName>
    <definedName name="백" localSheetId="9">#REF!</definedName>
    <definedName name="백">#REF!</definedName>
    <definedName name="부산1" localSheetId="22">#REF!</definedName>
    <definedName name="부산1" localSheetId="20">#REF!</definedName>
    <definedName name="부산1" localSheetId="19">#REF!</definedName>
    <definedName name="부산1" localSheetId="18">#REF!</definedName>
    <definedName name="부산1" localSheetId="17">#REF!</definedName>
    <definedName name="부산1" localSheetId="16">#REF!</definedName>
    <definedName name="부산1" localSheetId="15">#REF!</definedName>
    <definedName name="부산1" localSheetId="14">#REF!</definedName>
    <definedName name="부산1" localSheetId="13">#REF!</definedName>
    <definedName name="부산1" localSheetId="12">#REF!</definedName>
    <definedName name="부산1" localSheetId="11">#REF!</definedName>
    <definedName name="부산1" localSheetId="10">#REF!</definedName>
    <definedName name="부산1" localSheetId="9">#REF!</definedName>
    <definedName name="부산1">#REF!</definedName>
    <definedName name="부산2" localSheetId="22">#REF!</definedName>
    <definedName name="부산2" localSheetId="20">#REF!</definedName>
    <definedName name="부산2" localSheetId="19">#REF!</definedName>
    <definedName name="부산2" localSheetId="18">#REF!</definedName>
    <definedName name="부산2" localSheetId="17">#REF!</definedName>
    <definedName name="부산2" localSheetId="16">#REF!</definedName>
    <definedName name="부산2" localSheetId="15">#REF!</definedName>
    <definedName name="부산2" localSheetId="14">#REF!</definedName>
    <definedName name="부산2" localSheetId="13">#REF!</definedName>
    <definedName name="부산2" localSheetId="12">#REF!</definedName>
    <definedName name="부산2" localSheetId="11">#REF!</definedName>
    <definedName name="부산2" localSheetId="10">#REF!</definedName>
    <definedName name="부산2" localSheetId="9">#REF!</definedName>
    <definedName name="부산2">#REF!</definedName>
    <definedName name="사유" localSheetId="22">#REF!</definedName>
    <definedName name="사유" localSheetId="20">#REF!</definedName>
    <definedName name="사유" localSheetId="19">#REF!</definedName>
    <definedName name="사유" localSheetId="18">#REF!</definedName>
    <definedName name="사유" localSheetId="17">#REF!</definedName>
    <definedName name="사유" localSheetId="16">#REF!</definedName>
    <definedName name="사유" localSheetId="15">#REF!</definedName>
    <definedName name="사유" localSheetId="14">#REF!</definedName>
    <definedName name="사유" localSheetId="13">#REF!</definedName>
    <definedName name="사유" localSheetId="12">#REF!</definedName>
    <definedName name="사유" localSheetId="11">#REF!</definedName>
    <definedName name="사유" localSheetId="10">#REF!</definedName>
    <definedName name="사유" localSheetId="9">#REF!</definedName>
    <definedName name="사유">#REF!</definedName>
    <definedName name="삼백" localSheetId="22">#REF!</definedName>
    <definedName name="삼백" localSheetId="20">#REF!</definedName>
    <definedName name="삼백" localSheetId="19">#REF!</definedName>
    <definedName name="삼백" localSheetId="18">#REF!</definedName>
    <definedName name="삼백" localSheetId="17">#REF!</definedName>
    <definedName name="삼백" localSheetId="16">#REF!</definedName>
    <definedName name="삼백" localSheetId="15">#REF!</definedName>
    <definedName name="삼백" localSheetId="14">#REF!</definedName>
    <definedName name="삼백" localSheetId="13">#REF!</definedName>
    <definedName name="삼백" localSheetId="12">#REF!</definedName>
    <definedName name="삼백" localSheetId="11">#REF!</definedName>
    <definedName name="삼백" localSheetId="10">#REF!</definedName>
    <definedName name="삼백" localSheetId="9">#REF!</definedName>
    <definedName name="삼백">#REF!</definedName>
    <definedName name="상품" localSheetId="22">#REF!</definedName>
    <definedName name="상품" localSheetId="20">#REF!</definedName>
    <definedName name="상품" localSheetId="19">#REF!</definedName>
    <definedName name="상품" localSheetId="18">#REF!</definedName>
    <definedName name="상품" localSheetId="17">#REF!</definedName>
    <definedName name="상품" localSheetId="16">#REF!</definedName>
    <definedName name="상품" localSheetId="15">#REF!</definedName>
    <definedName name="상품" localSheetId="14">#REF!</definedName>
    <definedName name="상품" localSheetId="13">#REF!</definedName>
    <definedName name="상품" localSheetId="12">#REF!</definedName>
    <definedName name="상품" localSheetId="11">#REF!</definedName>
    <definedName name="상품" localSheetId="10">#REF!</definedName>
    <definedName name="상품" localSheetId="9">#REF!</definedName>
    <definedName name="상품">#REF!</definedName>
    <definedName name="상품명" localSheetId="22">#REF!</definedName>
    <definedName name="상품명" localSheetId="20">#REF!</definedName>
    <definedName name="상품명" localSheetId="19">#REF!</definedName>
    <definedName name="상품명" localSheetId="18">#REF!</definedName>
    <definedName name="상품명" localSheetId="17">#REF!</definedName>
    <definedName name="상품명" localSheetId="16">#REF!</definedName>
    <definedName name="상품명" localSheetId="15">#REF!</definedName>
    <definedName name="상품명" localSheetId="14">#REF!</definedName>
    <definedName name="상품명" localSheetId="13">#REF!</definedName>
    <definedName name="상품명" localSheetId="12">#REF!</definedName>
    <definedName name="상품명" localSheetId="11">#REF!</definedName>
    <definedName name="상품명" localSheetId="10">#REF!</definedName>
    <definedName name="상품명" localSheetId="9">#REF!</definedName>
    <definedName name="상품명">#REF!</definedName>
    <definedName name="새로" localSheetId="22">#REF!</definedName>
    <definedName name="새로" localSheetId="20">#REF!</definedName>
    <definedName name="새로" localSheetId="19">#REF!</definedName>
    <definedName name="새로" localSheetId="18">#REF!</definedName>
    <definedName name="새로" localSheetId="17">#REF!</definedName>
    <definedName name="새로" localSheetId="16">#REF!</definedName>
    <definedName name="새로" localSheetId="15">#REF!</definedName>
    <definedName name="새로" localSheetId="14">#REF!</definedName>
    <definedName name="새로" localSheetId="13">#REF!</definedName>
    <definedName name="새로" localSheetId="12">#REF!</definedName>
    <definedName name="새로" localSheetId="11">#REF!</definedName>
    <definedName name="새로" localSheetId="10">#REF!</definedName>
    <definedName name="새로" localSheetId="9">#REF!</definedName>
    <definedName name="새로">#REF!</definedName>
    <definedName name="샌디" localSheetId="22">#REF!</definedName>
    <definedName name="샌디" localSheetId="20">#REF!</definedName>
    <definedName name="샌디" localSheetId="19">#REF!</definedName>
    <definedName name="샌디" localSheetId="18">#REF!</definedName>
    <definedName name="샌디" localSheetId="17">#REF!</definedName>
    <definedName name="샌디" localSheetId="16">#REF!</definedName>
    <definedName name="샌디" localSheetId="15">#REF!</definedName>
    <definedName name="샌디" localSheetId="14">#REF!</definedName>
    <definedName name="샌디" localSheetId="13">#REF!</definedName>
    <definedName name="샌디" localSheetId="12">#REF!</definedName>
    <definedName name="샌디" localSheetId="11">#REF!</definedName>
    <definedName name="샌디" localSheetId="10">#REF!</definedName>
    <definedName name="샌디" localSheetId="9">#REF!</definedName>
    <definedName name="샌디">#REF!</definedName>
    <definedName name="서울1" localSheetId="22">#REF!</definedName>
    <definedName name="서울1" localSheetId="20">#REF!</definedName>
    <definedName name="서울1" localSheetId="19">#REF!</definedName>
    <definedName name="서울1" localSheetId="18">#REF!</definedName>
    <definedName name="서울1" localSheetId="17">#REF!</definedName>
    <definedName name="서울1" localSheetId="16">#REF!</definedName>
    <definedName name="서울1" localSheetId="15">#REF!</definedName>
    <definedName name="서울1" localSheetId="14">#REF!</definedName>
    <definedName name="서울1" localSheetId="13">#REF!</definedName>
    <definedName name="서울1" localSheetId="12">#REF!</definedName>
    <definedName name="서울1" localSheetId="11">#REF!</definedName>
    <definedName name="서울1" localSheetId="10">#REF!</definedName>
    <definedName name="서울1" localSheetId="9">#REF!</definedName>
    <definedName name="서울1">#REF!</definedName>
    <definedName name="서울2" localSheetId="22">#REF!</definedName>
    <definedName name="서울2" localSheetId="20">#REF!</definedName>
    <definedName name="서울2" localSheetId="19">#REF!</definedName>
    <definedName name="서울2" localSheetId="18">#REF!</definedName>
    <definedName name="서울2" localSheetId="17">#REF!</definedName>
    <definedName name="서울2" localSheetId="16">#REF!</definedName>
    <definedName name="서울2" localSheetId="15">#REF!</definedName>
    <definedName name="서울2" localSheetId="14">#REF!</definedName>
    <definedName name="서울2" localSheetId="13">#REF!</definedName>
    <definedName name="서울2" localSheetId="12">#REF!</definedName>
    <definedName name="서울2" localSheetId="11">#REF!</definedName>
    <definedName name="서울2" localSheetId="10">#REF!</definedName>
    <definedName name="서울2" localSheetId="9">#REF!</definedName>
    <definedName name="서울2">#REF!</definedName>
    <definedName name="서울3" localSheetId="22">#REF!</definedName>
    <definedName name="서울3" localSheetId="20">#REF!</definedName>
    <definedName name="서울3" localSheetId="19">#REF!</definedName>
    <definedName name="서울3" localSheetId="18">#REF!</definedName>
    <definedName name="서울3" localSheetId="17">#REF!</definedName>
    <definedName name="서울3" localSheetId="16">#REF!</definedName>
    <definedName name="서울3" localSheetId="15">#REF!</definedName>
    <definedName name="서울3" localSheetId="14">#REF!</definedName>
    <definedName name="서울3" localSheetId="13">#REF!</definedName>
    <definedName name="서울3" localSheetId="12">#REF!</definedName>
    <definedName name="서울3" localSheetId="11">#REF!</definedName>
    <definedName name="서울3" localSheetId="10">#REF!</definedName>
    <definedName name="서울3" localSheetId="9">#REF!</definedName>
    <definedName name="서울3">#REF!</definedName>
    <definedName name="서울4" localSheetId="22">#REF!</definedName>
    <definedName name="서울4" localSheetId="20">#REF!</definedName>
    <definedName name="서울4" localSheetId="19">#REF!</definedName>
    <definedName name="서울4" localSheetId="18">#REF!</definedName>
    <definedName name="서울4">#REF!</definedName>
    <definedName name="서울5" localSheetId="22">#REF!</definedName>
    <definedName name="서울5" localSheetId="20">#REF!</definedName>
    <definedName name="서울5" localSheetId="19">#REF!</definedName>
    <definedName name="서울5" localSheetId="18">#REF!</definedName>
    <definedName name="서울5">#REF!</definedName>
    <definedName name="서울6" localSheetId="22">#REF!</definedName>
    <definedName name="서울6" localSheetId="20">#REF!</definedName>
    <definedName name="서울6" localSheetId="19">#REF!</definedName>
    <definedName name="서울6" localSheetId="18">#REF!</definedName>
    <definedName name="서울6">#REF!</definedName>
    <definedName name="수정" localSheetId="22">#REF!</definedName>
    <definedName name="수정" localSheetId="20">#REF!</definedName>
    <definedName name="수정" localSheetId="19">#REF!</definedName>
    <definedName name="수정" localSheetId="18">#REF!</definedName>
    <definedName name="수정" localSheetId="17">#REF!</definedName>
    <definedName name="수정" localSheetId="16">#REF!</definedName>
    <definedName name="수정" localSheetId="15">#REF!</definedName>
    <definedName name="수정" localSheetId="14">#REF!</definedName>
    <definedName name="수정" localSheetId="13">#REF!</definedName>
    <definedName name="수정" localSheetId="12">#REF!</definedName>
    <definedName name="수정" localSheetId="11">#REF!</definedName>
    <definedName name="수정" localSheetId="10">#REF!</definedName>
    <definedName name="수정" localSheetId="9">#REF!</definedName>
    <definedName name="수정">#REF!</definedName>
    <definedName name="ㅇ" localSheetId="22">#REF!</definedName>
    <definedName name="ㅇ" localSheetId="20">#REF!</definedName>
    <definedName name="ㅇ" localSheetId="19">#REF!</definedName>
    <definedName name="ㅇ" localSheetId="18">#REF!</definedName>
    <definedName name="ㅇ" localSheetId="17">#REF!</definedName>
    <definedName name="ㅇ" localSheetId="16">#REF!</definedName>
    <definedName name="ㅇ" localSheetId="15">#REF!</definedName>
    <definedName name="ㅇ" localSheetId="14">#REF!</definedName>
    <definedName name="ㅇ" localSheetId="13">#REF!</definedName>
    <definedName name="ㅇ" localSheetId="12">#REF!</definedName>
    <definedName name="ㅇ" localSheetId="11">#REF!</definedName>
    <definedName name="ㅇ" localSheetId="10">#REF!</definedName>
    <definedName name="ㅇ" localSheetId="9">#REF!</definedName>
    <definedName name="ㅇ">#REF!</definedName>
    <definedName name="ㅇㄴㄹ" localSheetId="22">#REF!</definedName>
    <definedName name="ㅇㄴㄹ" localSheetId="20">#REF!</definedName>
    <definedName name="ㅇㄴㄹ" localSheetId="19">#REF!</definedName>
    <definedName name="ㅇㄴㄹ" localSheetId="18">#REF!</definedName>
    <definedName name="ㅇㄴㄹ" localSheetId="17">#REF!</definedName>
    <definedName name="ㅇㄴㄹ" localSheetId="16">#REF!</definedName>
    <definedName name="ㅇㄴㄹ" localSheetId="15">#REF!</definedName>
    <definedName name="ㅇㄴㄹ" localSheetId="14">#REF!</definedName>
    <definedName name="ㅇㄴㄹ" localSheetId="13">#REF!</definedName>
    <definedName name="ㅇㄴㄹ" localSheetId="12">#REF!</definedName>
    <definedName name="ㅇㄴㄹ" localSheetId="11">#REF!</definedName>
    <definedName name="ㅇㄴㄹ" localSheetId="10">#REF!</definedName>
    <definedName name="ㅇㄴㄹ" localSheetId="9">#REF!</definedName>
    <definedName name="ㅇㄴㄹ">#REF!</definedName>
    <definedName name="ㅇㄹㄷㅈㄹ" localSheetId="22">#REF!</definedName>
    <definedName name="ㅇㄹㄷㅈㄹ" localSheetId="20">#REF!</definedName>
    <definedName name="ㅇㄹㄷㅈㄹ" localSheetId="19">#REF!</definedName>
    <definedName name="ㅇㄹㄷㅈㄹ" localSheetId="18">#REF!</definedName>
    <definedName name="ㅇㄹㄷㅈㄹ" localSheetId="17">#REF!</definedName>
    <definedName name="ㅇㄹㄷㅈㄹ" localSheetId="16">#REF!</definedName>
    <definedName name="ㅇㄹㄷㅈㄹ" localSheetId="15">#REF!</definedName>
    <definedName name="ㅇㄹㄷㅈㄹ" localSheetId="14">#REF!</definedName>
    <definedName name="ㅇㄹㄷㅈㄹ" localSheetId="13">#REF!</definedName>
    <definedName name="ㅇㄹㄷㅈㄹ" localSheetId="12">#REF!</definedName>
    <definedName name="ㅇㄹㄷㅈㄹ" localSheetId="11">#REF!</definedName>
    <definedName name="ㅇㄹㄷㅈㄹ" localSheetId="10">#REF!</definedName>
    <definedName name="ㅇㄹㄷㅈㄹ" localSheetId="9">#REF!</definedName>
    <definedName name="ㅇㄹㄷㅈㄹ">#REF!</definedName>
    <definedName name="ㅇㄹㅇ" localSheetId="22">#REF!</definedName>
    <definedName name="ㅇㄹㅇ" localSheetId="20">#REF!</definedName>
    <definedName name="ㅇㄹㅇ" localSheetId="19">#REF!</definedName>
    <definedName name="ㅇㄹㅇ" localSheetId="18">#REF!</definedName>
    <definedName name="ㅇㄹㅇ">#REF!</definedName>
    <definedName name="ㅇㅇㅇ" localSheetId="22">#REF!</definedName>
    <definedName name="ㅇㅇㅇ" localSheetId="20">#REF!</definedName>
    <definedName name="ㅇㅇㅇ" localSheetId="19">#REF!</definedName>
    <definedName name="ㅇㅇㅇ" localSheetId="18">#REF!</definedName>
    <definedName name="ㅇㅇㅇ" localSheetId="17">#REF!</definedName>
    <definedName name="ㅇㅇㅇ" localSheetId="16">#REF!</definedName>
    <definedName name="ㅇㅇㅇ" localSheetId="15">#REF!</definedName>
    <definedName name="ㅇㅇㅇ" localSheetId="14">#REF!</definedName>
    <definedName name="ㅇㅇㅇ" localSheetId="13">#REF!</definedName>
    <definedName name="ㅇㅇㅇ" localSheetId="12">#REF!</definedName>
    <definedName name="ㅇㅇㅇ" localSheetId="11">#REF!</definedName>
    <definedName name="ㅇㅇㅇ" localSheetId="10">#REF!</definedName>
    <definedName name="ㅇㅇㅇ" localSheetId="9">#REF!</definedName>
    <definedName name="ㅇㅇㅇ">#REF!</definedName>
    <definedName name="언론사" localSheetId="22">#REF!</definedName>
    <definedName name="언론사" localSheetId="20">#REF!</definedName>
    <definedName name="언론사" localSheetId="19">#REF!</definedName>
    <definedName name="언론사" localSheetId="18">#REF!</definedName>
    <definedName name="언론사" localSheetId="17">#REF!</definedName>
    <definedName name="언론사" localSheetId="16">#REF!</definedName>
    <definedName name="언론사" localSheetId="15">#REF!</definedName>
    <definedName name="언론사" localSheetId="14">#REF!</definedName>
    <definedName name="언론사" localSheetId="13">#REF!</definedName>
    <definedName name="언론사" localSheetId="12">#REF!</definedName>
    <definedName name="언론사" localSheetId="11">#REF!</definedName>
    <definedName name="언론사" localSheetId="10">#REF!</definedName>
    <definedName name="언론사" localSheetId="9">#REF!</definedName>
    <definedName name="언론사">#REF!</definedName>
    <definedName name="업종" localSheetId="22">#REF!</definedName>
    <definedName name="업종" localSheetId="20">#REF!</definedName>
    <definedName name="업종" localSheetId="19">#REF!</definedName>
    <definedName name="업종" localSheetId="18">#REF!</definedName>
    <definedName name="업종" localSheetId="17">#REF!</definedName>
    <definedName name="업종" localSheetId="16">#REF!</definedName>
    <definedName name="업종" localSheetId="15">#REF!</definedName>
    <definedName name="업종" localSheetId="14">#REF!</definedName>
    <definedName name="업종" localSheetId="13">#REF!</definedName>
    <definedName name="업종" localSheetId="12">#REF!</definedName>
    <definedName name="업종" localSheetId="11">#REF!</definedName>
    <definedName name="업종" localSheetId="10">#REF!</definedName>
    <definedName name="업종" localSheetId="9">#REF!</definedName>
    <definedName name="업종">#REF!</definedName>
    <definedName name="없음" localSheetId="22">#REF!</definedName>
    <definedName name="없음" localSheetId="20">#REF!</definedName>
    <definedName name="없음" localSheetId="19">#REF!</definedName>
    <definedName name="없음" localSheetId="18">#REF!</definedName>
    <definedName name="없음" localSheetId="17">#REF!</definedName>
    <definedName name="없음" localSheetId="16">#REF!</definedName>
    <definedName name="없음" localSheetId="15">#REF!</definedName>
    <definedName name="없음" localSheetId="14">#REF!</definedName>
    <definedName name="없음" localSheetId="13">#REF!</definedName>
    <definedName name="없음" localSheetId="12">#REF!</definedName>
    <definedName name="없음" localSheetId="11">#REF!</definedName>
    <definedName name="없음" localSheetId="10">#REF!</definedName>
    <definedName name="없음" localSheetId="9">#REF!</definedName>
    <definedName name="없음">#REF!</definedName>
    <definedName name="역명" localSheetId="22">#REF!</definedName>
    <definedName name="역명" localSheetId="20">#REF!</definedName>
    <definedName name="역명" localSheetId="19">#REF!</definedName>
    <definedName name="역명" localSheetId="18">#REF!</definedName>
    <definedName name="역명" localSheetId="17">#REF!</definedName>
    <definedName name="역명" localSheetId="16">#REF!</definedName>
    <definedName name="역명" localSheetId="15">#REF!</definedName>
    <definedName name="역명" localSheetId="14">#REF!</definedName>
    <definedName name="역명" localSheetId="13">#REF!</definedName>
    <definedName name="역명" localSheetId="12">#REF!</definedName>
    <definedName name="역명" localSheetId="11">#REF!</definedName>
    <definedName name="역명" localSheetId="10">#REF!</definedName>
    <definedName name="역명" localSheetId="9">#REF!</definedName>
    <definedName name="역명">#REF!</definedName>
    <definedName name="연초임" localSheetId="22">#REF!</definedName>
    <definedName name="연초임" localSheetId="20">#REF!</definedName>
    <definedName name="연초임" localSheetId="19">#REF!</definedName>
    <definedName name="연초임" localSheetId="18">#REF!</definedName>
    <definedName name="연초임" localSheetId="17">#REF!</definedName>
    <definedName name="연초임" localSheetId="16">#REF!</definedName>
    <definedName name="연초임" localSheetId="15">#REF!</definedName>
    <definedName name="연초임" localSheetId="14">#REF!</definedName>
    <definedName name="연초임" localSheetId="13">#REF!</definedName>
    <definedName name="연초임" localSheetId="12">#REF!</definedName>
    <definedName name="연초임" localSheetId="11">#REF!</definedName>
    <definedName name="연초임" localSheetId="10">#REF!</definedName>
    <definedName name="연초임" localSheetId="9">#REF!</definedName>
    <definedName name="연초임">#REF!</definedName>
    <definedName name="영역" localSheetId="22">#REF!</definedName>
    <definedName name="영역" localSheetId="20">#REF!</definedName>
    <definedName name="영역" localSheetId="19">#REF!</definedName>
    <definedName name="영역" localSheetId="18">#REF!</definedName>
    <definedName name="영역" localSheetId="17">#REF!</definedName>
    <definedName name="영역" localSheetId="16">#REF!</definedName>
    <definedName name="영역" localSheetId="15">#REF!</definedName>
    <definedName name="영역" localSheetId="14">#REF!</definedName>
    <definedName name="영역" localSheetId="13">#REF!</definedName>
    <definedName name="영역" localSheetId="12">#REF!</definedName>
    <definedName name="영역" localSheetId="11">#REF!</definedName>
    <definedName name="영역" localSheetId="10">#REF!</definedName>
    <definedName name="영역" localSheetId="9">#REF!</definedName>
    <definedName name="영역">#REF!</definedName>
    <definedName name="올레" localSheetId="22">#REF!</definedName>
    <definedName name="올레" localSheetId="20">#REF!</definedName>
    <definedName name="올레" localSheetId="19">#REF!</definedName>
    <definedName name="올레" localSheetId="18">#REF!</definedName>
    <definedName name="올레" localSheetId="17">#REF!</definedName>
    <definedName name="올레" localSheetId="16">#REF!</definedName>
    <definedName name="올레" localSheetId="15">#REF!</definedName>
    <definedName name="올레" localSheetId="14">#REF!</definedName>
    <definedName name="올레" localSheetId="13">#REF!</definedName>
    <definedName name="올레" localSheetId="12">#REF!</definedName>
    <definedName name="올레" localSheetId="11">#REF!</definedName>
    <definedName name="올레" localSheetId="10">#REF!</definedName>
    <definedName name="올레" localSheetId="9">#REF!</definedName>
    <definedName name="올레">#REF!</definedName>
    <definedName name="올해" localSheetId="22">#REF!</definedName>
    <definedName name="올해" localSheetId="20">#REF!</definedName>
    <definedName name="올해" localSheetId="19">#REF!</definedName>
    <definedName name="올해" localSheetId="18">#REF!</definedName>
    <definedName name="올해" localSheetId="17">#REF!</definedName>
    <definedName name="올해" localSheetId="16">#REF!</definedName>
    <definedName name="올해" localSheetId="15">#REF!</definedName>
    <definedName name="올해" localSheetId="14">#REF!</definedName>
    <definedName name="올해" localSheetId="13">#REF!</definedName>
    <definedName name="올해" localSheetId="12">#REF!</definedName>
    <definedName name="올해" localSheetId="11">#REF!</definedName>
    <definedName name="올해" localSheetId="10">#REF!</definedName>
    <definedName name="올해" localSheetId="9">#REF!</definedName>
    <definedName name="올해">#REF!</definedName>
    <definedName name="월" localSheetId="22">#REF!</definedName>
    <definedName name="월" localSheetId="20">#REF!</definedName>
    <definedName name="월" localSheetId="19">#REF!</definedName>
    <definedName name="월" localSheetId="18">#REF!</definedName>
    <definedName name="월" localSheetId="17">#REF!</definedName>
    <definedName name="월" localSheetId="16">#REF!</definedName>
    <definedName name="월" localSheetId="15">#REF!</definedName>
    <definedName name="월" localSheetId="14">#REF!</definedName>
    <definedName name="월" localSheetId="13">#REF!</definedName>
    <definedName name="월" localSheetId="12">#REF!</definedName>
    <definedName name="월" localSheetId="11">#REF!</definedName>
    <definedName name="월" localSheetId="10">#REF!</definedName>
    <definedName name="월" localSheetId="9">#REF!</definedName>
    <definedName name="월">#REF!</definedName>
    <definedName name="이백" localSheetId="22">#REF!</definedName>
    <definedName name="이백" localSheetId="20">#REF!</definedName>
    <definedName name="이백" localSheetId="19">#REF!</definedName>
    <definedName name="이백" localSheetId="18">#REF!</definedName>
    <definedName name="이백" localSheetId="17">#REF!</definedName>
    <definedName name="이백" localSheetId="16">#REF!</definedName>
    <definedName name="이백" localSheetId="15">#REF!</definedName>
    <definedName name="이백" localSheetId="14">#REF!</definedName>
    <definedName name="이백" localSheetId="13">#REF!</definedName>
    <definedName name="이백" localSheetId="12">#REF!</definedName>
    <definedName name="이백" localSheetId="11">#REF!</definedName>
    <definedName name="이백" localSheetId="10">#REF!</definedName>
    <definedName name="이백" localSheetId="9">#REF!</definedName>
    <definedName name="이백">#REF!</definedName>
    <definedName name="이소영" localSheetId="22">#REF!</definedName>
    <definedName name="이소영" localSheetId="20">#REF!</definedName>
    <definedName name="이소영" localSheetId="19">#REF!</definedName>
    <definedName name="이소영" localSheetId="18">#REF!</definedName>
    <definedName name="이소영" localSheetId="17">#REF!</definedName>
    <definedName name="이소영" localSheetId="16">#REF!</definedName>
    <definedName name="이소영" localSheetId="15">#REF!</definedName>
    <definedName name="이소영" localSheetId="14">#REF!</definedName>
    <definedName name="이소영" localSheetId="13">#REF!</definedName>
    <definedName name="이소영" localSheetId="12">#REF!</definedName>
    <definedName name="이소영" localSheetId="11">#REF!</definedName>
    <definedName name="이소영" localSheetId="10">#REF!</definedName>
    <definedName name="이소영" localSheetId="9">#REF!</definedName>
    <definedName name="이소영">#REF!</definedName>
    <definedName name="이히" localSheetId="22">#REF!</definedName>
    <definedName name="이히" localSheetId="20">#REF!</definedName>
    <definedName name="이히" localSheetId="19">#REF!</definedName>
    <definedName name="이히" localSheetId="18">#REF!</definedName>
    <definedName name="이히" localSheetId="17">#REF!</definedName>
    <definedName name="이히" localSheetId="16">#REF!</definedName>
    <definedName name="이히" localSheetId="15">#REF!</definedName>
    <definedName name="이히" localSheetId="14">#REF!</definedName>
    <definedName name="이히" localSheetId="13">#REF!</definedName>
    <definedName name="이히" localSheetId="12">#REF!</definedName>
    <definedName name="이히" localSheetId="11">#REF!</definedName>
    <definedName name="이히" localSheetId="10">#REF!</definedName>
    <definedName name="이히" localSheetId="9">#REF!</definedName>
    <definedName name="이히">#REF!</definedName>
    <definedName name="인기역사팔월" localSheetId="22">#REF!</definedName>
    <definedName name="인기역사팔월" localSheetId="20">#REF!</definedName>
    <definedName name="인기역사팔월" localSheetId="19">#REF!</definedName>
    <definedName name="인기역사팔월" localSheetId="18">#REF!</definedName>
    <definedName name="인기역사팔월" localSheetId="17">#REF!</definedName>
    <definedName name="인기역사팔월" localSheetId="16">#REF!</definedName>
    <definedName name="인기역사팔월" localSheetId="15">#REF!</definedName>
    <definedName name="인기역사팔월" localSheetId="14">#REF!</definedName>
    <definedName name="인기역사팔월" localSheetId="13">#REF!</definedName>
    <definedName name="인기역사팔월" localSheetId="12">#REF!</definedName>
    <definedName name="인기역사팔월" localSheetId="11">#REF!</definedName>
    <definedName name="인기역사팔월" localSheetId="10">#REF!</definedName>
    <definedName name="인기역사팔월" localSheetId="9">#REF!</definedName>
    <definedName name="인기역사팔월">#REF!</definedName>
    <definedName name="인천1" localSheetId="22">#REF!</definedName>
    <definedName name="인천1" localSheetId="20">#REF!</definedName>
    <definedName name="인천1" localSheetId="19">#REF!</definedName>
    <definedName name="인천1" localSheetId="18">#REF!</definedName>
    <definedName name="인천1" localSheetId="17">#REF!</definedName>
    <definedName name="인천1" localSheetId="16">#REF!</definedName>
    <definedName name="인천1" localSheetId="15">#REF!</definedName>
    <definedName name="인천1" localSheetId="14">#REF!</definedName>
    <definedName name="인천1" localSheetId="13">#REF!</definedName>
    <definedName name="인천1" localSheetId="12">#REF!</definedName>
    <definedName name="인천1" localSheetId="11">#REF!</definedName>
    <definedName name="인천1" localSheetId="10">#REF!</definedName>
    <definedName name="인천1" localSheetId="9">#REF!</definedName>
    <definedName name="인천1">#REF!</definedName>
    <definedName name="인천2" localSheetId="22">#REF!</definedName>
    <definedName name="인천2" localSheetId="20">#REF!</definedName>
    <definedName name="인천2" localSheetId="19">#REF!</definedName>
    <definedName name="인천2" localSheetId="18">#REF!</definedName>
    <definedName name="인천2" localSheetId="17">#REF!</definedName>
    <definedName name="인천2" localSheetId="16">#REF!</definedName>
    <definedName name="인천2" localSheetId="15">#REF!</definedName>
    <definedName name="인천2" localSheetId="14">#REF!</definedName>
    <definedName name="인천2" localSheetId="13">#REF!</definedName>
    <definedName name="인천2" localSheetId="12">#REF!</definedName>
    <definedName name="인천2" localSheetId="11">#REF!</definedName>
    <definedName name="인천2" localSheetId="10">#REF!</definedName>
    <definedName name="인천2" localSheetId="9">#REF!</definedName>
    <definedName name="인천2">#REF!</definedName>
    <definedName name="인천3" localSheetId="22">#REF!</definedName>
    <definedName name="인천3" localSheetId="20">#REF!</definedName>
    <definedName name="인천3" localSheetId="19">#REF!</definedName>
    <definedName name="인천3" localSheetId="18">#REF!</definedName>
    <definedName name="인천3" localSheetId="17">#REF!</definedName>
    <definedName name="인천3" localSheetId="16">#REF!</definedName>
    <definedName name="인천3" localSheetId="15">#REF!</definedName>
    <definedName name="인천3" localSheetId="14">#REF!</definedName>
    <definedName name="인천3" localSheetId="13">#REF!</definedName>
    <definedName name="인천3" localSheetId="12">#REF!</definedName>
    <definedName name="인천3" localSheetId="11">#REF!</definedName>
    <definedName name="인천3" localSheetId="10">#REF!</definedName>
    <definedName name="인천3" localSheetId="9">#REF!</definedName>
    <definedName name="인천3">#REF!</definedName>
    <definedName name="전남" localSheetId="22">#REF!</definedName>
    <definedName name="전남" localSheetId="20">#REF!</definedName>
    <definedName name="전남" localSheetId="19">#REF!</definedName>
    <definedName name="전남" localSheetId="18">#REF!</definedName>
    <definedName name="전남" localSheetId="17">#REF!</definedName>
    <definedName name="전남" localSheetId="16">#REF!</definedName>
    <definedName name="전남" localSheetId="15">#REF!</definedName>
    <definedName name="전남" localSheetId="14">#REF!</definedName>
    <definedName name="전남" localSheetId="13">#REF!</definedName>
    <definedName name="전남" localSheetId="12">#REF!</definedName>
    <definedName name="전남" localSheetId="11">#REF!</definedName>
    <definedName name="전남" localSheetId="10">#REF!</definedName>
    <definedName name="전남" localSheetId="9">#REF!</definedName>
    <definedName name="전남">#REF!</definedName>
    <definedName name="전북" localSheetId="22">#REF!</definedName>
    <definedName name="전북" localSheetId="20">#REF!</definedName>
    <definedName name="전북" localSheetId="19">#REF!</definedName>
    <definedName name="전북" localSheetId="18">#REF!</definedName>
    <definedName name="전북" localSheetId="17">#REF!</definedName>
    <definedName name="전북" localSheetId="16">#REF!</definedName>
    <definedName name="전북" localSheetId="15">#REF!</definedName>
    <definedName name="전북" localSheetId="14">#REF!</definedName>
    <definedName name="전북" localSheetId="13">#REF!</definedName>
    <definedName name="전북" localSheetId="12">#REF!</definedName>
    <definedName name="전북" localSheetId="11">#REF!</definedName>
    <definedName name="전북" localSheetId="10">#REF!</definedName>
    <definedName name="전북" localSheetId="9">#REF!</definedName>
    <definedName name="전북">#REF!</definedName>
    <definedName name="점소" localSheetId="22">#REF!</definedName>
    <definedName name="점소" localSheetId="20">#REF!</definedName>
    <definedName name="점소" localSheetId="19">#REF!</definedName>
    <definedName name="점소" localSheetId="18">#REF!</definedName>
    <definedName name="점소" localSheetId="17">#REF!</definedName>
    <definedName name="점소" localSheetId="16">#REF!</definedName>
    <definedName name="점소" localSheetId="15">#REF!</definedName>
    <definedName name="점소" localSheetId="14">#REF!</definedName>
    <definedName name="점소" localSheetId="13">#REF!</definedName>
    <definedName name="점소" localSheetId="12">#REF!</definedName>
    <definedName name="점소" localSheetId="11">#REF!</definedName>
    <definedName name="점소" localSheetId="10">#REF!</definedName>
    <definedName name="점소" localSheetId="9">#REF!</definedName>
    <definedName name="점소">#REF!</definedName>
    <definedName name="제주" localSheetId="22">#REF!</definedName>
    <definedName name="제주" localSheetId="20">#REF!</definedName>
    <definedName name="제주" localSheetId="19">#REF!</definedName>
    <definedName name="제주" localSheetId="18">#REF!</definedName>
    <definedName name="제주" localSheetId="17">#REF!</definedName>
    <definedName name="제주" localSheetId="16">#REF!</definedName>
    <definedName name="제주" localSheetId="15">#REF!</definedName>
    <definedName name="제주" localSheetId="14">#REF!</definedName>
    <definedName name="제주" localSheetId="13">#REF!</definedName>
    <definedName name="제주" localSheetId="12">#REF!</definedName>
    <definedName name="제주" localSheetId="11">#REF!</definedName>
    <definedName name="제주" localSheetId="10">#REF!</definedName>
    <definedName name="제주" localSheetId="9">#REF!</definedName>
    <definedName name="제주">#REF!</definedName>
    <definedName name="조명광고" localSheetId="22">#REF!</definedName>
    <definedName name="조명광고" localSheetId="20">#REF!</definedName>
    <definedName name="조명광고" localSheetId="19">#REF!</definedName>
    <definedName name="조명광고" localSheetId="18">#REF!</definedName>
    <definedName name="조명광고" localSheetId="17">#REF!</definedName>
    <definedName name="조명광고" localSheetId="16">#REF!</definedName>
    <definedName name="조명광고" localSheetId="15">#REF!</definedName>
    <definedName name="조명광고" localSheetId="14">#REF!</definedName>
    <definedName name="조명광고" localSheetId="13">#REF!</definedName>
    <definedName name="조명광고" localSheetId="12">#REF!</definedName>
    <definedName name="조명광고" localSheetId="11">#REF!</definedName>
    <definedName name="조명광고" localSheetId="10">#REF!</definedName>
    <definedName name="조명광고" localSheetId="9">#REF!</definedName>
    <definedName name="조명광고">#REF!</definedName>
    <definedName name="조명광고6호선" localSheetId="22">#REF!</definedName>
    <definedName name="조명광고6호선" localSheetId="20">#REF!</definedName>
    <definedName name="조명광고6호선" localSheetId="19">#REF!</definedName>
    <definedName name="조명광고6호선" localSheetId="18">#REF!</definedName>
    <definedName name="조명광고6호선" localSheetId="17">#REF!</definedName>
    <definedName name="조명광고6호선" localSheetId="16">#REF!</definedName>
    <definedName name="조명광고6호선" localSheetId="15">#REF!</definedName>
    <definedName name="조명광고6호선" localSheetId="14">#REF!</definedName>
    <definedName name="조명광고6호선" localSheetId="13">#REF!</definedName>
    <definedName name="조명광고6호선" localSheetId="12">#REF!</definedName>
    <definedName name="조명광고6호선" localSheetId="11">#REF!</definedName>
    <definedName name="조명광고6호선" localSheetId="10">#REF!</definedName>
    <definedName name="조명광고6호선" localSheetId="9">#REF!</definedName>
    <definedName name="조명광고6호선">#REF!</definedName>
    <definedName name="지역지역1" localSheetId="22">#REF!</definedName>
    <definedName name="지역지역1" localSheetId="20">#REF!</definedName>
    <definedName name="지역지역1" localSheetId="19">#REF!</definedName>
    <definedName name="지역지역1" localSheetId="18">#REF!</definedName>
    <definedName name="지역지역1" localSheetId="17">#REF!</definedName>
    <definedName name="지역지역1" localSheetId="16">#REF!</definedName>
    <definedName name="지역지역1" localSheetId="15">#REF!</definedName>
    <definedName name="지역지역1" localSheetId="14">#REF!</definedName>
    <definedName name="지역지역1" localSheetId="13">#REF!</definedName>
    <definedName name="지역지역1" localSheetId="12">#REF!</definedName>
    <definedName name="지역지역1" localSheetId="11">#REF!</definedName>
    <definedName name="지역지역1" localSheetId="10">#REF!</definedName>
    <definedName name="지역지역1" localSheetId="9">#REF!</definedName>
    <definedName name="지역지역1">#REF!</definedName>
    <definedName name="지역지역3" localSheetId="22">#REF!</definedName>
    <definedName name="지역지역3" localSheetId="20">#REF!</definedName>
    <definedName name="지역지역3" localSheetId="19">#REF!</definedName>
    <definedName name="지역지역3" localSheetId="18">#REF!</definedName>
    <definedName name="지역지역3" localSheetId="17">#REF!</definedName>
    <definedName name="지역지역3" localSheetId="16">#REF!</definedName>
    <definedName name="지역지역3" localSheetId="15">#REF!</definedName>
    <definedName name="지역지역3" localSheetId="14">#REF!</definedName>
    <definedName name="지역지역3" localSheetId="13">#REF!</definedName>
    <definedName name="지역지역3" localSheetId="12">#REF!</definedName>
    <definedName name="지역지역3" localSheetId="11">#REF!</definedName>
    <definedName name="지역지역3" localSheetId="10">#REF!</definedName>
    <definedName name="지역지역3" localSheetId="9">#REF!</definedName>
    <definedName name="지역지역3">#REF!</definedName>
    <definedName name="초수" localSheetId="22">#REF!</definedName>
    <definedName name="초수" localSheetId="20">#REF!</definedName>
    <definedName name="초수" localSheetId="19">#REF!</definedName>
    <definedName name="초수" localSheetId="18">#REF!</definedName>
    <definedName name="초수" localSheetId="17">#REF!</definedName>
    <definedName name="초수" localSheetId="16">#REF!</definedName>
    <definedName name="초수" localSheetId="15">#REF!</definedName>
    <definedName name="초수" localSheetId="14">#REF!</definedName>
    <definedName name="초수" localSheetId="13">#REF!</definedName>
    <definedName name="초수" localSheetId="12">#REF!</definedName>
    <definedName name="초수" localSheetId="11">#REF!</definedName>
    <definedName name="초수" localSheetId="10">#REF!</definedName>
    <definedName name="초수" localSheetId="9">#REF!</definedName>
    <definedName name="초수">#REF!</definedName>
    <definedName name="초임" localSheetId="22">#REF!</definedName>
    <definedName name="초임" localSheetId="20">#REF!</definedName>
    <definedName name="초임" localSheetId="19">#REF!</definedName>
    <definedName name="초임" localSheetId="18">#REF!</definedName>
    <definedName name="초임" localSheetId="17">#REF!</definedName>
    <definedName name="초임" localSheetId="16">#REF!</definedName>
    <definedName name="초임" localSheetId="15">#REF!</definedName>
    <definedName name="초임" localSheetId="14">#REF!</definedName>
    <definedName name="초임" localSheetId="13">#REF!</definedName>
    <definedName name="초임" localSheetId="12">#REF!</definedName>
    <definedName name="초임" localSheetId="11">#REF!</definedName>
    <definedName name="초임" localSheetId="10">#REF!</definedName>
    <definedName name="초임" localSheetId="9">#REF!</definedName>
    <definedName name="초임">#REF!</definedName>
    <definedName name="최종" localSheetId="22">#REF!</definedName>
    <definedName name="최종" localSheetId="20">#REF!</definedName>
    <definedName name="최종" localSheetId="19">#REF!</definedName>
    <definedName name="최종" localSheetId="18">#REF!</definedName>
    <definedName name="최종" localSheetId="17">#REF!</definedName>
    <definedName name="최종" localSheetId="16">#REF!</definedName>
    <definedName name="최종" localSheetId="15">#REF!</definedName>
    <definedName name="최종" localSheetId="14">#REF!</definedName>
    <definedName name="최종" localSheetId="13">#REF!</definedName>
    <definedName name="최종" localSheetId="12">#REF!</definedName>
    <definedName name="최종" localSheetId="11">#REF!</definedName>
    <definedName name="최종" localSheetId="10">#REF!</definedName>
    <definedName name="최종" localSheetId="9">#REF!</definedName>
    <definedName name="최종">#REF!</definedName>
    <definedName name="축소" localSheetId="22">#REF!</definedName>
    <definedName name="축소" localSheetId="20">#REF!</definedName>
    <definedName name="축소" localSheetId="19">#REF!</definedName>
    <definedName name="축소" localSheetId="18">#REF!</definedName>
    <definedName name="축소">#REF!</definedName>
    <definedName name="축소1" localSheetId="22">#REF!</definedName>
    <definedName name="축소1" localSheetId="20">#REF!</definedName>
    <definedName name="축소1" localSheetId="19">#REF!</definedName>
    <definedName name="축소1" localSheetId="18">#REF!</definedName>
    <definedName name="축소1">#REF!</definedName>
    <definedName name="충남" localSheetId="22">#REF!</definedName>
    <definedName name="충남" localSheetId="20">#REF!</definedName>
    <definedName name="충남" localSheetId="19">#REF!</definedName>
    <definedName name="충남" localSheetId="18">#REF!</definedName>
    <definedName name="충남">#REF!</definedName>
    <definedName name="충북" localSheetId="22">#REF!</definedName>
    <definedName name="충북" localSheetId="20">#REF!</definedName>
    <definedName name="충북" localSheetId="19">#REF!</definedName>
    <definedName name="충북" localSheetId="18">#REF!</definedName>
    <definedName name="충북">#REF!</definedName>
    <definedName name="쿼터" localSheetId="22">#REF!</definedName>
    <definedName name="쿼터" localSheetId="20">#REF!</definedName>
    <definedName name="쿼터" localSheetId="19">#REF!</definedName>
    <definedName name="쿼터" localSheetId="18">#REF!</definedName>
    <definedName name="쿼터" localSheetId="17">#REF!</definedName>
    <definedName name="쿼터" localSheetId="16">#REF!</definedName>
    <definedName name="쿼터" localSheetId="15">#REF!</definedName>
    <definedName name="쿼터" localSheetId="14">#REF!</definedName>
    <definedName name="쿼터" localSheetId="13">#REF!</definedName>
    <definedName name="쿼터" localSheetId="12">#REF!</definedName>
    <definedName name="쿼터" localSheetId="11">#REF!</definedName>
    <definedName name="쿼터" localSheetId="10">#REF!</definedName>
    <definedName name="쿼터" localSheetId="9">#REF!</definedName>
    <definedName name="쿼터">#REF!</definedName>
    <definedName name="타겟팅자료1" localSheetId="22">#REF!</definedName>
    <definedName name="타겟팅자료1" localSheetId="20">#REF!</definedName>
    <definedName name="타겟팅자료1" localSheetId="19">#REF!</definedName>
    <definedName name="타겟팅자료1" localSheetId="18">#REF!</definedName>
    <definedName name="타겟팅자료1" localSheetId="17">#REF!</definedName>
    <definedName name="타겟팅자료1" localSheetId="16">#REF!</definedName>
    <definedName name="타겟팅자료1" localSheetId="15">#REF!</definedName>
    <definedName name="타겟팅자료1" localSheetId="14">#REF!</definedName>
    <definedName name="타겟팅자료1" localSheetId="13">#REF!</definedName>
    <definedName name="타겟팅자료1" localSheetId="12">#REF!</definedName>
    <definedName name="타겟팅자료1" localSheetId="11">#REF!</definedName>
    <definedName name="타겟팅자료1" localSheetId="10">#REF!</definedName>
    <definedName name="타겟팅자료1" localSheetId="9">#REF!</definedName>
    <definedName name="타겟팅자료1">#REF!</definedName>
    <definedName name="타겟팅자료2" localSheetId="22">#REF!</definedName>
    <definedName name="타겟팅자료2" localSheetId="20">#REF!</definedName>
    <definedName name="타겟팅자료2" localSheetId="19">#REF!</definedName>
    <definedName name="타겟팅자료2" localSheetId="18">#REF!</definedName>
    <definedName name="타겟팅자료2" localSheetId="17">#REF!</definedName>
    <definedName name="타겟팅자료2" localSheetId="16">#REF!</definedName>
    <definedName name="타겟팅자료2" localSheetId="15">#REF!</definedName>
    <definedName name="타겟팅자료2" localSheetId="14">#REF!</definedName>
    <definedName name="타겟팅자료2" localSheetId="13">#REF!</definedName>
    <definedName name="타겟팅자료2" localSheetId="12">#REF!</definedName>
    <definedName name="타겟팅자료2" localSheetId="11">#REF!</definedName>
    <definedName name="타겟팅자료2" localSheetId="10">#REF!</definedName>
    <definedName name="타겟팅자료2" localSheetId="9">#REF!</definedName>
    <definedName name="타겟팅자료2">#REF!</definedName>
    <definedName name="타겟팅자료3" localSheetId="22">#REF!</definedName>
    <definedName name="타겟팅자료3" localSheetId="20">#REF!</definedName>
    <definedName name="타겟팅자료3" localSheetId="19">#REF!</definedName>
    <definedName name="타겟팅자료3" localSheetId="18">#REF!</definedName>
    <definedName name="타겟팅자료3" localSheetId="17">#REF!</definedName>
    <definedName name="타겟팅자료3" localSheetId="16">#REF!</definedName>
    <definedName name="타겟팅자료3" localSheetId="15">#REF!</definedName>
    <definedName name="타겟팅자료3" localSheetId="14">#REF!</definedName>
    <definedName name="타겟팅자료3" localSheetId="13">#REF!</definedName>
    <definedName name="타겟팅자료3" localSheetId="12">#REF!</definedName>
    <definedName name="타겟팅자료3" localSheetId="11">#REF!</definedName>
    <definedName name="타겟팅자료3" localSheetId="10">#REF!</definedName>
    <definedName name="타겟팅자료3" localSheetId="9">#REF!</definedName>
    <definedName name="타겟팅자료3">#REF!</definedName>
    <definedName name="타겟팅자료4" localSheetId="22">#REF!</definedName>
    <definedName name="타겟팅자료4" localSheetId="20">#REF!</definedName>
    <definedName name="타겟팅자료4" localSheetId="19">#REF!</definedName>
    <definedName name="타겟팅자료4" localSheetId="18">#REF!</definedName>
    <definedName name="타겟팅자료4">#REF!</definedName>
    <definedName name="타겟팅자료5" localSheetId="22">#REF!</definedName>
    <definedName name="타겟팅자료5" localSheetId="20">#REF!</definedName>
    <definedName name="타겟팅자료5" localSheetId="19">#REF!</definedName>
    <definedName name="타겟팅자료5" localSheetId="18">#REF!</definedName>
    <definedName name="타겟팅자료5">#REF!</definedName>
    <definedName name="타겟팅자료6" localSheetId="22">#REF!</definedName>
    <definedName name="타겟팅자료6" localSheetId="20">#REF!</definedName>
    <definedName name="타겟팅자료6" localSheetId="19">#REF!</definedName>
    <definedName name="타겟팅자료6" localSheetId="18">#REF!</definedName>
    <definedName name="타겟팅자료6">#REF!</definedName>
    <definedName name="팀" localSheetId="22">#REF!</definedName>
    <definedName name="팀" localSheetId="20">#REF!</definedName>
    <definedName name="팀" localSheetId="19">#REF!</definedName>
    <definedName name="팀" localSheetId="18">#REF!</definedName>
    <definedName name="팀" localSheetId="17">#REF!</definedName>
    <definedName name="팀" localSheetId="16">#REF!</definedName>
    <definedName name="팀" localSheetId="15">#REF!</definedName>
    <definedName name="팀" localSheetId="14">#REF!</definedName>
    <definedName name="팀" localSheetId="13">#REF!</definedName>
    <definedName name="팀" localSheetId="12">#REF!</definedName>
    <definedName name="팀" localSheetId="11">#REF!</definedName>
    <definedName name="팀" localSheetId="10">#REF!</definedName>
    <definedName name="팀" localSheetId="9">#REF!</definedName>
    <definedName name="팀">#REF!</definedName>
    <definedName name="프로그램" localSheetId="22">#REF!</definedName>
    <definedName name="프로그램" localSheetId="20">#REF!</definedName>
    <definedName name="프로그램" localSheetId="19">#REF!</definedName>
    <definedName name="프로그램" localSheetId="18">#REF!</definedName>
    <definedName name="프로그램" localSheetId="17">#REF!</definedName>
    <definedName name="프로그램" localSheetId="16">#REF!</definedName>
    <definedName name="프로그램" localSheetId="15">#REF!</definedName>
    <definedName name="프로그램" localSheetId="14">#REF!</definedName>
    <definedName name="프로그램" localSheetId="13">#REF!</definedName>
    <definedName name="프로그램" localSheetId="12">#REF!</definedName>
    <definedName name="프로그램" localSheetId="11">#REF!</definedName>
    <definedName name="프로그램" localSheetId="10">#REF!</definedName>
    <definedName name="프로그램" localSheetId="9">#REF!</definedName>
    <definedName name="프로그램">#REF!</definedName>
    <definedName name="프로그램명" localSheetId="22">#REF!</definedName>
    <definedName name="프로그램명" localSheetId="20">#REF!</definedName>
    <definedName name="프로그램명" localSheetId="19">#REF!</definedName>
    <definedName name="프로그램명" localSheetId="18">#REF!</definedName>
    <definedName name="프로그램명" localSheetId="17">#REF!</definedName>
    <definedName name="프로그램명" localSheetId="16">#REF!</definedName>
    <definedName name="프로그램명" localSheetId="15">#REF!</definedName>
    <definedName name="프로그램명" localSheetId="14">#REF!</definedName>
    <definedName name="프로그램명" localSheetId="13">#REF!</definedName>
    <definedName name="프로그램명" localSheetId="12">#REF!</definedName>
    <definedName name="프로그램명" localSheetId="11">#REF!</definedName>
    <definedName name="프로그램명" localSheetId="10">#REF!</definedName>
    <definedName name="프로그램명" localSheetId="9">#REF!</definedName>
    <definedName name="프로그램명">#REF!</definedName>
    <definedName name="할증" localSheetId="22">#REF!</definedName>
    <definedName name="할증" localSheetId="20">#REF!</definedName>
    <definedName name="할증" localSheetId="19">#REF!</definedName>
    <definedName name="할증" localSheetId="18">#REF!</definedName>
    <definedName name="할증" localSheetId="17">#REF!</definedName>
    <definedName name="할증" localSheetId="16">#REF!</definedName>
    <definedName name="할증" localSheetId="15">#REF!</definedName>
    <definedName name="할증" localSheetId="14">#REF!</definedName>
    <definedName name="할증" localSheetId="13">#REF!</definedName>
    <definedName name="할증" localSheetId="12">#REF!</definedName>
    <definedName name="할증" localSheetId="11">#REF!</definedName>
    <definedName name="할증" localSheetId="10">#REF!</definedName>
    <definedName name="할증" localSheetId="9">#REF!</definedName>
    <definedName name="할증">#REF!</definedName>
    <definedName name="허걱" localSheetId="22">#REF!</definedName>
    <definedName name="허걱" localSheetId="20">#REF!</definedName>
    <definedName name="허걱" localSheetId="19">#REF!</definedName>
    <definedName name="허걱" localSheetId="18">#REF!</definedName>
    <definedName name="허걱">#REF!</definedName>
    <definedName name="호선별" localSheetId="22">#REF!</definedName>
    <definedName name="호선별" localSheetId="20">#REF!</definedName>
    <definedName name="호선별" localSheetId="19">#REF!</definedName>
    <definedName name="호선별" localSheetId="18">#REF!</definedName>
    <definedName name="호선별">#REF!</definedName>
    <definedName name="회계매출1" localSheetId="22">#REF!</definedName>
    <definedName name="회계매출1" localSheetId="20">#REF!</definedName>
    <definedName name="회계매출1" localSheetId="19">#REF!</definedName>
    <definedName name="회계매출1" localSheetId="18">#REF!</definedName>
    <definedName name="회계매출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7" roundtripDataChecksum="kVFzr/APnrrQYUHqCJigeZxvJfgvjiN56S5tgV8qcLs=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5" i="1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8" i="22"/>
  <c r="C7" i="22"/>
  <c r="C6" i="22"/>
  <c r="C5" i="22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H35" i="18"/>
  <c r="C35" i="18"/>
  <c r="H34" i="18"/>
  <c r="C34" i="18"/>
  <c r="H33" i="18"/>
  <c r="C33" i="18"/>
  <c r="H32" i="18"/>
  <c r="C32" i="18"/>
  <c r="E32" i="18" s="1"/>
  <c r="H31" i="18"/>
  <c r="E31" i="18"/>
  <c r="C31" i="18"/>
  <c r="H30" i="18"/>
  <c r="C30" i="18"/>
  <c r="E30" i="18" s="1"/>
  <c r="H29" i="18"/>
  <c r="E29" i="18"/>
  <c r="C29" i="18"/>
  <c r="H28" i="18"/>
  <c r="E28" i="18"/>
  <c r="C28" i="18"/>
  <c r="H27" i="18"/>
  <c r="C27" i="18"/>
  <c r="E27" i="18" s="1"/>
  <c r="H26" i="18"/>
  <c r="C26" i="18"/>
  <c r="E26" i="18" s="1"/>
  <c r="H25" i="18"/>
  <c r="E25" i="18"/>
  <c r="C25" i="18"/>
  <c r="H24" i="18"/>
  <c r="C24" i="18"/>
  <c r="E24" i="18" s="1"/>
  <c r="H23" i="18"/>
  <c r="E23" i="18"/>
  <c r="C23" i="18"/>
  <c r="H22" i="18"/>
  <c r="E22" i="18"/>
  <c r="C22" i="18"/>
  <c r="H21" i="18"/>
  <c r="C21" i="18"/>
  <c r="E21" i="18" s="1"/>
  <c r="H20" i="18"/>
  <c r="C20" i="18"/>
  <c r="E20" i="18" s="1"/>
  <c r="H19" i="18"/>
  <c r="C19" i="18"/>
  <c r="E19" i="18" s="1"/>
  <c r="H18" i="18"/>
  <c r="C18" i="18"/>
  <c r="E18" i="18" s="1"/>
  <c r="H17" i="18"/>
  <c r="C17" i="18"/>
  <c r="E17" i="18" s="1"/>
  <c r="H16" i="18"/>
  <c r="E16" i="18"/>
  <c r="H15" i="18"/>
  <c r="C15" i="18"/>
  <c r="E15" i="18" s="1"/>
  <c r="H14" i="18"/>
  <c r="E14" i="18"/>
  <c r="C14" i="18"/>
  <c r="H13" i="18"/>
  <c r="C13" i="18"/>
  <c r="E13" i="18" s="1"/>
  <c r="H12" i="18"/>
  <c r="E12" i="18"/>
  <c r="C12" i="18"/>
  <c r="H11" i="18"/>
  <c r="E11" i="18"/>
  <c r="C11" i="18"/>
  <c r="H10" i="18"/>
  <c r="C10" i="18"/>
  <c r="E10" i="18" s="1"/>
  <c r="H9" i="18"/>
  <c r="C9" i="18"/>
  <c r="E9" i="18" s="1"/>
  <c r="H8" i="18"/>
  <c r="C8" i="18"/>
  <c r="E8" i="18" s="1"/>
  <c r="H7" i="18"/>
  <c r="C7" i="18"/>
  <c r="E7" i="18" s="1"/>
  <c r="H6" i="18"/>
  <c r="C6" i="18"/>
  <c r="E6" i="18" s="1"/>
  <c r="H5" i="18"/>
  <c r="C5" i="18"/>
  <c r="E5" i="18" s="1"/>
  <c r="C41" i="17"/>
  <c r="C40" i="17"/>
  <c r="C39" i="17"/>
  <c r="E38" i="17"/>
  <c r="C38" i="17"/>
  <c r="C37" i="17"/>
  <c r="E37" i="17" s="1"/>
  <c r="E36" i="17"/>
  <c r="C36" i="17"/>
  <c r="E35" i="17"/>
  <c r="C35" i="17"/>
  <c r="C34" i="17"/>
  <c r="C33" i="17"/>
  <c r="C32" i="17"/>
  <c r="C31" i="17"/>
  <c r="C30" i="17"/>
  <c r="C29" i="17"/>
  <c r="E29" i="17" s="1"/>
  <c r="C28" i="17"/>
  <c r="E28" i="17" s="1"/>
  <c r="C27" i="17"/>
  <c r="E27" i="17" s="1"/>
  <c r="C26" i="17"/>
  <c r="E26" i="17" s="1"/>
  <c r="C25" i="17"/>
  <c r="E25" i="17" s="1"/>
  <c r="E24" i="17"/>
  <c r="C24" i="17"/>
  <c r="E23" i="17"/>
  <c r="C23" i="17"/>
  <c r="C22" i="17"/>
  <c r="C21" i="17"/>
  <c r="E21" i="17" s="1"/>
  <c r="E20" i="17"/>
  <c r="C20" i="17"/>
  <c r="E19" i="17"/>
  <c r="C19" i="17"/>
  <c r="C15" i="17"/>
  <c r="C14" i="17"/>
  <c r="C13" i="17"/>
  <c r="E18" i="17" s="1"/>
  <c r="E12" i="17"/>
  <c r="C12" i="17"/>
  <c r="E11" i="17"/>
  <c r="C11" i="17"/>
  <c r="C10" i="17"/>
  <c r="E10" i="17" s="1"/>
  <c r="C9" i="17"/>
  <c r="E9" i="17" s="1"/>
  <c r="E8" i="17"/>
  <c r="C8" i="17"/>
  <c r="C7" i="17"/>
  <c r="C6" i="17"/>
  <c r="E6" i="17" s="1"/>
  <c r="C5" i="17"/>
  <c r="E5" i="17" s="1"/>
  <c r="C37" i="16"/>
  <c r="C36" i="16"/>
  <c r="C35" i="16"/>
  <c r="C34" i="16"/>
  <c r="F33" i="16"/>
  <c r="C33" i="16"/>
  <c r="C32" i="16"/>
  <c r="F32" i="16" s="1"/>
  <c r="C31" i="16"/>
  <c r="F31" i="16" s="1"/>
  <c r="C30" i="16"/>
  <c r="F30" i="16" s="1"/>
  <c r="C29" i="16"/>
  <c r="F29" i="16" s="1"/>
  <c r="C28" i="16"/>
  <c r="F28" i="16" s="1"/>
  <c r="C27" i="16"/>
  <c r="F27" i="16" s="1"/>
  <c r="F26" i="16"/>
  <c r="C26" i="16"/>
  <c r="F25" i="16"/>
  <c r="D25" i="16"/>
  <c r="F24" i="16"/>
  <c r="F23" i="16"/>
  <c r="F22" i="16"/>
  <c r="F21" i="16"/>
  <c r="F20" i="16"/>
  <c r="D20" i="16"/>
  <c r="F19" i="16"/>
  <c r="F18" i="16"/>
  <c r="F17" i="16"/>
  <c r="F16" i="16"/>
  <c r="F15" i="16"/>
  <c r="D15" i="16"/>
  <c r="F14" i="16"/>
  <c r="D14" i="16"/>
  <c r="F13" i="16"/>
  <c r="F12" i="16"/>
  <c r="F11" i="16"/>
  <c r="F10" i="16"/>
  <c r="D10" i="16"/>
  <c r="F9" i="16"/>
  <c r="F8" i="16"/>
  <c r="D8" i="16"/>
  <c r="F7" i="16"/>
  <c r="D7" i="16"/>
  <c r="F6" i="16"/>
  <c r="F5" i="16"/>
  <c r="C35" i="15"/>
  <c r="C34" i="15"/>
  <c r="C33" i="15"/>
  <c r="C32" i="15"/>
  <c r="F31" i="15"/>
  <c r="C31" i="15"/>
  <c r="F30" i="15"/>
  <c r="C30" i="15"/>
  <c r="F29" i="15"/>
  <c r="C29" i="15"/>
  <c r="F28" i="15"/>
  <c r="C28" i="15"/>
  <c r="F27" i="15"/>
  <c r="C27" i="15"/>
  <c r="F26" i="15"/>
  <c r="C26" i="15"/>
  <c r="F25" i="15"/>
  <c r="C25" i="15"/>
  <c r="F24" i="15"/>
  <c r="C24" i="15"/>
  <c r="F23" i="15"/>
  <c r="C23" i="15"/>
  <c r="F22" i="15"/>
  <c r="C22" i="15"/>
  <c r="F21" i="15"/>
  <c r="C21" i="15"/>
  <c r="F20" i="15"/>
  <c r="C20" i="15"/>
  <c r="F19" i="15"/>
  <c r="C19" i="15"/>
  <c r="F18" i="15"/>
  <c r="C18" i="15"/>
  <c r="F17" i="15"/>
  <c r="C17" i="15"/>
  <c r="F16" i="15"/>
  <c r="C16" i="15"/>
  <c r="F15" i="15"/>
  <c r="C15" i="15"/>
  <c r="F14" i="15"/>
  <c r="C14" i="15"/>
  <c r="F13" i="15"/>
  <c r="C13" i="15"/>
  <c r="F12" i="15"/>
  <c r="C12" i="15"/>
  <c r="F11" i="15"/>
  <c r="C11" i="15"/>
  <c r="F10" i="15"/>
  <c r="C10" i="15"/>
  <c r="D9" i="15"/>
  <c r="F9" i="15" s="1"/>
  <c r="C9" i="15"/>
  <c r="F8" i="15"/>
  <c r="C8" i="15"/>
  <c r="F7" i="15"/>
  <c r="C7" i="15"/>
  <c r="D6" i="15"/>
  <c r="F6" i="15" s="1"/>
  <c r="C6" i="15"/>
  <c r="F5" i="15"/>
  <c r="C5" i="15"/>
  <c r="C34" i="14"/>
  <c r="C33" i="14"/>
  <c r="C32" i="14"/>
  <c r="C31" i="14"/>
  <c r="C30" i="14"/>
  <c r="C29" i="14"/>
  <c r="C28" i="14"/>
  <c r="F27" i="14"/>
  <c r="C27" i="14"/>
  <c r="D26" i="14"/>
  <c r="F26" i="14" s="1"/>
  <c r="C26" i="14"/>
  <c r="D25" i="14"/>
  <c r="F25" i="14" s="1"/>
  <c r="C25" i="14"/>
  <c r="F24" i="14"/>
  <c r="C24" i="14"/>
  <c r="F23" i="14"/>
  <c r="C23" i="14"/>
  <c r="F22" i="14"/>
  <c r="C22" i="14"/>
  <c r="F21" i="14"/>
  <c r="C21" i="14"/>
  <c r="F20" i="14"/>
  <c r="C20" i="14"/>
  <c r="F19" i="14"/>
  <c r="C19" i="14"/>
  <c r="F18" i="14"/>
  <c r="C18" i="14"/>
  <c r="F17" i="14"/>
  <c r="D17" i="14"/>
  <c r="C17" i="14"/>
  <c r="F16" i="14"/>
  <c r="D16" i="14"/>
  <c r="C16" i="14"/>
  <c r="F15" i="14"/>
  <c r="C15" i="14"/>
  <c r="F14" i="14"/>
  <c r="C14" i="14"/>
  <c r="F13" i="14"/>
  <c r="C13" i="14"/>
  <c r="F12" i="14"/>
  <c r="C12" i="14"/>
  <c r="D11" i="14"/>
  <c r="F11" i="14" s="1"/>
  <c r="C11" i="14"/>
  <c r="F10" i="14"/>
  <c r="C10" i="14"/>
  <c r="F9" i="14"/>
  <c r="C9" i="14"/>
  <c r="F8" i="14"/>
  <c r="C8" i="14"/>
  <c r="F7" i="14"/>
  <c r="C7" i="14"/>
  <c r="F6" i="14"/>
  <c r="C6" i="14"/>
  <c r="F5" i="14"/>
  <c r="C5" i="14"/>
  <c r="F56" i="12"/>
  <c r="C56" i="12"/>
  <c r="D55" i="12"/>
  <c r="F55" i="12" s="1"/>
  <c r="C55" i="12"/>
  <c r="F54" i="12"/>
  <c r="D54" i="12"/>
  <c r="C54" i="12"/>
  <c r="C47" i="12"/>
  <c r="C46" i="12"/>
  <c r="C45" i="12"/>
  <c r="C44" i="12"/>
  <c r="C43" i="12"/>
  <c r="C42" i="12"/>
  <c r="C41" i="12"/>
  <c r="C40" i="12"/>
  <c r="F39" i="12"/>
  <c r="F38" i="12"/>
  <c r="F37" i="12"/>
  <c r="F36" i="12"/>
  <c r="F35" i="12"/>
  <c r="F34" i="12"/>
  <c r="F33" i="12"/>
  <c r="F32" i="12"/>
  <c r="F31" i="12"/>
  <c r="F30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E48" i="11"/>
  <c r="C48" i="11"/>
  <c r="E47" i="11"/>
  <c r="E46" i="11"/>
  <c r="C46" i="11"/>
  <c r="E44" i="11"/>
  <c r="E43" i="11"/>
  <c r="C43" i="11"/>
  <c r="E42" i="11"/>
  <c r="E41" i="11"/>
  <c r="E39" i="11"/>
  <c r="E38" i="11"/>
  <c r="C38" i="11"/>
  <c r="E36" i="11"/>
  <c r="E34" i="11"/>
  <c r="C34" i="11"/>
  <c r="E32" i="11"/>
  <c r="E30" i="11"/>
  <c r="C30" i="11"/>
  <c r="C29" i="11"/>
  <c r="E28" i="11"/>
  <c r="C28" i="11"/>
  <c r="E26" i="11"/>
  <c r="E25" i="11"/>
  <c r="C25" i="11"/>
  <c r="E23" i="11"/>
  <c r="E22" i="11"/>
  <c r="C22" i="11"/>
  <c r="E21" i="11"/>
  <c r="E19" i="11"/>
  <c r="C19" i="11"/>
  <c r="E16" i="11"/>
  <c r="C16" i="11"/>
  <c r="E15" i="11"/>
  <c r="C15" i="11"/>
  <c r="E13" i="11"/>
  <c r="C13" i="11"/>
  <c r="E11" i="11"/>
  <c r="C11" i="11"/>
  <c r="E10" i="11"/>
  <c r="E9" i="11"/>
  <c r="E8" i="11"/>
  <c r="E7" i="11"/>
  <c r="E6" i="11"/>
  <c r="E5" i="11"/>
  <c r="F32" i="10"/>
  <c r="D32" i="10"/>
  <c r="F31" i="10"/>
  <c r="D31" i="10"/>
  <c r="D30" i="10"/>
  <c r="C30" i="10"/>
  <c r="F30" i="10" s="1"/>
  <c r="F21" i="10"/>
  <c r="D21" i="10"/>
  <c r="F20" i="10"/>
  <c r="D20" i="10"/>
  <c r="F19" i="10"/>
  <c r="D19" i="10"/>
  <c r="F18" i="10"/>
  <c r="D18" i="10"/>
  <c r="F17" i="10"/>
  <c r="D17" i="10"/>
  <c r="F16" i="10"/>
  <c r="D16" i="10"/>
  <c r="F15" i="10"/>
  <c r="D15" i="10"/>
  <c r="F14" i="10"/>
  <c r="D14" i="10"/>
  <c r="F13" i="10"/>
  <c r="D13" i="10"/>
  <c r="F12" i="10"/>
  <c r="D12" i="10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F38" i="9"/>
  <c r="F37" i="9"/>
  <c r="F36" i="9"/>
  <c r="F35" i="9"/>
  <c r="F34" i="9"/>
  <c r="F33" i="9"/>
  <c r="F28" i="9"/>
  <c r="D28" i="9"/>
  <c r="F27" i="9"/>
  <c r="D27" i="9"/>
  <c r="F26" i="9"/>
  <c r="D26" i="9"/>
  <c r="F25" i="9"/>
  <c r="D25" i="9"/>
  <c r="F24" i="9"/>
  <c r="F23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D9" i="9"/>
  <c r="C9" i="9"/>
  <c r="F8" i="9"/>
  <c r="D8" i="9"/>
  <c r="F7" i="9"/>
  <c r="D7" i="9"/>
  <c r="F6" i="9"/>
  <c r="D6" i="9"/>
  <c r="F5" i="9"/>
  <c r="D5" i="9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F40" i="8"/>
  <c r="D40" i="8"/>
  <c r="F39" i="8"/>
  <c r="D39" i="8"/>
  <c r="F38" i="8"/>
  <c r="D38" i="8"/>
  <c r="F37" i="8"/>
  <c r="D37" i="8"/>
  <c r="F36" i="8"/>
  <c r="D36" i="8"/>
  <c r="F35" i="8"/>
  <c r="D35" i="8"/>
  <c r="F34" i="8"/>
  <c r="D34" i="8"/>
  <c r="F29" i="8"/>
  <c r="D29" i="8"/>
  <c r="F28" i="8"/>
  <c r="D28" i="8"/>
  <c r="F27" i="8"/>
  <c r="D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F32" i="7"/>
  <c r="D32" i="7"/>
  <c r="F31" i="7"/>
  <c r="D31" i="7"/>
  <c r="F30" i="7"/>
  <c r="D30" i="7"/>
  <c r="F29" i="7"/>
  <c r="D29" i="7"/>
  <c r="F28" i="7"/>
  <c r="D28" i="7"/>
  <c r="F27" i="7"/>
  <c r="D27" i="7"/>
  <c r="F26" i="7"/>
  <c r="D26" i="7"/>
  <c r="F25" i="7"/>
  <c r="D25" i="7"/>
  <c r="F24" i="7"/>
  <c r="D24" i="7"/>
  <c r="F23" i="7"/>
  <c r="D23" i="7"/>
  <c r="D22" i="7"/>
  <c r="C22" i="7"/>
  <c r="F22" i="7" s="1"/>
  <c r="F21" i="7"/>
  <c r="D21" i="7"/>
  <c r="F20" i="7"/>
  <c r="D20" i="7"/>
  <c r="F19" i="7"/>
  <c r="D19" i="7"/>
  <c r="F18" i="7"/>
  <c r="D18" i="7"/>
  <c r="F17" i="7"/>
  <c r="D17" i="7"/>
  <c r="F16" i="7"/>
  <c r="D16" i="7"/>
  <c r="F15" i="7"/>
  <c r="D15" i="7"/>
  <c r="F14" i="7"/>
  <c r="D14" i="7"/>
  <c r="F13" i="7"/>
  <c r="D13" i="7"/>
  <c r="F12" i="7"/>
  <c r="D12" i="7"/>
  <c r="C12" i="7"/>
  <c r="F11" i="7"/>
  <c r="D11" i="7"/>
  <c r="F10" i="7"/>
  <c r="D10" i="7"/>
  <c r="D9" i="7"/>
  <c r="C9" i="7"/>
  <c r="F9" i="7" s="1"/>
  <c r="F8" i="7"/>
  <c r="D8" i="7"/>
  <c r="D7" i="7"/>
  <c r="C7" i="7"/>
  <c r="F7" i="7" s="1"/>
  <c r="F6" i="7"/>
  <c r="D6" i="7"/>
  <c r="F5" i="7"/>
  <c r="D5" i="7"/>
  <c r="D76" i="6"/>
  <c r="D75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15" i="6"/>
  <c r="C15" i="6"/>
  <c r="D14" i="6"/>
  <c r="D13" i="6"/>
  <c r="D12" i="6"/>
  <c r="D11" i="6"/>
  <c r="D10" i="6"/>
  <c r="D9" i="6"/>
  <c r="D8" i="6"/>
  <c r="D7" i="6"/>
  <c r="D6" i="6"/>
  <c r="D5" i="6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4" i="5"/>
  <c r="D13" i="5"/>
  <c r="D12" i="5"/>
  <c r="D11" i="5"/>
  <c r="D10" i="5"/>
  <c r="D9" i="5"/>
  <c r="D8" i="5"/>
  <c r="D7" i="5"/>
  <c r="D6" i="5"/>
  <c r="D5" i="5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C15" i="3"/>
  <c r="C12" i="3"/>
  <c r="E25" i="2"/>
  <c r="E24" i="2"/>
  <c r="E23" i="2"/>
  <c r="E17" i="2"/>
  <c r="E16" i="2"/>
  <c r="E15" i="2"/>
</calcChain>
</file>

<file path=xl/sharedStrings.xml><?xml version="1.0" encoding="utf-8"?>
<sst xmlns="http://schemas.openxmlformats.org/spreadsheetml/2006/main" count="1454" uniqueCount="888">
  <si>
    <t>7월 디자인 작업 요청서</t>
  </si>
  <si>
    <t>정상가
(상시가 부가세 전)</t>
  </si>
  <si>
    <t>이벤트가
(이벤트가 부가세 전)</t>
  </si>
  <si>
    <t>원내확인용
(이벤트가 부가세 포함)</t>
  </si>
  <si>
    <t>플친 와이드</t>
  </si>
  <si>
    <t>플친 리스트</t>
  </si>
  <si>
    <t>인스타(2개)</t>
  </si>
  <si>
    <t>비고</t>
  </si>
  <si>
    <t>타이틀</t>
  </si>
  <si>
    <t>시술명</t>
  </si>
  <si>
    <t>캐러셀(3개)</t>
  </si>
  <si>
    <t>캐러셀(5개)</t>
  </si>
  <si>
    <t xml:space="preserve"> LUCKY 7 FESTA</t>
  </si>
  <si>
    <t>[여성제모] 종아리+발등+발가락 5회</t>
  </si>
  <si>
    <t>[여성제모] 팔 전체+손등+손가락 5회</t>
  </si>
  <si>
    <t>[피지박멸] 라라젯 3회</t>
  </si>
  <si>
    <t>헐리우드 토닝+위코우노 1cc+LDM 베이직 8분 1회</t>
  </si>
  <si>
    <t>[모공지우개] 버츄RF 모공/흉터모드+쥬베룩 스킨부스터 2cc 1회</t>
  </si>
  <si>
    <t>가장 뷰티파크하게 빛나는 바캉스</t>
  </si>
  <si>
    <t>바디 리포컨투어 주사 100cc 1회</t>
  </si>
  <si>
    <t>엑셀V 제네시스+LDM 베이직 8분 3회</t>
  </si>
  <si>
    <t>콜라겐주사 쥬베룩아이 2cc 2회</t>
  </si>
  <si>
    <t>얼굴전체 스킨보톡스 (제오민) 3회</t>
  </si>
  <si>
    <t>Cool한 EVENT</t>
  </si>
  <si>
    <t>바디 보톡스 150U (나보타)</t>
  </si>
  <si>
    <t>리쥬톡톡 1회 (리쥬란힐러 2cc+얼굴전체 스킨보톡스 국산)</t>
  </si>
  <si>
    <t>목 주름 지우개 1cc (벨로테로 소프트)+목 주름 더모톡신 (국산) 1cc</t>
  </si>
  <si>
    <t>예뻐지는 화수목 이벤트</t>
  </si>
  <si>
    <t>[화수목] 원샷원킬 피로회복 1회 (마늘주사+감초주사)</t>
  </si>
  <si>
    <t>[화수목] 아이슈링크 200샷+눈가 보톡스 (제오민)</t>
  </si>
  <si>
    <t>[화수목] [기미재발방지] 버츄RF 얼굴전체+ISCE 더블 엑소좀+크라이오 1회</t>
  </si>
  <si>
    <t>[화수목] 아쿠아필 3단계+피코프락셀+크라이오+모델링팩 3회</t>
  </si>
  <si>
    <t>[화수목] 이중턱 인모드FX+브이슈링크 300샷</t>
  </si>
  <si>
    <t xml:space="preserve">[뷰티파크의원 범어점] 카톡 플러스 친구 전용 이벤트 
-1인 1회 </t>
  </si>
  <si>
    <t>프리미엄 비타민 미백관리 2회</t>
  </si>
  <si>
    <t>물광주사 5cc 1회</t>
  </si>
  <si>
    <t>주름 보톡스 2부위 (엘러간) 특가</t>
  </si>
  <si>
    <t xml:space="preserve">월 초 강조 : 
월 중순 강조 : </t>
  </si>
  <si>
    <t>`</t>
  </si>
  <si>
    <t>6월 디자인 작업 요청서</t>
  </si>
  <si>
    <t>정상가
(부가세 전)</t>
  </si>
  <si>
    <t>이벤트가
(부가세 전)</t>
  </si>
  <si>
    <t>부가세 포함
(원내확인용)</t>
  </si>
  <si>
    <t>초여름의 온도, 
싱그러운 6월의 뷰티파크</t>
  </si>
  <si>
    <t>프리미엄 비타민 미백관리 1회</t>
  </si>
  <si>
    <t>[직각어깨PKG] 팔뚝 뷰티S주사 100cc+승모근 보톡스 200U (국산) 1회</t>
  </si>
  <si>
    <t>LDM 물방울리프팅 12분 5회</t>
  </si>
  <si>
    <t>[남성제모] 풀페이스(턱+인중+볼+턱라인+구렛나루+윗목) 5회</t>
  </si>
  <si>
    <t>리쥬란힐러 4cc+IBEX 2기압 고압산소치료 30분 1회</t>
  </si>
  <si>
    <t>토닝 레이저 (피코슈어 or 헐리우드)+엑셀V 제네시스+선택관리 5회 (3.8만원 상당 슬로보다 재생크림 증정)</t>
  </si>
  <si>
    <t>상반기 결산</t>
  </si>
  <si>
    <t>엑셀V 제네시스 (재생레이저 토닝)+플래티넘 플라필 1회</t>
  </si>
  <si>
    <t>릴리쥬베톡신 1회 (릴리이드M 2cc+쥬베룩 스킨부스터 2cc+스킨보톡스 국산 1cc) -인젝터로만 진행</t>
  </si>
  <si>
    <t>엑셀V 홍조+LDM 홍조 3회</t>
  </si>
  <si>
    <t>이마필러 벨로테로 볼륨 3CC</t>
  </si>
  <si>
    <t>6월, READY TO GO</t>
  </si>
  <si>
    <t>사각턱 보톡스 50U (나보타)+윤곽주사 10CC 1회</t>
  </si>
  <si>
    <t>이중턱 전용 올타이트 100샷 (하관, 목주름 전용)</t>
  </si>
  <si>
    <t>[원데이 노세범 패키지] 아이스 아쿠아필 3단계+네오빔 3회</t>
  </si>
  <si>
    <t>[화수목] 오투덤 산소테라피 1회</t>
  </si>
  <si>
    <t>[화수목] 인모드FX 1부위+프리미엄 아큐주사 10cc 1회</t>
  </si>
  <si>
    <t>[화수목] 아이리쥬란 1cc</t>
  </si>
  <si>
    <t>[화수목] 리프테라2 라인 300샷+펜타입 1500샷</t>
  </si>
  <si>
    <t>[화수목] 벨로테로 리바이브 1cc</t>
  </si>
  <si>
    <t>LDM 베이직 8분 3회</t>
  </si>
  <si>
    <t>인모드 FX 1부위 3회</t>
  </si>
  <si>
    <t>주름 보톡스 3부위(제오민)</t>
  </si>
  <si>
    <t>월초 : 초여름의 온도, 싱그러운 6월의 뷰티파크
월 중순 : 상반기 결산
#굵게 기재된 상품이 특히 강조되는 상품</t>
  </si>
  <si>
    <t>5월 디자인 작업 요청서</t>
  </si>
  <si>
    <t>정상가</t>
  </si>
  <si>
    <t>이벤트가</t>
  </si>
  <si>
    <t>여름 대비 
바디 시술 이벤트</t>
  </si>
  <si>
    <t>[여성제모] 팔 하완+손등+손가락 5회</t>
  </si>
  <si>
    <t>다한증 보톡스 100U (나보타)</t>
  </si>
  <si>
    <t>[여성제모] 종아리+무릎 5회</t>
  </si>
  <si>
    <t>[승모근 타파] 바디 보톡스 100U (제오민)</t>
  </si>
  <si>
    <t>뷰티S주사 200cc 3회</t>
  </si>
  <si>
    <t>바디인모드 FX 3회</t>
  </si>
  <si>
    <t>온 가족을 위한 감사의 달 이벤트</t>
  </si>
  <si>
    <t>더블 백옥주사 링거 3회</t>
  </si>
  <si>
    <t>포마테라 1회 (인모드 FORMA+리프테라2 펜타입 2000샷)</t>
  </si>
  <si>
    <t>프리미엄 스킨케어 5회</t>
  </si>
  <si>
    <t>미리 준비하는 여름</t>
  </si>
  <si>
    <t>[노세범케어] 블랙필+네오빔(압출미포함)+모델링팩 1회</t>
  </si>
  <si>
    <t>바디인모드 FX+뷰티S주사 100cc 1회</t>
  </si>
  <si>
    <t>피코슈어 바디토닝 5회</t>
  </si>
  <si>
    <t>[화수목] 엑셀V 레드스카 1회</t>
  </si>
  <si>
    <t>[화수목] 측두근 보톡스 50U (나보타)</t>
  </si>
  <si>
    <t>[화수목] 내맘대로 안티에이징 주사 5회 (백옥주사/신데렐라/비타민C/마늘주사/감초주사/태반주사 中 택)</t>
  </si>
  <si>
    <t>[화수목] IBPS 부스터필 3회</t>
  </si>
  <si>
    <t>[화수목] 레스틸렌 (입술+입꼬리) 1cc+입꼬리 보톡스 (제오민)</t>
  </si>
  <si>
    <t>병원 상호명 변경으로 문구 수정해서
이미지 제작 다시 요청드립니다</t>
  </si>
  <si>
    <t>강조 이벤트 : 뷰티파크의원 범어점 그랜드 리오프닝 EVENT</t>
  </si>
  <si>
    <t>4월 디자인 작업 요청서</t>
  </si>
  <si>
    <t>월별 이벤트 전
홈페이상 금액(상시가)</t>
  </si>
  <si>
    <t>4월 예정인 월별 이벤트
금액의 정상가</t>
  </si>
  <si>
    <t>4월 예정인 월별 이벤트</t>
  </si>
  <si>
    <t>봄맞이 피부정원 OPEN</t>
  </si>
  <si>
    <t>사각턱 보톡스 50U (나보타)+프리미엄 아큐주사 3cc 1회</t>
  </si>
  <si>
    <t>인모드 FORMA+LDM 물방울리프팅 12분 1회</t>
  </si>
  <si>
    <t>[올타이트 추가 입고 EVENT] 올타이트 이중턱/하관 100샷</t>
  </si>
  <si>
    <t>[리쥬물광] 리쥬란힐러 2cc+물광주사 2.5cc+크라이오 1회 (하이쿡스 진행)</t>
  </si>
  <si>
    <t>아쿠아필 3단계+버츄RF 나비존+크라이오 3회</t>
  </si>
  <si>
    <t>[파격특가] 멜라부스터 더블토닝 (ISCE 엑소좀 MTS+피코슈어토닝 or 헐리우드토닝) 5회</t>
  </si>
  <si>
    <t>얼굴에 봄 한스푼
Spring Glow up</t>
  </si>
  <si>
    <t>[물결 주름 쫙 피기] 얼굴전체 스킨보톡스 (나보타) 1회</t>
  </si>
  <si>
    <t>[팰티어 소재로 아프지 않은 K-써마지] 쿨페이즈 600샷</t>
  </si>
  <si>
    <t>[카다시안의 선택, 핑크 세르프] 세르프 600샷+핑크필 1회</t>
  </si>
  <si>
    <t>[생기동안 프로그램] 써마지 600샷+엘라비에 리투오 7cc+비스포크 스킨케어 1회 (써마지, 리투오 4주 간격으로)</t>
  </si>
  <si>
    <t>미모 4텐 터지는
벚꽃놀이 필수관리</t>
  </si>
  <si>
    <t>골라 스킨부스터 3회 (리쥬란힐러 2cc/쥬베룩 2cc/리쥬란HB 1cc+크라이오/릴리이드M 5cc 中 택)</t>
  </si>
  <si>
    <t>벨로테로 리바이브 2cc 1회</t>
  </si>
  <si>
    <t>벨로테로 볼륨 3cc</t>
  </si>
  <si>
    <t>[화수목] 아이슈링크 200샷 1회</t>
  </si>
  <si>
    <t>[화수목] 침샘 보톡스-이하선 or 악하선 (제오민) 50U</t>
  </si>
  <si>
    <t>[화수목] 엑셀V 제네시스+엑셀V 홍조 3회</t>
  </si>
  <si>
    <t>[화수목] 무통 리쥬란HB 2cc+크라이오 관리 1회</t>
  </si>
  <si>
    <t>[화수목] 디지털 자동 주사 아이젝+쥬베룩 스킨부스터 4cc 1회</t>
  </si>
  <si>
    <t>베러미 범어점 카톡 플러스 친구 전용 이벤트 
-1인 1회 (3개월 정도 유지)</t>
  </si>
  <si>
    <t>올리핏 주사 런칭 EVENT
(런칭 이벤트 기간 : 26년 4월 말까지)</t>
  </si>
  <si>
    <t>런칭E) 올리핏 주사 2cc 1회</t>
  </si>
  <si>
    <t>런칭E) 올리핏 주사 2cc 3회</t>
  </si>
  <si>
    <t>쥬브아셀 런칭 EVENT
(런칭 이벤트 기간 : 26년 4월 말까지)</t>
  </si>
  <si>
    <t>쥬브아셀 런칭E) 쥬브아셀 4cc 1회 (하이쿡스 전용)</t>
  </si>
  <si>
    <t>쥬브아셀 런칭E) 쥬브아셀 4cc 3회 (하이쿡스 전용)</t>
  </si>
  <si>
    <t>쿨소닉 런칭 EVENT
(런칭 이벤트 기간 : 26년 4월 말까지)</t>
  </si>
  <si>
    <t>쿨소닉 런칭E) 쿨소닉 5000샷 (울쎄라 300샷 정도 효능)</t>
  </si>
  <si>
    <t>쿨소닉 런칭E) 쿨소닉 8000샷 (울쎄라 400샷 정도 효능)</t>
  </si>
  <si>
    <t>쿨소닉 런칭E) 쿨소닉 10000샷 (울쎄라 600샷 정도 효능)</t>
  </si>
  <si>
    <t>쿨소닉 런칭E 옵션가) 쿨페이즈 300샷</t>
  </si>
  <si>
    <t>쿨소닉 런칭E 옵션가) 쿨페이즈 600샷</t>
  </si>
  <si>
    <t>쿨소닉 런칭E 옵션가) 쿨페이즈 900샷</t>
  </si>
  <si>
    <t>쿨소닉 런칭E 옵션가) 써마지 300샷</t>
  </si>
  <si>
    <t>쿨소닉 런칭E 옵션가) 써마지 600샷</t>
  </si>
  <si>
    <t>쿨소닉 런칭E 옵션가) 쎄르프 300샷</t>
  </si>
  <si>
    <t>쿨소닉 런칭E 옵션가) 쎄르프 600샷</t>
  </si>
  <si>
    <t>쿨소닉 런칭E 옵션가) 올타이트 400샷</t>
  </si>
  <si>
    <t>쿨소닉 런칭E 옵션가) 올타이트 600샷</t>
  </si>
  <si>
    <t>쿨소닉 런칭E) MINI 유지치료 (슈링크 300샷 + 리프테라 3000샷)</t>
  </si>
  <si>
    <t>쿨소닉 런칭E 옵션가) 얼굴전체 스킨보톡스 (엘러간)</t>
  </si>
  <si>
    <t>쿨소닉 런칭E 옵션가) 얼굴전체 스킨보톡스 (제오민)</t>
  </si>
  <si>
    <t>쿨소닉 런칭E 옵션가) 얼굴전체 스킨보톡스 (나보타)</t>
  </si>
  <si>
    <t>쿨소닉 런칭E 옵션가) 비스포크 스킨부스터 1회 (무통 리쥬란HB 1cc)</t>
  </si>
  <si>
    <t>쿨소닉 런칭E 옵션가) 비스포크 스킨부스터 1회 (리쥬란힐러 2cc/쥬베룩 스킨부스터 2cc 中 택)</t>
  </si>
  <si>
    <t>쿨소닉 런칭E 옵션가) 버츄RF 아이리프팅 2회</t>
  </si>
  <si>
    <t>월초 : 얼굴에 봄 한스푼 Spring Glow up
월 중순 : 미모 4텐 터지는 벚꽃놀이 필수관리</t>
  </si>
  <si>
    <t>3월 디자인 작업 요청서</t>
  </si>
  <si>
    <t>3월 예정인 월별 이벤트
금액의 정상가</t>
  </si>
  <si>
    <t>3월 예정인 월별 이벤트</t>
  </si>
  <si>
    <t>베러미의원이 전하는 봄 
Better Me Clinic Spring Bloom</t>
  </si>
  <si>
    <t>리쥬비엘 주름필러 1cc (한정수량)</t>
  </si>
  <si>
    <t>LDM 베이직 8분+빛타민 케어 5회</t>
  </si>
  <si>
    <t>[아이리프팅 강추 조합] 버츄RF 아이 리프팅+아이 쿨페이즈 200샷 1회 (2주 간격)</t>
  </si>
  <si>
    <t>[남성제모] 풀페이스+진정관리 10회</t>
  </si>
  <si>
    <t>쿨페이즈 300샷+리프테라2 펜타입 3000샷 1회</t>
  </si>
  <si>
    <t>올타이트 600샷</t>
  </si>
  <si>
    <t>환절기 피부 장벽 복구 이벤트</t>
  </si>
  <si>
    <t>위코우노 1cc+LDM 베이직 8분 1회</t>
  </si>
  <si>
    <t>듀오 하이드로젠 테라피 3회</t>
  </si>
  <si>
    <t>쥬베룩 스킨부스터 2cc+스킨보톡스 얼굴전체 (나보타) 1회</t>
  </si>
  <si>
    <t>네오빔(압출미포함)+LDM 베이직 8분 3회</t>
  </si>
  <si>
    <t>[화이트닝] 봄맞이 잡티 지우개</t>
  </si>
  <si>
    <t>[결개선, 모공/흉터 개선] 버츄RF 얼굴전체+쥬베룩 스킨부스터 2cc+크라이오 1회</t>
  </si>
  <si>
    <t>[밤색 잡티 타파] 피코슈어토닝+모델링팩 5회+줌패스 1회</t>
  </si>
  <si>
    <t>[토닝과 미백을 동시에] GD토닝+LDM 베이직 8분 3회</t>
  </si>
  <si>
    <t xml:space="preserve">[칙칙한 피부톤 개선] 헐리우드 토닝+LDM 물방울리프팅 12분 5회	</t>
  </si>
  <si>
    <t>[화수목] 핑크필 1회</t>
  </si>
  <si>
    <t>[화수목] 주름 보톡스 3부위 (엘러간)</t>
  </si>
  <si>
    <t>[화수목] 슈링크 유니버스 (라인 or 부스터) 600샷+오로라 앰플 1회</t>
  </si>
  <si>
    <t>베이직 스킨케어(수분/재생/진정/미백) 3회 특가</t>
  </si>
  <si>
    <t>주름 보톡스(나보타) 3부위 특가</t>
  </si>
  <si>
    <t>리프테라2 (라인 300샷 / 펜타입 3000샷 중 택1) 특가</t>
  </si>
  <si>
    <t>힐로웨이브 런칭 EVENT
(런칭 이벤트 기간 : 26년 3월 말까지)</t>
  </si>
  <si>
    <t>힐로웨이브 2cc 1회 (10 point 시술, 니들 or 캐뉼라 선택 가능)</t>
  </si>
  <si>
    <t>힐로웨이브 2cc 3회 (8주간격)</t>
  </si>
  <si>
    <t>힐로웨이브 2cc 1회+리쥬란힐러 2cc 1회</t>
  </si>
  <si>
    <t>힐로웨이브 2cc (니들) 1회+엘라비에 리투오 8cc (니들) 1회 #니들만 가능#</t>
  </si>
  <si>
    <t>힐로웨이브 2cc 1회+LDM 물방울 리프팅 12분 3회</t>
  </si>
  <si>
    <t>힐로웨이브 2cc 1회+토르RF 풀페이스 (아이포함) 1회</t>
  </si>
  <si>
    <t>월초 : 베러미의원이 전하는 봄 Better Me Clinic Spring Bloom
월 중순 : 쥬브아셀 런칭 EVENT</t>
  </si>
  <si>
    <t>2월 디자인 작업 요청서</t>
  </si>
  <si>
    <t>2월 예정인 월별 이벤트
금액의 정상가</t>
  </si>
  <si>
    <t>2월 예정인 월별 이벤트</t>
  </si>
  <si>
    <t xml:space="preserve">설 명절 증후군, 피부로 풀자 </t>
  </si>
  <si>
    <t>[잡티원킬] 점제거, 사마귀, 쥐젖 20개+토닝+줌패스 1회</t>
  </si>
  <si>
    <t>피코프락셀+쥬베룩 스킨부스터 4cc 1회</t>
  </si>
  <si>
    <t>아이 소프웨이브 50샷+눈가 보톡스 (제오민)</t>
  </si>
  <si>
    <t>무통 리쥬란HB 3cc+크라이오 관리 1회</t>
  </si>
  <si>
    <t>피코슈어토닝+엑셀V 제네시스+선택관리(수분/진정/재생/미백) 5회</t>
  </si>
  <si>
    <t>버츄RF 얼굴전체+ISCE 더블 엑소좀+크라이오 (기미 재발 방지 상품) 3회</t>
  </si>
  <si>
    <t>세르프 600샷+토르RF 풀페이스 (아이포함) 1회</t>
  </si>
  <si>
    <t>My Sweet Better Me Valentine</t>
  </si>
  <si>
    <t>얼굴전체 스킨보톡스 (제오민)+물광주사 2.5cc 1회</t>
  </si>
  <si>
    <t>사각턱 보톡스 50U (제오민)+주름 보톡스 3부위 (제오민)</t>
  </si>
  <si>
    <t>GD토닝+LDM 베이직 8분 3회</t>
  </si>
  <si>
    <t>2쁨 2배 이벤트</t>
  </si>
  <si>
    <t>수소토닝 (수소 아쿠아필+피코슈어토닝) 2회</t>
  </si>
  <si>
    <t>골드PTT+엑셀V 듀얼모드 2회</t>
  </si>
  <si>
    <t>[아이리프팅 조합] 토르RF 아이리프팅+아이 쿨페이즈 200샷 1회</t>
  </si>
  <si>
    <t>얼굴전체 리프팅 버츄RF 2회</t>
  </si>
  <si>
    <t>[화수목] 피코슈어 바디토닝 1회</t>
  </si>
  <si>
    <t>[화수목] 엑셀V 레드스카 3회</t>
  </si>
  <si>
    <t>[화수목] 릴리이드M 5cc 1회</t>
  </si>
  <si>
    <t>[화수목] 하이엔드 경정맥 수액 3회</t>
  </si>
  <si>
    <t>[화수목] 프리미엄 스킨케어 3회</t>
  </si>
  <si>
    <t>[화수목] 헐리우드 듀얼토닝 (헐리우드 스펙트라 5000샷) 3회</t>
  </si>
  <si>
    <t>[화수목] 이중턱 인모드FX 3회 + 프리미엄 아큐주사 10cc 3회</t>
  </si>
  <si>
    <t>울쎄라피 프라임 런칭 EVENT
(런칭 이벤트 기간 : 26년 2월 말까지)</t>
  </si>
  <si>
    <t>울쎄라피 프라임 런칭E) 울쎄라피 프라임 300샷 리커버리 프로그램 (무통수액, 핑크필 포함, 마취크림 성분이 산성이라 핑크필은 당일 X, 1~2주일 이내)</t>
  </si>
  <si>
    <t>울쎄라피 프라임 런칭E) 울쎄라피 프라임 400샷 리커버리 프로그램 (무통수액, 핑크필 포함)</t>
  </si>
  <si>
    <t>울쎄라피 프라임 런칭E) 울쎄라피 프라임 600샷 리커버리 프로그램 (무통수액, 핑크필 포함)</t>
  </si>
  <si>
    <r>
      <rPr>
        <sz val="11"/>
        <color rgb="FF000000"/>
        <rFont val="Malgun Gothic"/>
        <family val="3"/>
        <charset val="129"/>
      </rPr>
      <t>울쎄라피 프라임 런칭E) 울써마지 600샷 (울쎄라피 프라임 300샷, 써마지 300샷) (울쎄라피 300샷을 800,000원에 받는 혜택)</t>
    </r>
  </si>
  <si>
    <t>울쎄라피 프라임 런칭E) 울써마지 900샷 (울쎄라피 프라임 300샷, 써마지 600샷) (울쎄라피 300샷을 800,000원에 받는 혜택)</t>
  </si>
  <si>
    <t>울쎄라피 프라임 런칭E) 울쎄르프 600샷 (울쎄라피 프라임 300샷, 세르프 300샷) (울쎄라피 300샷을 800,000원에 받는 혜택)</t>
  </si>
  <si>
    <t>울쎄라피 프라임 런칭E) 울쎄르프 900샷 (울쎄라피 프라임 300샷, 세르프 600샷) (울쎄라피 300샷을 800,000원에 받는 혜택)</t>
  </si>
  <si>
    <t>울쎄라피 프라임 런칭E 옵션) MINI 유지치료 (슈링크 300샷 + 리프테라 3000샷)</t>
  </si>
  <si>
    <t>울쎄라피 프라임 런칭E 옵션) 얼굴 전체 스킨보톡스 (엘러간)</t>
  </si>
  <si>
    <t>울쎄라피 프라임 런칭E 옵션) 얼굴 전체 스킨보톡스 (제오민)</t>
  </si>
  <si>
    <t>울쎄라피 프라임 런칭E 옵션) 얼굴 전체 스킨보톡스 (나보타)</t>
  </si>
  <si>
    <t>울쎄라피 프라임 런칭E 옵션) 비스포크 스킨부스터 - 리쥬란 2cc, 무통 리쥬란HB 1cc, 쥬베룩 2cc</t>
  </si>
  <si>
    <t>울쎄라피 프라임 런칭E 옵션) 벨로테로 소프트 1cc 추가</t>
  </si>
  <si>
    <t xml:space="preserve">울쎄라피 프라임 런칭E 옵션) 버츄 아이 리프팅 2회 </t>
  </si>
  <si>
    <t>월초 : 2쁨 2배 이벤트
월 중순 : 쿨소닉 런칭 EVENT</t>
  </si>
  <si>
    <t>쥬브아셀 4cc 스킨부스터 (하이쿡스 전용)</t>
  </si>
  <si>
    <t>쥬브아셀 4cc 스킨부스터 (하이쿡스 전용) 3회</t>
  </si>
  <si>
    <t>1월 디자인 작업 요청서</t>
  </si>
  <si>
    <t>1월 예정인 월별 이벤트
금액의 정상가</t>
  </si>
  <si>
    <t>1월 예정인 월별 이벤트</t>
  </si>
  <si>
    <t>기재된 금액은 모두 vat 별도</t>
  </si>
  <si>
    <t>홈페이지 금액
(상시 이벤트가)</t>
  </si>
  <si>
    <t>정상가
(이벤트 금액X2)-1,000</t>
  </si>
  <si>
    <t>이벤트 금액</t>
  </si>
  <si>
    <t>실 할인율
(홈페이지 가격 대비)</t>
  </si>
  <si>
    <t>2026 베러미 신년 특별 기획전</t>
  </si>
  <si>
    <t>[새해 첫 관리] LDM 베이직 8분 5회</t>
  </si>
  <si>
    <t>[포마테라] 인모드 FORMA+리프테라 펜타입 3000샷 1회</t>
  </si>
  <si>
    <t>[새해는 리쥬란과 함께] 리쥬란힐러 4cc+LDM 베이직 8분 1회</t>
  </si>
  <si>
    <t>[2026년의 시작은 오래가는 스킨부스터로] 벨로테로 리바이브 2cc (선착순 10명)</t>
  </si>
  <si>
    <t>[킴카다시안의 선택] 쿨페이즈 600샷 + LDM 물방울 리프팅 12분 1회</t>
  </si>
  <si>
    <t>여드름 관리, 피부 장벽 강화 5주 패키지 (필요시 염증주사+약처방 포함)
1주 / 3주 : 압출+블랙필+네오빔
2주 / 4주 : LDM 재생관리
5주 : 제네시스 + 수소 아쿠아필</t>
  </si>
  <si>
    <t>대표원장님 추천시술/1년 회원권 시술</t>
  </si>
  <si>
    <t>스킨보톡스 얼굴전체 (제오민) 3회</t>
  </si>
  <si>
    <t>벨로테로 밸런스 디자인 동안 리프팅 필러 3cc (앞볼, 옆볼, 팔자)</t>
  </si>
  <si>
    <t>주름 보톡스 2부위 (제오민)+사각턱 보톡스 50U (제오민)</t>
  </si>
  <si>
    <t>이중턱파괴 브이올렛 2CC 1회</t>
  </si>
  <si>
    <t>슈링크 유니버스 600샷+토르RF 리프팅 풀페이스 1회</t>
  </si>
  <si>
    <t>피코슈어토닝+엑셀V 제네시스+선택관리 5회</t>
  </si>
  <si>
    <t>1월 다짐 패키지
[올해는 작심삼일 말고, 작심 365일]</t>
  </si>
  <si>
    <t>[쥬베룩X트리필 프로] 쥬베룩 볼륨 2cc +트리필 프로 1회</t>
  </si>
  <si>
    <t>리쥬베룩 HB (리쥬란HB 1cc+쥬베룩 스킨부스터 2cc) 1회</t>
  </si>
  <si>
    <t>엑셀V 홍조+엑셀V 제네시스 3회</t>
  </si>
  <si>
    <t>라라샷+LDM 베이직 8분 5회</t>
  </si>
  <si>
    <t>[화수목] 프리미엄 물톡스 1회</t>
  </si>
  <si>
    <t>[화수목] 민트 코 전체 실리프팅 (콧대4줄) + 벨로테로 인텐스</t>
  </si>
  <si>
    <t>[화수목] 프리미엄 항노화주사 5회</t>
  </si>
  <si>
    <t>[화수목] 토르RF 앞목전체 1회</t>
  </si>
  <si>
    <t>[화수목] 스킨보톡스 목주름 (제오민)+벨로테로 목주름 필러(소프트) 1cc</t>
  </si>
  <si>
    <t>[화수목] 피코슈어토닝+LDM 베이직 8분 5회</t>
  </si>
  <si>
    <t>[화수목] 버츄 RF (모공, 흉터 모드) 얼굴 전체 - 크라이오 3회</t>
  </si>
  <si>
    <t>쥬베룩 아이 런칭 EVENT
(런칭 이벤트 기간 : 26년 1월 말까지)</t>
  </si>
  <si>
    <t>쥬베룩 아이 2cc 1회</t>
  </si>
  <si>
    <t>쥬베룩 아이 2cc 3회</t>
  </si>
  <si>
    <r>
      <rPr>
        <sz val="11"/>
        <color rgb="FF000000"/>
        <rFont val="Malgun Gothic"/>
        <family val="3"/>
        <charset val="129"/>
      </rPr>
      <t>울쎄라피 프라임 런칭E) 울써마지 600샷 (울쎄라피 프라임 300샷, 써마지 300샷) (울쎄라피 300샷을 800,000원에 받는 혜택)</t>
    </r>
  </si>
  <si>
    <t>#니들만 가능#</t>
  </si>
  <si>
    <t>월초 : 대표원장님 추천시술/1년 회원권 시술
월 중순 : 1월 다짐 패키지 [올해는 작심삼일 말고, 작심 365일]</t>
  </si>
  <si>
    <t>12월 디자인 작업 요청서</t>
  </si>
  <si>
    <t>12월 예정인 월별 이벤트
금액의 정상가</t>
  </si>
  <si>
    <t>12월 예정인 월별 이벤트</t>
  </si>
  <si>
    <t>2025 베러미 연말 결산</t>
  </si>
  <si>
    <t>LDM 물방울리프팅 20분 5회</t>
  </si>
  <si>
    <t>디자인 슈링크 600샷+토르RF 얼굴전체 1회 (슈링크 쫀쫀밴드 증정) #눈가제외#</t>
  </si>
  <si>
    <t>#눈가제외#</t>
  </si>
  <si>
    <t>스킨보톡스 얼굴전체 (엘러간) 3회</t>
  </si>
  <si>
    <t>풀페이스 리쥬란힐러(리쥬란힐러 2cc+아이리쥬란 1cc) 3회</t>
  </si>
  <si>
    <t>써마지FLX 600샷</t>
  </si>
  <si>
    <t>크리스마스 선물 패키지  
Christmas time again in Better me</t>
  </si>
  <si>
    <t>레스틸렌 (입술+입꼬리) 1cc+입꼬리 보톡스 (제오민)</t>
  </si>
  <si>
    <t>쥬베룩 스킨부스터 2cc 1회+인모드 FORMA 얼굴전체 1회</t>
  </si>
  <si>
    <t>민트 콧대 실리프팅 (콧대 4줄)</t>
  </si>
  <si>
    <t>벨로테로 (볼륨, 인텐스, 밸런스 中 교차 선택 가능) 3cc</t>
  </si>
  <si>
    <t>올타이트 400샷+턱라인 스킨보톡스 (국산)</t>
  </si>
  <si>
    <t>쿨페이즈 600샷+아이슈링크 100샷</t>
  </si>
  <si>
    <t>미리 메리 색소 제거 이벤트</t>
  </si>
  <si>
    <t>피코슈어 토닝+엑셀V 제네시스+LDM 베이직 8분 1회</t>
  </si>
  <si>
    <t>피코슈어토닝 3회+IBPS부스터필 3회</t>
  </si>
  <si>
    <t>피코슈어토닝 5회+LDM재생관리 5회</t>
  </si>
  <si>
    <t>[화수목] 라라필 1회</t>
  </si>
  <si>
    <t>[화수목] 이중턱 인모드FX+프리미엄 아큐주사 10cc 1회</t>
  </si>
  <si>
    <t>[화수목] 사각턱 보톡스 50U+침샘 보톡스 (나보타)</t>
  </si>
  <si>
    <t>[화수목] 주름 보톡스 2부위 (엘러간)</t>
  </si>
  <si>
    <t>[화수목] 이중턱 인모드FX+브이슈링크 200샷</t>
  </si>
  <si>
    <t xml:space="preserve">[화수목] 브이올렛 2cc 1회 </t>
  </si>
  <si>
    <t>노블쉐이프 20분 2부위 1회</t>
  </si>
  <si>
    <t>릴리이드 2.5cc 1회</t>
  </si>
  <si>
    <t>수험생 할인 이벤트
(이벤트 기간 : 25년 11월 1일 ~ 25년 12월 31일)</t>
  </si>
  <si>
    <r>
      <rPr>
        <b/>
        <sz val="10"/>
        <color rgb="FF000000"/>
        <rFont val="Malgun Gothic"/>
        <family val="3"/>
        <charset val="129"/>
      </rPr>
      <t>모든 상품 10% 할인 적용</t>
    </r>
    <r>
      <rPr>
        <sz val="10"/>
        <color rgb="FF000000"/>
        <rFont val="Malgun Gothic"/>
        <family val="3"/>
        <charset val="129"/>
      </rPr>
      <t xml:space="preserve">
이벤트 기간 : 25년 11월 1일 ~ 25년 12월 31일
이벤트 제외 : 첫방문 상품, 월별 단기 이벤트 상품 (중복 불가)
*수험표 지참 확인 필수 - 기간내로 반복 할인 가능</t>
    </r>
  </si>
  <si>
    <t>세르프 리프팅 런칭 EVENT
(런칭 이벤트 기간 : 25년 12월 말까지)</t>
  </si>
  <si>
    <t>세르프 300샷</t>
  </si>
  <si>
    <t>세르프 600샷</t>
  </si>
  <si>
    <t>세르프 900샷</t>
  </si>
  <si>
    <t>울쎄르프 600샷 (울쎄라 300샷+세르프 300샷)</t>
  </si>
  <si>
    <t>울쎄르프 900샷 (울쎄라 300샷+세르프 600샷)</t>
  </si>
  <si>
    <r>
      <rPr>
        <sz val="11"/>
        <color rgb="FF000000"/>
        <rFont val="Arial"/>
      </rPr>
      <t>울쎄라피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프라임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런칭</t>
    </r>
    <r>
      <rPr>
        <sz val="11"/>
        <color rgb="FF000000"/>
        <rFont val="Calibri"/>
      </rPr>
      <t xml:space="preserve">E) </t>
    </r>
    <r>
      <rPr>
        <sz val="11"/>
        <color rgb="FF000000"/>
        <rFont val="Arial"/>
      </rPr>
      <t>울써마지</t>
    </r>
    <r>
      <rPr>
        <sz val="11"/>
        <color rgb="FF000000"/>
        <rFont val="Calibri"/>
      </rPr>
      <t xml:space="preserve"> 600</t>
    </r>
    <r>
      <rPr>
        <sz val="11"/>
        <color rgb="FF000000"/>
        <rFont val="Arial"/>
      </rPr>
      <t>샷</t>
    </r>
    <r>
      <rPr>
        <sz val="11"/>
        <color rgb="FF000000"/>
        <rFont val="Calibri"/>
      </rPr>
      <t xml:space="preserve"> (</t>
    </r>
    <r>
      <rPr>
        <sz val="11"/>
        <color rgb="FF000000"/>
        <rFont val="Arial"/>
      </rPr>
      <t>울쎄라피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프라임</t>
    </r>
    <r>
      <rPr>
        <sz val="11"/>
        <color rgb="FF000000"/>
        <rFont val="Calibri"/>
      </rPr>
      <t xml:space="preserve"> 300</t>
    </r>
    <r>
      <rPr>
        <sz val="11"/>
        <color rgb="FF000000"/>
        <rFont val="Arial"/>
      </rPr>
      <t>샷</t>
    </r>
    <r>
      <rPr>
        <sz val="11"/>
        <color rgb="FF000000"/>
        <rFont val="Calibri"/>
      </rPr>
      <t xml:space="preserve">, </t>
    </r>
    <r>
      <rPr>
        <sz val="11"/>
        <color rgb="FF000000"/>
        <rFont val="Arial"/>
      </rPr>
      <t>써마지</t>
    </r>
    <r>
      <rPr>
        <sz val="11"/>
        <color rgb="FF000000"/>
        <rFont val="Calibri"/>
      </rPr>
      <t xml:space="preserve"> 300</t>
    </r>
    <r>
      <rPr>
        <sz val="11"/>
        <color rgb="FF000000"/>
        <rFont val="Arial"/>
      </rPr>
      <t>샷</t>
    </r>
    <r>
      <rPr>
        <sz val="11"/>
        <color rgb="FF000000"/>
        <rFont val="Calibri"/>
      </rPr>
      <t>) (</t>
    </r>
    <r>
      <rPr>
        <sz val="11"/>
        <color rgb="FF000000"/>
        <rFont val="Arial"/>
      </rPr>
      <t>울쎄라피</t>
    </r>
    <r>
      <rPr>
        <sz val="11"/>
        <color rgb="FF000000"/>
        <rFont val="Calibri"/>
      </rPr>
      <t xml:space="preserve"> 300</t>
    </r>
    <r>
      <rPr>
        <sz val="11"/>
        <color rgb="FF000000"/>
        <rFont val="Arial"/>
      </rPr>
      <t>샷을</t>
    </r>
    <r>
      <rPr>
        <sz val="11"/>
        <color rgb="FF000000"/>
        <rFont val="Calibri"/>
      </rPr>
      <t xml:space="preserve"> 800,000</t>
    </r>
    <r>
      <rPr>
        <sz val="11"/>
        <color rgb="FF000000"/>
        <rFont val="Arial"/>
      </rPr>
      <t>원에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받는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혜택</t>
    </r>
    <r>
      <rPr>
        <sz val="11"/>
        <color rgb="FF000000"/>
        <rFont val="Calibri"/>
      </rPr>
      <t>)</t>
    </r>
  </si>
  <si>
    <t>월초 : 힐로웨이브 런칭 EVENT
월 중순 : 크리스마스 선물 패키지</t>
  </si>
  <si>
    <t>11월 디자인 작업 요청서</t>
  </si>
  <si>
    <t>11월 예정인 월별 이벤트
금액의 정상가</t>
  </si>
  <si>
    <t>11월 예정인 월별 이벤트</t>
  </si>
  <si>
    <t>빼빼로처럼 1+1 행복두배 UP!</t>
  </si>
  <si>
    <t>사각턱 보톡스 50U (국산)+프리미엄 아큐주사 10cc 1회</t>
  </si>
  <si>
    <t>엑셀V 제네시스 2회</t>
  </si>
  <si>
    <t>아이리쥬란 1cc+눈가 스킨보톡스 (국산) 1회</t>
  </si>
  <si>
    <t>플라필+피코슈어토닝 2회</t>
  </si>
  <si>
    <t>슈링크 600샷+턱라인 스킨보톡스 (국산) 1회</t>
  </si>
  <si>
    <t xml:space="preserve">블랙프라이데이 
BETTERME BLACK FRIDAY   </t>
  </si>
  <si>
    <t>듀오 하이드로젠 테라피 1회</t>
  </si>
  <si>
    <t>물광주사 2.5cc 3회</t>
  </si>
  <si>
    <t>[하이쿡스 ONLY] 릴리쥬베톡신 (쥬베룩 2cc+릴리이드M 2cc+국산 스킨보톡스 얼굴전체) 1회</t>
  </si>
  <si>
    <t>[눈밑잔주름전용] 울쎄라 100샷+스킨보톡스 1부위 (국산)</t>
  </si>
  <si>
    <t>[물광 하이엔드] 벨로테로 리바이브 1cc 1회</t>
  </si>
  <si>
    <t>11월, 가을 탄력 피부 되찾기</t>
  </si>
  <si>
    <t>토르RF 풀페이스 (아이포함) 1회</t>
  </si>
  <si>
    <t>[흉터 올인원 패키지] 헐리우드 프락셀 or 버츄RF 모공/흉터모드 + CO2 에어 서브시전 + 트리필 프로 쥬베룩 볼륨 2cc 1회</t>
  </si>
  <si>
    <t>피코슈어토닝+모델링팩 5회+줌패스 1회</t>
  </si>
  <si>
    <t>GD토닝+LDM 물방울리프팅 12분 3회</t>
  </si>
  <si>
    <t>November Glow Up:너의 피부 빛나는 순간</t>
  </si>
  <si>
    <t>핑크필 1회</t>
  </si>
  <si>
    <t>아이스 아쿠아필 3단계 3회</t>
  </si>
  <si>
    <t>멜라부스터 더블토닝 (ISCE 엑소좀+피코슈어토닝) 1회</t>
  </si>
  <si>
    <t>X</t>
  </si>
  <si>
    <t>[에어녹스 출시 기념] 리쥬란힐러 2cc+물광주사 2.5cc (리쥬란 4cc 진행시 349,000원 / 리쥬란 HB로 변경 시 1cc 당 50,000원 / 에어녹스 50,000원 추가)</t>
  </si>
  <si>
    <t>버츄 RF 얼굴전체 + ISCE 더블 엑소좀 + 크라이오 1회 (기미 재발 방지 상품)</t>
  </si>
  <si>
    <t>수능 이벤트</t>
  </si>
  <si>
    <t>골드PTT+엑셀V 듀얼모드 1회</t>
  </si>
  <si>
    <t>[수입] 벨로테로 인텐스 턱끝필러 1cc+자갈턱 보톡스 (제오민)</t>
  </si>
  <si>
    <t>[수입] 레스틸렌 이마 필러 3cc + 이마 보톡스 (제오민)</t>
  </si>
  <si>
    <t>여드름 4주 패키지 (필요시 염증주사+약처방 포함)
1주 / 3주 : 압출+블랙필+네오빔
2주 / 4주 : LDM 재생관리</t>
  </si>
  <si>
    <t>수험생 할인 이벤트</t>
  </si>
  <si>
    <r>
      <rPr>
        <b/>
        <sz val="10"/>
        <color rgb="FF000000"/>
        <rFont val="Malgun Gothic"/>
        <family val="3"/>
        <charset val="129"/>
      </rPr>
      <t>모든 상품 10% 할인 적용</t>
    </r>
    <r>
      <rPr>
        <sz val="10"/>
        <color rgb="FF000000"/>
        <rFont val="Malgun Gothic"/>
        <family val="3"/>
        <charset val="129"/>
      </rPr>
      <t xml:space="preserve">
이벤트 기간 : 25년 11월 1일 ~ 25년 12월 31일
이벤트 제외 : 첫방문 상품, 월별 단기 이벤트 상품 (중복 불가)
*수험표 지참 확인 필수 - 기간내로 반복 할인 가능</t>
    </r>
  </si>
  <si>
    <t>[화수목] 주름 보톡스 3부위 (제오민)</t>
  </si>
  <si>
    <t>[화수목] 광대 보톡스 (엘러간)</t>
  </si>
  <si>
    <t>[화수목] 옆볼필러 2cc (수입, 아말리안)</t>
  </si>
  <si>
    <t>[화수목] 얼굴전체 리프팅 버츄 1회</t>
  </si>
  <si>
    <t>[화수목] 골드PTT 3회</t>
  </si>
  <si>
    <t>세르프 리프팅 런칭
(런칭 이벤트 기간 : 25년 12월 말까지)</t>
  </si>
  <si>
    <t>쥬베룩 아이 런칭
(런칭 이벤트 기간 : 26년 1월 말까지)</t>
  </si>
  <si>
    <t>베러미 범어점 카톡 플러스 친구 전용 이벤트 
-1인 1회 (2개월 정도 유지)</t>
  </si>
  <si>
    <t>월초 : 빼빼로처럼 1+1 행복두배 UP!
월 중순 : 울쎄라피 프라임, 세르프 리프팅 런칭</t>
  </si>
  <si>
    <t>런칭 이벤트 후</t>
  </si>
  <si>
    <t>런칭 이벤트 상품의 정가</t>
  </si>
  <si>
    <t>2월말까지 런칭 이벤트 가격</t>
  </si>
  <si>
    <t>울쎄라피 프라임 런칭 이벤트
(런칭 이벤트 기간 : 26년 2월말까지)</t>
  </si>
  <si>
    <r>
      <rPr>
        <sz val="11"/>
        <color rgb="FF000000"/>
        <rFont val="Arial"/>
      </rPr>
      <t>울쎄라피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프라임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런칭</t>
    </r>
    <r>
      <rPr>
        <sz val="11"/>
        <color rgb="FF000000"/>
        <rFont val="Calibri"/>
      </rPr>
      <t xml:space="preserve">E) </t>
    </r>
    <r>
      <rPr>
        <sz val="11"/>
        <color rgb="FF000000"/>
        <rFont val="Arial"/>
      </rPr>
      <t>울써마지</t>
    </r>
    <r>
      <rPr>
        <sz val="11"/>
        <color rgb="FF000000"/>
        <rFont val="Calibri"/>
      </rPr>
      <t xml:space="preserve"> 600</t>
    </r>
    <r>
      <rPr>
        <sz val="11"/>
        <color rgb="FF000000"/>
        <rFont val="Arial"/>
      </rPr>
      <t>샷</t>
    </r>
    <r>
      <rPr>
        <sz val="11"/>
        <color rgb="FF000000"/>
        <rFont val="Calibri"/>
      </rPr>
      <t xml:space="preserve"> (</t>
    </r>
    <r>
      <rPr>
        <sz val="11"/>
        <color rgb="FF000000"/>
        <rFont val="Arial"/>
      </rPr>
      <t>울쎄라피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프라임</t>
    </r>
    <r>
      <rPr>
        <sz val="11"/>
        <color rgb="FF000000"/>
        <rFont val="Calibri"/>
      </rPr>
      <t xml:space="preserve"> 300</t>
    </r>
    <r>
      <rPr>
        <sz val="11"/>
        <color rgb="FF000000"/>
        <rFont val="Arial"/>
      </rPr>
      <t>샷</t>
    </r>
    <r>
      <rPr>
        <sz val="11"/>
        <color rgb="FF000000"/>
        <rFont val="Calibri"/>
      </rPr>
      <t xml:space="preserve">, </t>
    </r>
    <r>
      <rPr>
        <sz val="11"/>
        <color rgb="FF000000"/>
        <rFont val="Arial"/>
      </rPr>
      <t>써마지</t>
    </r>
    <r>
      <rPr>
        <sz val="11"/>
        <color rgb="FF000000"/>
        <rFont val="Calibri"/>
      </rPr>
      <t xml:space="preserve"> 300</t>
    </r>
    <r>
      <rPr>
        <sz val="11"/>
        <color rgb="FF000000"/>
        <rFont val="Arial"/>
      </rPr>
      <t>샷</t>
    </r>
    <r>
      <rPr>
        <sz val="11"/>
        <color rgb="FF000000"/>
        <rFont val="Calibri"/>
      </rPr>
      <t>) (</t>
    </r>
    <r>
      <rPr>
        <sz val="11"/>
        <color rgb="FF000000"/>
        <rFont val="Arial"/>
      </rPr>
      <t>울쎄라피</t>
    </r>
    <r>
      <rPr>
        <sz val="11"/>
        <color rgb="FF000000"/>
        <rFont val="Calibri"/>
      </rPr>
      <t xml:space="preserve"> 300</t>
    </r>
    <r>
      <rPr>
        <sz val="11"/>
        <color rgb="FF000000"/>
        <rFont val="Arial"/>
      </rPr>
      <t>샷을</t>
    </r>
    <r>
      <rPr>
        <sz val="11"/>
        <color rgb="FF000000"/>
        <rFont val="Calibri"/>
      </rPr>
      <t xml:space="preserve"> 800,000</t>
    </r>
    <r>
      <rPr>
        <sz val="11"/>
        <color rgb="FF000000"/>
        <rFont val="Arial"/>
      </rPr>
      <t>원에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받는</t>
    </r>
    <r>
      <rPr>
        <sz val="11"/>
        <color rgb="FF000000"/>
        <rFont val="Calibri"/>
      </rPr>
      <t xml:space="preserve"> </t>
    </r>
    <r>
      <rPr>
        <sz val="11"/>
        <color rgb="FF000000"/>
        <rFont val="Arial"/>
      </rPr>
      <t>혜택</t>
    </r>
    <r>
      <rPr>
        <sz val="11"/>
        <color rgb="FF000000"/>
        <rFont val="Calibri"/>
      </rPr>
      <t>)</t>
    </r>
  </si>
  <si>
    <t>10월 디자인 작업 요청서</t>
  </si>
  <si>
    <t>9월 예정인 월별 이벤트
금액의 정상가</t>
  </si>
  <si>
    <t>10월 예정인 월별 이벤트</t>
  </si>
  <si>
    <t>추석 연휴 전
강秋 원데이 시술</t>
  </si>
  <si>
    <t>[원데이 노세범 패키지] 아쿠아필+네오빔 1회</t>
  </si>
  <si>
    <t>[원데이 모공&amp;흉터 세트] 헐리우드 프락셀+쥬베룩 스킨부스터 2cc+크라이오 1회 (트리필 프로 옵션 추가 가능)</t>
  </si>
  <si>
    <t>[원데이 미백&amp;리프팅 동시에] 토르RF 풀페이스+엑셀V 제네시스+LDM 베이직 8분 1회</t>
  </si>
  <si>
    <t>[원데이 리쥬란&amp;스킨보톡스 패키지] 리쥬란힐러 4cc+얼굴전체 스킨보톡스 (제오민)+LED+진정팩+더블백옥샷 1회</t>
  </si>
  <si>
    <r>
      <rPr>
        <sz val="11"/>
        <color rgb="FF000000"/>
        <rFont val="Malgun Gothic"/>
        <family val="3"/>
        <charset val="129"/>
      </rPr>
      <t>10월 TOP 3 가성비 리프팅 추천</t>
    </r>
  </si>
  <si>
    <t>[이중턱 전용 V인모드] V슈링크 200샷+인모드 FX 1부위 (이중턱) 1회</t>
  </si>
  <si>
    <t>[눈가 주변을 탄탄하게] 토르RF 아이리프팅+아이리쥬란 1cc 1회</t>
  </si>
  <si>
    <t>인모드 FX 얼굴전체 + 슈링크 600샷 (V슈링크 100샷 포함) 1회</t>
  </si>
  <si>
    <r>
      <rPr>
        <sz val="11"/>
        <color rgb="FF000000"/>
        <rFont val="Malgun Gothic"/>
        <family val="3"/>
        <charset val="129"/>
      </rPr>
      <t>10월 베러미 선물</t>
    </r>
  </si>
  <si>
    <t>하이엔드 경정맥 수액 2회</t>
  </si>
  <si>
    <t>피부를 더 환하고 탄탄하게, 더블 백옥주사 3회 (글루타치온 함량 2배)</t>
  </si>
  <si>
    <t>스킨보톡스 얼굴전체 (나보타) 1회</t>
  </si>
  <si>
    <t>GD토닝+LDM 베이직 8분 1회</t>
  </si>
  <si>
    <t>고객님 덕분에
베러미의원 감사제</t>
  </si>
  <si>
    <t>내맘대로 필링관리 5회 (라라필/플라필/물톡스필/부스터필 中 택1)</t>
  </si>
  <si>
    <t>250,000원 이상</t>
  </si>
  <si>
    <t>[서브시전 리쥬란S 흉터치료 패키지] 리쥬란S 1cc+재생관리+LED+모델링팩 1회</t>
  </si>
  <si>
    <t>쿨페이즈 300샷+리프테라 300샷 (or 펜타입 3000샷) 1회</t>
  </si>
  <si>
    <t>소프웨이브 소울 리프팅 패키지 (소프웨이브 100샷, 울쎄라 100샷)</t>
  </si>
  <si>
    <t>#포함 항목
- 소프웨이브 100샷 (팔자, 마리오네트)
- 울쎄라 100샷 (이중턱, 턱라인)
- 소프웨이브 시술 전용 쿨러
- 고주파 붓기 관리 or LDM 재생관리 8분 1회</t>
  </si>
  <si>
    <t>연휴 찐살타파</t>
  </si>
  <si>
    <t>바디 플로리스 4000샷 1회</t>
  </si>
  <si>
    <t>[NO 스테로이드] 바디 골드XV 주사 100cc 1회</t>
  </si>
  <si>
    <t>바디인모드 FX+토르RF 바디 1회</t>
  </si>
  <si>
    <t>복부, 옆구리 바디인모드 FX 3회</t>
  </si>
  <si>
    <t>복부, 옆구리 S퀸러미주사 200cc 3회</t>
  </si>
  <si>
    <t>가을 색소 
화이트닝</t>
  </si>
  <si>
    <t>제네시스 토닝(엑셀V 제네시스+피코슈어토닝)+LDM 재생관리 2회</t>
  </si>
  <si>
    <t>[잡티원킬] 점제거, 사마귀, 쥐젖 10개+토닝+줌패스 1회</t>
  </si>
  <si>
    <t>피코슈어토닝+IBPS 부스터필 3회</t>
  </si>
  <si>
    <t>피코슈어토닝+LDM 재생관리 5회</t>
  </si>
  <si>
    <t>⭐품절 주의⭐ [색소 개선과 피부결 개선을 동시에] ECM 콜라겐 주사 엘라비에 리투오 1회</t>
  </si>
  <si>
    <t>에뻐지는 화수목 이벤트
(기존 수목금 -&gt; 화수목 변경)</t>
  </si>
  <si>
    <t>[화수목] 2세대 오투덤 산소테라피 1회</t>
  </si>
  <si>
    <t>[화수목] 눈가, 마리오네트 울트라콜 100 2cc 1회</t>
  </si>
  <si>
    <t>[화수목] 스킨보톡스 얼굴전체 (제오민)+물광주사 2.5cc 1회</t>
  </si>
  <si>
    <t>[화수목] 벨로테로 주름필러 (소프트) 1cc</t>
  </si>
  <si>
    <t>[화수목] 줄기세포배양액 ISCE 코어 재생 더블리프팅 버츄 RF 1회</t>
  </si>
  <si>
    <t>[화수목] 벨로테로 볼륨/밸런스/인텐스 필러 3cc 1회</t>
  </si>
  <si>
    <t>베러미 범어점 카톡 플러스
 친구 전용 이벤트 
-1인 1회 (2개월 정도 유지)</t>
  </si>
  <si>
    <t>월초 : 추석 전후 원데이 패키지
월 중순 : 연휴 찐살타파</t>
  </si>
  <si>
    <t>9월 디자인 작업 요청서</t>
  </si>
  <si>
    <t>9월 예정인 월별 이벤트</t>
  </si>
  <si>
    <r>
      <rPr>
        <sz val="10"/>
        <color rgb="FF000000"/>
        <rFont val="Segoe UI Emoji"/>
      </rPr>
      <t>💛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Calibri"/>
      </rPr>
      <t>ND YEAR ANNIVERSARY</t>
    </r>
    <r>
      <rPr>
        <sz val="10"/>
        <color rgb="FF000000"/>
        <rFont val="Segoe UI Emoji"/>
      </rPr>
      <t xml:space="preserve">💛
</t>
    </r>
    <r>
      <rPr>
        <sz val="10"/>
        <color rgb="FF000000"/>
        <rFont val="맑은 고딕"/>
        <family val="3"/>
        <charset val="129"/>
      </rPr>
      <t xml:space="preserve">(베러미의원 범어점 2주년 감사 이벤트, 9월 1일 - 9월 30일까지 / 선착순 티케팅 완료 시 이벤트 조기 종료) </t>
    </r>
  </si>
  <si>
    <t>스킨부스터 22 감사 패키지 - 트리필프로 (리쥬란힐러 2cc + 물광주사 2.5cc) + 크라이오 (선착순 10명)</t>
  </si>
  <si>
    <t xml:space="preserve">스킨부스터 100 감사 패키지 - 풀페이스 리쥬란 힐러 (리쥬란HB 2cc + 아이 리쥬란 1cc) 3회 (선착순 10명) </t>
  </si>
  <si>
    <t>리프팅 200 감사 패키지 - 울쎄라 300샷 + 쿨페이즈 300샷 + 올타이트 400샷 + 토르RF 아이 1회 (선착순 10명)</t>
  </si>
  <si>
    <t xml:space="preserve">리프팅 300 감사 패키지 - 울쎄라 300샷 + 써마지 300샷 + 올타이트 600샷 + 토르RF 풀페이스 1회 +토르RF 아이 1회 (선착순 10명) </t>
  </si>
  <si>
    <t>리프팅 400 감사 패키지 - 울쎄라 300샷 + 써마지 600샷 + 올타이트 400샷 + 쿨페이즈 300샷 + 토르RF 풀페이스 1회 + 토르RF 아이 2회 (선착순 10명)</t>
  </si>
  <si>
    <t>9월에는 예뻐지9</t>
  </si>
  <si>
    <t xml:space="preserve">국산필러 1cc </t>
  </si>
  <si>
    <t xml:space="preserve">[얼굴볼륨리셋] 아띠에르 볼륨 필러 1cc </t>
  </si>
  <si>
    <t>입술주름개선 리쥬란HB 1cc</t>
  </si>
  <si>
    <t>[입술주름리셋] 입술주름개선 리쥬란HB 1cc</t>
  </si>
  <si>
    <t xml:space="preserve">[눈가주름리셋] 아이리쥬란 1cc+아이슈링크 100샷 </t>
  </si>
  <si>
    <t>[눈가주름리셋] 토르 아이 리프팅 + 아이 리프테라 2000샷 옵션) 아이리쥬란 12만원(vat별도)</t>
  </si>
  <si>
    <t>[목주름리셋] 목주름 리쥬란힐러 2cc + 목주름 스킨보톡스 옵션)토르 앞목 RF 22만원(vat별도)</t>
  </si>
  <si>
    <t>쥬베룩 볼륨 4cc 1회</t>
  </si>
  <si>
    <t>여름철 지친 피부 9해줘</t>
  </si>
  <si>
    <t>듀오 하이드로젠 테라피 5회</t>
  </si>
  <si>
    <t>[촉촉재생]프리미엄 수소 아쿠아필 3회(듀오 하이드로젠 + LDM 재생 8분 3회)</t>
  </si>
  <si>
    <t>쥬베룩 스킨부스터 3cc+진정관리 1회</t>
  </si>
  <si>
    <t>[올인원여드름케어]네오빔+ISCE 더블엑소좀+진정관리 3회</t>
  </si>
  <si>
    <t>[광채재생리쥬란] 리쥬란힐러 2cc+리쥬란 스킨부스터 or 톤업부스터 MTS 1회</t>
  </si>
  <si>
    <t xml:space="preserve">[색소반짝] 피코슈어토닝+엑셀V 제네시스 5회 </t>
  </si>
  <si>
    <t>[잡티타파] 피코슈어토닝+ 촉촉팩 3회+줌패스 얼굴전체 1회</t>
  </si>
  <si>
    <t>반가워 가을
혜택왔秋</t>
  </si>
  <si>
    <t>헐리우드 프락셀(얼굴전체)+크라이오 3회</t>
  </si>
  <si>
    <t>피코줌패스 얼굴전체 1회</t>
  </si>
  <si>
    <t>엑셀V제네시스+LDM 베이직 3회</t>
  </si>
  <si>
    <t>[슈링크 유니버스 이중턱 전용팁 출시] 슈링크 유니버스 6.0mm팁 200샷</t>
  </si>
  <si>
    <t>[염증타파] 여드름 스케일링 + 골드 PTT 1회</t>
  </si>
  <si>
    <t>[기미재발방지] 버츄RF 얼굴전체+ISCE 더블 엑소좀+크라이오 1회</t>
  </si>
  <si>
    <t>[피부장벽강화] 버츄RF 얼굴전체+ISCE 더블 엑소좀+크라이오 1회</t>
  </si>
  <si>
    <t xml:space="preserve">토르RF 풀페이스+쥬베룩 스킨부스터 2cc 1회  </t>
  </si>
  <si>
    <t>트리필 프로 - 엘라비에 밸런스 + PDRN 스킨부스터 3cc</t>
  </si>
  <si>
    <t>위코우노 3주 패키지</t>
  </si>
  <si>
    <t>[제로페인 스킨부스터] 위코우노 3주 패키지</t>
  </si>
  <si>
    <t>[남성제모] 풀페이스(턱+인중+볼+턱라인+구렛나루+윗목) 10회</t>
  </si>
  <si>
    <t>에뻐지는 수목금 이벤트</t>
  </si>
  <si>
    <t>[수목금] 주름 보톡스 3부위 (국산)</t>
  </si>
  <si>
    <t xml:space="preserve">[수목금] 엑셀V 레드스카 or 혈관 中 택 1회 </t>
  </si>
  <si>
    <t>[수목금] 프리미엄 물톡스 1회</t>
  </si>
  <si>
    <t>[수목금] 인모드 FORMA+LDM 물방울리프팅 12분 1회</t>
  </si>
  <si>
    <r>
      <rPr>
        <sz val="10"/>
        <color rgb="FF000000"/>
        <rFont val="Malgun Gothic"/>
        <family val="3"/>
        <charset val="129"/>
      </rPr>
      <t>[수목금]</t>
    </r>
    <r>
      <rPr>
        <b/>
        <sz val="10"/>
        <color rgb="FFFF0000"/>
        <rFont val="Malgun Gothic"/>
        <family val="3"/>
        <charset val="129"/>
      </rPr>
      <t xml:space="preserve"> 쥬베룩 볼륨 4cc 1회</t>
    </r>
  </si>
  <si>
    <t xml:space="preserve">[수목금] 브이올렛 2cc 1회 </t>
  </si>
  <si>
    <t>베러미 범어점 카톡 플러스
 친구 전용 이벤트 
-1인 1회</t>
  </si>
  <si>
    <t>인모드 FX 1부위 2회</t>
  </si>
  <si>
    <t>슈링크 유니버스 300샷 1회</t>
  </si>
  <si>
    <r>
      <rPr>
        <sz val="10"/>
        <color rgb="FF000000"/>
        <rFont val="Malgun Gothic"/>
        <family val="3"/>
        <charset val="129"/>
      </rPr>
      <t>올타이트 런칭 이벤트
(9월말까지)</t>
    </r>
  </si>
  <si>
    <t>런칭E) 올타이트 페이스 400샷</t>
  </si>
  <si>
    <t>런칭E) 올타이트 풀페이스 (페이스 + 이중턱) 600샷</t>
  </si>
  <si>
    <t>런칭E) 올타이트 로얄 풀페이스 (페이스 + 이중턱 + 목라인)</t>
  </si>
  <si>
    <t>런칭E) 1000샷 얼굴 소멸 이벤트 (올타이트 페이스 400샷 + 쿨페이즈 600샷)</t>
  </si>
  <si>
    <t>올타이트 런칭E 옵션가) 얼굴 전체 스킨보톡스 (나보타)</t>
  </si>
  <si>
    <t>올타이트 런칭E 옵션가) 얼굴 전체 스킨보톡스 (제오민)</t>
  </si>
  <si>
    <t>올타이트 런칭E 옵션가) 얼굴 전체 스킨보톡스 (엘러간)</t>
  </si>
  <si>
    <t>올타이트 런칭E 옵션가) 비스포크 스킨부스터 - 리쥬란 2cc, 무통리쥬란HB 1cc, 쥬베룩 2cc</t>
  </si>
  <si>
    <t>올타이트 런칭E 옵션가) 벨로테로 소프트 1cc 추가</t>
  </si>
  <si>
    <t>올타이트 런칭E 옵션가) 버츄 아이 리프팅 2회</t>
  </si>
  <si>
    <t>베러미 범어 시그니쳐 1
(9월말까지)</t>
  </si>
  <si>
    <t>프리미엄 모공소멸 프로그램 - 울쎄라 200샷 + 버츄RF 풀페이스 모공 흉터 1회 + 쥬베룩 4cc + 풀페이스 스킨보톡스 (엘러간) + 비스포크 스킨케어</t>
  </si>
  <si>
    <t>생기동안 프로그램 - 써마지 600샷 + 엘라비에 리투오 7cc + 비스포크 스킨케어 (써마지, 리투오 4주 간격으로 시행)</t>
  </si>
  <si>
    <t>올인원 탄력 패키지 - 소프웨이브 200샷, 써마지 600샷, 비스포크 스킨부스터, 비스포크 스킨케어, 태반주사</t>
  </si>
  <si>
    <r>
      <rPr>
        <sz val="10"/>
        <color rgb="FF000000"/>
        <rFont val="Malgun Gothic"/>
        <family val="3"/>
        <charset val="129"/>
      </rPr>
      <t xml:space="preserve">월초 : </t>
    </r>
    <r>
      <rPr>
        <sz val="10"/>
        <color rgb="FF000000"/>
        <rFont val="Segoe UI Emoji"/>
      </rPr>
      <t>💛</t>
    </r>
    <r>
      <rPr>
        <sz val="10"/>
        <color rgb="FF000000"/>
        <rFont val="맑은 고딕"/>
        <family val="3"/>
        <charset val="129"/>
      </rPr>
      <t>2ND ANNIVERSARY</t>
    </r>
    <r>
      <rPr>
        <sz val="10"/>
        <color rgb="FF000000"/>
        <rFont val="Segoe UI Emoji"/>
      </rPr>
      <t xml:space="preserve">💛
</t>
    </r>
    <r>
      <rPr>
        <sz val="10"/>
        <color rgb="FF000000"/>
        <rFont val="맑은 고딕"/>
        <family val="3"/>
        <charset val="129"/>
      </rPr>
      <t>월 중순 : 올타이트 -&gt; 브이슈링크 입고시 변경</t>
    </r>
  </si>
  <si>
    <t>8월 디자인 작업 요청서</t>
  </si>
  <si>
    <t>정상금액</t>
  </si>
  <si>
    <t>이벤트 전 홈페이지 가격</t>
  </si>
  <si>
    <t>실 할인율 (홈페이지 가격 대비)</t>
  </si>
  <si>
    <t>피부리셋, 여름 투어 패키지</t>
  </si>
  <si>
    <t>여드름 스케일링(전체압출+진정관리)+LDM 재생관리 1회</t>
  </si>
  <si>
    <t>듀오 하이드로젠 테라피+네오빔 1회</t>
  </si>
  <si>
    <t>트리필 프로 쥬베룩 볼륨 흉터 치료 2cc 1회</t>
  </si>
  <si>
    <t>벨로테로 리바이브 2cc 1회 (2회 시 120만원)</t>
  </si>
  <si>
    <t>Skin Vacation
(여름이 남긴 자국, 피부에 쉼표를)</t>
  </si>
  <si>
    <t>피코토닝+LDM 베이직 8분 1회</t>
  </si>
  <si>
    <t>헐리우드 토닝+위코우노 1cc+LDM 베이직</t>
  </si>
  <si>
    <t>바이리즌 1cc+얼굴전체 스킨보톡스 (제오민) (8명 선착순 한정)</t>
  </si>
  <si>
    <t>무통 리쥬란 HB 3cc+LDM 재생관리</t>
  </si>
  <si>
    <t>헐리우드 토닝+위코우노+LDM 베이직 8분+LED+시트팩</t>
  </si>
  <si>
    <t>쁘띠 바캉스 
HOT 8</t>
  </si>
  <si>
    <t>인모드 FX 1부위+윤곽주사10cc</t>
  </si>
  <si>
    <t>주름 보톡스 3부위 (엘러간)</t>
  </si>
  <si>
    <t>바디 보톡스 200U (나보타)</t>
  </si>
  <si>
    <t>레스틸렌 입술필러 1cc+입꼬리 보톡스 (국산)</t>
  </si>
  <si>
    <t>민트 코 전체 실리프팅 (콧대 2줄)+벨로테로 인텐스 코 필러</t>
  </si>
  <si>
    <t>벨로테로 밸런스 3cc (옆볼, 앞볼, 팔자 부위 선택 가능)</t>
  </si>
  <si>
    <t>울쎄라 300샷</t>
  </si>
  <si>
    <t>벨로테로 리바이브 1cc+써마지 300샷 (벨로테로 Trainer가 추천하는 피부 재생 조합)</t>
  </si>
  <si>
    <t xml:space="preserve">
트리필 프로
</t>
  </si>
  <si>
    <t>▶쥬베룩 볼륨 트리필 프로 단독 시술 시 가격 / 여드름 박스 스카 (vat별도)</t>
  </si>
  <si>
    <t>1회</t>
  </si>
  <si>
    <t>3회</t>
  </si>
  <si>
    <t>트리필프로 쥬베룩 볼륨 흉터 치료 2cc</t>
  </si>
  <si>
    <t>트리필프로 쥬베룩 볼륨 흉터 치료 3cc</t>
  </si>
  <si>
    <t>트리필프로 쥬베룩 볼륨 흉터 치료 4cc</t>
  </si>
  <si>
    <t>▶흉터 올인원 패키지 / 여드름 박스 스카 치료 (vat별도)</t>
  </si>
  <si>
    <t>헐리우드 프락셀 or 버츄RF 모공/흉터 모드 + CO2 에어 서브시전 + 트리필 프로 쥬베룩 볼륨 2cc 3회</t>
  </si>
  <si>
    <t>헐리우드 프락셀 or 버츄RF 모공/흉터 모드 + CO2 에어 서브시전 + 트리필 프로 쥬베룩 볼륨 3cc 3회</t>
  </si>
  <si>
    <t>헐리우드 프락셀 or 버츄RF 모공/흉터 모드 + CO2 에어 서브시전 + 트리필 프로 쥬베룩 볼륨 4cc 3회</t>
  </si>
  <si>
    <t>[수목금] IBPS 부스터필 1회</t>
  </si>
  <si>
    <t>[수목금] 더블 백옥샷 3회</t>
  </si>
  <si>
    <t>[수목금] 물광주사 2.5cc+스킨보톡스 얼굴전체 (국산) 1회</t>
  </si>
  <si>
    <t>[수목금] 슈링크 유니버스 400샷</t>
  </si>
  <si>
    <t>[수목금] [남성제모] 턱+인중 10회</t>
  </si>
  <si>
    <t>[수목금] [여성제모] 겨드랑이+헐리우드 바디토닝 5회</t>
  </si>
  <si>
    <t>[수목금] 골드PTT 3회</t>
  </si>
  <si>
    <t>베러미 범어점 카톡 플러스
 친구 전용 이벤트 
-1인 1회 (상시)</t>
  </si>
  <si>
    <t>주름 보톡스(제오민) 3부위 특가</t>
  </si>
  <si>
    <t>리프테라2 300샷(라인/부스터 중 택1) 특가</t>
  </si>
  <si>
    <t>프리미엄 소프웨이브 런칭 이벤트
(8월말까지)</t>
  </si>
  <si>
    <t>소프웨이브 100샷 + 고주파 붓기관리 or LDM 재생관리 1회</t>
  </si>
  <si>
    <t>소프웨이브 200샷 + 무통 쿨러 + 고주파 붓기관리 or LDM 재생관리 1회</t>
  </si>
  <si>
    <t>소프웨이브 300샷 + 무통 쿨러 + 고주파 붓기관리 or LDM 재생관리 2회 (수요일·목요일 한정)</t>
  </si>
  <si>
    <t xml:space="preserve">소프웨이브 300샷 프리미엄 패키지  </t>
  </si>
  <si>
    <r>
      <rPr>
        <sz val="11"/>
        <color rgb="FF000000"/>
        <rFont val="Malgun Gothic"/>
        <family val="3"/>
        <charset val="129"/>
      </rPr>
      <t>올타이트 런칭 이벤트
(9월말까지)</t>
    </r>
  </si>
  <si>
    <t>월초: 트리필프로 (고정은 올타이트)
월 중순 : 베러미 시그니쳐 (v슈링크 전에 나온다면 슈링크로 진행)</t>
  </si>
  <si>
    <t>매월1일(친구톡)</t>
  </si>
  <si>
    <t>분류</t>
  </si>
  <si>
    <t>리뷰</t>
  </si>
  <si>
    <t xml:space="preserve"> HOT SUMMER SALE !</t>
  </si>
  <si>
    <t>제오민 주름 BTX 10회 회원권</t>
  </si>
  <si>
    <t>얼굴 전체 인모드 FX + 윤곽 주사</t>
  </si>
  <si>
    <t>레디어스 1VAIL</t>
  </si>
  <si>
    <t>울쎄라피 프라임 300샷</t>
  </si>
  <si>
    <t>티타늄 리프팅 + 레이더스 1회</t>
  </si>
  <si>
    <t>7월 맞이 예쁨 플랜</t>
  </si>
  <si>
    <t>인중+턱 제모 5회</t>
  </si>
  <si>
    <t>윤곽주사 3회</t>
  </si>
  <si>
    <t>여드름 피부관리 PKG 4주</t>
  </si>
  <si>
    <t>프리미엄 관리 패키지 8주</t>
  </si>
  <si>
    <r>
      <rPr>
        <sz val="11"/>
        <color rgb="FF000000"/>
        <rFont val="맑은 고딕"/>
        <family val="3"/>
        <charset val="129"/>
      </rPr>
      <t>얼굴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필러 (입술/이마/눈가/팔자 제외)</t>
    </r>
  </si>
  <si>
    <r>
      <rPr>
        <sz val="11"/>
        <color rgb="FF000000"/>
        <rFont val="Malgun Gothic"/>
        <family val="3"/>
        <charset val="129"/>
      </rPr>
      <t>여름을 부탁해 !</t>
    </r>
    <r>
      <rPr>
        <sz val="11"/>
        <color rgb="FF000000"/>
        <rFont val="Yu Gothic"/>
      </rPr>
      <t xml:space="preserve">
</t>
    </r>
    <r>
      <rPr>
        <sz val="11"/>
        <color rgb="FF000000"/>
        <rFont val="맑은 고딕"/>
        <family val="3"/>
        <charset val="129"/>
      </rPr>
      <t>바디 바캉스</t>
    </r>
  </si>
  <si>
    <t>겨드랑이 + 인중 제모 5회</t>
  </si>
  <si>
    <t>팔뚝 지방 분해 주사 + 승모근 BTX (코어톡스)</t>
  </si>
  <si>
    <t>바디올렛 + 다이어트 약 처방</t>
  </si>
  <si>
    <t>어깨필러 + 승모근 BTX</t>
  </si>
  <si>
    <t xml:space="preserve">바디인모드 + 종아리 BTX </t>
  </si>
  <si>
    <t>[수목금] 엑셀V 홍조 얼굴전체+LDM홍조 1회</t>
  </si>
  <si>
    <t>[수목금] 침샘보톡스 - 귀밑 or 턱밑 (제오민)</t>
  </si>
  <si>
    <t>[수목금] 아이슈링크 200샷 1회</t>
  </si>
  <si>
    <t>[수목금] 버츄RF 얼굴전체+크라이오 1회</t>
  </si>
  <si>
    <t>[수목금] 디지털 자동 주사 아이젝 쥬베룩 스킨부스터 2cc 1회</t>
  </si>
  <si>
    <t>[수목금] 민트 코 전체 실리프팅 (콧대4줄+코끝2줄)</t>
  </si>
  <si>
    <t>[수목금] 프리미엄 이마 필러 3cc (벨로테로 볼륨)</t>
  </si>
  <si>
    <t>슈링크 유니버스 300샷(라인/부스터 중 택1) 특가</t>
  </si>
  <si>
    <t>프리미엄 소프웨이브 런칭 이벤트 (8월말 까지)</t>
  </si>
  <si>
    <t xml:space="preserve"> </t>
  </si>
  <si>
    <t>플친</t>
  </si>
  <si>
    <t>베러미와 함께하는
여름 휴가 JUNE비</t>
  </si>
  <si>
    <t>2세대 오투덤 산소테라피 1회</t>
  </si>
  <si>
    <t>엑셀V 레드스카 3회</t>
  </si>
  <si>
    <t>올리지오 600샷+LDM 물방울 리프팅 12분 1회</t>
  </si>
  <si>
    <t>다한증 보톡스 100U (제오민)</t>
  </si>
  <si>
    <r>
      <rPr>
        <sz val="11"/>
        <color rgb="FF000000"/>
        <rFont val="Calibri"/>
      </rPr>
      <t>2025</t>
    </r>
    <r>
      <rPr>
        <sz val="11"/>
        <color rgb="FF000000"/>
        <rFont val="맑은 고딕"/>
        <family val="3"/>
        <charset val="129"/>
      </rPr>
      <t>년 베러미 범어 상반기</t>
    </r>
    <r>
      <rPr>
        <sz val="11"/>
        <color rgb="FF000000"/>
        <rFont val="돋움"/>
        <family val="3"/>
        <charset val="129"/>
      </rPr>
      <t xml:space="preserve"> TOP 3</t>
    </r>
  </si>
  <si>
    <t>GD토닝 3회 + LDM 베이직 8분 3회</t>
  </si>
  <si>
    <t>풀페이스 리쥬란 힐러 (리쥬란 2cc + 아이리쥬란 1cc) + LDM 물방울 리프팅 12분 1회</t>
  </si>
  <si>
    <t>쿨페이즈 600샷</t>
  </si>
  <si>
    <r>
      <rPr>
        <sz val="11"/>
        <color rgb="FF000000"/>
        <rFont val="맑은 고딕"/>
        <family val="3"/>
        <charset val="129"/>
      </rPr>
      <t xml:space="preserve">한여름 </t>
    </r>
    <r>
      <rPr>
        <sz val="11"/>
        <color rgb="FF000000"/>
        <rFont val="Calibri"/>
      </rPr>
      <t>COOL</t>
    </r>
    <r>
      <rPr>
        <sz val="11"/>
        <color rgb="FF000000"/>
        <rFont val="맑은 고딕"/>
        <family val="3"/>
        <charset val="129"/>
      </rPr>
      <t xml:space="preserve">한 </t>
    </r>
    <r>
      <rPr>
        <sz val="11"/>
        <color rgb="FF000000"/>
        <rFont val="Calibri"/>
      </rPr>
      <t>SALE</t>
    </r>
  </si>
  <si>
    <t>[여성제모] 겨드랑이 5+1</t>
  </si>
  <si>
    <t>신데렐라 주사 3+1</t>
  </si>
  <si>
    <t>아이스 아쿠아필 3단계 5+1</t>
  </si>
  <si>
    <t>[남성제모] 턱+인중+진정관리 5+1</t>
  </si>
  <si>
    <t>피코슈어토닝+LDM 물방울리프팅 12분 5+1</t>
  </si>
  <si>
    <t>베러미 범어 시그니쳐</t>
  </si>
  <si>
    <t>프리미엄 모공소멸 프로그램 - 울쎄라 200샷 + 버츄RF 풀페이스 모공 흉터 1회 + 아이젝 쥬베룩 4cc + 풀페이스 스킨보톡스 (엘러간) + 비스포크 스킨케어</t>
  </si>
  <si>
    <t>스킨부스터 택 1 - (리쥬란 4cc, 무통리쥬란HB 2cc, 쥬베룩4cc)</t>
  </si>
  <si>
    <t>프리미엄 소프웨이브 런칭 이벤트</t>
  </si>
  <si>
    <t>월초 이벤트 : 프리미엄 소프웨이브 런칭 이벤트
월중순 강조 이벤트 : 2025년 베러미 범어 상반기 TOP 3
작성 부탁드립니다 :)</t>
  </si>
  <si>
    <t xml:space="preserve">
미리 하는 여름 준비
</t>
  </si>
  <si>
    <t>프리미엄 비타민 미백관리 3회</t>
  </si>
  <si>
    <r>
      <rPr>
        <sz val="11"/>
        <color rgb="FF000000"/>
        <rFont val="Malgun Gothic"/>
        <family val="3"/>
        <charset val="129"/>
      </rPr>
      <t>물광주사 2.5cc 3회</t>
    </r>
  </si>
  <si>
    <r>
      <rPr>
        <sz val="11"/>
        <color rgb="FF000000"/>
        <rFont val="Malgun Gothic"/>
        <family val="3"/>
        <charset val="129"/>
      </rPr>
      <t>스킨보톡스 얼굴전체 (나보타) 3회</t>
    </r>
  </si>
  <si>
    <t xml:space="preserve">
베러미에서 준비한 
가정의 달 이벤트
</t>
  </si>
  <si>
    <t>주름필러 벨로테로 소프트 1cc</t>
  </si>
  <si>
    <r>
      <rPr>
        <sz val="11"/>
        <color rgb="FF000000"/>
        <rFont val="Malgun Gothic"/>
        <family val="3"/>
        <charset val="129"/>
      </rPr>
      <t>벨로테로 인텐스 코필러 1cc</t>
    </r>
  </si>
  <si>
    <t>쥬베룩 볼륨 4cc 2회</t>
  </si>
  <si>
    <t>비스포크 울쎄라 300샷 + 나비존 더모톡신(국산)</t>
  </si>
  <si>
    <t xml:space="preserve">여름 대비 
바디 시술 이벤트  </t>
  </si>
  <si>
    <t>바디 보톡스 100U (제오민)</t>
  </si>
  <si>
    <t>S퀸러미주사 200cc 3회</t>
  </si>
  <si>
    <t>바디인모드 3회</t>
  </si>
  <si>
    <t>[수목금] 엑셀V 홍조 얼굴전체+LDM 홍조 1회</t>
  </si>
  <si>
    <t>[수목금] 광대 보톡스 (엘러간)</t>
  </si>
  <si>
    <r>
      <rPr>
        <sz val="11"/>
        <color rgb="FF000000"/>
        <rFont val="Malgun Gothic"/>
        <family val="3"/>
        <charset val="129"/>
      </rPr>
      <t>[수목금] 아이슈링크 200샷 1회</t>
    </r>
  </si>
  <si>
    <t>[수목금] 민트 코 전체 실리프팅 (콧대 4줄)</t>
  </si>
  <si>
    <r>
      <rPr>
        <sz val="11"/>
        <color rgb="FF000000"/>
        <rFont val="Malgun Gothic"/>
        <family val="3"/>
        <charset val="129"/>
      </rPr>
      <t>[수목금] 버츄 RF 브이라인 리프팅 + 크라이오 진정관리</t>
    </r>
  </si>
  <si>
    <t>[수목금] 리쥬란HB 3cc + 하이쿡스 + 크라이오 1회</t>
  </si>
  <si>
    <t>월초 이벤트 : 소프웨이브 런칭 이벤트
월중순 강조 이벤트 : 여름 대비 바디 시술 이벤트
작성 부탁드립니다 :)</t>
  </si>
  <si>
    <t>이벤트금액</t>
  </si>
  <si>
    <t>실 할인율</t>
  </si>
  <si>
    <t>베러미의원 범어점, 4월 맞춤 케어</t>
  </si>
  <si>
    <t>플래티넘 플라필 1회</t>
  </si>
  <si>
    <t>헐리우드 듀얼토닝 1회</t>
  </si>
  <si>
    <t>수소토닝 1회</t>
  </si>
  <si>
    <t>엑셀V 제네시스 3회</t>
  </si>
  <si>
    <t>벚꽃 필때, 외모 관리</t>
  </si>
  <si>
    <r>
      <rPr>
        <sz val="11"/>
        <color rgb="FF000000"/>
        <rFont val="맑은 고딕"/>
        <family val="3"/>
        <charset val="129"/>
      </rPr>
      <t>민트 모노실</t>
    </r>
    <r>
      <rPr>
        <sz val="11"/>
        <color rgb="FF000000"/>
        <rFont val="Arial"/>
      </rPr>
      <t xml:space="preserve"> 30</t>
    </r>
    <r>
      <rPr>
        <sz val="11"/>
        <color rgb="FF000000"/>
        <rFont val="맑은 고딕"/>
        <family val="3"/>
        <charset val="129"/>
      </rPr>
      <t>줄</t>
    </r>
  </si>
  <si>
    <r>
      <rPr>
        <sz val="11"/>
        <color rgb="FF000000"/>
        <rFont val="맑은 고딕"/>
        <family val="3"/>
        <charset val="129"/>
      </rPr>
      <t>아띠에르</t>
    </r>
    <r>
      <rPr>
        <sz val="11"/>
        <color rgb="FF000000"/>
        <rFont val="Arial"/>
      </rPr>
      <t xml:space="preserve"> 3cc 
*</t>
    </r>
    <r>
      <rPr>
        <sz val="11"/>
        <color rgb="FF000000"/>
        <rFont val="맑은 고딕"/>
        <family val="3"/>
        <charset val="129"/>
      </rPr>
      <t>미간/애교/눈밑/코/입술 제외</t>
    </r>
  </si>
  <si>
    <t>버츄RF 나비존 (모공,흉터모드)+크라이오 3회</t>
  </si>
  <si>
    <t>봄이 와서 준비해봄</t>
  </si>
  <si>
    <t>라라빔 1회 (라라샷+네오빔)</t>
  </si>
  <si>
    <t>토르RF 앞목전체+목주름 스킨보톡스 (국산) 1회</t>
  </si>
  <si>
    <t>리쥬란 스킨부스터 or 톤업부스터 (MTS O)+LDM 약물침투모드 3회</t>
  </si>
  <si>
    <t>[런칭이벤트] 엘라비에 리투오 7cc 1회</t>
  </si>
  <si>
    <t>[런칭이벤트] 벨로테로 리바이브 2cc 1회</t>
  </si>
  <si>
    <t>[수목금] 바디 보톡스 150U (국산)</t>
  </si>
  <si>
    <t>[수목금] 인모드FX 1부위+프리미엄 아큐주사 3cc 1회</t>
  </si>
  <si>
    <t>[수목금] 원데이 코조각 패키지 3회</t>
  </si>
  <si>
    <t>[수목금] 주름 보톡스 3부위 (엘러간)</t>
  </si>
  <si>
    <t>[수목금] 바이리즌 2cc 1회</t>
  </si>
  <si>
    <r>
      <rPr>
        <sz val="11"/>
        <color rgb="FF000000"/>
        <rFont val="Arial"/>
      </rPr>
      <t>[</t>
    </r>
    <r>
      <rPr>
        <sz val="11"/>
        <color rgb="FF000000"/>
        <rFont val="맑은 고딕"/>
        <family val="3"/>
        <charset val="129"/>
      </rPr>
      <t>수목금</t>
    </r>
    <r>
      <rPr>
        <sz val="11"/>
        <color rgb="FF000000"/>
        <rFont val="Arial"/>
      </rPr>
      <t xml:space="preserve">] </t>
    </r>
    <r>
      <rPr>
        <sz val="11"/>
        <color rgb="FF000000"/>
        <rFont val="맑은 고딕"/>
        <family val="3"/>
        <charset val="129"/>
      </rPr>
      <t>민트실</t>
    </r>
    <r>
      <rPr>
        <sz val="11"/>
        <color rgb="FF000000"/>
        <rFont val="Arial"/>
      </rPr>
      <t xml:space="preserve"> 4</t>
    </r>
    <r>
      <rPr>
        <sz val="11"/>
        <color rgb="FF000000"/>
        <rFont val="맑은 고딕"/>
        <family val="3"/>
        <charset val="129"/>
      </rPr>
      <t>줄</t>
    </r>
  </si>
  <si>
    <t>[수목금] 이마 벨로테로 필러 3cc</t>
  </si>
  <si>
    <t>베러미 범어점 김우림 원장님 
초빙 이벤트</t>
  </si>
  <si>
    <t>스킨보톡스 얼굴전체 (제오민) 1회</t>
  </si>
  <si>
    <t>원장님 사진 없이
타이틀만 디자인
(월화수 한정, 
김우림 원장님 지정시에만 가능)</t>
  </si>
  <si>
    <t>쥬베룩 스킨부스터 2cc 1회</t>
  </si>
  <si>
    <t>멜라부스터 ISCE 더블토닝 1회</t>
  </si>
  <si>
    <t>리쥬란힐러 2cc 1회</t>
  </si>
  <si>
    <t>올리지오 300샷</t>
  </si>
  <si>
    <t>프리미엄 써마지 런칭 이벤트</t>
  </si>
  <si>
    <t>써마지FLX 300샷</t>
  </si>
  <si>
    <t>울써마지 600샷 (울쎄라 300샷+써마지FLX 300샷)</t>
  </si>
  <si>
    <t>울써마지 900샷 (울쎄라 300샷+써마지FLX 600샷)</t>
  </si>
  <si>
    <t xml:space="preserve"> +) 런칭 기념 시술 혜택 (비스포크 수액 + LDM 재생 관리)</t>
  </si>
  <si>
    <t>단독 이벤트 매월 초 : 봄이 와서 준비해봄
강조 이벤트 매월 중순 : 벚꽃 필때, 외모 관리</t>
  </si>
  <si>
    <t>할인율</t>
  </si>
  <si>
    <t>블로그/인스타(2개)</t>
  </si>
  <si>
    <t>3월은 3배 혜택</t>
  </si>
  <si>
    <t>여성 겨드랑이 제모 3회+3회</t>
  </si>
  <si>
    <t>백옥샷 3회+3회</t>
  </si>
  <si>
    <t>남성 턱+인중 제모3회+3회</t>
  </si>
  <si>
    <t>수소 아쿠아필 3단계 3회+3회</t>
  </si>
  <si>
    <t>베러미에도 
봄이 왔나 봄</t>
  </si>
  <si>
    <t>목 주름 리프테라2 펜타입 2000샷+목 주름 보톡스 (나보타) 1회</t>
  </si>
  <si>
    <t>아이슈링크 200샷+눈가&amp;눈밑 보톡스 (국산)</t>
  </si>
  <si>
    <t>피코프락셀 전체 + 크라이오 + 모델링팩 3회</t>
  </si>
  <si>
    <t>GD토닝 3회+LDM 베이직 8분 3회</t>
  </si>
  <si>
    <t xml:space="preserve">프리미엄 수입필러 레스틸렌 3cc (이마, 앞볼, 팔자) </t>
  </si>
  <si>
    <t>올리지오 300샷+울쎄라 300샷</t>
  </si>
  <si>
    <t>릴리이드M 5cc 3회 (옵션 복수 선택 가능)</t>
  </si>
  <si>
    <t>옵션1) IZZO 리쥬벤 크림 1개</t>
  </si>
  <si>
    <t>옵션2) 하라셀 레이셀 크림 1개</t>
  </si>
  <si>
    <t>옵션3) 시술 후 1주일 뒤 LDM 재생관리 3회</t>
  </si>
  <si>
    <t>봄맞이 다이어트 시작</t>
  </si>
  <si>
    <t>복부 S퀸러미주사 100cc 1회</t>
  </si>
  <si>
    <t>바디인모드FX 1부위</t>
  </si>
  <si>
    <t>팔뚝 플로리스 2000샷+S퀸러미주사 100cc 1회</t>
  </si>
  <si>
    <t>쿨페이즈 300샷+리프테라2 펜타입 3000샷</t>
  </si>
  <si>
    <t>[수목금] 국산 스킨보톡스 1부위 (턱라인/나비존 택1)</t>
  </si>
  <si>
    <t>[수목금] 원샷원킬 피로회복(마늘주사+감초주사)</t>
  </si>
  <si>
    <t>[수목금] IBPS부스터필+LDM 약물침투모드 1회</t>
  </si>
  <si>
    <t>[수목금] 주름 보톡스 2부위 (제오민)</t>
  </si>
  <si>
    <t>[수목금] 인모드FX 1부위 3회</t>
  </si>
  <si>
    <t>[수목금] 벨로테로 인텐스 1cc (코,턱끝)</t>
  </si>
  <si>
    <t>[수목금] 쥬베룩 스킨부스터 2cc+리쥬비엘W 1cc 1회 (하이쿡스 포함)</t>
  </si>
  <si>
    <t xml:space="preserve">베러미 범어점 김우림 원장님 
초빙 이벤트 
</t>
  </si>
  <si>
    <t>얼굴전체 스킨보톡스 (제오민)</t>
  </si>
  <si>
    <t xml:space="preserve">전월과 동일 </t>
  </si>
  <si>
    <t xml:space="preserve">단독 이벤트 매월 초 : 봄맞이 다이어트 시작
강조 이벤트 매월 중순 : 프리미엄 써마지 런칭 </t>
  </si>
  <si>
    <t>2월엔 2배 예뻐지기</t>
  </si>
  <si>
    <t xml:space="preserve">여성 겨드랑이 제모 3회+3회 </t>
  </si>
  <si>
    <t xml:space="preserve">남성 풀페이스 제모 3회+3회 </t>
  </si>
  <si>
    <t>아이스 아쿠아필(아쿠아필1,2,3단계+크라이오) 3회+3회</t>
  </si>
  <si>
    <t>버츄 RF (모공, 흉터 모드) 얼굴 전체 - 크라이오 3회</t>
  </si>
  <si>
    <t>겨울철에는 무통 리쥬란 HB 3cc + LDM</t>
  </si>
  <si>
    <t>쥬베룩 볼륨 한보틀 8cc 1회 (나눠서 사용 불가/당일 8cc 진행)-표기 X</t>
  </si>
  <si>
    <t>베러미의원에서 드리는
발렌타인데이 선물</t>
  </si>
  <si>
    <t xml:space="preserve">입술필러 1cc + 입꼬리보톡스(국산) </t>
  </si>
  <si>
    <t xml:space="preserve">턱보톡스 50U(나보타) + 주름보톡스 2회(나보타) </t>
  </si>
  <si>
    <t>리쥬란 2cc</t>
  </si>
  <si>
    <t>골드PTT + 엑셀V 듀얼모드 2회</t>
  </si>
  <si>
    <t>피코슈어토닝+엑셀V 제네시스+선택관리(수분/진정/재생/미백) 3회</t>
  </si>
  <si>
    <t>GD토닝 런칭 패키지 특가 (헐리우드 토닝 3회, GD토닝 2회)</t>
  </si>
  <si>
    <t>2팔 청춘 리프팅 이벤트</t>
  </si>
  <si>
    <t>리프테라2 라인 400샷 + 펜타입 2000샷</t>
  </si>
  <si>
    <t>토르RF 풀페이스 + LDM 재생관리</t>
  </si>
  <si>
    <t xml:space="preserve">벨로테로 밸런스 디자인 동안 리프팅 필러 3cc (앞볼, 옆볼, 팔자) </t>
  </si>
  <si>
    <t>올리지오 600샷 + 릴리이드M 2cc</t>
  </si>
  <si>
    <t>어려지는 수목금 이벤트</t>
  </si>
  <si>
    <t xml:space="preserve">[수목금] 라라필 1회 </t>
  </si>
  <si>
    <t>[수목금] 아띠에르 필러 1cc (팔자, 턱끝)</t>
  </si>
  <si>
    <t>[수목금] 목주름 지우개 1cc (벨로테로 소프트) + 목주름 더모톡신 (국산) 1cc</t>
  </si>
  <si>
    <t>[수목금] 민트 모노실 30줄 (30줄 추가 시 90,000원)</t>
  </si>
  <si>
    <t xml:space="preserve">[수목금] 이중턱 인모드FX+프리미엄 아큐주사 10cc 1회 </t>
  </si>
  <si>
    <t xml:space="preserve">[수목금] 릴리이드M 5cc 1회 </t>
  </si>
  <si>
    <t>[수목금] 주름보톡스 3부위 (수입, 엘러간)</t>
  </si>
  <si>
    <t xml:space="preserve">베러미 범어점 카톡 플러스
 친구 전용 이벤트 
-1인 1회
</t>
  </si>
  <si>
    <t>슈링크 300샷(라인/부스터 중 택1) 특가</t>
  </si>
  <si>
    <r>
      <rPr>
        <sz val="11"/>
        <color rgb="FF000000"/>
        <rFont val="Malgun Gothic"/>
        <family val="3"/>
        <charset val="129"/>
      </rPr>
      <t>써마지FLX</t>
    </r>
    <r>
      <rPr>
        <sz val="11"/>
        <color rgb="FF000000"/>
        <rFont val="굴림"/>
        <family val="3"/>
        <charset val="129"/>
      </rPr>
      <t xml:space="preserve"> </t>
    </r>
    <r>
      <rPr>
        <b/>
        <sz val="11"/>
        <color rgb="FF000000"/>
        <rFont val="굴림"/>
        <family val="3"/>
        <charset val="129"/>
      </rPr>
      <t>300샷</t>
    </r>
  </si>
  <si>
    <t>블로그/인스타</t>
  </si>
  <si>
    <t>새해에는 한살 더 어려지자</t>
  </si>
  <si>
    <t>벨로테로 밸런스 1cc (앞볼 동안)</t>
  </si>
  <si>
    <t>필러</t>
  </si>
  <si>
    <t>턱보톡스(국산) 50U+프리미엄 아큐주사 3cc</t>
  </si>
  <si>
    <t>보톡스, 쁘띠</t>
  </si>
  <si>
    <t>풀페이스 인모드(FX+FORMA) 1회</t>
  </si>
  <si>
    <t>고주파 리프팅</t>
  </si>
  <si>
    <t>울트라콜 200 2cc 3회</t>
  </si>
  <si>
    <t>HIFU 리프팅</t>
  </si>
  <si>
    <t>미니 울쎄라 (울쎄라 150샷 + 리쥬란힐러 2cc) + 힐링포마크림 증정 (선착순)</t>
  </si>
  <si>
    <t>쁘띠</t>
  </si>
  <si>
    <t>쿨페이즈 600샷 + LDM 물방울 리프팅 12분 1회</t>
  </si>
  <si>
    <t>1월에만 받을 수 있는 혜택</t>
  </si>
  <si>
    <t>[런칭특가] 듀오 하이드로젠 테라피</t>
  </si>
  <si>
    <t>스킨케어</t>
  </si>
  <si>
    <t>여성) 인중제모 1회</t>
  </si>
  <si>
    <t>제모</t>
  </si>
  <si>
    <t>남성) 턱+인중제모 1회</t>
  </si>
  <si>
    <t>수소 토닝 (수소 아쿠아필 + 피코슈어토닝)</t>
  </si>
  <si>
    <t>스킨케어, 미백레이저</t>
  </si>
  <si>
    <t>[눈가전용] 아이슈링크 200샷 1회</t>
  </si>
  <si>
    <t>빛나는 새해, 빛나는 내피부</t>
  </si>
  <si>
    <t>프리미엄 스킨케어 3회 (라라필, 물톡스, 플라필, 부스터필, 라라젯 중 선택)</t>
  </si>
  <si>
    <t>풀페이스 리쥬란힐러 (2cc+아이 1cc) 1회</t>
  </si>
  <si>
    <t>스킨부스터 (PDRN)</t>
  </si>
  <si>
    <t>바이리즌 2cc 1회</t>
  </si>
  <si>
    <t>스킨부스터 (HA)</t>
  </si>
  <si>
    <t>헐리우드 듀얼토닝 6회 (5+1 이벤트)</t>
  </si>
  <si>
    <t>미백, 재생 레이저</t>
  </si>
  <si>
    <t>여드름</t>
  </si>
  <si>
    <t>설프라이즈!
설연휴 남모르게 예뻐지자</t>
  </si>
  <si>
    <t>윤곽주사 10cc 3회</t>
  </si>
  <si>
    <t>주름 보톡스 3부위 (제오민)</t>
  </si>
  <si>
    <t>보톡스</t>
  </si>
  <si>
    <t>피코슈어토닝 5회 + LDM재생관리 5회</t>
  </si>
  <si>
    <t>미백, 스킨케어</t>
  </si>
  <si>
    <t>디자인 슈링크 600샷 + 토르RF 풀페이스 1회</t>
  </si>
  <si>
    <t>HIFU 리프팅, 고주파 리프팅</t>
  </si>
  <si>
    <t>[더블SET] 울쎄라 300샷 1회 + 리프테라2 라인 300샷 or 펜타입 3000샷 2회</t>
  </si>
  <si>
    <t>예뻐지는 수목금 이벤트</t>
  </si>
  <si>
    <t>[수목금] 주름보톡스 1부위 (수입, 엘러간)</t>
  </si>
  <si>
    <t>[수목금] 리프테라2 라인 300샷+펜타입 1500샷 1회</t>
  </si>
  <si>
    <t>[수목금] 리쥬란HB 1cc</t>
  </si>
  <si>
    <t>스킨부스터 (PDRN + HA)</t>
  </si>
  <si>
    <t>[수목금] 얼굴 전체 스킨보톡스 (제오민) 3회</t>
  </si>
  <si>
    <t>[수목금] 목주름 스킨보톡스 (제오민)</t>
  </si>
  <si>
    <t>[수목금] 골드PTT + 엑셀V 듀얼모드 1회</t>
  </si>
  <si>
    <t>여드름, 피부재생</t>
  </si>
  <si>
    <t>[수목금] 피부재생 리쥬란힐러 2cc</t>
  </si>
  <si>
    <t>베러미의원 범어점 - 24년 12월 디자인 작업 요청서</t>
  </si>
  <si>
    <t>인스타(3개)</t>
  </si>
  <si>
    <t>와이드(3개)</t>
  </si>
  <si>
    <t>12월의 특별한 혜택</t>
  </si>
  <si>
    <t>나비존 모공톡스 (제오민)</t>
  </si>
  <si>
    <t>o</t>
  </si>
  <si>
    <t>아띠에르(입술+입꼬리) 1cc</t>
  </si>
  <si>
    <t>인모드 FX (한부위)+프리미엄 아큐주사 3cc</t>
  </si>
  <si>
    <t>리프팅+쁘띠</t>
  </si>
  <si>
    <t>리프테라2 라인 300샷+펜타입 1500샷</t>
  </si>
  <si>
    <t>사각턱 보톡스 50U+침샘 보톡스 1부위 (제오민)</t>
  </si>
  <si>
    <r>
      <rPr>
        <sz val="11"/>
        <color rgb="FF000000"/>
        <rFont val="Malgun Gothic"/>
        <family val="3"/>
        <charset val="129"/>
      </rPr>
      <t xml:space="preserve">연말결산 BEST
</t>
    </r>
    <r>
      <rPr>
        <b/>
        <sz val="10"/>
        <color rgb="FFB6D7A8"/>
        <rFont val="Malgun Gothic"/>
        <family val="3"/>
        <charset val="129"/>
      </rPr>
      <t>#매월 초 강조</t>
    </r>
  </si>
  <si>
    <t>노세범 패키지(블랙필+네오빔+모델링팩) 1회</t>
  </si>
  <si>
    <t>여드름 치료</t>
  </si>
  <si>
    <t>피코슈어토닝+엑셀V제네시스+모델링팩 1회</t>
  </si>
  <si>
    <t>색소, 재생 레이저</t>
  </si>
  <si>
    <t>디자인 슈링크 600샷 (슈링크 유니버스 라인 300샷+부스터 300샷+오로라 앰플) + 아큐주사 3cc</t>
  </si>
  <si>
    <t>올리지오 600샷+아이슈링크 100샷</t>
  </si>
  <si>
    <t>고주파, HIFU 리프팅</t>
  </si>
  <si>
    <t>울쎄라 300샷+LDM 물방울리프팅 12분 1회</t>
  </si>
  <si>
    <t>겨울에도 탱탱한 피부</t>
  </si>
  <si>
    <t>얼굴전체 스킨보톡스 엘러간 (수입)</t>
  </si>
  <si>
    <t>스킨부스터</t>
  </si>
  <si>
    <t>스킨부스터, 고주파</t>
  </si>
  <si>
    <t>리쥬란힐러 4cc+크라이오 1회</t>
  </si>
  <si>
    <t>ISCE 엑소좀 3cc MTS 3회</t>
  </si>
  <si>
    <r>
      <rPr>
        <sz val="11"/>
        <color rgb="FF000000"/>
        <rFont val="Malgun Gothic"/>
        <family val="3"/>
        <charset val="129"/>
      </rPr>
      <t xml:space="preserve">미리 크리스마스 산타 선물
</t>
    </r>
    <r>
      <rPr>
        <b/>
        <sz val="10"/>
        <color rgb="FFB6D7A8"/>
        <rFont val="Malgun Gothic"/>
        <family val="3"/>
        <charset val="129"/>
      </rPr>
      <t>#매월 중순 강조</t>
    </r>
  </si>
  <si>
    <t>얼굴전체 스킨보톡스 (국산)</t>
  </si>
  <si>
    <t>버츄RF 얼굴전체+크라이오 1회</t>
  </si>
  <si>
    <t>고주파 바늘 시술</t>
  </si>
  <si>
    <t>백옥주사 10회</t>
  </si>
  <si>
    <t>항노화주사</t>
  </si>
  <si>
    <t>쿨페이즈 300샷 + LDM 물방울리프팅 12분 1회</t>
  </si>
  <si>
    <t>[수목금] 남성 턱+인중 제모 5회</t>
  </si>
  <si>
    <t>[수목금] 주름 보톡스 2부위 (엘러간)</t>
  </si>
  <si>
    <t>[수목금] 프리미엄 아큐주사 10cc</t>
  </si>
  <si>
    <t>[수목금] 사각턱 보톡스 50U + 침샘 보톡스 (나보타)</t>
  </si>
  <si>
    <t>[수목금] 피지 잡는 네오빔(압출미포함) 5회</t>
  </si>
  <si>
    <t>레이저</t>
  </si>
  <si>
    <t>[수목금] 자연스러운 볼륨감 UP! 쥬베룩 볼륨 4cc</t>
  </si>
  <si>
    <r>
      <rPr>
        <sz val="11"/>
        <color rgb="FF000000"/>
        <rFont val="Malgun Gothic"/>
        <family val="3"/>
        <charset val="129"/>
      </rPr>
      <t>올해의 마무리는</t>
    </r>
    <r>
      <rPr>
        <sz val="11"/>
        <color rgb="FF000000"/>
        <rFont val="맑은 고딕"/>
        <family val="3"/>
        <charset val="129"/>
      </rPr>
      <t xml:space="preserve"> 아름답게</t>
    </r>
  </si>
  <si>
    <t>연말 모임 동안 앞볼, 팔자 필러 2cc (벨로테로 밸런스)</t>
  </si>
  <si>
    <t>겨울 대비 무통 리쥬란 HB 3cc + LDM</t>
  </si>
  <si>
    <t>스킨부스터 + 관리</t>
  </si>
  <si>
    <t>민트 코 전체 실리프팅 (콧대 4줄+코끝 2줄) + 민트 모노실 30줄</t>
  </si>
  <si>
    <t>베러미 범어점 신규 원장님 초빙 이벤트</t>
  </si>
  <si>
    <t>멜라 부스터 엑소좀 (ISCE) + 피코슈어토닝</t>
  </si>
  <si>
    <t>리쥬란 힐러 2cc</t>
  </si>
  <si>
    <r>
      <rPr>
        <sz val="11"/>
        <color rgb="FF000000"/>
        <rFont val="Malgun Gothic"/>
        <family val="3"/>
        <charset val="129"/>
      </rPr>
      <t>쥬베룩</t>
    </r>
    <r>
      <rPr>
        <sz val="11"/>
        <color rgb="FF000000"/>
        <rFont val="굴림"/>
        <family val="3"/>
        <charset val="129"/>
      </rPr>
      <t xml:space="preserve"> 스킨부스터 2cc</t>
    </r>
  </si>
  <si>
    <r>
      <rPr>
        <sz val="11"/>
        <color rgb="FF000000"/>
        <rFont val="Malgun Gothic"/>
        <family val="3"/>
        <charset val="129"/>
      </rPr>
      <t>릴리이드</t>
    </r>
    <r>
      <rPr>
        <sz val="11"/>
        <color rgb="FF000000"/>
        <rFont val="굴림"/>
        <family val="3"/>
        <charset val="129"/>
      </rPr>
      <t xml:space="preserve"> 물광주사 5cc</t>
    </r>
  </si>
  <si>
    <r>
      <rPr>
        <sz val="11"/>
        <color rgb="FF000000"/>
        <rFont val="Malgun Gothic"/>
        <family val="3"/>
        <charset val="129"/>
      </rPr>
      <t>슈링크</t>
    </r>
    <r>
      <rPr>
        <sz val="11"/>
        <color rgb="FF000000"/>
        <rFont val="굴림"/>
        <family val="3"/>
        <charset val="129"/>
      </rPr>
      <t xml:space="preserve"> 유니버스 300샷</t>
    </r>
  </si>
  <si>
    <t>인모드 FX + 인모드 포마 (얼굴 전체)</t>
  </si>
  <si>
    <t>베러미의원 11월 디자인 작업 요청서</t>
  </si>
  <si>
    <r>
      <rPr>
        <sz val="11"/>
        <color rgb="FF000000"/>
        <rFont val="Malgun Gothic"/>
        <family val="3"/>
        <charset val="129"/>
      </rPr>
      <t xml:space="preserve">BEST 11월의 제안
</t>
    </r>
    <r>
      <rPr>
        <b/>
        <sz val="10"/>
        <color rgb="FF93C47D"/>
        <rFont val="Malgun Gothic"/>
        <family val="3"/>
        <charset val="129"/>
      </rPr>
      <t>#매월 중순 강조</t>
    </r>
  </si>
  <si>
    <t>노세범 패키지 - 아쿠아필 1,2단계 + 네오빔 + 모델링팩</t>
  </si>
  <si>
    <t>울쎄라 300샷+인모드FX 1부위</t>
  </si>
  <si>
    <t>11월 1+1 꿀조합시술</t>
  </si>
  <si>
    <t>아이리쥬란 1cc + 눈가 스킨보톡스 (국산) 1회</t>
  </si>
  <si>
    <t>제네시스 토닝 (엑셀V 제네시스 + 피코슈어토닝) + LDM 재생관리 1회</t>
  </si>
  <si>
    <t>바이리즌 2cc+ 얼굴전체 스킨보톡스 (국산) 1회</t>
  </si>
  <si>
    <t>올리지오 600샷 + 리프테라2 펜타입 3000샷</t>
  </si>
  <si>
    <r>
      <rPr>
        <sz val="11"/>
        <color rgb="FF000000"/>
        <rFont val="Malgun Gothic"/>
        <family val="3"/>
        <charset val="129"/>
      </rPr>
      <t xml:space="preserve">수능 끝, 예쁨 시작
</t>
    </r>
    <r>
      <rPr>
        <b/>
        <sz val="10"/>
        <color rgb="FF93C47D"/>
        <rFont val="Malgun Gothic"/>
        <family val="3"/>
        <charset val="129"/>
      </rPr>
      <t>#매월 초 강조</t>
    </r>
  </si>
  <si>
    <t>[수입] 벨로테로 인텐스 턱끝필러 1cc + 자갈턱 보톡스 (제오민)</t>
  </si>
  <si>
    <t>골드 PTT + 엑셀V 듀얼모드 1회</t>
  </si>
  <si>
    <t>여드름 4주 패키지 (필요시 염증주사+약처방 포함)
1주 / 3주 : 압출+블랙필+네오빔
2주 / 4주 : LDM 재생관리
※수험표 지참 시, 본인 및 가족 10% 할인 (홈페이지는 미노출)</t>
  </si>
  <si>
    <t>빼빼로데이 이벤트
(11만원 이벤트)</t>
  </si>
  <si>
    <t>사각턱 보톡스 50u (나보타) + 인모드FX 1부위 + 프리미엄 아큐주사 3cc</t>
  </si>
  <si>
    <t>헐리우드 프락셀 (나비존) + 연어주사 1cc + 크라이오 + 모델링팩</t>
  </si>
  <si>
    <t>민트 모노실 30줄 (30줄 추가 시 90,000원)</t>
  </si>
  <si>
    <t>[수목금] 사각턱 보톡스 50U (국산, 메디톡스)</t>
  </si>
  <si>
    <t>[수목금] 주름 보톡스 1부위 (수입, 제오민)</t>
  </si>
  <si>
    <t>[수목금] 사각턱 보톡스 50U (수입, 제오민)</t>
  </si>
  <si>
    <t>[수목금] 얼굴전체 인모드 1가지 모드 (FX or FORMA 中 택)</t>
  </si>
  <si>
    <t>[수목금] 바디 골드XV주사 50cc 1회</t>
  </si>
  <si>
    <t>[수목금] 옆볼필러 2cc (수입, 아말리안)</t>
  </si>
  <si>
    <t>10월 이벤트 디자인 작업 요청서</t>
  </si>
  <si>
    <t>블로그/인스타(3개)</t>
  </si>
  <si>
    <t>FALL IN 베러미의원 범어점
(강조 이벤트-월초)</t>
  </si>
  <si>
    <t>광채 리쥬란힐러 2cc + 아이리쥬란 1cc 1회</t>
  </si>
  <si>
    <t xml:space="preserve">[수입] 벨로테로 목주름 필러 1cc + 목주름 스킨 보톡스 (제오민) 1회 </t>
  </si>
  <si>
    <t xml:space="preserve">[수입] 벨로테로 밸런스 디자인 동안필러 3cc (앞볼, 옆볼, 팔자) </t>
  </si>
  <si>
    <t>피코슈어토닝+줌패스+모델링팩 1회</t>
  </si>
  <si>
    <t>울쎄라 300샷 + 턱라인 리프팅톡스(메디톡신)</t>
  </si>
  <si>
    <t>10월에는 더 텐텐하게</t>
  </si>
  <si>
    <r>
      <rPr>
        <sz val="11"/>
        <color rgb="FF000000"/>
        <rFont val="맑은 고딕"/>
        <family val="3"/>
        <charset val="129"/>
      </rPr>
      <t>피부를</t>
    </r>
    <r>
      <rPr>
        <sz val="11"/>
        <color rgb="FF000000"/>
        <rFont val="돋움"/>
        <family val="3"/>
        <charset val="129"/>
      </rPr>
      <t xml:space="preserve"> 더 환하고 탄탄하게, 더블 백옥 주사 1회 (글루타치온 함량 2배)</t>
    </r>
  </si>
  <si>
    <r>
      <rPr>
        <sz val="11"/>
        <color rgb="FF000000"/>
        <rFont val="Arial"/>
      </rPr>
      <t>[</t>
    </r>
    <r>
      <rPr>
        <sz val="11"/>
        <color rgb="FF000000"/>
        <rFont val="맑은 고딕"/>
        <family val="3"/>
        <charset val="129"/>
      </rPr>
      <t>내맘대로</t>
    </r>
    <r>
      <rPr>
        <sz val="11"/>
        <color rgb="FF000000"/>
        <rFont val="Arial"/>
      </rPr>
      <t xml:space="preserve"> </t>
    </r>
    <r>
      <rPr>
        <sz val="11"/>
        <color rgb="FF000000"/>
        <rFont val="맑은 고딕"/>
        <family val="3"/>
        <charset val="129"/>
      </rPr>
      <t>리프팅</t>
    </r>
    <r>
      <rPr>
        <sz val="11"/>
        <color rgb="FF000000"/>
        <rFont val="Arial"/>
      </rPr>
      <t xml:space="preserve"> 3</t>
    </r>
    <r>
      <rPr>
        <sz val="11"/>
        <color rgb="FF000000"/>
        <rFont val="맑은 고딕"/>
        <family val="3"/>
        <charset val="129"/>
      </rPr>
      <t>회권</t>
    </r>
    <r>
      <rPr>
        <sz val="11"/>
        <color rgb="FF000000"/>
        <rFont val="Arial"/>
      </rPr>
      <t xml:space="preserve">] </t>
    </r>
    <r>
      <rPr>
        <sz val="11"/>
        <color rgb="FF000000"/>
        <rFont val="맑은 고딕"/>
        <family val="3"/>
        <charset val="129"/>
      </rPr>
      <t>인모드</t>
    </r>
    <r>
      <rPr>
        <sz val="11"/>
        <color rgb="FF000000"/>
        <rFont val="Arial"/>
      </rPr>
      <t xml:space="preserve">FX </t>
    </r>
    <r>
      <rPr>
        <sz val="11"/>
        <color rgb="FF000000"/>
        <rFont val="맑은 고딕"/>
        <family val="3"/>
        <charset val="129"/>
      </rPr>
      <t xml:space="preserve">풀페이스 </t>
    </r>
    <r>
      <rPr>
        <sz val="11"/>
        <color rgb="FF000000"/>
        <rFont val="Arial"/>
      </rPr>
      <t xml:space="preserve">or </t>
    </r>
    <r>
      <rPr>
        <sz val="11"/>
        <color rgb="FF000000"/>
        <rFont val="맑은 고딕"/>
        <family val="3"/>
        <charset val="129"/>
      </rPr>
      <t>인모드</t>
    </r>
    <r>
      <rPr>
        <sz val="11"/>
        <color rgb="FF000000"/>
        <rFont val="Arial"/>
      </rPr>
      <t xml:space="preserve">FORMA </t>
    </r>
    <r>
      <rPr>
        <sz val="11"/>
        <color rgb="FF000000"/>
        <rFont val="맑은 고딕"/>
        <family val="3"/>
        <charset val="129"/>
      </rPr>
      <t xml:space="preserve">풀페이스
</t>
    </r>
    <r>
      <rPr>
        <sz val="11"/>
        <color rgb="FF000000"/>
        <rFont val="Arial"/>
      </rPr>
      <t>/</t>
    </r>
    <r>
      <rPr>
        <sz val="11"/>
        <color rgb="FF000000"/>
        <rFont val="맑은 고딕"/>
        <family val="3"/>
        <charset val="129"/>
      </rPr>
      <t>슈링크</t>
    </r>
    <r>
      <rPr>
        <sz val="11"/>
        <color rgb="FF000000"/>
        <rFont val="Arial"/>
      </rPr>
      <t xml:space="preserve"> </t>
    </r>
    <r>
      <rPr>
        <sz val="11"/>
        <color rgb="FF000000"/>
        <rFont val="맑은 고딕"/>
        <family val="3"/>
        <charset val="129"/>
      </rPr>
      <t>라인</t>
    </r>
    <r>
      <rPr>
        <sz val="11"/>
        <color rgb="FF000000"/>
        <rFont val="Arial"/>
      </rPr>
      <t xml:space="preserve"> 300</t>
    </r>
    <r>
      <rPr>
        <sz val="11"/>
        <color rgb="FF000000"/>
        <rFont val="맑은 고딕"/>
        <family val="3"/>
        <charset val="129"/>
      </rPr>
      <t>샷 or 슈링크</t>
    </r>
    <r>
      <rPr>
        <sz val="11"/>
        <color rgb="FF000000"/>
        <rFont val="Arial"/>
      </rPr>
      <t xml:space="preserve"> </t>
    </r>
    <r>
      <rPr>
        <sz val="11"/>
        <color rgb="FF000000"/>
        <rFont val="맑은 고딕"/>
        <family val="3"/>
        <charset val="129"/>
      </rPr>
      <t>펜타입</t>
    </r>
    <r>
      <rPr>
        <sz val="11"/>
        <color rgb="FF000000"/>
        <rFont val="Arial"/>
      </rPr>
      <t xml:space="preserve"> 300</t>
    </r>
    <r>
      <rPr>
        <sz val="11"/>
        <color rgb="FF000000"/>
        <rFont val="맑은 고딕"/>
        <family val="3"/>
        <charset val="129"/>
      </rPr>
      <t xml:space="preserve">샷
</t>
    </r>
    <r>
      <rPr>
        <sz val="11"/>
        <color rgb="FF000000"/>
        <rFont val="Arial"/>
      </rPr>
      <t>/</t>
    </r>
    <r>
      <rPr>
        <sz val="11"/>
        <color rgb="FF000000"/>
        <rFont val="맑은 고딕"/>
        <family val="3"/>
        <charset val="129"/>
      </rPr>
      <t>리프테라</t>
    </r>
    <r>
      <rPr>
        <sz val="11"/>
        <color rgb="FF000000"/>
        <rFont val="Arial"/>
      </rPr>
      <t xml:space="preserve">2 </t>
    </r>
    <r>
      <rPr>
        <sz val="11"/>
        <color rgb="FF000000"/>
        <rFont val="맑은 고딕"/>
        <family val="3"/>
        <charset val="129"/>
      </rPr>
      <t>라인</t>
    </r>
    <r>
      <rPr>
        <sz val="11"/>
        <color rgb="FF000000"/>
        <rFont val="Arial"/>
      </rPr>
      <t xml:space="preserve"> 300</t>
    </r>
    <r>
      <rPr>
        <sz val="11"/>
        <color rgb="FF000000"/>
        <rFont val="맑은 고딕"/>
        <family val="3"/>
        <charset val="129"/>
      </rPr>
      <t>샷</t>
    </r>
    <r>
      <rPr>
        <sz val="11"/>
        <color rgb="FF000000"/>
        <rFont val="Arial"/>
      </rPr>
      <t>+</t>
    </r>
    <r>
      <rPr>
        <sz val="11"/>
        <color rgb="FF000000"/>
        <rFont val="맑은 고딕"/>
        <family val="3"/>
        <charset val="129"/>
      </rPr>
      <t>펜타입</t>
    </r>
    <r>
      <rPr>
        <sz val="11"/>
        <color rgb="FF000000"/>
        <rFont val="Arial"/>
      </rPr>
      <t xml:space="preserve"> 1500</t>
    </r>
    <r>
      <rPr>
        <sz val="11"/>
        <color rgb="FF000000"/>
        <rFont val="맑은 고딕"/>
        <family val="3"/>
        <charset val="129"/>
      </rPr>
      <t>샷</t>
    </r>
  </si>
  <si>
    <t>풀페이스 올리지오 600샷 1회</t>
  </si>
  <si>
    <t>쿨페이즈 300샷 + 슈링크 유니버스 300샷 1회</t>
  </si>
  <si>
    <t>쥬베룩 볼륨 한보틀 8cc 1회 (4cc 2회로 나눠서 사용 가능)</t>
  </si>
  <si>
    <t>득TEN 이벤트</t>
  </si>
  <si>
    <t>[피지관리] 아쿠아필+네오빔 1회</t>
  </si>
  <si>
    <t>프리미엄 아큐주사 3cc 3회</t>
  </si>
  <si>
    <t>사각턱 보톡스 50U 국산+프리미엄 아큐주사 10cc 1회</t>
  </si>
  <si>
    <t>하반기 빼빼, 급찐급빠 이벤트</t>
  </si>
  <si>
    <t>바디보톡스 100U (제오민)</t>
  </si>
  <si>
    <t>[셀룰라이트 개선] 바디 플로리스 2000샷+골드XV주사 50cc 1회</t>
  </si>
  <si>
    <t>[셀룰라이트 개선] 트리플 바디 플로리스 3000샷 1회</t>
  </si>
  <si>
    <t>S퀸러미주사 100cc 1회</t>
  </si>
  <si>
    <t>환절기 피부 케어</t>
  </si>
  <si>
    <t>베이직 스킨케어 5회 (수분/진정/재생/미백 중 택)</t>
  </si>
  <si>
    <t>블랙필 3회</t>
  </si>
  <si>
    <t>아쿠아필 3단계 10회</t>
  </si>
  <si>
    <t>여드름 스케일링(전체압출+진정관리) - 1인 1회</t>
  </si>
  <si>
    <t>프리미엄 스킨케어 3회 (플라필/라라필/물톡스/LDM 중 택)</t>
  </si>
  <si>
    <t>예뻐지는 요일 이벤트
(강조 이벤트-중순)</t>
  </si>
  <si>
    <t>[수목금] 주름보톡스 1부위 (국산 프리미엄, 나보타)</t>
  </si>
  <si>
    <t>[수목금] 나비존 모공보톡스 (나보타)</t>
  </si>
  <si>
    <t>[수목금] 아기주사 2cc MTS</t>
  </si>
  <si>
    <t>[수목금] 탱탱 입술주름 HB 1cc</t>
  </si>
  <si>
    <t>9월 이벤트 기획안</t>
  </si>
  <si>
    <r>
      <rPr>
        <sz val="11"/>
        <color rgb="FF000000"/>
        <rFont val="Malgun Gothic"/>
        <family val="3"/>
        <charset val="129"/>
      </rPr>
      <t>N</t>
    </r>
    <r>
      <rPr>
        <sz val="11"/>
        <color rgb="FF000000"/>
        <rFont val="맑은 고딕"/>
        <family val="3"/>
        <charset val="129"/>
      </rPr>
      <t>o</t>
    </r>
  </si>
  <si>
    <t>강조이벤트(2개)</t>
  </si>
  <si>
    <t>가격 적합성</t>
  </si>
  <si>
    <t>베러미의원 범어점 1주년 기념</t>
  </si>
  <si>
    <t>패키지 상품 10% 할인</t>
  </si>
  <si>
    <t>히스토랩 앰플 세트 10% 할인</t>
  </si>
  <si>
    <t>벨로테로 소프트 주름 필러 1cc (팔자, 목주름)</t>
  </si>
  <si>
    <t>얼굴 전체 스킨보톡스 (제오민) 3회</t>
  </si>
  <si>
    <t>버츄 RF 아이 리프팅 3회</t>
  </si>
  <si>
    <r>
      <rPr>
        <sz val="11"/>
        <color rgb="FF7F7F7F"/>
        <rFont val="맑은 고딕"/>
        <family val="3"/>
        <charset val="129"/>
      </rPr>
      <t>울트라콜</t>
    </r>
    <r>
      <rPr>
        <sz val="11"/>
        <color rgb="FF7F7F7F"/>
        <rFont val="Calibri"/>
      </rPr>
      <t xml:space="preserve"> 200 2cc 3</t>
    </r>
    <r>
      <rPr>
        <sz val="11"/>
        <color rgb="FF7F7F7F"/>
        <rFont val="맑은 고딕"/>
        <family val="3"/>
        <charset val="129"/>
      </rPr>
      <t>회</t>
    </r>
  </si>
  <si>
    <t>쥬베룩 볼륨 4cc 3회</t>
  </si>
  <si>
    <t>쿨페이즈 300샷</t>
  </si>
  <si>
    <t>울쎄라 400샷 + LDM</t>
  </si>
  <si>
    <t>9월에는 싸다9</t>
  </si>
  <si>
    <t>이중턱 슈링크 100샷 + 턱보톡스 (나보타,50유닛)</t>
  </si>
  <si>
    <t>여성 인중 + 겨드랑이 제모 5회</t>
  </si>
  <si>
    <t>아이슈링크 100샷 + 눈밑 + 눈가보톡스 (나보타)</t>
  </si>
  <si>
    <t>국산필러 1CC (눈밑, 애교 부위 제외)</t>
  </si>
  <si>
    <t>이중턱 파괴 브이올렛 주사 2cc 2회</t>
  </si>
  <si>
    <t>남성 풀페이스 제모 (턱 + 인중 + 구렛나루) 5회</t>
  </si>
  <si>
    <t>포마테라(인모드 FORMA+리프테라2 펜타입 2000샷) 1회</t>
  </si>
  <si>
    <t>추석 연휴 전
강秋시술</t>
  </si>
  <si>
    <t>얼굴 전체 CO2레이저 1회 (50개까지/점,비립종,편평사마귀,쥐젖 포함)</t>
  </si>
  <si>
    <t>[골라 스킨부스터 3회권]
바이리즌 1cc/리쥬란힐러 2cc/쥬베룩 2cc/리쥬란HB 1cc+크라이오/릴리이드M 5cc 중 택</t>
  </si>
  <si>
    <t>올리지오 300샷 + 슈링크 부스터 100샷</t>
  </si>
  <si>
    <t>울쎄라 300샷 + 턱라인 리프팅톡스 (메디톡신)</t>
  </si>
  <si>
    <t>휴가 후 지친 피부 9해줘</t>
  </si>
  <si>
    <t>줄기세포배양액 ISCE 코어 재생 더블리프팅 버츄 RF 3회</t>
  </si>
  <si>
    <t>인모드 FORMA + LDM 물방울리프팅 12분 1회</t>
  </si>
  <si>
    <t>주름펴9 예뻐지9</t>
  </si>
  <si>
    <t>리쥬비엘 주름필러 1cc + 미간 보톡스 (나보타)</t>
  </si>
  <si>
    <t>팔자 리프테라2 펜타입 3000샷 + 리쥬비엘 팔자필러 1cc</t>
  </si>
  <si>
    <t>수입 아말리안 필러 3cc</t>
  </si>
  <si>
    <t>[원데이 코조각 패키지] 코 조각주사+콧볼 보톡스 1회</t>
  </si>
  <si>
    <t>예뻐지는 요일 수목금 이벤트</t>
  </si>
  <si>
    <t>[수목금] 원데이 연예인 프리미엄 주사 1회 + 하이쿡스</t>
  </si>
  <si>
    <t>[수목금] 국산 바디 보톡스 100U (승모근/종아리 중 택)</t>
  </si>
  <si>
    <t>[수목금] 얼굴전체 인모드 1가지 모드</t>
  </si>
  <si>
    <t>[수목금] 민트실 리프팅 콧대 2줄</t>
  </si>
  <si>
    <t>[수목금] 엑셀V 듀얼모드 1회 (쿨뷰+제네시스)</t>
  </si>
  <si>
    <t>[수목금] 엑셀V 레드스카 1회</t>
  </si>
  <si>
    <t>할인율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</si>
</sst>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,000"/>
    <numFmt numFmtId="177" formatCode="_-&quot;₩&quot;* #,##0_-;\-&quot;₩&quot;* #,##0_-;_-&quot;₩&quot;* &quot;-&quot;_-;_-@"/>
    <numFmt numFmtId="178" formatCode="0.0%"/>
    <numFmt numFmtId="179" formatCode="_-* #,##0_-;\-* #,##0_-;_-* &quot;-&quot;_-;_-@"/>
  </numFmts>
  <fonts count="31">
    <font>
      <sz val="11"/>
      <color rgb="FF000000"/>
      <name val="Calibri"/>
      <scheme val="minor"/>
    </font>
    <font>
      <b/>
      <sz val="14"/>
      <color rgb="FF000000"/>
      <name val="Malgun Gothic"/>
      <family val="3"/>
      <charset val="129"/>
    </font>
    <font>
      <sz val="11"/>
      <name val="Calibri"/>
    </font>
    <font>
      <b/>
      <sz val="10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1"/>
      <color rgb="FF000000"/>
      <name val="Calibri"/>
    </font>
    <font>
      <strike/>
      <sz val="10"/>
      <color rgb="FF000000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1"/>
      <color rgb="FF000000"/>
      <name val="Arial"/>
    </font>
    <font>
      <sz val="11"/>
      <color rgb="FFFF0000"/>
      <name val="Malgun Gothic"/>
      <family val="3"/>
      <charset val="129"/>
    </font>
    <font>
      <sz val="11"/>
      <color rgb="FF212121"/>
      <name val="NanumBarunGothic"/>
      <family val="3"/>
      <charset val="129"/>
    </font>
    <font>
      <sz val="11"/>
      <color rgb="FF006100"/>
      <name val="Calibri"/>
    </font>
    <font>
      <sz val="11"/>
      <color rgb="FF7F7F7F"/>
      <name val="Gulim"/>
      <family val="3"/>
      <charset val="129"/>
    </font>
    <font>
      <sz val="11"/>
      <color rgb="FF7F7F7F"/>
      <name val="Calibri"/>
    </font>
    <font>
      <sz val="11"/>
      <color rgb="FF7F7F7F"/>
      <name val="Malgun Gothic"/>
      <family val="3"/>
      <charset val="129"/>
    </font>
    <font>
      <sz val="10"/>
      <color rgb="FF000000"/>
      <name val="Segoe UI Emoji"/>
    </font>
    <font>
      <sz val="10"/>
      <color rgb="FF000000"/>
      <name val="맑은 고딕"/>
      <family val="3"/>
      <charset val="129"/>
    </font>
    <font>
      <sz val="10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Yu Gothic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sz val="10"/>
      <color rgb="FFB6D7A8"/>
      <name val="Malgun Gothic"/>
      <family val="3"/>
      <charset val="129"/>
    </font>
    <font>
      <b/>
      <sz val="10"/>
      <color rgb="FF93C47D"/>
      <name val="Malgun Gothic"/>
      <family val="3"/>
      <charset val="129"/>
    </font>
    <font>
      <sz val="11"/>
      <color rgb="FF7F7F7F"/>
      <name val="맑은 고딕"/>
      <family val="3"/>
      <charset val="129"/>
    </font>
    <font>
      <sz val="8"/>
      <name val="Calibri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2EFD9"/>
        <bgColor rgb="FFE2EFD9"/>
      </patternFill>
    </fill>
    <fill>
      <patternFill patternType="solid">
        <fgColor rgb="FFC6EFCE"/>
        <bgColor rgb="FFC6EFCE"/>
      </patternFill>
    </fill>
    <fill>
      <patternFill patternType="solid">
        <fgColor rgb="FF70AD47"/>
        <bgColor rgb="FF70AD47"/>
      </patternFill>
    </fill>
  </fills>
  <borders count="1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0"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7" fontId="3" fillId="5" borderId="16" xfId="0" applyNumberFormat="1" applyFont="1" applyFill="1" applyBorder="1" applyAlignment="1">
      <alignment horizontal="center" vertical="center"/>
    </xf>
    <xf numFmtId="177" fontId="3" fillId="5" borderId="17" xfId="0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177" fontId="3" fillId="5" borderId="22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vertical="center" wrapText="1"/>
    </xf>
    <xf numFmtId="3" fontId="7" fillId="0" borderId="6" xfId="0" applyNumberFormat="1" applyFont="1" applyBorder="1" applyAlignment="1">
      <alignment horizontal="right" vertical="center" wrapText="1"/>
    </xf>
    <xf numFmtId="177" fontId="4" fillId="7" borderId="16" xfId="0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6" borderId="24" xfId="0" applyFont="1" applyFill="1" applyBorder="1" applyAlignment="1">
      <alignment vertical="center" wrapText="1"/>
    </xf>
    <xf numFmtId="3" fontId="7" fillId="0" borderId="24" xfId="0" applyNumberFormat="1" applyFont="1" applyBorder="1" applyAlignment="1">
      <alignment horizontal="right" vertical="center" wrapText="1"/>
    </xf>
    <xf numFmtId="0" fontId="7" fillId="0" borderId="24" xfId="0" applyFont="1" applyBorder="1" applyAlignment="1">
      <alignment horizontal="center" vertical="center"/>
    </xf>
    <xf numFmtId="0" fontId="4" fillId="7" borderId="16" xfId="0" applyFont="1" applyFill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6" borderId="26" xfId="0" applyFont="1" applyFill="1" applyBorder="1" applyAlignment="1">
      <alignment vertical="center" wrapText="1"/>
    </xf>
    <xf numFmtId="0" fontId="7" fillId="6" borderId="0" xfId="0" applyFont="1" applyFill="1" applyAlignment="1">
      <alignment vertical="center" wrapText="1"/>
    </xf>
    <xf numFmtId="3" fontId="7" fillId="0" borderId="28" xfId="0" applyNumberFormat="1" applyFont="1" applyBorder="1" applyAlignment="1">
      <alignment horizontal="right" vertical="center" wrapText="1"/>
    </xf>
    <xf numFmtId="0" fontId="4" fillId="7" borderId="29" xfId="0" applyFont="1" applyFill="1" applyBorder="1" applyAlignment="1">
      <alignment vertical="center"/>
    </xf>
    <xf numFmtId="3" fontId="7" fillId="0" borderId="30" xfId="0" applyNumberFormat="1" applyFont="1" applyBorder="1" applyAlignment="1">
      <alignment horizontal="right" vertical="center" wrapText="1"/>
    </xf>
    <xf numFmtId="0" fontId="4" fillId="7" borderId="14" xfId="0" applyFont="1" applyFill="1" applyBorder="1" applyAlignment="1">
      <alignment vertical="center"/>
    </xf>
    <xf numFmtId="0" fontId="4" fillId="7" borderId="31" xfId="0" applyFont="1" applyFill="1" applyBorder="1" applyAlignment="1">
      <alignment vertical="center"/>
    </xf>
    <xf numFmtId="3" fontId="7" fillId="0" borderId="26" xfId="0" applyNumberFormat="1" applyFont="1" applyBorder="1" applyAlignment="1">
      <alignment horizontal="right" vertical="center" wrapText="1"/>
    </xf>
    <xf numFmtId="0" fontId="7" fillId="6" borderId="30" xfId="0" applyFont="1" applyFill="1" applyBorder="1" applyAlignment="1">
      <alignment vertical="center"/>
    </xf>
    <xf numFmtId="176" fontId="7" fillId="0" borderId="30" xfId="0" applyNumberFormat="1" applyFont="1" applyBorder="1" applyAlignment="1">
      <alignment horizontal="right" vertical="center"/>
    </xf>
    <xf numFmtId="0" fontId="4" fillId="7" borderId="16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176" fontId="7" fillId="0" borderId="8" xfId="0" applyNumberFormat="1" applyFont="1" applyBorder="1" applyAlignment="1">
      <alignment horizontal="right" vertical="center"/>
    </xf>
    <xf numFmtId="3" fontId="7" fillId="0" borderId="30" xfId="0" applyNumberFormat="1" applyFont="1" applyBorder="1" applyAlignment="1">
      <alignment horizontal="right" vertical="center"/>
    </xf>
    <xf numFmtId="3" fontId="4" fillId="7" borderId="16" xfId="0" applyNumberFormat="1" applyFont="1" applyFill="1" applyBorder="1" applyAlignment="1">
      <alignment vertical="center"/>
    </xf>
    <xf numFmtId="0" fontId="7" fillId="0" borderId="30" xfId="0" applyFont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6" fillId="5" borderId="34" xfId="0" applyFont="1" applyFill="1" applyBorder="1" applyAlignment="1">
      <alignment horizontal="left" vertical="center"/>
    </xf>
    <xf numFmtId="0" fontId="7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wrapText="1"/>
    </xf>
    <xf numFmtId="3" fontId="7" fillId="0" borderId="1" xfId="0" applyNumberFormat="1" applyFont="1" applyBorder="1" applyAlignment="1">
      <alignment horizontal="right" wrapText="1"/>
    </xf>
    <xf numFmtId="0" fontId="7" fillId="0" borderId="30" xfId="0" applyFont="1" applyBorder="1" applyAlignment="1">
      <alignment vertical="center" wrapText="1"/>
    </xf>
    <xf numFmtId="3" fontId="7" fillId="0" borderId="30" xfId="0" applyNumberFormat="1" applyFont="1" applyBorder="1" applyAlignment="1">
      <alignment horizontal="right" wrapText="1"/>
    </xf>
    <xf numFmtId="3" fontId="7" fillId="0" borderId="7" xfId="0" applyNumberFormat="1" applyFont="1" applyBorder="1" applyAlignment="1">
      <alignment horizontal="right" wrapText="1"/>
    </xf>
    <xf numFmtId="177" fontId="4" fillId="4" borderId="16" xfId="0" applyNumberFormat="1" applyFont="1" applyFill="1" applyBorder="1" applyAlignment="1">
      <alignment horizontal="center" vertical="center"/>
    </xf>
    <xf numFmtId="0" fontId="3" fillId="0" borderId="30" xfId="0" applyFont="1" applyBorder="1" applyAlignment="1">
      <alignment vertical="center" wrapText="1"/>
    </xf>
    <xf numFmtId="0" fontId="4" fillId="4" borderId="16" xfId="0" applyFont="1" applyFill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3" fontId="7" fillId="0" borderId="8" xfId="0" applyNumberFormat="1" applyFont="1" applyBorder="1" applyAlignment="1">
      <alignment horizontal="right" wrapText="1"/>
    </xf>
    <xf numFmtId="3" fontId="7" fillId="0" borderId="32" xfId="0" applyNumberFormat="1" applyFont="1" applyBorder="1" applyAlignment="1">
      <alignment horizontal="right" wrapText="1"/>
    </xf>
    <xf numFmtId="0" fontId="3" fillId="0" borderId="3" xfId="0" applyFont="1" applyBorder="1" applyAlignment="1">
      <alignment vertical="center" wrapText="1"/>
    </xf>
    <xf numFmtId="0" fontId="4" fillId="4" borderId="22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0" fontId="4" fillId="6" borderId="16" xfId="0" applyFont="1" applyFill="1" applyBorder="1" applyAlignment="1">
      <alignment horizontal="center" vertical="center"/>
    </xf>
    <xf numFmtId="0" fontId="7" fillId="0" borderId="30" xfId="0" applyFont="1" applyBorder="1" applyAlignment="1">
      <alignment vertical="center"/>
    </xf>
    <xf numFmtId="176" fontId="7" fillId="0" borderId="30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176" fontId="7" fillId="0" borderId="8" xfId="0" applyNumberFormat="1" applyFont="1" applyBorder="1" applyAlignment="1">
      <alignment horizontal="right" vertical="center"/>
    </xf>
    <xf numFmtId="176" fontId="7" fillId="0" borderId="32" xfId="0" applyNumberFormat="1" applyFont="1" applyBorder="1" applyAlignment="1">
      <alignment horizontal="right" vertical="center"/>
    </xf>
    <xf numFmtId="0" fontId="4" fillId="4" borderId="16" xfId="0" applyFont="1" applyFill="1" applyBorder="1" applyAlignment="1">
      <alignment horizontal="center" vertical="center"/>
    </xf>
    <xf numFmtId="3" fontId="7" fillId="0" borderId="30" xfId="0" applyNumberFormat="1" applyFont="1" applyBorder="1" applyAlignment="1">
      <alignment horizontal="right" vertical="center"/>
    </xf>
    <xf numFmtId="3" fontId="7" fillId="0" borderId="7" xfId="0" applyNumberFormat="1" applyFont="1" applyBorder="1" applyAlignment="1">
      <alignment horizontal="right" vertical="center"/>
    </xf>
    <xf numFmtId="3" fontId="4" fillId="6" borderId="16" xfId="0" applyNumberFormat="1" applyFont="1" applyFill="1" applyBorder="1" applyAlignment="1">
      <alignment vertical="center"/>
    </xf>
    <xf numFmtId="3" fontId="7" fillId="0" borderId="8" xfId="0" applyNumberFormat="1" applyFont="1" applyBorder="1" applyAlignment="1">
      <alignment horizontal="right" vertical="center"/>
    </xf>
    <xf numFmtId="3" fontId="7" fillId="0" borderId="32" xfId="0" applyNumberFormat="1" applyFont="1" applyBorder="1" applyAlignment="1">
      <alignment horizontal="right" vertical="center" wrapText="1"/>
    </xf>
    <xf numFmtId="0" fontId="4" fillId="6" borderId="16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wrapText="1"/>
    </xf>
    <xf numFmtId="176" fontId="7" fillId="0" borderId="6" xfId="0" applyNumberFormat="1" applyFont="1" applyBorder="1" applyAlignment="1">
      <alignment vertical="center"/>
    </xf>
    <xf numFmtId="177" fontId="4" fillId="6" borderId="16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wrapText="1"/>
    </xf>
    <xf numFmtId="176" fontId="7" fillId="0" borderId="24" xfId="0" applyNumberFormat="1" applyFont="1" applyBorder="1" applyAlignment="1">
      <alignment vertical="center"/>
    </xf>
    <xf numFmtId="176" fontId="7" fillId="0" borderId="30" xfId="0" applyNumberFormat="1" applyFont="1" applyBorder="1" applyAlignment="1">
      <alignment vertical="center"/>
    </xf>
    <xf numFmtId="0" fontId="7" fillId="0" borderId="32" xfId="0" applyFont="1" applyBorder="1" applyAlignment="1">
      <alignment wrapText="1"/>
    </xf>
    <xf numFmtId="176" fontId="7" fillId="0" borderId="8" xfId="0" applyNumberFormat="1" applyFont="1" applyBorder="1" applyAlignment="1">
      <alignment vertical="center"/>
    </xf>
    <xf numFmtId="176" fontId="7" fillId="0" borderId="26" xfId="0" applyNumberFormat="1" applyFont="1" applyBorder="1" applyAlignment="1">
      <alignment vertical="center"/>
    </xf>
    <xf numFmtId="0" fontId="4" fillId="6" borderId="34" xfId="0" applyFont="1" applyFill="1" applyBorder="1" applyAlignment="1">
      <alignment vertical="center"/>
    </xf>
    <xf numFmtId="0" fontId="4" fillId="6" borderId="39" xfId="0" applyFont="1" applyFill="1" applyBorder="1" applyAlignment="1">
      <alignment vertical="center"/>
    </xf>
    <xf numFmtId="0" fontId="4" fillId="6" borderId="40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176" fontId="7" fillId="0" borderId="2" xfId="0" applyNumberFormat="1" applyFont="1" applyBorder="1" applyAlignment="1">
      <alignment vertical="center"/>
    </xf>
    <xf numFmtId="0" fontId="7" fillId="0" borderId="30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7" xfId="0" applyFont="1" applyBorder="1" applyAlignment="1">
      <alignment vertical="center"/>
    </xf>
    <xf numFmtId="176" fontId="7" fillId="0" borderId="2" xfId="0" applyNumberFormat="1" applyFont="1" applyBorder="1" applyAlignment="1">
      <alignment horizontal="right" vertical="center"/>
    </xf>
    <xf numFmtId="0" fontId="4" fillId="6" borderId="39" xfId="0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right" vertical="center"/>
    </xf>
    <xf numFmtId="0" fontId="7" fillId="0" borderId="32" xfId="0" applyFont="1" applyBorder="1" applyAlignment="1">
      <alignment vertical="center"/>
    </xf>
    <xf numFmtId="0" fontId="4" fillId="4" borderId="39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3" fontId="7" fillId="0" borderId="3" xfId="0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3" fontId="4" fillId="6" borderId="39" xfId="0" applyNumberFormat="1" applyFont="1" applyFill="1" applyBorder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33" xfId="0" applyNumberFormat="1" applyFont="1" applyBorder="1" applyAlignment="1">
      <alignment horizontal="right" vertical="center" wrapText="1"/>
    </xf>
    <xf numFmtId="176" fontId="7" fillId="0" borderId="3" xfId="0" applyNumberFormat="1" applyFont="1" applyBorder="1" applyAlignment="1">
      <alignment vertical="center"/>
    </xf>
    <xf numFmtId="176" fontId="7" fillId="0" borderId="33" xfId="0" applyNumberFormat="1" applyFont="1" applyBorder="1" applyAlignment="1">
      <alignment vertical="center"/>
    </xf>
    <xf numFmtId="0" fontId="4" fillId="4" borderId="39" xfId="0" applyFont="1" applyFill="1" applyBorder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3" fontId="7" fillId="0" borderId="32" xfId="0" applyNumberFormat="1" applyFont="1" applyBorder="1" applyAlignment="1">
      <alignment horizontal="right" vertical="center"/>
    </xf>
    <xf numFmtId="177" fontId="7" fillId="0" borderId="30" xfId="0" applyNumberFormat="1" applyFont="1" applyBorder="1" applyAlignment="1">
      <alignment vertical="center"/>
    </xf>
    <xf numFmtId="176" fontId="4" fillId="0" borderId="24" xfId="0" applyNumberFormat="1" applyFont="1" applyBorder="1" applyAlignment="1">
      <alignment horizontal="right" vertical="center"/>
    </xf>
    <xf numFmtId="0" fontId="4" fillId="0" borderId="24" xfId="0" applyFont="1" applyBorder="1" applyAlignment="1">
      <alignment vertical="center"/>
    </xf>
    <xf numFmtId="177" fontId="7" fillId="0" borderId="3" xfId="0" applyNumberFormat="1" applyFont="1" applyBorder="1" applyAlignment="1">
      <alignment vertical="center"/>
    </xf>
    <xf numFmtId="176" fontId="4" fillId="0" borderId="6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7" fontId="7" fillId="0" borderId="7" xfId="0" applyNumberFormat="1" applyFont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176" fontId="7" fillId="0" borderId="32" xfId="0" applyNumberFormat="1" applyFont="1" applyBorder="1" applyAlignment="1">
      <alignment vertical="center"/>
    </xf>
    <xf numFmtId="176" fontId="4" fillId="0" borderId="26" xfId="0" applyNumberFormat="1" applyFont="1" applyBorder="1" applyAlignment="1">
      <alignment horizontal="right" vertical="center"/>
    </xf>
    <xf numFmtId="0" fontId="7" fillId="0" borderId="24" xfId="0" applyFont="1" applyBorder="1" applyAlignment="1">
      <alignment horizontal="center" vertical="center" wrapText="1"/>
    </xf>
    <xf numFmtId="177" fontId="4" fillId="6" borderId="39" xfId="0" applyNumberFormat="1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7" fillId="0" borderId="33" xfId="0" applyNumberFormat="1" applyFont="1" applyBorder="1" applyAlignment="1">
      <alignment horizontal="right" vertical="center"/>
    </xf>
    <xf numFmtId="176" fontId="4" fillId="0" borderId="33" xfId="0" applyNumberFormat="1" applyFont="1" applyBorder="1" applyAlignment="1">
      <alignment horizontal="right" vertical="center"/>
    </xf>
    <xf numFmtId="177" fontId="7" fillId="0" borderId="8" xfId="0" applyNumberFormat="1" applyFont="1" applyBorder="1" applyAlignment="1">
      <alignment vertical="center"/>
    </xf>
    <xf numFmtId="176" fontId="4" fillId="0" borderId="3" xfId="0" applyNumberFormat="1" applyFont="1" applyBorder="1" applyAlignment="1">
      <alignment horizontal="right" vertical="center"/>
    </xf>
    <xf numFmtId="176" fontId="4" fillId="0" borderId="30" xfId="0" applyNumberFormat="1" applyFont="1" applyBorder="1" applyAlignment="1">
      <alignment horizontal="right" vertical="center"/>
    </xf>
    <xf numFmtId="176" fontId="4" fillId="0" borderId="8" xfId="0" applyNumberFormat="1" applyFont="1" applyBorder="1" applyAlignment="1">
      <alignment horizontal="right" vertical="center"/>
    </xf>
    <xf numFmtId="3" fontId="7" fillId="0" borderId="6" xfId="0" applyNumberFormat="1" applyFont="1" applyBorder="1" applyAlignment="1">
      <alignment vertical="center"/>
    </xf>
    <xf numFmtId="3" fontId="7" fillId="0" borderId="24" xfId="0" applyNumberFormat="1" applyFont="1" applyBorder="1" applyAlignment="1">
      <alignment vertical="center"/>
    </xf>
    <xf numFmtId="3" fontId="7" fillId="0" borderId="7" xfId="0" applyNumberFormat="1" applyFont="1" applyBorder="1" applyAlignment="1">
      <alignment vertical="center"/>
    </xf>
    <xf numFmtId="3" fontId="7" fillId="0" borderId="32" xfId="0" applyNumberFormat="1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3" fontId="7" fillId="0" borderId="3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6" xfId="0" applyNumberFormat="1" applyFont="1" applyBorder="1" applyAlignment="1">
      <alignment horizontal="right" vertical="center"/>
    </xf>
    <xf numFmtId="0" fontId="4" fillId="6" borderId="43" xfId="0" applyFont="1" applyFill="1" applyBorder="1" applyAlignment="1">
      <alignment vertical="center"/>
    </xf>
    <xf numFmtId="177" fontId="4" fillId="0" borderId="24" xfId="0" applyNumberFormat="1" applyFont="1" applyBorder="1" applyAlignment="1">
      <alignment vertical="center"/>
    </xf>
    <xf numFmtId="177" fontId="4" fillId="0" borderId="0" xfId="0" applyNumberFormat="1" applyFont="1" applyAlignment="1">
      <alignment horizontal="right" vertical="center"/>
    </xf>
    <xf numFmtId="177" fontId="4" fillId="0" borderId="24" xfId="0" applyNumberFormat="1" applyFont="1" applyBorder="1" applyAlignment="1">
      <alignment horizontal="right" vertical="center"/>
    </xf>
    <xf numFmtId="176" fontId="8" fillId="0" borderId="0" xfId="0" applyNumberFormat="1" applyFont="1" applyAlignment="1">
      <alignment vertical="center"/>
    </xf>
    <xf numFmtId="177" fontId="4" fillId="0" borderId="30" xfId="0" applyNumberFormat="1" applyFont="1" applyBorder="1" applyAlignment="1">
      <alignment vertical="center"/>
    </xf>
    <xf numFmtId="176" fontId="8" fillId="0" borderId="33" xfId="0" applyNumberFormat="1" applyFont="1" applyBorder="1" applyAlignment="1">
      <alignment vertical="center"/>
    </xf>
    <xf numFmtId="177" fontId="4" fillId="0" borderId="26" xfId="0" applyNumberFormat="1" applyFont="1" applyBorder="1" applyAlignment="1">
      <alignment horizontal="right" vertical="center"/>
    </xf>
    <xf numFmtId="0" fontId="4" fillId="6" borderId="31" xfId="0" applyFont="1" applyFill="1" applyBorder="1" applyAlignment="1">
      <alignment vertical="center"/>
    </xf>
    <xf numFmtId="177" fontId="4" fillId="0" borderId="8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horizontal="right" vertical="center"/>
    </xf>
    <xf numFmtId="177" fontId="7" fillId="0" borderId="6" xfId="0" applyNumberFormat="1" applyFont="1" applyBorder="1" applyAlignment="1">
      <alignment horizontal="right" vertical="center"/>
    </xf>
    <xf numFmtId="177" fontId="7" fillId="0" borderId="7" xfId="0" applyNumberFormat="1" applyFont="1" applyBorder="1" applyAlignment="1">
      <alignment horizontal="right" vertical="center"/>
    </xf>
    <xf numFmtId="177" fontId="7" fillId="0" borderId="24" xfId="0" applyNumberFormat="1" applyFont="1" applyBorder="1" applyAlignment="1">
      <alignment horizontal="right" vertical="center"/>
    </xf>
    <xf numFmtId="177" fontId="7" fillId="0" borderId="26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177" fontId="4" fillId="0" borderId="0" xfId="0" applyNumberFormat="1" applyFont="1" applyAlignment="1">
      <alignment horizontal="center" vertical="center"/>
    </xf>
    <xf numFmtId="3" fontId="7" fillId="0" borderId="2" xfId="0" applyNumberFormat="1" applyFont="1" applyBorder="1" applyAlignment="1">
      <alignment vertical="center"/>
    </xf>
    <xf numFmtId="178" fontId="7" fillId="0" borderId="3" xfId="0" applyNumberFormat="1" applyFont="1" applyBorder="1" applyAlignment="1">
      <alignment vertical="center"/>
    </xf>
    <xf numFmtId="178" fontId="7" fillId="0" borderId="30" xfId="0" applyNumberFormat="1" applyFont="1" applyBorder="1" applyAlignment="1">
      <alignment vertical="center"/>
    </xf>
    <xf numFmtId="3" fontId="7" fillId="0" borderId="30" xfId="0" applyNumberFormat="1" applyFont="1" applyBorder="1" applyAlignment="1">
      <alignment vertical="center"/>
    </xf>
    <xf numFmtId="0" fontId="4" fillId="0" borderId="32" xfId="0" applyFont="1" applyBorder="1" applyAlignment="1">
      <alignment vertical="center" wrapText="1"/>
    </xf>
    <xf numFmtId="3" fontId="7" fillId="0" borderId="8" xfId="0" applyNumberFormat="1" applyFont="1" applyBorder="1" applyAlignment="1">
      <alignment vertical="center"/>
    </xf>
    <xf numFmtId="178" fontId="7" fillId="0" borderId="8" xfId="0" applyNumberFormat="1" applyFont="1" applyBorder="1" applyAlignment="1">
      <alignment vertical="center"/>
    </xf>
    <xf numFmtId="0" fontId="7" fillId="0" borderId="30" xfId="0" applyFont="1" applyBorder="1" applyAlignment="1">
      <alignment horizontal="left" vertical="center"/>
    </xf>
    <xf numFmtId="178" fontId="7" fillId="0" borderId="30" xfId="0" applyNumberFormat="1" applyFont="1" applyBorder="1" applyAlignment="1">
      <alignment horizontal="right" vertical="center"/>
    </xf>
    <xf numFmtId="178" fontId="7" fillId="0" borderId="8" xfId="0" applyNumberFormat="1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left" vertical="center"/>
    </xf>
    <xf numFmtId="177" fontId="4" fillId="0" borderId="30" xfId="0" applyNumberFormat="1" applyFont="1" applyBorder="1" applyAlignment="1">
      <alignment horizontal="left" vertical="center"/>
    </xf>
    <xf numFmtId="177" fontId="4" fillId="0" borderId="7" xfId="0" applyNumberFormat="1" applyFont="1" applyBorder="1" applyAlignment="1">
      <alignment horizontal="right" vertical="center"/>
    </xf>
    <xf numFmtId="177" fontId="4" fillId="0" borderId="8" xfId="0" applyNumberFormat="1" applyFont="1" applyBorder="1" applyAlignment="1">
      <alignment horizontal="left" vertical="center"/>
    </xf>
    <xf numFmtId="177" fontId="4" fillId="0" borderId="32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177" fontId="4" fillId="0" borderId="13" xfId="0" applyNumberFormat="1" applyFont="1" applyBorder="1" applyAlignment="1">
      <alignment horizontal="right" vertical="center"/>
    </xf>
    <xf numFmtId="176" fontId="7" fillId="0" borderId="39" xfId="0" applyNumberFormat="1" applyFont="1" applyBorder="1" applyAlignment="1">
      <alignment vertical="center"/>
    </xf>
    <xf numFmtId="177" fontId="4" fillId="0" borderId="14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30" xfId="0" applyFont="1" applyBorder="1" applyAlignment="1"/>
    <xf numFmtId="0" fontId="7" fillId="0" borderId="3" xfId="0" applyFont="1" applyBorder="1" applyAlignment="1"/>
    <xf numFmtId="0" fontId="7" fillId="0" borderId="8" xfId="0" applyFont="1" applyBorder="1" applyAlignment="1"/>
    <xf numFmtId="177" fontId="8" fillId="0" borderId="3" xfId="0" applyNumberFormat="1" applyFont="1" applyBorder="1" applyAlignment="1">
      <alignment vertical="center"/>
    </xf>
    <xf numFmtId="177" fontId="8" fillId="0" borderId="3" xfId="0" applyNumberFormat="1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8" fillId="0" borderId="6" xfId="0" applyNumberFormat="1" applyFont="1" applyBorder="1" applyAlignment="1">
      <alignment horizontal="right" vertical="center"/>
    </xf>
    <xf numFmtId="0" fontId="8" fillId="0" borderId="24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177" fontId="8" fillId="0" borderId="30" xfId="0" applyNumberFormat="1" applyFont="1" applyBorder="1" applyAlignment="1">
      <alignment vertical="center"/>
    </xf>
    <xf numFmtId="177" fontId="8" fillId="0" borderId="30" xfId="0" applyNumberFormat="1" applyFont="1" applyBorder="1" applyAlignment="1">
      <alignment horizontal="right" vertical="center"/>
    </xf>
    <xf numFmtId="177" fontId="4" fillId="0" borderId="30" xfId="0" applyNumberFormat="1" applyFont="1" applyBorder="1" applyAlignment="1">
      <alignment horizontal="right" vertical="center"/>
    </xf>
    <xf numFmtId="177" fontId="8" fillId="0" borderId="24" xfId="0" applyNumberFormat="1" applyFont="1" applyBorder="1" applyAlignment="1">
      <alignment horizontal="right" vertical="center"/>
    </xf>
    <xf numFmtId="177" fontId="8" fillId="0" borderId="8" xfId="0" applyNumberFormat="1" applyFont="1" applyBorder="1" applyAlignment="1">
      <alignment vertical="center"/>
    </xf>
    <xf numFmtId="177" fontId="8" fillId="0" borderId="8" xfId="0" applyNumberFormat="1" applyFont="1" applyBorder="1" applyAlignment="1">
      <alignment horizontal="right" vertical="center"/>
    </xf>
    <xf numFmtId="177" fontId="4" fillId="0" borderId="8" xfId="0" applyNumberFormat="1" applyFont="1" applyBorder="1" applyAlignment="1">
      <alignment horizontal="right" vertical="center"/>
    </xf>
    <xf numFmtId="177" fontId="8" fillId="0" borderId="26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177" fontId="8" fillId="0" borderId="39" xfId="0" applyNumberFormat="1" applyFont="1" applyBorder="1" applyAlignment="1">
      <alignment horizontal="right" vertical="center"/>
    </xf>
    <xf numFmtId="177" fontId="4" fillId="0" borderId="39" xfId="0" applyNumberFormat="1" applyFont="1" applyBorder="1" applyAlignment="1">
      <alignment horizontal="right" vertical="center"/>
    </xf>
    <xf numFmtId="177" fontId="8" fillId="0" borderId="14" xfId="0" applyNumberFormat="1" applyFont="1" applyBorder="1" applyAlignment="1">
      <alignment horizontal="right" vertical="center"/>
    </xf>
    <xf numFmtId="0" fontId="8" fillId="0" borderId="30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7" fillId="0" borderId="0" xfId="0" applyFont="1" applyAlignment="1"/>
    <xf numFmtId="0" fontId="4" fillId="0" borderId="6" xfId="0" applyFont="1" applyBorder="1" applyAlignment="1">
      <alignment vertical="center"/>
    </xf>
    <xf numFmtId="178" fontId="7" fillId="0" borderId="3" xfId="0" applyNumberFormat="1" applyFont="1" applyBorder="1" applyAlignment="1">
      <alignment horizontal="right" vertical="center"/>
    </xf>
    <xf numFmtId="177" fontId="8" fillId="0" borderId="6" xfId="0" applyNumberFormat="1" applyFont="1" applyBorder="1" applyAlignment="1">
      <alignment vertical="center"/>
    </xf>
    <xf numFmtId="177" fontId="8" fillId="0" borderId="24" xfId="0" applyNumberFormat="1" applyFont="1" applyBorder="1" applyAlignment="1">
      <alignment vertical="center"/>
    </xf>
    <xf numFmtId="177" fontId="8" fillId="0" borderId="26" xfId="0" applyNumberFormat="1" applyFont="1" applyBorder="1" applyAlignment="1">
      <alignment vertical="center"/>
    </xf>
    <xf numFmtId="177" fontId="8" fillId="0" borderId="39" xfId="0" applyNumberFormat="1" applyFont="1" applyBorder="1" applyAlignment="1">
      <alignment vertical="center"/>
    </xf>
    <xf numFmtId="177" fontId="4" fillId="0" borderId="39" xfId="0" applyNumberFormat="1" applyFont="1" applyBorder="1" applyAlignment="1">
      <alignment vertical="center"/>
    </xf>
    <xf numFmtId="177" fontId="8" fillId="0" borderId="14" xfId="0" applyNumberFormat="1" applyFont="1" applyBorder="1" applyAlignment="1">
      <alignment vertical="center"/>
    </xf>
    <xf numFmtId="177" fontId="6" fillId="5" borderId="16" xfId="0" applyNumberFormat="1" applyFont="1" applyFill="1" applyBorder="1" applyAlignment="1">
      <alignment horizontal="center" vertical="center"/>
    </xf>
    <xf numFmtId="177" fontId="6" fillId="5" borderId="17" xfId="0" applyNumberFormat="1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vertical="center"/>
    </xf>
    <xf numFmtId="177" fontId="6" fillId="5" borderId="22" xfId="0" applyNumberFormat="1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178" fontId="4" fillId="0" borderId="3" xfId="0" applyNumberFormat="1" applyFont="1" applyBorder="1" applyAlignment="1">
      <alignment horizontal="right" vertical="center"/>
    </xf>
    <xf numFmtId="177" fontId="8" fillId="6" borderId="44" xfId="0" applyNumberFormat="1" applyFont="1" applyFill="1" applyBorder="1" applyAlignment="1">
      <alignment vertical="center"/>
    </xf>
    <xf numFmtId="177" fontId="8" fillId="6" borderId="45" xfId="0" applyNumberFormat="1" applyFont="1" applyFill="1" applyBorder="1" applyAlignment="1">
      <alignment vertical="center"/>
    </xf>
    <xf numFmtId="3" fontId="4" fillId="0" borderId="30" xfId="0" applyNumberFormat="1" applyFont="1" applyBorder="1" applyAlignment="1">
      <alignment horizontal="right" vertical="center"/>
    </xf>
    <xf numFmtId="178" fontId="4" fillId="0" borderId="30" xfId="0" applyNumberFormat="1" applyFont="1" applyBorder="1" applyAlignment="1">
      <alignment horizontal="right" vertical="center"/>
    </xf>
    <xf numFmtId="177" fontId="8" fillId="6" borderId="46" xfId="0" applyNumberFormat="1" applyFont="1" applyFill="1" applyBorder="1" applyAlignment="1">
      <alignment vertical="center"/>
    </xf>
    <xf numFmtId="177" fontId="8" fillId="6" borderId="47" xfId="0" applyNumberFormat="1" applyFont="1" applyFill="1" applyBorder="1" applyAlignment="1">
      <alignment vertical="center"/>
    </xf>
    <xf numFmtId="0" fontId="8" fillId="6" borderId="48" xfId="0" applyFont="1" applyFill="1" applyBorder="1" applyAlignment="1">
      <alignment vertical="center"/>
    </xf>
    <xf numFmtId="0" fontId="8" fillId="6" borderId="49" xfId="0" applyFont="1" applyFill="1" applyBorder="1" applyAlignment="1">
      <alignment vertical="center"/>
    </xf>
    <xf numFmtId="0" fontId="4" fillId="0" borderId="8" xfId="0" applyFont="1" applyBorder="1" applyAlignment="1"/>
    <xf numFmtId="3" fontId="4" fillId="0" borderId="8" xfId="0" applyNumberFormat="1" applyFont="1" applyBorder="1" applyAlignment="1">
      <alignment horizontal="right" vertical="center"/>
    </xf>
    <xf numFmtId="178" fontId="4" fillId="0" borderId="8" xfId="0" applyNumberFormat="1" applyFont="1" applyBorder="1" applyAlignment="1">
      <alignment horizontal="right" vertical="center"/>
    </xf>
    <xf numFmtId="0" fontId="8" fillId="6" borderId="50" xfId="0" applyFont="1" applyFill="1" applyBorder="1" applyAlignment="1">
      <alignment vertical="center"/>
    </xf>
    <xf numFmtId="0" fontId="8" fillId="6" borderId="51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8" fillId="6" borderId="46" xfId="0" applyFont="1" applyFill="1" applyBorder="1" applyAlignment="1">
      <alignment vertical="center"/>
    </xf>
    <xf numFmtId="0" fontId="8" fillId="4" borderId="47" xfId="0" applyFont="1" applyFill="1" applyBorder="1" applyAlignment="1">
      <alignment vertical="center"/>
    </xf>
    <xf numFmtId="0" fontId="8" fillId="6" borderId="31" xfId="0" applyFont="1" applyFill="1" applyBorder="1" applyAlignment="1">
      <alignment vertical="center"/>
    </xf>
    <xf numFmtId="0" fontId="8" fillId="6" borderId="40" xfId="0" applyFont="1" applyFill="1" applyBorder="1" applyAlignment="1">
      <alignment vertical="center"/>
    </xf>
    <xf numFmtId="176" fontId="4" fillId="0" borderId="1" xfId="0" applyNumberFormat="1" applyFont="1" applyBorder="1" applyAlignment="1">
      <alignment horizontal="right" vertical="center"/>
    </xf>
    <xf numFmtId="0" fontId="8" fillId="6" borderId="47" xfId="0" applyFont="1" applyFill="1" applyBorder="1" applyAlignment="1">
      <alignment vertical="center"/>
    </xf>
    <xf numFmtId="176" fontId="4" fillId="0" borderId="7" xfId="0" applyNumberFormat="1" applyFont="1" applyBorder="1" applyAlignment="1">
      <alignment horizontal="right" vertical="center"/>
    </xf>
    <xf numFmtId="0" fontId="8" fillId="4" borderId="48" xfId="0" applyFont="1" applyFill="1" applyBorder="1" applyAlignment="1">
      <alignment vertical="center"/>
    </xf>
    <xf numFmtId="176" fontId="4" fillId="0" borderId="32" xfId="0" applyNumberFormat="1" applyFont="1" applyBorder="1" applyAlignment="1">
      <alignment horizontal="right" vertical="center"/>
    </xf>
    <xf numFmtId="0" fontId="4" fillId="0" borderId="24" xfId="0" applyFont="1" applyBorder="1" applyAlignment="1"/>
    <xf numFmtId="0" fontId="8" fillId="6" borderId="43" xfId="0" applyFont="1" applyFill="1" applyBorder="1" applyAlignment="1">
      <alignment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3" xfId="0" applyFont="1" applyBorder="1" applyAlignment="1"/>
    <xf numFmtId="176" fontId="4" fillId="0" borderId="0" xfId="0" applyNumberFormat="1" applyFont="1" applyAlignment="1">
      <alignment horizontal="right"/>
    </xf>
    <xf numFmtId="0" fontId="4" fillId="0" borderId="30" xfId="0" applyFont="1" applyBorder="1" applyAlignment="1"/>
    <xf numFmtId="0" fontId="8" fillId="6" borderId="44" xfId="0" applyFont="1" applyFill="1" applyBorder="1" applyAlignment="1">
      <alignment vertical="center"/>
    </xf>
    <xf numFmtId="0" fontId="8" fillId="6" borderId="53" xfId="0" applyFont="1" applyFill="1" applyBorder="1" applyAlignment="1">
      <alignment vertical="center"/>
    </xf>
    <xf numFmtId="0" fontId="8" fillId="4" borderId="53" xfId="0" applyFont="1" applyFill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8" fillId="6" borderId="54" xfId="0" applyFont="1" applyFill="1" applyBorder="1" applyAlignment="1">
      <alignment vertical="center"/>
    </xf>
    <xf numFmtId="0" fontId="8" fillId="6" borderId="45" xfId="0" applyFont="1" applyFill="1" applyBorder="1" applyAlignment="1">
      <alignment vertical="center"/>
    </xf>
    <xf numFmtId="0" fontId="8" fillId="6" borderId="22" xfId="0" applyFont="1" applyFill="1" applyBorder="1" applyAlignment="1">
      <alignment vertical="center"/>
    </xf>
    <xf numFmtId="0" fontId="4" fillId="0" borderId="30" xfId="0" applyFont="1" applyBorder="1" applyAlignment="1">
      <alignment vertical="center" wrapText="1"/>
    </xf>
    <xf numFmtId="0" fontId="8" fillId="6" borderId="55" xfId="0" applyFont="1" applyFill="1" applyBorder="1" applyAlignment="1">
      <alignment vertical="center"/>
    </xf>
    <xf numFmtId="0" fontId="8" fillId="6" borderId="56" xfId="0" applyFont="1" applyFill="1" applyBorder="1" applyAlignment="1">
      <alignment vertical="center"/>
    </xf>
    <xf numFmtId="0" fontId="8" fillId="6" borderId="57" xfId="0" applyFont="1" applyFill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8" fillId="6" borderId="58" xfId="0" applyFont="1" applyFill="1" applyBorder="1" applyAlignment="1">
      <alignment vertical="center"/>
    </xf>
    <xf numFmtId="3" fontId="8" fillId="6" borderId="44" xfId="0" applyNumberFormat="1" applyFont="1" applyFill="1" applyBorder="1" applyAlignment="1">
      <alignment vertical="center"/>
    </xf>
    <xf numFmtId="3" fontId="8" fillId="6" borderId="59" xfId="0" applyNumberFormat="1" applyFont="1" applyFill="1" applyBorder="1" applyAlignment="1">
      <alignment vertical="center"/>
    </xf>
    <xf numFmtId="3" fontId="8" fillId="6" borderId="46" xfId="0" applyNumberFormat="1" applyFont="1" applyFill="1" applyBorder="1" applyAlignment="1">
      <alignment vertical="center"/>
    </xf>
    <xf numFmtId="3" fontId="8" fillId="6" borderId="60" xfId="0" applyNumberFormat="1" applyFont="1" applyFill="1" applyBorder="1" applyAlignment="1">
      <alignment vertical="center"/>
    </xf>
    <xf numFmtId="0" fontId="8" fillId="6" borderId="61" xfId="0" applyFont="1" applyFill="1" applyBorder="1" applyAlignment="1">
      <alignment vertical="center"/>
    </xf>
    <xf numFmtId="0" fontId="6" fillId="5" borderId="64" xfId="0" applyFont="1" applyFill="1" applyBorder="1" applyAlignment="1">
      <alignment horizontal="center" vertical="center"/>
    </xf>
    <xf numFmtId="0" fontId="6" fillId="5" borderId="65" xfId="0" applyFont="1" applyFill="1" applyBorder="1" applyAlignment="1">
      <alignment horizontal="left" vertical="center"/>
    </xf>
    <xf numFmtId="3" fontId="7" fillId="0" borderId="3" xfId="0" applyNumberFormat="1" applyFont="1" applyBorder="1" applyAlignment="1">
      <alignment vertical="center"/>
    </xf>
    <xf numFmtId="177" fontId="6" fillId="5" borderId="66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3" fontId="9" fillId="0" borderId="24" xfId="0" applyNumberFormat="1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7" fillId="6" borderId="70" xfId="0" applyFont="1" applyFill="1" applyBorder="1" applyAlignment="1">
      <alignment horizontal="center" vertical="center"/>
    </xf>
    <xf numFmtId="0" fontId="7" fillId="6" borderId="60" xfId="0" applyFont="1" applyFill="1" applyBorder="1" applyAlignment="1">
      <alignment horizontal="center" vertical="center"/>
    </xf>
    <xf numFmtId="0" fontId="9" fillId="0" borderId="30" xfId="0" applyFont="1" applyBorder="1" applyAlignment="1">
      <alignment wrapText="1"/>
    </xf>
    <xf numFmtId="0" fontId="7" fillId="6" borderId="55" xfId="0" applyFont="1" applyFill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/>
    </xf>
    <xf numFmtId="0" fontId="7" fillId="6" borderId="61" xfId="0" applyFont="1" applyFill="1" applyBorder="1" applyAlignment="1">
      <alignment horizontal="center" vertical="center"/>
    </xf>
    <xf numFmtId="0" fontId="7" fillId="6" borderId="56" xfId="0" applyFont="1" applyFill="1" applyBorder="1" applyAlignment="1">
      <alignment horizontal="center" vertical="center"/>
    </xf>
    <xf numFmtId="0" fontId="7" fillId="6" borderId="71" xfId="0" applyFont="1" applyFill="1" applyBorder="1" applyAlignment="1">
      <alignment horizontal="center" vertical="center"/>
    </xf>
    <xf numFmtId="0" fontId="10" fillId="0" borderId="30" xfId="0" applyFont="1" applyBorder="1" applyAlignment="1">
      <alignment wrapText="1"/>
    </xf>
    <xf numFmtId="0" fontId="9" fillId="0" borderId="8" xfId="0" applyFont="1" applyBorder="1" applyAlignment="1">
      <alignment wrapText="1"/>
    </xf>
    <xf numFmtId="3" fontId="9" fillId="0" borderId="26" xfId="0" applyNumberFormat="1" applyFont="1" applyBorder="1" applyAlignment="1">
      <alignment vertical="center"/>
    </xf>
    <xf numFmtId="0" fontId="7" fillId="6" borderId="58" xfId="0" applyFont="1" applyFill="1" applyBorder="1" applyAlignment="1">
      <alignment horizontal="center" vertical="center"/>
    </xf>
    <xf numFmtId="0" fontId="7" fillId="6" borderId="72" xfId="0" applyFont="1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3" fontId="9" fillId="0" borderId="3" xfId="0" applyNumberFormat="1" applyFont="1" applyBorder="1" applyAlignment="1">
      <alignment vertical="center"/>
    </xf>
    <xf numFmtId="178" fontId="7" fillId="0" borderId="6" xfId="0" applyNumberFormat="1" applyFont="1" applyBorder="1" applyAlignment="1">
      <alignment vertical="center"/>
    </xf>
    <xf numFmtId="0" fontId="7" fillId="6" borderId="54" xfId="0" applyFont="1" applyFill="1" applyBorder="1" applyAlignment="1">
      <alignment horizontal="center" vertical="center"/>
    </xf>
    <xf numFmtId="0" fontId="7" fillId="6" borderId="59" xfId="0" applyFont="1" applyFill="1" applyBorder="1" applyAlignment="1">
      <alignment horizontal="center" vertical="center"/>
    </xf>
    <xf numFmtId="3" fontId="7" fillId="0" borderId="73" xfId="0" applyNumberFormat="1" applyFont="1" applyBorder="1" applyAlignment="1">
      <alignment vertical="center"/>
    </xf>
    <xf numFmtId="0" fontId="7" fillId="6" borderId="74" xfId="0" applyFont="1" applyFill="1" applyBorder="1" applyAlignment="1">
      <alignment horizontal="center" vertical="center"/>
    </xf>
    <xf numFmtId="3" fontId="9" fillId="0" borderId="73" xfId="0" applyNumberFormat="1" applyFont="1" applyBorder="1" applyAlignment="1">
      <alignment vertical="center"/>
    </xf>
    <xf numFmtId="0" fontId="7" fillId="4" borderId="5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7" fillId="0" borderId="39" xfId="0" applyFont="1" applyBorder="1" applyAlignment="1">
      <alignment wrapText="1"/>
    </xf>
    <xf numFmtId="3" fontId="7" fillId="0" borderId="1" xfId="0" applyNumberFormat="1" applyFont="1" applyBorder="1" applyAlignment="1">
      <alignment vertical="center"/>
    </xf>
    <xf numFmtId="3" fontId="9" fillId="0" borderId="7" xfId="0" applyNumberFormat="1" applyFont="1" applyBorder="1" applyAlignment="1">
      <alignment vertical="center"/>
    </xf>
    <xf numFmtId="0" fontId="7" fillId="4" borderId="71" xfId="0" applyFont="1" applyFill="1" applyBorder="1" applyAlignment="1">
      <alignment horizontal="center" vertical="center"/>
    </xf>
    <xf numFmtId="0" fontId="7" fillId="6" borderId="75" xfId="0" applyFont="1" applyFill="1" applyBorder="1" applyAlignment="1">
      <alignment wrapText="1"/>
    </xf>
    <xf numFmtId="0" fontId="7" fillId="6" borderId="45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vertical="center"/>
    </xf>
    <xf numFmtId="0" fontId="7" fillId="6" borderId="49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vertical="center"/>
    </xf>
    <xf numFmtId="0" fontId="7" fillId="6" borderId="57" xfId="0" applyFont="1" applyFill="1" applyBorder="1" applyAlignment="1">
      <alignment horizontal="center" vertical="center"/>
    </xf>
    <xf numFmtId="0" fontId="7" fillId="6" borderId="51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3" fontId="9" fillId="0" borderId="3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3" fontId="7" fillId="6" borderId="64" xfId="0" applyNumberFormat="1" applyFont="1" applyFill="1" applyBorder="1" applyAlignment="1">
      <alignment vertical="center"/>
    </xf>
    <xf numFmtId="3" fontId="7" fillId="6" borderId="59" xfId="0" applyNumberFormat="1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3" fontId="7" fillId="6" borderId="19" xfId="0" applyNumberFormat="1" applyFont="1" applyFill="1" applyBorder="1" applyAlignment="1">
      <alignment vertical="center"/>
    </xf>
    <xf numFmtId="3" fontId="7" fillId="6" borderId="60" xfId="0" applyNumberFormat="1" applyFont="1" applyFill="1" applyBorder="1" applyAlignment="1">
      <alignment vertical="center"/>
    </xf>
    <xf numFmtId="0" fontId="7" fillId="6" borderId="76" xfId="0" applyFont="1" applyFill="1" applyBorder="1" applyAlignment="1">
      <alignment vertical="center"/>
    </xf>
    <xf numFmtId="0" fontId="7" fillId="6" borderId="61" xfId="0" applyFont="1" applyFill="1" applyBorder="1" applyAlignment="1">
      <alignment vertical="center"/>
    </xf>
    <xf numFmtId="0" fontId="7" fillId="6" borderId="77" xfId="0" applyFont="1" applyFill="1" applyBorder="1" applyAlignment="1">
      <alignment vertical="center"/>
    </xf>
    <xf numFmtId="0" fontId="7" fillId="6" borderId="71" xfId="0" applyFont="1" applyFill="1" applyBorder="1" applyAlignment="1">
      <alignment vertical="center"/>
    </xf>
    <xf numFmtId="0" fontId="9" fillId="0" borderId="32" xfId="0" applyFont="1" applyBorder="1" applyAlignment="1">
      <alignment vertical="center"/>
    </xf>
    <xf numFmtId="3" fontId="9" fillId="0" borderId="8" xfId="0" applyNumberFormat="1" applyFont="1" applyBorder="1" applyAlignment="1">
      <alignment horizontal="right" vertical="center"/>
    </xf>
    <xf numFmtId="3" fontId="9" fillId="0" borderId="33" xfId="0" applyNumberFormat="1" applyFont="1" applyBorder="1" applyAlignment="1">
      <alignment horizontal="right" vertical="center" wrapText="1"/>
    </xf>
    <xf numFmtId="0" fontId="7" fillId="6" borderId="78" xfId="0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right" vertical="center" wrapText="1"/>
    </xf>
    <xf numFmtId="0" fontId="7" fillId="4" borderId="79" xfId="0" applyFont="1" applyFill="1" applyBorder="1" applyAlignment="1">
      <alignment horizontal="center" vertical="center"/>
    </xf>
    <xf numFmtId="0" fontId="7" fillId="6" borderId="80" xfId="0" applyFont="1" applyFill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7" fillId="6" borderId="8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3" fontId="7" fillId="0" borderId="6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 wrapText="1"/>
    </xf>
    <xf numFmtId="0" fontId="7" fillId="6" borderId="74" xfId="0" applyFont="1" applyFill="1" applyBorder="1" applyAlignment="1">
      <alignment vertical="center"/>
    </xf>
    <xf numFmtId="0" fontId="7" fillId="6" borderId="82" xfId="0" applyFont="1" applyFill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3" fontId="7" fillId="0" borderId="24" xfId="0" applyNumberFormat="1" applyFont="1" applyBorder="1" applyAlignment="1">
      <alignment horizontal="right" vertical="center"/>
    </xf>
    <xf numFmtId="3" fontId="7" fillId="0" borderId="7" xfId="0" applyNumberFormat="1" applyFont="1" applyBorder="1" applyAlignment="1">
      <alignment horizontal="right" vertical="center" wrapText="1"/>
    </xf>
    <xf numFmtId="0" fontId="7" fillId="0" borderId="32" xfId="0" applyFont="1" applyBorder="1" applyAlignment="1">
      <alignment vertical="center" wrapText="1"/>
    </xf>
    <xf numFmtId="3" fontId="7" fillId="0" borderId="26" xfId="0" applyNumberFormat="1" applyFont="1" applyBorder="1" applyAlignment="1">
      <alignment horizontal="right" vertical="center"/>
    </xf>
    <xf numFmtId="0" fontId="7" fillId="6" borderId="83" xfId="0" applyFont="1" applyFill="1" applyBorder="1" applyAlignment="1">
      <alignment vertical="center"/>
    </xf>
    <xf numFmtId="0" fontId="7" fillId="6" borderId="84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177" fontId="11" fillId="5" borderId="17" xfId="0" applyNumberFormat="1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3" fontId="4" fillId="0" borderId="3" xfId="0" applyNumberFormat="1" applyFont="1" applyBorder="1" applyAlignment="1">
      <alignment vertical="center"/>
    </xf>
    <xf numFmtId="3" fontId="4" fillId="0" borderId="6" xfId="0" applyNumberFormat="1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178" fontId="4" fillId="0" borderId="3" xfId="0" applyNumberFormat="1" applyFont="1" applyBorder="1" applyAlignment="1">
      <alignment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wrapText="1"/>
    </xf>
    <xf numFmtId="3" fontId="4" fillId="0" borderId="30" xfId="0" applyNumberFormat="1" applyFont="1" applyBorder="1" applyAlignment="1">
      <alignment vertical="center"/>
    </xf>
    <xf numFmtId="3" fontId="4" fillId="0" borderId="24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vertical="center"/>
    </xf>
    <xf numFmtId="3" fontId="4" fillId="0" borderId="26" xfId="0" applyNumberFormat="1" applyFont="1" applyBorder="1" applyAlignment="1">
      <alignment vertical="center"/>
    </xf>
    <xf numFmtId="3" fontId="4" fillId="0" borderId="33" xfId="0" applyNumberFormat="1" applyFont="1" applyBorder="1" applyAlignment="1">
      <alignment vertical="center"/>
    </xf>
    <xf numFmtId="0" fontId="4" fillId="6" borderId="58" xfId="0" applyFont="1" applyFill="1" applyBorder="1" applyAlignment="1">
      <alignment horizontal="center" vertical="center"/>
    </xf>
    <xf numFmtId="0" fontId="4" fillId="6" borderId="72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wrapText="1"/>
    </xf>
    <xf numFmtId="3" fontId="4" fillId="0" borderId="85" xfId="0" applyNumberFormat="1" applyFont="1" applyBorder="1" applyAlignment="1">
      <alignment vertical="center"/>
    </xf>
    <xf numFmtId="0" fontId="4" fillId="6" borderId="54" xfId="0" applyFont="1" applyFill="1" applyBorder="1" applyAlignment="1">
      <alignment horizontal="center" vertical="center"/>
    </xf>
    <xf numFmtId="0" fontId="4" fillId="6" borderId="75" xfId="0" applyFont="1" applyFill="1" applyBorder="1" applyAlignment="1">
      <alignment wrapText="1"/>
    </xf>
    <xf numFmtId="3" fontId="4" fillId="0" borderId="73" xfId="0" applyNumberFormat="1" applyFont="1" applyBorder="1" applyAlignment="1">
      <alignment vertical="center"/>
    </xf>
    <xf numFmtId="0" fontId="4" fillId="6" borderId="75" xfId="0" applyFont="1" applyFill="1" applyBorder="1" applyAlignment="1">
      <alignment vertical="center"/>
    </xf>
    <xf numFmtId="0" fontId="4" fillId="6" borderId="40" xfId="0" applyFont="1" applyFill="1" applyBorder="1" applyAlignment="1">
      <alignment wrapText="1"/>
    </xf>
    <xf numFmtId="3" fontId="4" fillId="0" borderId="1" xfId="0" applyNumberFormat="1" applyFont="1" applyBorder="1" applyAlignment="1">
      <alignment vertical="center"/>
    </xf>
    <xf numFmtId="3" fontId="4" fillId="0" borderId="7" xfId="0" applyNumberFormat="1" applyFont="1" applyBorder="1" applyAlignment="1">
      <alignment vertical="center"/>
    </xf>
    <xf numFmtId="0" fontId="4" fillId="6" borderId="74" xfId="0" applyFont="1" applyFill="1" applyBorder="1" applyAlignment="1">
      <alignment horizontal="center" vertical="center"/>
    </xf>
    <xf numFmtId="0" fontId="4" fillId="6" borderId="56" xfId="0" applyFont="1" applyFill="1" applyBorder="1" applyAlignment="1">
      <alignment horizontal="center" vertical="center"/>
    </xf>
    <xf numFmtId="0" fontId="4" fillId="6" borderId="71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/>
    </xf>
    <xf numFmtId="178" fontId="4" fillId="0" borderId="6" xfId="0" applyNumberFormat="1" applyFont="1" applyBorder="1" applyAlignment="1">
      <alignment vertical="center"/>
    </xf>
    <xf numFmtId="0" fontId="4" fillId="4" borderId="66" xfId="0" applyFont="1" applyFill="1" applyBorder="1" applyAlignment="1">
      <alignment horizontal="center" vertical="center"/>
    </xf>
    <xf numFmtId="0" fontId="4" fillId="6" borderId="86" xfId="0" applyFont="1" applyFill="1" applyBorder="1" applyAlignment="1">
      <alignment horizontal="center" vertical="center"/>
    </xf>
    <xf numFmtId="177" fontId="8" fillId="0" borderId="0" xfId="0" applyNumberFormat="1" applyFont="1" applyAlignment="1">
      <alignment vertical="center"/>
    </xf>
    <xf numFmtId="0" fontId="4" fillId="4" borderId="70" xfId="0" applyFont="1" applyFill="1" applyBorder="1" applyAlignment="1">
      <alignment horizontal="center" vertical="center"/>
    </xf>
    <xf numFmtId="0" fontId="4" fillId="6" borderId="87" xfId="0" applyFont="1" applyFill="1" applyBorder="1" applyAlignment="1">
      <alignment horizontal="center" vertical="center"/>
    </xf>
    <xf numFmtId="177" fontId="8" fillId="0" borderId="33" xfId="0" applyNumberFormat="1" applyFont="1" applyBorder="1" applyAlignment="1">
      <alignment vertical="center"/>
    </xf>
    <xf numFmtId="178" fontId="4" fillId="0" borderId="14" xfId="0" applyNumberFormat="1" applyFont="1" applyBorder="1" applyAlignment="1">
      <alignment vertical="center"/>
    </xf>
    <xf numFmtId="0" fontId="4" fillId="4" borderId="83" xfId="0" applyFont="1" applyFill="1" applyBorder="1" applyAlignment="1">
      <alignment horizontal="center" vertical="center"/>
    </xf>
    <xf numFmtId="0" fontId="4" fillId="6" borderId="88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3" fontId="4" fillId="0" borderId="7" xfId="0" applyNumberFormat="1" applyFont="1" applyBorder="1" applyAlignment="1">
      <alignment horizontal="right" vertical="center" wrapText="1"/>
    </xf>
    <xf numFmtId="178" fontId="4" fillId="0" borderId="30" xfId="0" applyNumberFormat="1" applyFont="1" applyBorder="1" applyAlignment="1">
      <alignment vertical="center"/>
    </xf>
    <xf numFmtId="0" fontId="4" fillId="6" borderId="74" xfId="0" applyFont="1" applyFill="1" applyBorder="1" applyAlignment="1">
      <alignment vertical="center"/>
    </xf>
    <xf numFmtId="0" fontId="4" fillId="6" borderId="60" xfId="0" applyFont="1" applyFill="1" applyBorder="1" applyAlignment="1">
      <alignment vertical="center"/>
    </xf>
    <xf numFmtId="3" fontId="4" fillId="0" borderId="7" xfId="0" applyNumberFormat="1" applyFont="1" applyBorder="1" applyAlignment="1">
      <alignment horizontal="right" vertical="center"/>
    </xf>
    <xf numFmtId="0" fontId="4" fillId="6" borderId="55" xfId="0" applyFont="1" applyFill="1" applyBorder="1" applyAlignment="1">
      <alignment vertical="center"/>
    </xf>
    <xf numFmtId="0" fontId="4" fillId="6" borderId="61" xfId="0" applyFont="1" applyFill="1" applyBorder="1" applyAlignment="1">
      <alignment vertical="center"/>
    </xf>
    <xf numFmtId="0" fontId="4" fillId="4" borderId="6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6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6" borderId="66" xfId="0" applyNumberFormat="1" applyFont="1" applyFill="1" applyBorder="1" applyAlignment="1">
      <alignment vertical="center"/>
    </xf>
    <xf numFmtId="3" fontId="4" fillId="6" borderId="59" xfId="0" applyNumberFormat="1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3" fontId="4" fillId="0" borderId="24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4" fillId="0" borderId="32" xfId="0" applyFont="1" applyBorder="1" applyAlignment="1">
      <alignment vertical="center"/>
    </xf>
    <xf numFmtId="3" fontId="4" fillId="0" borderId="26" xfId="0" applyNumberFormat="1" applyFont="1" applyBorder="1" applyAlignment="1">
      <alignment horizontal="right" vertical="center"/>
    </xf>
    <xf numFmtId="3" fontId="4" fillId="0" borderId="33" xfId="0" applyNumberFormat="1" applyFont="1" applyBorder="1" applyAlignment="1">
      <alignment horizontal="right" vertical="center" wrapText="1"/>
    </xf>
    <xf numFmtId="3" fontId="8" fillId="0" borderId="6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0" fontId="4" fillId="6" borderId="54" xfId="0" applyFont="1" applyFill="1" applyBorder="1" applyAlignment="1">
      <alignment vertical="center"/>
    </xf>
    <xf numFmtId="0" fontId="4" fillId="6" borderId="59" xfId="0" applyFont="1" applyFill="1" applyBorder="1" applyAlignment="1">
      <alignment vertical="center"/>
    </xf>
    <xf numFmtId="3" fontId="8" fillId="0" borderId="24" xfId="0" applyNumberFormat="1" applyFont="1" applyBorder="1" applyAlignment="1">
      <alignment vertical="center"/>
    </xf>
    <xf numFmtId="3" fontId="8" fillId="0" borderId="26" xfId="0" applyNumberFormat="1" applyFont="1" applyBorder="1" applyAlignment="1">
      <alignment vertical="center"/>
    </xf>
    <xf numFmtId="3" fontId="4" fillId="0" borderId="32" xfId="0" applyNumberFormat="1" applyFont="1" applyBorder="1" applyAlignment="1">
      <alignment horizontal="right" vertical="center"/>
    </xf>
    <xf numFmtId="3" fontId="4" fillId="6" borderId="83" xfId="0" applyNumberFormat="1" applyFont="1" applyFill="1" applyBorder="1" applyAlignment="1">
      <alignment vertical="center"/>
    </xf>
    <xf numFmtId="3" fontId="4" fillId="6" borderId="72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horizontal="right" vertical="center" wrapText="1"/>
    </xf>
    <xf numFmtId="0" fontId="4" fillId="4" borderId="89" xfId="0" applyFont="1" applyFill="1" applyBorder="1" applyAlignment="1">
      <alignment horizontal="center" vertical="center"/>
    </xf>
    <xf numFmtId="0" fontId="4" fillId="6" borderId="90" xfId="0" applyFont="1" applyFill="1" applyBorder="1" applyAlignment="1">
      <alignment horizontal="center" vertical="center"/>
    </xf>
    <xf numFmtId="0" fontId="4" fillId="6" borderId="9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8" fillId="6" borderId="74" xfId="0" applyFont="1" applyFill="1" applyBorder="1" applyAlignment="1">
      <alignment vertical="center"/>
    </xf>
    <xf numFmtId="0" fontId="8" fillId="6" borderId="82" xfId="0" applyFont="1" applyFill="1" applyBorder="1" applyAlignment="1">
      <alignment vertical="center"/>
    </xf>
    <xf numFmtId="3" fontId="4" fillId="0" borderId="32" xfId="0" applyNumberFormat="1" applyFont="1" applyBorder="1" applyAlignment="1">
      <alignment horizontal="right" vertical="center" wrapText="1"/>
    </xf>
    <xf numFmtId="178" fontId="4" fillId="0" borderId="39" xfId="0" applyNumberFormat="1" applyFont="1" applyBorder="1" applyAlignment="1">
      <alignment vertical="center"/>
    </xf>
    <xf numFmtId="0" fontId="8" fillId="6" borderId="83" xfId="0" applyFont="1" applyFill="1" applyBorder="1" applyAlignment="1">
      <alignment vertical="center"/>
    </xf>
    <xf numFmtId="0" fontId="8" fillId="6" borderId="84" xfId="0" applyFont="1" applyFill="1" applyBorder="1" applyAlignment="1">
      <alignment vertical="center"/>
    </xf>
    <xf numFmtId="0" fontId="4" fillId="6" borderId="92" xfId="0" applyFont="1" applyFill="1" applyBorder="1" applyAlignment="1">
      <alignment horizontal="center" vertical="center"/>
    </xf>
    <xf numFmtId="0" fontId="4" fillId="6" borderId="93" xfId="0" applyFont="1" applyFill="1" applyBorder="1" applyAlignment="1">
      <alignment horizontal="center" vertical="center"/>
    </xf>
    <xf numFmtId="0" fontId="4" fillId="0" borderId="32" xfId="0" applyFont="1" applyBorder="1" applyAlignment="1">
      <alignment wrapText="1"/>
    </xf>
    <xf numFmtId="178" fontId="4" fillId="0" borderId="8" xfId="0" applyNumberFormat="1" applyFont="1" applyBorder="1" applyAlignment="1">
      <alignment vertical="center"/>
    </xf>
    <xf numFmtId="0" fontId="4" fillId="6" borderId="94" xfId="0" applyFont="1" applyFill="1" applyBorder="1" applyAlignment="1">
      <alignment horizontal="center" vertical="center"/>
    </xf>
    <xf numFmtId="3" fontId="4" fillId="0" borderId="95" xfId="0" applyNumberFormat="1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0" xfId="0" applyFont="1" applyBorder="1" applyAlignment="1">
      <alignment wrapText="1"/>
    </xf>
    <xf numFmtId="0" fontId="4" fillId="0" borderId="8" xfId="0" applyFont="1" applyBorder="1" applyAlignment="1">
      <alignment wrapText="1"/>
    </xf>
    <xf numFmtId="3" fontId="4" fillId="0" borderId="32" xfId="0" applyNumberFormat="1" applyFont="1" applyBorder="1" applyAlignment="1">
      <alignment vertical="center"/>
    </xf>
    <xf numFmtId="0" fontId="4" fillId="6" borderId="92" xfId="0" applyFont="1" applyFill="1" applyBorder="1" applyAlignment="1">
      <alignment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93" xfId="0" applyFont="1" applyFill="1" applyBorder="1" applyAlignment="1">
      <alignment vertical="center"/>
    </xf>
    <xf numFmtId="0" fontId="4" fillId="6" borderId="4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6" borderId="3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6" borderId="92" xfId="0" applyNumberFormat="1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3" fontId="4" fillId="6" borderId="94" xfId="0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178" fontId="4" fillId="0" borderId="0" xfId="0" applyNumberFormat="1" applyFont="1" applyAlignment="1">
      <alignment vertical="center"/>
    </xf>
    <xf numFmtId="0" fontId="4" fillId="6" borderId="70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left" vertical="center"/>
    </xf>
    <xf numFmtId="0" fontId="4" fillId="6" borderId="4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vertical="center"/>
    </xf>
    <xf numFmtId="0" fontId="4" fillId="6" borderId="48" xfId="0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4" fillId="6" borderId="34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left" vertical="center" wrapText="1"/>
    </xf>
    <xf numFmtId="3" fontId="4" fillId="0" borderId="30" xfId="0" applyNumberFormat="1" applyFont="1" applyBorder="1" applyAlignment="1">
      <alignment horizontal="right" vertical="center" wrapText="1"/>
    </xf>
    <xf numFmtId="178" fontId="4" fillId="0" borderId="7" xfId="0" applyNumberFormat="1" applyFont="1" applyBorder="1" applyAlignment="1">
      <alignment vertical="center"/>
    </xf>
    <xf numFmtId="0" fontId="4" fillId="4" borderId="4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3" fontId="4" fillId="0" borderId="8" xfId="0" applyNumberFormat="1" applyFont="1" applyBorder="1" applyAlignment="1">
      <alignment horizontal="right" vertical="center" wrapText="1"/>
    </xf>
    <xf numFmtId="0" fontId="4" fillId="6" borderId="40" xfId="0" applyFont="1" applyFill="1" applyBorder="1" applyAlignment="1">
      <alignment horizontal="center" vertical="center"/>
    </xf>
    <xf numFmtId="3" fontId="4" fillId="6" borderId="22" xfId="0" applyNumberFormat="1" applyFont="1" applyFill="1" applyBorder="1" applyAlignment="1">
      <alignment vertical="center"/>
    </xf>
    <xf numFmtId="0" fontId="4" fillId="6" borderId="53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vertical="center"/>
    </xf>
    <xf numFmtId="3" fontId="4" fillId="6" borderId="43" xfId="0" applyNumberFormat="1" applyFont="1" applyFill="1" applyBorder="1" applyAlignment="1">
      <alignment vertical="center"/>
    </xf>
    <xf numFmtId="178" fontId="4" fillId="0" borderId="24" xfId="0" applyNumberFormat="1" applyFont="1" applyBorder="1" applyAlignment="1">
      <alignment vertical="center"/>
    </xf>
    <xf numFmtId="178" fontId="4" fillId="0" borderId="26" xfId="0" applyNumberFormat="1" applyFont="1" applyBorder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4" fillId="6" borderId="70" xfId="0" applyFont="1" applyFill="1" applyBorder="1" applyAlignment="1">
      <alignment vertical="center"/>
    </xf>
    <xf numFmtId="0" fontId="4" fillId="6" borderId="70" xfId="0" applyFont="1" applyFill="1" applyBorder="1" applyAlignment="1">
      <alignment vertical="center" wrapText="1"/>
    </xf>
    <xf numFmtId="3" fontId="4" fillId="6" borderId="70" xfId="0" applyNumberFormat="1" applyFont="1" applyFill="1" applyBorder="1" applyAlignment="1">
      <alignment vertical="center"/>
    </xf>
    <xf numFmtId="0" fontId="12" fillId="0" borderId="1" xfId="0" applyFont="1" applyBorder="1" applyAlignment="1">
      <alignment wrapText="1"/>
    </xf>
    <xf numFmtId="178" fontId="4" fillId="0" borderId="2" xfId="0" applyNumberFormat="1" applyFont="1" applyBorder="1" applyAlignment="1">
      <alignment vertical="center"/>
    </xf>
    <xf numFmtId="0" fontId="12" fillId="0" borderId="7" xfId="0" applyFont="1" applyBorder="1" applyAlignment="1">
      <alignment wrapText="1"/>
    </xf>
    <xf numFmtId="0" fontId="4" fillId="6" borderId="49" xfId="0" applyFont="1" applyFill="1" applyBorder="1" applyAlignment="1">
      <alignment horizontal="center" vertical="center"/>
    </xf>
    <xf numFmtId="0" fontId="12" fillId="0" borderId="32" xfId="0" applyFont="1" applyBorder="1" applyAlignment="1">
      <alignment wrapText="1"/>
    </xf>
    <xf numFmtId="0" fontId="4" fillId="6" borderId="51" xfId="0" applyFont="1" applyFill="1" applyBorder="1" applyAlignment="1">
      <alignment horizontal="center" vertical="center"/>
    </xf>
    <xf numFmtId="0" fontId="12" fillId="0" borderId="3" xfId="0" applyFont="1" applyBorder="1" applyAlignment="1">
      <alignment wrapText="1"/>
    </xf>
    <xf numFmtId="0" fontId="4" fillId="4" borderId="47" xfId="0" applyFont="1" applyFill="1" applyBorder="1" applyAlignment="1">
      <alignment horizontal="center" vertical="center"/>
    </xf>
    <xf numFmtId="0" fontId="12" fillId="0" borderId="30" xfId="0" applyFont="1" applyBorder="1" applyAlignment="1">
      <alignment wrapText="1"/>
    </xf>
    <xf numFmtId="0" fontId="12" fillId="0" borderId="30" xfId="0" applyFont="1" applyBorder="1" applyAlignment="1">
      <alignment vertical="center" wrapText="1"/>
    </xf>
    <xf numFmtId="3" fontId="8" fillId="0" borderId="8" xfId="0" applyNumberFormat="1" applyFont="1" applyBorder="1" applyAlignment="1">
      <alignment vertical="center"/>
    </xf>
    <xf numFmtId="0" fontId="4" fillId="6" borderId="45" xfId="0" applyFont="1" applyFill="1" applyBorder="1" applyAlignment="1">
      <alignment horizontal="center" vertical="center"/>
    </xf>
    <xf numFmtId="0" fontId="4" fillId="0" borderId="96" xfId="0" applyFont="1" applyBorder="1" applyAlignment="1">
      <alignment vertical="center" wrapText="1"/>
    </xf>
    <xf numFmtId="0" fontId="4" fillId="6" borderId="47" xfId="0" applyFont="1" applyFill="1" applyBorder="1" applyAlignment="1">
      <alignment horizontal="center" vertical="center"/>
    </xf>
    <xf numFmtId="0" fontId="12" fillId="0" borderId="8" xfId="0" applyFont="1" applyBorder="1" applyAlignment="1">
      <alignment wrapText="1"/>
    </xf>
    <xf numFmtId="0" fontId="12" fillId="0" borderId="3" xfId="0" applyFont="1" applyBorder="1" applyAlignment="1">
      <alignment vertical="center" wrapText="1"/>
    </xf>
    <xf numFmtId="0" fontId="4" fillId="6" borderId="45" xfId="0" applyFont="1" applyFill="1" applyBorder="1" applyAlignment="1">
      <alignment vertical="center"/>
    </xf>
    <xf numFmtId="0" fontId="4" fillId="6" borderId="49" xfId="0" applyFont="1" applyFill="1" applyBorder="1" applyAlignment="1">
      <alignment vertical="center"/>
    </xf>
    <xf numFmtId="0" fontId="4" fillId="4" borderId="5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6" fontId="4" fillId="0" borderId="3" xfId="0" applyNumberFormat="1" applyFont="1" applyBorder="1" applyAlignment="1">
      <alignment vertical="center"/>
    </xf>
    <xf numFmtId="176" fontId="4" fillId="0" borderId="6" xfId="0" applyNumberFormat="1" applyFont="1" applyBorder="1" applyAlignment="1">
      <alignment vertical="center"/>
    </xf>
    <xf numFmtId="176" fontId="4" fillId="0" borderId="6" xfId="0" applyNumberFormat="1" applyFont="1" applyBorder="1" applyAlignment="1">
      <alignment horizontal="right" vertical="center" wrapText="1"/>
    </xf>
    <xf numFmtId="0" fontId="4" fillId="6" borderId="22" xfId="0" applyFont="1" applyFill="1" applyBorder="1" applyAlignment="1">
      <alignment vertical="center"/>
    </xf>
    <xf numFmtId="0" fontId="4" fillId="0" borderId="30" xfId="0" applyFont="1" applyBorder="1" applyAlignment="1">
      <alignment horizontal="left" vertical="center"/>
    </xf>
    <xf numFmtId="176" fontId="4" fillId="0" borderId="30" xfId="0" applyNumberFormat="1" applyFont="1" applyBorder="1" applyAlignment="1">
      <alignment vertical="center"/>
    </xf>
    <xf numFmtId="176" fontId="4" fillId="0" borderId="24" xfId="0" applyNumberFormat="1" applyFont="1" applyBorder="1" applyAlignment="1">
      <alignment vertical="center"/>
    </xf>
    <xf numFmtId="176" fontId="4" fillId="0" borderId="24" xfId="0" applyNumberFormat="1" applyFont="1" applyBorder="1" applyAlignment="1">
      <alignment horizontal="right" vertical="center" wrapText="1"/>
    </xf>
    <xf numFmtId="3" fontId="4" fillId="6" borderId="34" xfId="0" applyNumberFormat="1" applyFont="1" applyFill="1" applyBorder="1" applyAlignment="1">
      <alignment vertical="center"/>
    </xf>
    <xf numFmtId="3" fontId="4" fillId="6" borderId="75" xfId="0" applyNumberFormat="1" applyFont="1" applyFill="1" applyBorder="1" applyAlignment="1">
      <alignment vertical="center"/>
    </xf>
    <xf numFmtId="3" fontId="4" fillId="0" borderId="24" xfId="0" applyNumberFormat="1" applyFont="1" applyBorder="1" applyAlignment="1">
      <alignment horizontal="right" vertical="center" wrapText="1"/>
    </xf>
    <xf numFmtId="3" fontId="4" fillId="6" borderId="40" xfId="0" applyNumberFormat="1" applyFont="1" applyFill="1" applyBorder="1" applyAlignment="1">
      <alignment vertical="center"/>
    </xf>
    <xf numFmtId="0" fontId="4" fillId="6" borderId="57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left" vertical="center" wrapText="1"/>
    </xf>
    <xf numFmtId="0" fontId="4" fillId="0" borderId="99" xfId="0" applyFont="1" applyBorder="1" applyAlignment="1">
      <alignment horizontal="left" vertical="center" wrapText="1"/>
    </xf>
    <xf numFmtId="0" fontId="4" fillId="0" borderId="100" xfId="0" applyFont="1" applyBorder="1" applyAlignment="1">
      <alignment horizontal="left" vertical="center" wrapText="1"/>
    </xf>
    <xf numFmtId="0" fontId="4" fillId="0" borderId="10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wrapText="1"/>
    </xf>
    <xf numFmtId="0" fontId="4" fillId="0" borderId="49" xfId="0" applyFont="1" applyBorder="1" applyAlignment="1">
      <alignment horizontal="left" vertical="center" wrapText="1"/>
    </xf>
    <xf numFmtId="3" fontId="4" fillId="0" borderId="61" xfId="0" applyNumberFormat="1" applyFont="1" applyBorder="1" applyAlignment="1">
      <alignment vertical="center"/>
    </xf>
    <xf numFmtId="0" fontId="4" fillId="0" borderId="51" xfId="0" applyFont="1" applyBorder="1" applyAlignment="1">
      <alignment horizontal="left" vertical="center" wrapText="1"/>
    </xf>
    <xf numFmtId="3" fontId="4" fillId="0" borderId="72" xfId="0" applyNumberFormat="1" applyFont="1" applyBorder="1" applyAlignment="1">
      <alignment vertical="center"/>
    </xf>
    <xf numFmtId="178" fontId="4" fillId="0" borderId="33" xfId="0" applyNumberFormat="1" applyFont="1" applyBorder="1" applyAlignment="1">
      <alignment vertical="center"/>
    </xf>
    <xf numFmtId="0" fontId="4" fillId="0" borderId="3" xfId="0" applyFont="1" applyBorder="1" applyAlignment="1">
      <alignment horizontal="left" wrapText="1"/>
    </xf>
    <xf numFmtId="0" fontId="4" fillId="4" borderId="45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178" fontId="4" fillId="0" borderId="1" xfId="0" applyNumberFormat="1" applyFont="1" applyBorder="1" applyAlignment="1">
      <alignment vertical="center"/>
    </xf>
    <xf numFmtId="178" fontId="4" fillId="0" borderId="32" xfId="0" applyNumberFormat="1" applyFont="1" applyBorder="1" applyAlignment="1">
      <alignment vertical="center"/>
    </xf>
    <xf numFmtId="0" fontId="4" fillId="4" borderId="5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6" borderId="75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right" vertical="center" wrapText="1"/>
    </xf>
    <xf numFmtId="0" fontId="13" fillId="0" borderId="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4" fillId="0" borderId="0" xfId="0" applyNumberFormat="1" applyFont="1" applyAlignment="1">
      <alignment vertical="center"/>
    </xf>
    <xf numFmtId="0" fontId="6" fillId="5" borderId="39" xfId="0" applyFont="1" applyFill="1" applyBorder="1" applyAlignment="1">
      <alignment horizontal="center" vertical="center"/>
    </xf>
    <xf numFmtId="179" fontId="4" fillId="0" borderId="3" xfId="0" applyNumberFormat="1" applyFont="1" applyBorder="1" applyAlignment="1">
      <alignment vertical="center"/>
    </xf>
    <xf numFmtId="179" fontId="4" fillId="0" borderId="30" xfId="0" applyNumberFormat="1" applyFont="1" applyBorder="1" applyAlignment="1">
      <alignment vertical="center"/>
    </xf>
    <xf numFmtId="0" fontId="4" fillId="4" borderId="40" xfId="0" applyFont="1" applyFill="1" applyBorder="1" applyAlignment="1">
      <alignment vertical="center"/>
    </xf>
    <xf numFmtId="179" fontId="4" fillId="0" borderId="8" xfId="0" applyNumberFormat="1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177" fontId="6" fillId="5" borderId="39" xfId="0" applyNumberFormat="1" applyFont="1" applyFill="1" applyBorder="1" applyAlignment="1">
      <alignment horizontal="center" vertical="center"/>
    </xf>
    <xf numFmtId="179" fontId="4" fillId="0" borderId="24" xfId="0" applyNumberFormat="1" applyFont="1" applyBorder="1" applyAlignment="1">
      <alignment vertical="center"/>
    </xf>
    <xf numFmtId="176" fontId="4" fillId="0" borderId="8" xfId="0" applyNumberFormat="1" applyFont="1" applyBorder="1" applyAlignment="1">
      <alignment vertical="center"/>
    </xf>
    <xf numFmtId="179" fontId="4" fillId="0" borderId="26" xfId="0" applyNumberFormat="1" applyFont="1" applyBorder="1" applyAlignment="1">
      <alignment vertical="center"/>
    </xf>
    <xf numFmtId="176" fontId="4" fillId="0" borderId="26" xfId="0" applyNumberFormat="1" applyFont="1" applyBorder="1" applyAlignment="1">
      <alignment horizontal="right" vertical="center" wrapText="1"/>
    </xf>
    <xf numFmtId="176" fontId="4" fillId="0" borderId="8" xfId="0" applyNumberFormat="1" applyFont="1" applyBorder="1" applyAlignment="1">
      <alignment horizontal="right" vertical="center" wrapText="1"/>
    </xf>
    <xf numFmtId="0" fontId="4" fillId="4" borderId="34" xfId="0" applyFont="1" applyFill="1" applyBorder="1" applyAlignment="1">
      <alignment vertical="center"/>
    </xf>
    <xf numFmtId="179" fontId="4" fillId="4" borderId="31" xfId="0" applyNumberFormat="1" applyFont="1" applyFill="1" applyBorder="1" applyAlignment="1">
      <alignment vertical="center"/>
    </xf>
    <xf numFmtId="179" fontId="4" fillId="4" borderId="43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11" borderId="70" xfId="0" applyFont="1" applyFill="1" applyBorder="1" applyAlignment="1"/>
    <xf numFmtId="0" fontId="12" fillId="0" borderId="105" xfId="0" applyFont="1" applyBorder="1" applyAlignment="1">
      <alignment vertical="center"/>
    </xf>
    <xf numFmtId="0" fontId="15" fillId="11" borderId="75" xfId="0" applyFont="1" applyFill="1" applyBorder="1" applyAlignment="1">
      <alignment horizontal="center" vertical="center"/>
    </xf>
    <xf numFmtId="0" fontId="12" fillId="0" borderId="105" xfId="0" applyFont="1" applyBorder="1" applyAlignment="1">
      <alignment vertical="center" wrapText="1"/>
    </xf>
    <xf numFmtId="0" fontId="15" fillId="11" borderId="40" xfId="0" applyFont="1" applyFill="1" applyBorder="1" applyAlignment="1">
      <alignment horizontal="center" vertical="center"/>
    </xf>
    <xf numFmtId="179" fontId="13" fillId="0" borderId="0" xfId="0" applyNumberFormat="1" applyFont="1" applyAlignment="1">
      <alignment vertical="center"/>
    </xf>
    <xf numFmtId="3" fontId="15" fillId="11" borderId="75" xfId="0" applyNumberFormat="1" applyFont="1" applyFill="1" applyBorder="1" applyAlignment="1">
      <alignment vertical="center"/>
    </xf>
    <xf numFmtId="0" fontId="15" fillId="11" borderId="57" xfId="0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right" vertical="center" wrapText="1"/>
    </xf>
    <xf numFmtId="0" fontId="8" fillId="0" borderId="8" xfId="0" applyFont="1" applyBorder="1" applyAlignment="1"/>
    <xf numFmtId="0" fontId="17" fillId="0" borderId="30" xfId="0" applyFont="1" applyBorder="1" applyAlignment="1">
      <alignment horizontal="left" vertical="center"/>
    </xf>
    <xf numFmtId="3" fontId="18" fillId="0" borderId="30" xfId="0" applyNumberFormat="1" applyFont="1" applyBorder="1" applyAlignment="1">
      <alignment vertical="center"/>
    </xf>
    <xf numFmtId="3" fontId="17" fillId="0" borderId="30" xfId="0" applyNumberFormat="1" applyFont="1" applyBorder="1" applyAlignment="1">
      <alignment horizontal="right" vertical="center"/>
    </xf>
    <xf numFmtId="179" fontId="4" fillId="12" borderId="70" xfId="0" applyNumberFormat="1" applyFont="1" applyFill="1" applyBorder="1" applyAlignment="1">
      <alignment vertical="center"/>
    </xf>
    <xf numFmtId="0" fontId="15" fillId="11" borderId="70" xfId="0" applyFont="1" applyFill="1" applyBorder="1" applyAlignment="1">
      <alignment vertical="center"/>
    </xf>
    <xf numFmtId="0" fontId="17" fillId="0" borderId="30" xfId="0" applyFont="1" applyBorder="1" applyAlignment="1">
      <alignment horizontal="left" vertical="center" wrapText="1"/>
    </xf>
    <xf numFmtId="3" fontId="17" fillId="0" borderId="30" xfId="0" applyNumberFormat="1" applyFont="1" applyBorder="1" applyAlignment="1">
      <alignment horizontal="right" vertical="center" wrapText="1"/>
    </xf>
    <xf numFmtId="0" fontId="17" fillId="0" borderId="8" xfId="0" applyFont="1" applyBorder="1" applyAlignment="1">
      <alignment horizontal="left" vertical="center" wrapText="1"/>
    </xf>
    <xf numFmtId="3" fontId="18" fillId="0" borderId="8" xfId="0" applyNumberFormat="1" applyFont="1" applyBorder="1" applyAlignment="1">
      <alignment vertical="center"/>
    </xf>
    <xf numFmtId="3" fontId="17" fillId="0" borderId="8" xfId="0" applyNumberFormat="1" applyFont="1" applyBorder="1" applyAlignment="1">
      <alignment horizontal="right" vertical="center" wrapText="1"/>
    </xf>
    <xf numFmtId="0" fontId="18" fillId="0" borderId="3" xfId="0" applyFont="1" applyBorder="1" applyAlignment="1">
      <alignment vertical="center"/>
    </xf>
    <xf numFmtId="3" fontId="18" fillId="0" borderId="3" xfId="0" applyNumberFormat="1" applyFont="1" applyBorder="1" applyAlignment="1">
      <alignment vertical="center"/>
    </xf>
    <xf numFmtId="0" fontId="18" fillId="0" borderId="30" xfId="0" applyFont="1" applyBorder="1" applyAlignment="1">
      <alignment vertical="center"/>
    </xf>
    <xf numFmtId="0" fontId="18" fillId="0" borderId="30" xfId="0" applyFont="1" applyBorder="1" applyAlignment="1">
      <alignment vertical="center" wrapText="1"/>
    </xf>
    <xf numFmtId="0" fontId="18" fillId="0" borderId="8" xfId="0" applyFont="1" applyBorder="1" applyAlignment="1">
      <alignment vertical="center"/>
    </xf>
    <xf numFmtId="0" fontId="18" fillId="0" borderId="8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3" fontId="17" fillId="0" borderId="3" xfId="0" applyNumberFormat="1" applyFont="1" applyBorder="1" applyAlignment="1">
      <alignment horizontal="right" vertical="center" wrapText="1"/>
    </xf>
    <xf numFmtId="0" fontId="17" fillId="0" borderId="0" xfId="0" applyFont="1" applyAlignment="1">
      <alignment horizontal="left" vertical="center" wrapText="1"/>
    </xf>
    <xf numFmtId="176" fontId="3" fillId="5" borderId="4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7" fillId="6" borderId="4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2" fillId="0" borderId="3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177" fontId="3" fillId="5" borderId="18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177" fontId="3" fillId="5" borderId="3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7" borderId="27" xfId="0" applyFont="1" applyFill="1" applyBorder="1" applyAlignment="1">
      <alignment vertical="center"/>
    </xf>
    <xf numFmtId="0" fontId="4" fillId="7" borderId="4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76" fontId="3" fillId="5" borderId="15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7" fillId="6" borderId="35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27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center" vertical="center"/>
    </xf>
    <xf numFmtId="176" fontId="3" fillId="8" borderId="3" xfId="0" applyNumberFormat="1" applyFont="1" applyFill="1" applyBorder="1" applyAlignment="1">
      <alignment horizontal="center" vertical="center" wrapText="1"/>
    </xf>
    <xf numFmtId="176" fontId="3" fillId="9" borderId="4" xfId="0" applyNumberFormat="1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vertical="center"/>
    </xf>
    <xf numFmtId="176" fontId="3" fillId="8" borderId="35" xfId="0" applyNumberFormat="1" applyFont="1" applyFill="1" applyBorder="1" applyAlignment="1">
      <alignment horizontal="center" vertical="center" wrapText="1"/>
    </xf>
    <xf numFmtId="0" fontId="2" fillId="0" borderId="38" xfId="0" applyFont="1" applyBorder="1" applyAlignment="1">
      <alignment vertical="center"/>
    </xf>
    <xf numFmtId="176" fontId="3" fillId="9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center" vertical="center"/>
    </xf>
    <xf numFmtId="176" fontId="3" fillId="5" borderId="1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177" fontId="3" fillId="5" borderId="4" xfId="0" applyNumberFormat="1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77" fontId="3" fillId="5" borderId="35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vertical="center"/>
    </xf>
    <xf numFmtId="0" fontId="3" fillId="8" borderId="3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77" fontId="6" fillId="5" borderId="3" xfId="0" applyNumberFormat="1" applyFont="1" applyFill="1" applyBorder="1" applyAlignment="1">
      <alignment horizontal="center" vertical="center"/>
    </xf>
    <xf numFmtId="177" fontId="6" fillId="5" borderId="18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vertical="center"/>
    </xf>
    <xf numFmtId="177" fontId="6" fillId="5" borderId="4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7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6" fillId="5" borderId="62" xfId="0" applyFont="1" applyFill="1" applyBorder="1" applyAlignment="1">
      <alignment horizontal="center" vertical="center"/>
    </xf>
    <xf numFmtId="0" fontId="2" fillId="0" borderId="63" xfId="0" applyFont="1" applyBorder="1" applyAlignment="1">
      <alignment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5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78" fontId="4" fillId="0" borderId="2" xfId="0" applyNumberFormat="1" applyFont="1" applyBorder="1" applyAlignment="1">
      <alignment vertical="center"/>
    </xf>
    <xf numFmtId="0" fontId="4" fillId="0" borderId="13" xfId="0" applyFont="1" applyBorder="1" applyAlignment="1">
      <alignment horizontal="left" vertical="center" wrapText="1"/>
    </xf>
    <xf numFmtId="0" fontId="2" fillId="0" borderId="97" xfId="0" applyFont="1" applyBorder="1" applyAlignment="1">
      <alignment vertical="center"/>
    </xf>
    <xf numFmtId="3" fontId="4" fillId="10" borderId="102" xfId="0" applyNumberFormat="1" applyFont="1" applyFill="1" applyBorder="1" applyAlignment="1">
      <alignment horizontal="center" vertical="center"/>
    </xf>
    <xf numFmtId="0" fontId="2" fillId="0" borderId="103" xfId="0" applyFont="1" applyBorder="1" applyAlignment="1">
      <alignment vertical="center"/>
    </xf>
    <xf numFmtId="0" fontId="2" fillId="0" borderId="104" xfId="0" applyFont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79" fontId="4" fillId="4" borderId="2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2" fillId="0" borderId="83" xfId="0" applyFont="1" applyBorder="1" applyAlignment="1">
      <alignment vertical="center"/>
    </xf>
    <xf numFmtId="176" fontId="3" fillId="3" borderId="64" xfId="0" applyNumberFormat="1" applyFont="1" applyFill="1" applyBorder="1" applyAlignment="1">
      <alignment horizontal="center" vertical="center" wrapText="1"/>
    </xf>
    <xf numFmtId="176" fontId="3" fillId="3" borderId="42" xfId="0" applyNumberFormat="1" applyFont="1" applyFill="1" applyBorder="1" applyAlignment="1">
      <alignment horizontal="center" vertical="center" wrapText="1"/>
    </xf>
    <xf numFmtId="3" fontId="7" fillId="0" borderId="66" xfId="0" applyNumberFormat="1" applyFont="1" applyBorder="1" applyAlignment="1">
      <alignment horizontal="right" vertical="center" wrapText="1"/>
    </xf>
    <xf numFmtId="3" fontId="7" fillId="0" borderId="70" xfId="0" applyNumberFormat="1" applyFont="1" applyBorder="1" applyAlignment="1">
      <alignment horizontal="right" vertical="center" wrapText="1"/>
    </xf>
    <xf numFmtId="3" fontId="7" fillId="0" borderId="56" xfId="0" applyNumberFormat="1" applyFont="1" applyBorder="1" applyAlignment="1">
      <alignment horizontal="right" vertical="center" wrapText="1"/>
    </xf>
    <xf numFmtId="3" fontId="7" fillId="0" borderId="83" xfId="0" applyNumberFormat="1" applyFont="1" applyBorder="1" applyAlignment="1">
      <alignment horizontal="right" vertical="center" wrapText="1"/>
    </xf>
    <xf numFmtId="3" fontId="7" fillId="0" borderId="42" xfId="0" applyNumberFormat="1" applyFont="1" applyBorder="1" applyAlignment="1">
      <alignment horizontal="right" vertical="center" wrapText="1"/>
    </xf>
    <xf numFmtId="0" fontId="2" fillId="0" borderId="70" xfId="0" applyFont="1" applyBorder="1" applyAlignment="1">
      <alignment vertical="center"/>
    </xf>
    <xf numFmtId="176" fontId="3" fillId="5" borderId="29" xfId="0" applyNumberFormat="1" applyFont="1" applyFill="1" applyBorder="1" applyAlignment="1">
      <alignment horizontal="center" vertical="center"/>
    </xf>
    <xf numFmtId="176" fontId="7" fillId="0" borderId="52" xfId="0" applyNumberFormat="1" applyFont="1" applyBorder="1" applyAlignment="1">
      <alignment horizontal="right" vertical="center"/>
    </xf>
    <xf numFmtId="176" fontId="7" fillId="0" borderId="42" xfId="0" applyNumberFormat="1" applyFont="1" applyBorder="1" applyAlignment="1">
      <alignment horizontal="right" vertical="center"/>
    </xf>
    <xf numFmtId="3" fontId="7" fillId="0" borderId="52" xfId="0" applyNumberFormat="1" applyFont="1" applyBorder="1" applyAlignment="1">
      <alignment horizontal="right" vertical="center"/>
    </xf>
    <xf numFmtId="3" fontId="7" fillId="0" borderId="109" xfId="0" applyNumberFormat="1" applyFont="1" applyBorder="1" applyAlignment="1">
      <alignment horizontal="center" vertical="center" wrapText="1"/>
    </xf>
    <xf numFmtId="3" fontId="7" fillId="0" borderId="110" xfId="0" applyNumberFormat="1" applyFont="1" applyBorder="1" applyAlignment="1">
      <alignment horizontal="center" vertical="center" wrapText="1"/>
    </xf>
    <xf numFmtId="3" fontId="7" fillId="0" borderId="111" xfId="0" applyNumberFormat="1" applyFont="1" applyBorder="1" applyAlignment="1">
      <alignment horizontal="center" vertical="center" wrapText="1"/>
    </xf>
    <xf numFmtId="3" fontId="7" fillId="0" borderId="106" xfId="0" applyNumberFormat="1" applyFont="1" applyBorder="1" applyAlignment="1">
      <alignment horizontal="right" vertical="center" wrapText="1"/>
    </xf>
    <xf numFmtId="3" fontId="7" fillId="0" borderId="107" xfId="0" applyNumberFormat="1" applyFont="1" applyBorder="1" applyAlignment="1">
      <alignment horizontal="right" vertical="center" wrapText="1"/>
    </xf>
    <xf numFmtId="3" fontId="7" fillId="0" borderId="108" xfId="0" applyNumberFormat="1" applyFont="1" applyBorder="1" applyAlignment="1">
      <alignment horizontal="right" vertical="center" wrapText="1"/>
    </xf>
    <xf numFmtId="176" fontId="3" fillId="5" borderId="66" xfId="0" applyNumberFormat="1" applyFont="1" applyFill="1" applyBorder="1" applyAlignment="1">
      <alignment horizontal="center" vertical="center"/>
    </xf>
    <xf numFmtId="176" fontId="3" fillId="5" borderId="43" xfId="0" applyNumberFormat="1" applyFont="1" applyFill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176" fontId="3" fillId="5" borderId="106" xfId="0" applyNumberFormat="1" applyFont="1" applyFill="1" applyBorder="1" applyAlignment="1">
      <alignment horizontal="center" vertical="center"/>
    </xf>
    <xf numFmtId="0" fontId="2" fillId="0" borderId="108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tabSelected="1" workbookViewId="0">
      <pane ySplit="4" topLeftCell="A5" activePane="bottomLeft" state="frozen"/>
      <selection pane="bottomLeft" activeCell="D16" sqref="D16"/>
    </sheetView>
  </sheetViews>
  <sheetFormatPr defaultColWidth="14.42578125" defaultRowHeight="15" customHeight="1"/>
  <cols>
    <col min="1" max="1" width="51.5703125" customWidth="1"/>
    <col min="2" max="2" width="98.42578125" customWidth="1"/>
    <col min="3" max="3" width="21.7109375" customWidth="1"/>
    <col min="4" max="4" width="19.28515625" customWidth="1"/>
    <col min="5" max="7" width="21.140625" customWidth="1"/>
    <col min="8" max="8" width="21.5703125" customWidth="1"/>
    <col min="10" max="10" width="49.7109375" customWidth="1"/>
  </cols>
  <sheetData>
    <row r="1" spans="1:28" ht="16.5" customHeight="1">
      <c r="A1" s="625" t="s">
        <v>0</v>
      </c>
      <c r="B1" s="611"/>
      <c r="C1" s="626" t="s">
        <v>1</v>
      </c>
      <c r="D1" s="627" t="s">
        <v>2</v>
      </c>
      <c r="E1" s="628" t="s">
        <v>3</v>
      </c>
      <c r="F1" s="747" t="s">
        <v>887</v>
      </c>
      <c r="G1" s="629"/>
      <c r="H1" s="611"/>
      <c r="I1" s="611"/>
      <c r="J1" s="6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 spans="1:28" ht="16.5" customHeight="1" thickBot="1">
      <c r="A2" s="608"/>
      <c r="B2" s="613"/>
      <c r="C2" s="606"/>
      <c r="D2" s="621"/>
      <c r="E2" s="767"/>
      <c r="F2" s="748"/>
      <c r="G2" s="630"/>
      <c r="H2" s="631"/>
      <c r="I2" s="631"/>
      <c r="J2" s="6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</row>
    <row r="3" spans="1:28" ht="16.5" customHeight="1" thickBot="1">
      <c r="A3" s="633"/>
      <c r="B3" s="634"/>
      <c r="C3" s="635"/>
      <c r="D3" s="765"/>
      <c r="E3" s="768"/>
      <c r="F3" s="755"/>
      <c r="G3" s="3" t="s">
        <v>4</v>
      </c>
      <c r="H3" s="4" t="s">
        <v>5</v>
      </c>
      <c r="I3" s="617" t="s">
        <v>6</v>
      </c>
      <c r="J3" s="619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</row>
    <row r="4" spans="1:28" ht="16.5" customHeight="1" thickBot="1">
      <c r="A4" s="5" t="s">
        <v>8</v>
      </c>
      <c r="B4" s="6" t="s">
        <v>9</v>
      </c>
      <c r="C4" s="636"/>
      <c r="D4" s="754"/>
      <c r="E4" s="769"/>
      <c r="F4" s="766"/>
      <c r="G4" s="7" t="s">
        <v>10</v>
      </c>
      <c r="H4" s="7" t="s">
        <v>11</v>
      </c>
      <c r="I4" s="618"/>
      <c r="J4" s="60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</row>
    <row r="5" spans="1:28" ht="16.5" customHeight="1" thickBot="1">
      <c r="A5" s="602" t="s">
        <v>12</v>
      </c>
      <c r="B5" s="8" t="s">
        <v>13</v>
      </c>
      <c r="C5" s="9">
        <v>200000</v>
      </c>
      <c r="D5" s="749">
        <v>170000</v>
      </c>
      <c r="E5" s="762">
        <f>D5*1.1</f>
        <v>187000.00000000003</v>
      </c>
      <c r="F5" s="759">
        <f>(1-D5/C5)*100</f>
        <v>15.000000000000002</v>
      </c>
      <c r="G5" s="10"/>
      <c r="H5" s="10"/>
      <c r="I5" s="620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</row>
    <row r="6" spans="1:28" ht="16.5" customHeight="1" thickBot="1">
      <c r="A6" s="603"/>
      <c r="B6" s="12" t="s">
        <v>14</v>
      </c>
      <c r="C6" s="13">
        <v>210000</v>
      </c>
      <c r="D6" s="750">
        <v>180000</v>
      </c>
      <c r="E6" s="763">
        <f t="shared" ref="E6:E24" si="0">D6*1.1</f>
        <v>198000.00000000003</v>
      </c>
      <c r="F6" s="760">
        <f t="shared" ref="F6:F24" si="1">(1-D6/C6)*100</f>
        <v>14.28571428571429</v>
      </c>
      <c r="G6" s="10"/>
      <c r="H6" s="10"/>
      <c r="I6" s="603"/>
      <c r="J6" s="1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"/>
    </row>
    <row r="7" spans="1:28" ht="16.5" customHeight="1" thickBot="1">
      <c r="A7" s="603"/>
      <c r="B7" s="12" t="s">
        <v>15</v>
      </c>
      <c r="C7" s="13">
        <v>240000</v>
      </c>
      <c r="D7" s="750">
        <v>200000</v>
      </c>
      <c r="E7" s="763">
        <f t="shared" si="0"/>
        <v>220000.00000000003</v>
      </c>
      <c r="F7" s="760">
        <f t="shared" si="1"/>
        <v>16.666666666666664</v>
      </c>
      <c r="G7" s="15"/>
      <c r="H7" s="15"/>
      <c r="I7" s="603"/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"/>
    </row>
    <row r="8" spans="1:28" ht="16.5" customHeight="1" thickBot="1">
      <c r="A8" s="603"/>
      <c r="B8" s="12" t="s">
        <v>16</v>
      </c>
      <c r="C8" s="13">
        <v>240000</v>
      </c>
      <c r="D8" s="750">
        <v>219000</v>
      </c>
      <c r="E8" s="763">
        <f t="shared" si="0"/>
        <v>240900.00000000003</v>
      </c>
      <c r="F8" s="760">
        <f t="shared" si="1"/>
        <v>8.7500000000000018</v>
      </c>
      <c r="G8" s="15"/>
      <c r="H8" s="15"/>
      <c r="I8" s="621"/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"/>
    </row>
    <row r="9" spans="1:28" ht="16.5" customHeight="1" thickBot="1">
      <c r="A9" s="601"/>
      <c r="B9" s="17" t="s">
        <v>17</v>
      </c>
      <c r="C9" s="13">
        <v>390000</v>
      </c>
      <c r="D9" s="750">
        <v>340000</v>
      </c>
      <c r="E9" s="764">
        <f t="shared" si="0"/>
        <v>374000.00000000006</v>
      </c>
      <c r="F9" s="760">
        <f t="shared" si="1"/>
        <v>12.820512820512819</v>
      </c>
      <c r="G9" s="15"/>
      <c r="H9" s="15"/>
      <c r="I9" s="622"/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</row>
    <row r="10" spans="1:28" ht="16.5" customHeight="1" thickBot="1">
      <c r="A10" s="604" t="s">
        <v>18</v>
      </c>
      <c r="B10" s="18" t="s">
        <v>19</v>
      </c>
      <c r="C10" s="19">
        <v>210000</v>
      </c>
      <c r="D10" s="751">
        <v>170000</v>
      </c>
      <c r="E10" s="762">
        <f t="shared" si="0"/>
        <v>187000.00000000003</v>
      </c>
      <c r="F10" s="760">
        <f t="shared" si="1"/>
        <v>19.047619047619047</v>
      </c>
      <c r="G10" s="20"/>
      <c r="H10" s="15"/>
      <c r="I10" s="603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"/>
    </row>
    <row r="11" spans="1:28" ht="16.5" customHeight="1" thickBot="1">
      <c r="A11" s="605"/>
      <c r="B11" s="18" t="s">
        <v>20</v>
      </c>
      <c r="C11" s="21">
        <v>320000</v>
      </c>
      <c r="D11" s="750">
        <v>270000</v>
      </c>
      <c r="E11" s="763">
        <f t="shared" si="0"/>
        <v>297000</v>
      </c>
      <c r="F11" s="760">
        <f t="shared" si="1"/>
        <v>15.625</v>
      </c>
      <c r="G11" s="22"/>
      <c r="H11" s="15"/>
      <c r="I11" s="603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</row>
    <row r="12" spans="1:28" ht="16.5" customHeight="1" thickBot="1">
      <c r="A12" s="605"/>
      <c r="B12" s="12" t="s">
        <v>21</v>
      </c>
      <c r="C12" s="13">
        <v>500000</v>
      </c>
      <c r="D12" s="750">
        <v>450000</v>
      </c>
      <c r="E12" s="763">
        <f t="shared" si="0"/>
        <v>495000.00000000006</v>
      </c>
      <c r="F12" s="760">
        <f t="shared" si="1"/>
        <v>9.9999999999999982</v>
      </c>
      <c r="G12" s="23"/>
      <c r="H12" s="15"/>
      <c r="I12" s="603"/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</row>
    <row r="13" spans="1:28" ht="16.5" customHeight="1" thickBot="1">
      <c r="A13" s="605"/>
      <c r="B13" s="12" t="s">
        <v>22</v>
      </c>
      <c r="C13" s="24">
        <v>540000</v>
      </c>
      <c r="D13" s="752">
        <v>480000</v>
      </c>
      <c r="E13" s="764">
        <f t="shared" si="0"/>
        <v>528000</v>
      </c>
      <c r="F13" s="760">
        <f t="shared" si="1"/>
        <v>11.111111111111116</v>
      </c>
      <c r="G13" s="23"/>
      <c r="H13" s="15"/>
      <c r="I13" s="621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</row>
    <row r="14" spans="1:28" ht="16.5" customHeight="1" thickBot="1">
      <c r="A14" s="604" t="s">
        <v>23</v>
      </c>
      <c r="B14" s="8" t="s">
        <v>24</v>
      </c>
      <c r="C14" s="13">
        <v>175000</v>
      </c>
      <c r="D14" s="750">
        <v>140000</v>
      </c>
      <c r="E14" s="762">
        <f t="shared" si="0"/>
        <v>154000</v>
      </c>
      <c r="F14" s="760">
        <f t="shared" si="1"/>
        <v>19.999999999999996</v>
      </c>
      <c r="G14" s="15"/>
      <c r="H14" s="15"/>
      <c r="I14" s="622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"/>
    </row>
    <row r="15" spans="1:28" ht="16.5" customHeight="1" thickBot="1">
      <c r="A15" s="605"/>
      <c r="B15" s="12" t="s">
        <v>25</v>
      </c>
      <c r="C15" s="13">
        <v>290000</v>
      </c>
      <c r="D15" s="750">
        <v>230000</v>
      </c>
      <c r="E15" s="763">
        <f t="shared" si="0"/>
        <v>253000.00000000003</v>
      </c>
      <c r="F15" s="760">
        <f t="shared" si="1"/>
        <v>20.68965517241379</v>
      </c>
      <c r="G15" s="15"/>
      <c r="H15" s="15"/>
      <c r="I15" s="603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</row>
    <row r="16" spans="1:28" ht="16.5" customHeight="1" thickBot="1">
      <c r="A16" s="606"/>
      <c r="B16" s="17" t="s">
        <v>26</v>
      </c>
      <c r="C16" s="24">
        <v>320000</v>
      </c>
      <c r="D16" s="752">
        <v>260000</v>
      </c>
      <c r="E16" s="764">
        <f t="shared" si="0"/>
        <v>286000</v>
      </c>
      <c r="F16" s="760">
        <f t="shared" si="1"/>
        <v>18.75</v>
      </c>
      <c r="G16" s="15"/>
      <c r="H16" s="15"/>
      <c r="I16" s="601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"/>
    </row>
    <row r="17" spans="1:28" ht="16.5" customHeight="1" thickBot="1">
      <c r="A17" s="607" t="s">
        <v>27</v>
      </c>
      <c r="B17" s="25" t="s">
        <v>28</v>
      </c>
      <c r="C17" s="26">
        <v>100000</v>
      </c>
      <c r="D17" s="756">
        <v>70000</v>
      </c>
      <c r="E17" s="762">
        <f t="shared" si="0"/>
        <v>77000</v>
      </c>
      <c r="F17" s="760">
        <f t="shared" si="1"/>
        <v>30.000000000000004</v>
      </c>
      <c r="G17" s="27"/>
      <c r="H17" s="27"/>
      <c r="I17" s="620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</row>
    <row r="18" spans="1:28" ht="16.5" customHeight="1" thickBot="1">
      <c r="A18" s="608"/>
      <c r="B18" s="25" t="s">
        <v>29</v>
      </c>
      <c r="C18" s="26">
        <v>195000</v>
      </c>
      <c r="D18" s="756">
        <v>130000</v>
      </c>
      <c r="E18" s="763">
        <f t="shared" si="0"/>
        <v>143000</v>
      </c>
      <c r="F18" s="760">
        <f t="shared" si="1"/>
        <v>33.333333333333336</v>
      </c>
      <c r="G18" s="27"/>
      <c r="H18" s="27"/>
      <c r="I18" s="603"/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"/>
    </row>
    <row r="19" spans="1:28" ht="16.5" customHeight="1" thickBot="1">
      <c r="A19" s="608"/>
      <c r="B19" s="28" t="s">
        <v>30</v>
      </c>
      <c r="C19" s="26">
        <v>300000</v>
      </c>
      <c r="D19" s="756">
        <v>250000</v>
      </c>
      <c r="E19" s="763">
        <f t="shared" si="0"/>
        <v>275000</v>
      </c>
      <c r="F19" s="760">
        <f t="shared" si="1"/>
        <v>16.666666666666664</v>
      </c>
      <c r="G19" s="27"/>
      <c r="H19" s="27"/>
      <c r="I19" s="603"/>
      <c r="J19" s="1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"/>
    </row>
    <row r="20" spans="1:28" ht="16.5" customHeight="1" thickBot="1">
      <c r="A20" s="608"/>
      <c r="B20" s="28" t="s">
        <v>31</v>
      </c>
      <c r="C20" s="26">
        <v>330000</v>
      </c>
      <c r="D20" s="756">
        <v>300000</v>
      </c>
      <c r="E20" s="763">
        <f t="shared" si="0"/>
        <v>330000</v>
      </c>
      <c r="F20" s="760">
        <f t="shared" si="1"/>
        <v>9.0909090909090935</v>
      </c>
      <c r="G20" s="27"/>
      <c r="H20" s="27"/>
      <c r="I20" s="603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2"/>
    </row>
    <row r="21" spans="1:28" ht="16.5" customHeight="1" thickBot="1">
      <c r="A21" s="608"/>
      <c r="B21" s="29" t="s">
        <v>32</v>
      </c>
      <c r="C21" s="30">
        <v>255000</v>
      </c>
      <c r="D21" s="757">
        <v>200000</v>
      </c>
      <c r="E21" s="764">
        <f t="shared" si="0"/>
        <v>220000.00000000003</v>
      </c>
      <c r="F21" s="760">
        <f t="shared" si="1"/>
        <v>21.568627450980394</v>
      </c>
      <c r="G21" s="27"/>
      <c r="H21" s="27"/>
      <c r="I21" s="601"/>
      <c r="J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"/>
    </row>
    <row r="22" spans="1:28" ht="16.5" customHeight="1" thickBot="1">
      <c r="A22" s="609" t="s">
        <v>33</v>
      </c>
      <c r="B22" s="28" t="s">
        <v>34</v>
      </c>
      <c r="C22" s="31">
        <v>120000</v>
      </c>
      <c r="D22" s="758">
        <v>90000</v>
      </c>
      <c r="E22" s="763">
        <f t="shared" si="0"/>
        <v>99000.000000000015</v>
      </c>
      <c r="F22" s="760">
        <f t="shared" si="1"/>
        <v>25</v>
      </c>
      <c r="G22" s="32"/>
      <c r="H22" s="32"/>
      <c r="I22" s="623"/>
      <c r="J22" s="62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"/>
    </row>
    <row r="23" spans="1:28" ht="16.5" customHeight="1" thickBot="1">
      <c r="A23" s="608"/>
      <c r="B23" s="28" t="s">
        <v>35</v>
      </c>
      <c r="C23" s="31">
        <v>150000</v>
      </c>
      <c r="D23" s="758">
        <v>120000</v>
      </c>
      <c r="E23" s="763">
        <f t="shared" si="0"/>
        <v>132000</v>
      </c>
      <c r="F23" s="760">
        <f t="shared" si="1"/>
        <v>19.999999999999996</v>
      </c>
      <c r="G23" s="32"/>
      <c r="H23" s="32"/>
      <c r="I23" s="603"/>
      <c r="J23" s="60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</row>
    <row r="24" spans="1:28" ht="16.5" customHeight="1" thickBot="1">
      <c r="A24" s="610"/>
      <c r="B24" s="29" t="s">
        <v>36</v>
      </c>
      <c r="C24" s="34">
        <v>150000</v>
      </c>
      <c r="D24" s="753">
        <v>120000</v>
      </c>
      <c r="E24" s="764">
        <f t="shared" si="0"/>
        <v>132000</v>
      </c>
      <c r="F24" s="761">
        <f t="shared" si="1"/>
        <v>19.999999999999996</v>
      </c>
      <c r="G24" s="15"/>
      <c r="H24" s="15"/>
      <c r="I24" s="621"/>
      <c r="J24" s="60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/>
    </row>
    <row r="25" spans="1:28" ht="16.5" customHeight="1">
      <c r="A25" s="609" t="s">
        <v>37</v>
      </c>
      <c r="B25" s="611"/>
      <c r="C25" s="611"/>
      <c r="D25" s="611"/>
      <c r="E25" s="754"/>
      <c r="F25" s="754"/>
      <c r="G25" s="611"/>
      <c r="H25" s="611"/>
      <c r="I25" s="611"/>
      <c r="J25" s="6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</row>
    <row r="26" spans="1:28" ht="16.5" customHeight="1">
      <c r="A26" s="608"/>
      <c r="B26" s="613"/>
      <c r="C26" s="613"/>
      <c r="D26" s="613"/>
      <c r="E26" s="613"/>
      <c r="F26" s="613"/>
      <c r="G26" s="613"/>
      <c r="H26" s="613"/>
      <c r="I26" s="613"/>
      <c r="J26" s="6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/>
    </row>
    <row r="27" spans="1:28" ht="16.5" customHeight="1">
      <c r="A27" s="608"/>
      <c r="B27" s="613"/>
      <c r="C27" s="613"/>
      <c r="D27" s="613"/>
      <c r="E27" s="613"/>
      <c r="F27" s="613"/>
      <c r="G27" s="613"/>
      <c r="H27" s="613"/>
      <c r="I27" s="613"/>
      <c r="J27" s="6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/>
    </row>
    <row r="28" spans="1:28" ht="16.5" customHeight="1">
      <c r="A28" s="608"/>
      <c r="B28" s="613"/>
      <c r="C28" s="613"/>
      <c r="D28" s="613"/>
      <c r="E28" s="613"/>
      <c r="F28" s="613"/>
      <c r="G28" s="613"/>
      <c r="H28" s="613"/>
      <c r="I28" s="613"/>
      <c r="J28" s="6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/>
    </row>
    <row r="29" spans="1:28" ht="16.5" customHeight="1">
      <c r="A29" s="610"/>
      <c r="B29" s="615"/>
      <c r="C29" s="615"/>
      <c r="D29" s="615"/>
      <c r="E29" s="615"/>
      <c r="F29" s="746"/>
      <c r="G29" s="615"/>
      <c r="H29" s="615"/>
      <c r="I29" s="615"/>
      <c r="J29" s="6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</row>
    <row r="30" spans="1:28" ht="16.5" customHeight="1">
      <c r="A30" s="1"/>
      <c r="B30" s="1"/>
      <c r="C30" s="35"/>
      <c r="D30" s="35"/>
      <c r="E30" s="35"/>
      <c r="F30" s="35"/>
      <c r="G30" s="36"/>
      <c r="H30" s="37"/>
      <c r="I30" s="37"/>
      <c r="J30" s="3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</row>
    <row r="31" spans="1:28" ht="16.5" customHeight="1">
      <c r="A31" s="1"/>
      <c r="B31" s="1"/>
      <c r="C31" s="38"/>
      <c r="D31" s="38"/>
      <c r="E31" s="38"/>
      <c r="F31" s="3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</row>
    <row r="32" spans="1:28" ht="16.5" customHeight="1">
      <c r="A32" s="1"/>
      <c r="B32" s="1"/>
      <c r="C32" s="35"/>
      <c r="D32" s="35"/>
      <c r="E32" s="35"/>
      <c r="F32" s="3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/>
    </row>
    <row r="33" spans="1:28" ht="16.5" customHeight="1">
      <c r="A33" s="1"/>
      <c r="B33" s="1"/>
      <c r="C33" s="35"/>
      <c r="D33" s="35"/>
      <c r="E33" s="35"/>
      <c r="F33" s="35"/>
      <c r="G33" s="36"/>
      <c r="H33" s="37"/>
      <c r="I33" s="37"/>
      <c r="J33" s="3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</row>
    <row r="34" spans="1:28" ht="16.5" customHeight="1">
      <c r="A34" s="1"/>
      <c r="B34" s="1"/>
      <c r="C34" s="35"/>
      <c r="D34" s="35"/>
      <c r="E34" s="35"/>
      <c r="F34" s="35"/>
      <c r="G34" s="36"/>
      <c r="H34" s="37"/>
      <c r="I34" s="37"/>
      <c r="J34" s="3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</row>
    <row r="35" spans="1:28" ht="16.5" customHeight="1">
      <c r="A35" s="1"/>
      <c r="B35" s="1"/>
      <c r="C35" s="35"/>
      <c r="D35" s="35"/>
      <c r="E35" s="35"/>
      <c r="F35" s="35"/>
      <c r="G35" s="36"/>
      <c r="H35" s="37"/>
      <c r="I35" s="37"/>
      <c r="J35" s="3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</row>
    <row r="36" spans="1:28" ht="16.5" customHeight="1">
      <c r="A36" s="1"/>
      <c r="B36" s="1" t="s">
        <v>38</v>
      </c>
      <c r="C36" s="35"/>
      <c r="D36" s="35"/>
      <c r="E36" s="35"/>
      <c r="F36" s="35"/>
      <c r="G36" s="36"/>
      <c r="H36" s="37"/>
      <c r="I36" s="37"/>
      <c r="J36" s="3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/>
    </row>
    <row r="37" spans="1:28" ht="16.5" customHeight="1">
      <c r="A37" s="1"/>
      <c r="B37" s="1"/>
      <c r="C37" s="35"/>
      <c r="D37" s="35"/>
      <c r="E37" s="35"/>
      <c r="F37" s="35"/>
      <c r="G37" s="36"/>
      <c r="H37" s="37"/>
      <c r="I37" s="37"/>
      <c r="J37" s="3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</row>
    <row r="38" spans="1:28" ht="16.5" customHeight="1">
      <c r="A38" s="1"/>
      <c r="B38" s="1"/>
      <c r="C38" s="35"/>
      <c r="D38" s="35"/>
      <c r="E38" s="35"/>
      <c r="F38" s="35"/>
      <c r="G38" s="36"/>
      <c r="H38" s="37"/>
      <c r="I38" s="37"/>
      <c r="J38" s="3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</row>
    <row r="39" spans="1:28" ht="16.5" customHeight="1">
      <c r="A39" s="1"/>
      <c r="B39" s="1"/>
      <c r="C39" s="35"/>
      <c r="D39" s="35"/>
      <c r="E39" s="35"/>
      <c r="F39" s="35"/>
      <c r="G39" s="36"/>
      <c r="H39" s="37"/>
      <c r="I39" s="37"/>
      <c r="J39" s="3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</row>
    <row r="40" spans="1:28" ht="16.5" customHeight="1">
      <c r="A40" s="1"/>
      <c r="B40" s="1"/>
      <c r="C40" s="35"/>
      <c r="D40" s="35"/>
      <c r="E40" s="35"/>
      <c r="F40" s="35"/>
      <c r="G40" s="36"/>
      <c r="H40" s="37"/>
      <c r="I40" s="37"/>
      <c r="J40" s="3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"/>
    </row>
    <row r="41" spans="1:28" ht="16.5" customHeight="1">
      <c r="A41" s="1"/>
      <c r="B41" s="1"/>
      <c r="C41" s="35"/>
      <c r="D41" s="35"/>
      <c r="E41" s="35"/>
      <c r="F41" s="35"/>
      <c r="G41" s="36"/>
      <c r="H41" s="37"/>
      <c r="I41" s="37"/>
      <c r="J41" s="3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</row>
    <row r="42" spans="1:28" ht="16.5" customHeight="1">
      <c r="A42" s="1"/>
      <c r="B42" s="1"/>
      <c r="C42" s="35"/>
      <c r="D42" s="35"/>
      <c r="E42" s="35"/>
      <c r="F42" s="35"/>
      <c r="G42" s="36"/>
      <c r="H42" s="37"/>
      <c r="I42" s="37"/>
      <c r="J42" s="3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</row>
    <row r="43" spans="1:28" ht="16.5" customHeight="1">
      <c r="A43" s="1"/>
      <c r="B43" s="1"/>
      <c r="C43" s="35"/>
      <c r="D43" s="35"/>
      <c r="E43" s="35"/>
      <c r="F43" s="35"/>
      <c r="G43" s="36"/>
      <c r="H43" s="37"/>
      <c r="I43" s="37"/>
      <c r="J43" s="3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</row>
    <row r="44" spans="1:28" ht="16.5" customHeight="1">
      <c r="A44" s="1"/>
      <c r="B44" s="1"/>
      <c r="C44" s="35"/>
      <c r="D44" s="35"/>
      <c r="E44" s="35"/>
      <c r="F44" s="35"/>
      <c r="G44" s="36"/>
      <c r="H44" s="37"/>
      <c r="I44" s="37"/>
      <c r="J44" s="3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/>
    </row>
    <row r="45" spans="1:28" ht="16.5" customHeight="1">
      <c r="A45" s="1"/>
      <c r="B45" s="1"/>
      <c r="C45" s="35"/>
      <c r="D45" s="35"/>
      <c r="E45" s="35"/>
      <c r="F45" s="35"/>
      <c r="G45" s="36"/>
      <c r="H45" s="37"/>
      <c r="I45" s="37"/>
      <c r="J45" s="3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</row>
    <row r="46" spans="1:28" ht="16.5" customHeight="1">
      <c r="A46" s="1"/>
      <c r="B46" s="1"/>
      <c r="C46" s="35"/>
      <c r="D46" s="35"/>
      <c r="E46" s="35"/>
      <c r="F46" s="35"/>
      <c r="G46" s="36"/>
      <c r="H46" s="37"/>
      <c r="I46" s="37"/>
      <c r="J46" s="3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2"/>
    </row>
    <row r="47" spans="1:28" ht="16.5" customHeight="1">
      <c r="A47" s="1"/>
      <c r="B47" s="1"/>
      <c r="C47" s="35"/>
      <c r="D47" s="35"/>
      <c r="E47" s="35"/>
      <c r="F47" s="35"/>
      <c r="G47" s="36"/>
      <c r="H47" s="37"/>
      <c r="I47" s="37"/>
      <c r="J47" s="3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"/>
    </row>
    <row r="48" spans="1:28" ht="16.5" customHeight="1">
      <c r="A48" s="1"/>
      <c r="B48" s="1"/>
      <c r="C48" s="35"/>
      <c r="D48" s="35"/>
      <c r="E48" s="35"/>
      <c r="F48" s="35"/>
      <c r="G48" s="36"/>
      <c r="H48" s="37"/>
      <c r="I48" s="37"/>
      <c r="J48" s="3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2"/>
    </row>
    <row r="49" spans="1:28" ht="16.5" customHeight="1">
      <c r="A49" s="1"/>
      <c r="B49" s="1"/>
      <c r="C49" s="35"/>
      <c r="D49" s="35"/>
      <c r="E49" s="35"/>
      <c r="F49" s="35"/>
      <c r="G49" s="36"/>
      <c r="H49" s="37"/>
      <c r="I49" s="37"/>
      <c r="J49" s="3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"/>
    </row>
    <row r="50" spans="1:28" ht="16.5" customHeight="1">
      <c r="A50" s="1"/>
      <c r="B50" s="1"/>
      <c r="C50" s="35"/>
      <c r="D50" s="35"/>
      <c r="E50" s="35"/>
      <c r="F50" s="35"/>
      <c r="G50" s="36"/>
      <c r="H50" s="37"/>
      <c r="I50" s="37"/>
      <c r="J50" s="3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"/>
    </row>
    <row r="51" spans="1:28" ht="16.5" customHeight="1">
      <c r="A51" s="1"/>
      <c r="B51" s="1"/>
      <c r="C51" s="35"/>
      <c r="D51" s="35"/>
      <c r="E51" s="35"/>
      <c r="F51" s="35"/>
      <c r="G51" s="36"/>
      <c r="H51" s="37"/>
      <c r="I51" s="37"/>
      <c r="J51" s="3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"/>
    </row>
    <row r="52" spans="1:28" ht="16.5" customHeight="1">
      <c r="A52" s="1"/>
      <c r="B52" s="1"/>
      <c r="C52" s="35"/>
      <c r="D52" s="35"/>
      <c r="E52" s="35"/>
      <c r="F52" s="35"/>
      <c r="G52" s="36"/>
      <c r="H52" s="37"/>
      <c r="I52" s="37"/>
      <c r="J52" s="3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2"/>
    </row>
    <row r="53" spans="1:28" ht="16.5" customHeight="1">
      <c r="A53" s="1"/>
      <c r="B53" s="1"/>
      <c r="C53" s="35"/>
      <c r="D53" s="35"/>
      <c r="E53" s="35"/>
      <c r="F53" s="35"/>
      <c r="G53" s="36"/>
      <c r="H53" s="37"/>
      <c r="I53" s="37"/>
      <c r="J53" s="3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2"/>
    </row>
    <row r="54" spans="1:28" ht="16.5" customHeight="1">
      <c r="A54" s="1"/>
      <c r="B54" s="1"/>
      <c r="C54" s="35"/>
      <c r="D54" s="35"/>
      <c r="E54" s="35"/>
      <c r="F54" s="35"/>
      <c r="G54" s="36"/>
      <c r="H54" s="37"/>
      <c r="I54" s="37"/>
      <c r="J54" s="3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2"/>
    </row>
    <row r="55" spans="1:28" ht="16.5" customHeight="1">
      <c r="A55" s="1"/>
      <c r="B55" s="1"/>
      <c r="C55" s="35"/>
      <c r="D55" s="35"/>
      <c r="E55" s="35"/>
      <c r="F55" s="35"/>
      <c r="G55" s="36"/>
      <c r="H55" s="37"/>
      <c r="I55" s="37"/>
      <c r="J55" s="3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"/>
    </row>
    <row r="56" spans="1:28" ht="16.5" customHeight="1">
      <c r="A56" s="1"/>
      <c r="B56" s="1"/>
      <c r="C56" s="35"/>
      <c r="D56" s="35"/>
      <c r="E56" s="35"/>
      <c r="F56" s="35"/>
      <c r="G56" s="36"/>
      <c r="H56" s="37"/>
      <c r="I56" s="37"/>
      <c r="J56" s="3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2"/>
    </row>
    <row r="57" spans="1:28" ht="16.5" customHeight="1">
      <c r="A57" s="1"/>
      <c r="B57" s="1"/>
      <c r="C57" s="35"/>
      <c r="D57" s="35"/>
      <c r="E57" s="35"/>
      <c r="F57" s="35"/>
      <c r="G57" s="36"/>
      <c r="H57" s="37"/>
      <c r="I57" s="37"/>
      <c r="J57" s="3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"/>
    </row>
    <row r="58" spans="1:28" ht="16.5" customHeight="1">
      <c r="A58" s="1"/>
      <c r="B58" s="1"/>
      <c r="C58" s="35"/>
      <c r="D58" s="35"/>
      <c r="E58" s="35"/>
      <c r="F58" s="35"/>
      <c r="G58" s="36"/>
      <c r="H58" s="37"/>
      <c r="I58" s="37"/>
      <c r="J58" s="3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"/>
    </row>
    <row r="59" spans="1:28" ht="16.5" customHeight="1">
      <c r="A59" s="1"/>
      <c r="B59" s="1"/>
      <c r="C59" s="35"/>
      <c r="D59" s="35"/>
      <c r="E59" s="35"/>
      <c r="F59" s="35"/>
      <c r="G59" s="36"/>
      <c r="H59" s="37"/>
      <c r="I59" s="37"/>
      <c r="J59" s="3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"/>
    </row>
    <row r="60" spans="1:28" ht="16.5" customHeight="1">
      <c r="A60" s="1"/>
      <c r="B60" s="1"/>
      <c r="C60" s="35"/>
      <c r="D60" s="35"/>
      <c r="E60" s="35"/>
      <c r="F60" s="35"/>
      <c r="G60" s="36"/>
      <c r="H60" s="37"/>
      <c r="I60" s="37"/>
      <c r="J60" s="3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"/>
    </row>
    <row r="61" spans="1:28" ht="16.5" customHeight="1">
      <c r="A61" s="1"/>
      <c r="B61" s="1"/>
      <c r="C61" s="35"/>
      <c r="D61" s="35"/>
      <c r="E61" s="35"/>
      <c r="F61" s="35"/>
      <c r="G61" s="36"/>
      <c r="H61" s="37"/>
      <c r="I61" s="37"/>
      <c r="J61" s="3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/>
    </row>
    <row r="62" spans="1:28" ht="16.5" customHeight="1">
      <c r="A62" s="1"/>
      <c r="B62" s="1"/>
      <c r="C62" s="35"/>
      <c r="D62" s="35"/>
      <c r="E62" s="35"/>
      <c r="F62" s="35"/>
      <c r="G62" s="36"/>
      <c r="H62" s="37"/>
      <c r="I62" s="37"/>
      <c r="J62" s="3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"/>
    </row>
    <row r="63" spans="1:28" ht="16.5" customHeight="1">
      <c r="A63" s="1"/>
      <c r="B63" s="1"/>
      <c r="C63" s="35"/>
      <c r="D63" s="35"/>
      <c r="E63" s="35"/>
      <c r="F63" s="35"/>
      <c r="G63" s="36"/>
      <c r="H63" s="37"/>
      <c r="I63" s="37"/>
      <c r="J63" s="3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/>
    </row>
    <row r="64" spans="1:28" ht="16.5" customHeight="1">
      <c r="A64" s="1"/>
      <c r="B64" s="1"/>
      <c r="C64" s="35"/>
      <c r="D64" s="35"/>
      <c r="E64" s="35"/>
      <c r="F64" s="35"/>
      <c r="G64" s="36"/>
      <c r="H64" s="37"/>
      <c r="I64" s="37"/>
      <c r="J64" s="3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2"/>
    </row>
    <row r="65" spans="1:28" ht="16.5" customHeight="1">
      <c r="A65" s="1"/>
      <c r="B65" s="1"/>
      <c r="C65" s="35"/>
      <c r="D65" s="35"/>
      <c r="E65" s="35"/>
      <c r="F65" s="35"/>
      <c r="G65" s="36"/>
      <c r="H65" s="37"/>
      <c r="I65" s="37"/>
      <c r="J65" s="3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</row>
    <row r="66" spans="1:28" ht="16.5" customHeight="1">
      <c r="A66" s="1"/>
      <c r="B66" s="1"/>
      <c r="C66" s="35"/>
      <c r="D66" s="35"/>
      <c r="E66" s="35"/>
      <c r="F66" s="35"/>
      <c r="G66" s="36"/>
      <c r="H66" s="37"/>
      <c r="I66" s="37"/>
      <c r="J66" s="3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"/>
    </row>
    <row r="67" spans="1:28" ht="16.5" customHeight="1">
      <c r="A67" s="1"/>
      <c r="B67" s="1"/>
      <c r="C67" s="35"/>
      <c r="D67" s="35"/>
      <c r="E67" s="35"/>
      <c r="F67" s="35"/>
      <c r="G67" s="36"/>
      <c r="H67" s="37"/>
      <c r="I67" s="37"/>
      <c r="J67" s="3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2"/>
    </row>
    <row r="68" spans="1:28" ht="16.5" customHeight="1">
      <c r="A68" s="1"/>
      <c r="B68" s="1"/>
      <c r="C68" s="35"/>
      <c r="D68" s="35"/>
      <c r="E68" s="35"/>
      <c r="F68" s="35"/>
      <c r="G68" s="36"/>
      <c r="H68" s="37"/>
      <c r="I68" s="37"/>
      <c r="J68" s="3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2"/>
    </row>
    <row r="69" spans="1:28" ht="16.5" customHeight="1">
      <c r="A69" s="1"/>
      <c r="B69" s="1"/>
      <c r="C69" s="35"/>
      <c r="D69" s="35"/>
      <c r="E69" s="35"/>
      <c r="F69" s="35"/>
      <c r="G69" s="36"/>
      <c r="H69" s="37"/>
      <c r="I69" s="37"/>
      <c r="J69" s="3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2"/>
    </row>
    <row r="70" spans="1:28" ht="16.5" customHeight="1">
      <c r="A70" s="1"/>
      <c r="B70" s="1"/>
      <c r="C70" s="35"/>
      <c r="D70" s="35"/>
      <c r="E70" s="35"/>
      <c r="F70" s="35"/>
      <c r="G70" s="36"/>
      <c r="H70" s="37"/>
      <c r="I70" s="37"/>
      <c r="J70" s="3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/>
    </row>
    <row r="71" spans="1:28" ht="16.5" customHeight="1">
      <c r="A71" s="1"/>
      <c r="B71" s="1"/>
      <c r="C71" s="35"/>
      <c r="D71" s="35"/>
      <c r="E71" s="35"/>
      <c r="F71" s="35"/>
      <c r="G71" s="36"/>
      <c r="H71" s="37"/>
      <c r="I71" s="37"/>
      <c r="J71" s="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</row>
    <row r="72" spans="1:28" ht="16.5" customHeight="1">
      <c r="A72" s="1"/>
      <c r="B72" s="1"/>
      <c r="C72" s="35"/>
      <c r="D72" s="35"/>
      <c r="E72" s="35"/>
      <c r="F72" s="35"/>
      <c r="G72" s="36"/>
      <c r="H72" s="37"/>
      <c r="I72" s="37"/>
      <c r="J72" s="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2"/>
    </row>
    <row r="73" spans="1:28" ht="16.5" customHeight="1">
      <c r="A73" s="1"/>
      <c r="B73" s="1"/>
      <c r="C73" s="35"/>
      <c r="D73" s="35"/>
      <c r="E73" s="35"/>
      <c r="F73" s="35"/>
      <c r="G73" s="36"/>
      <c r="H73" s="37"/>
      <c r="I73" s="37"/>
      <c r="J73" s="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/>
    </row>
    <row r="74" spans="1:28" ht="16.5" customHeight="1">
      <c r="A74" s="1"/>
      <c r="B74" s="1"/>
      <c r="C74" s="35"/>
      <c r="D74" s="35"/>
      <c r="E74" s="35"/>
      <c r="F74" s="35"/>
      <c r="G74" s="36"/>
      <c r="H74" s="37"/>
      <c r="I74" s="37"/>
      <c r="J74" s="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/>
    </row>
    <row r="75" spans="1:28" ht="16.5" customHeight="1">
      <c r="A75" s="1"/>
      <c r="B75" s="1"/>
      <c r="C75" s="35"/>
      <c r="D75" s="35"/>
      <c r="E75" s="35"/>
      <c r="F75" s="35"/>
      <c r="G75" s="36"/>
      <c r="H75" s="37"/>
      <c r="I75" s="37"/>
      <c r="J75" s="3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</row>
    <row r="76" spans="1:28" ht="16.5" customHeight="1">
      <c r="A76" s="1"/>
      <c r="B76" s="1"/>
      <c r="C76" s="35"/>
      <c r="D76" s="35"/>
      <c r="E76" s="35"/>
      <c r="F76" s="35"/>
      <c r="G76" s="36"/>
      <c r="H76" s="37"/>
      <c r="I76" s="37"/>
      <c r="J76" s="3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2"/>
    </row>
    <row r="77" spans="1:28" ht="16.5" customHeight="1">
      <c r="A77" s="1"/>
      <c r="B77" s="1"/>
      <c r="C77" s="35"/>
      <c r="D77" s="35"/>
      <c r="E77" s="35"/>
      <c r="F77" s="35"/>
      <c r="G77" s="36"/>
      <c r="H77" s="37"/>
      <c r="I77" s="37"/>
      <c r="J77" s="3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2"/>
    </row>
    <row r="78" spans="1:28" ht="16.5" customHeight="1">
      <c r="A78" s="1"/>
      <c r="B78" s="1"/>
      <c r="C78" s="35"/>
      <c r="D78" s="35"/>
      <c r="E78" s="35"/>
      <c r="F78" s="35"/>
      <c r="G78" s="36"/>
      <c r="H78" s="37"/>
      <c r="I78" s="37"/>
      <c r="J78" s="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2"/>
    </row>
    <row r="79" spans="1:28" ht="16.5" customHeight="1">
      <c r="A79" s="1"/>
      <c r="B79" s="1"/>
      <c r="C79" s="35"/>
      <c r="D79" s="35"/>
      <c r="E79" s="35"/>
      <c r="F79" s="35"/>
      <c r="G79" s="36"/>
      <c r="H79" s="37"/>
      <c r="I79" s="37"/>
      <c r="J79" s="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"/>
    </row>
    <row r="80" spans="1:28" ht="16.5" customHeight="1">
      <c r="A80" s="1"/>
      <c r="B80" s="1"/>
      <c r="C80" s="35"/>
      <c r="D80" s="35"/>
      <c r="E80" s="35"/>
      <c r="F80" s="35"/>
      <c r="G80" s="36"/>
      <c r="H80" s="37"/>
      <c r="I80" s="37"/>
      <c r="J80" s="3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"/>
    </row>
    <row r="81" spans="1:28" ht="16.5" customHeight="1">
      <c r="A81" s="1"/>
      <c r="B81" s="1"/>
      <c r="C81" s="35"/>
      <c r="D81" s="35"/>
      <c r="E81" s="35"/>
      <c r="F81" s="35"/>
      <c r="G81" s="36"/>
      <c r="H81" s="37"/>
      <c r="I81" s="37"/>
      <c r="J81" s="3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</row>
    <row r="82" spans="1:28" ht="16.5" customHeight="1">
      <c r="A82" s="1"/>
      <c r="B82" s="1"/>
      <c r="C82" s="35"/>
      <c r="D82" s="35"/>
      <c r="E82" s="35"/>
      <c r="F82" s="35"/>
      <c r="G82" s="36"/>
      <c r="H82" s="37"/>
      <c r="I82" s="37"/>
      <c r="J82" s="3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2"/>
    </row>
    <row r="83" spans="1:28" ht="16.5" customHeight="1">
      <c r="A83" s="1"/>
      <c r="B83" s="1"/>
      <c r="C83" s="35"/>
      <c r="D83" s="35"/>
      <c r="E83" s="35"/>
      <c r="F83" s="35"/>
      <c r="G83" s="36"/>
      <c r="H83" s="37"/>
      <c r="I83" s="37"/>
      <c r="J83" s="3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2"/>
    </row>
    <row r="84" spans="1:28" ht="16.5" customHeight="1">
      <c r="A84" s="1"/>
      <c r="B84" s="1"/>
      <c r="C84" s="35"/>
      <c r="D84" s="35"/>
      <c r="E84" s="35"/>
      <c r="F84" s="35"/>
      <c r="G84" s="36"/>
      <c r="H84" s="37"/>
      <c r="I84" s="37"/>
      <c r="J84" s="3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2"/>
    </row>
    <row r="85" spans="1:28" ht="16.5" customHeight="1">
      <c r="A85" s="1"/>
      <c r="B85" s="1"/>
      <c r="C85" s="35"/>
      <c r="D85" s="35"/>
      <c r="E85" s="35"/>
      <c r="F85" s="35"/>
      <c r="G85" s="36"/>
      <c r="H85" s="37"/>
      <c r="I85" s="37"/>
      <c r="J85" s="3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</row>
    <row r="86" spans="1:28" ht="16.5" customHeight="1">
      <c r="A86" s="1"/>
      <c r="B86" s="1"/>
      <c r="C86" s="35"/>
      <c r="D86" s="35"/>
      <c r="E86" s="35"/>
      <c r="F86" s="35"/>
      <c r="G86" s="36"/>
      <c r="H86" s="37"/>
      <c r="I86" s="37"/>
      <c r="J86" s="3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/>
    </row>
    <row r="87" spans="1:28" ht="16.5" customHeight="1">
      <c r="A87" s="1"/>
      <c r="B87" s="1"/>
      <c r="C87" s="35"/>
      <c r="D87" s="35"/>
      <c r="E87" s="35"/>
      <c r="F87" s="35"/>
      <c r="G87" s="36"/>
      <c r="H87" s="37"/>
      <c r="I87" s="37"/>
      <c r="J87" s="3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</row>
    <row r="88" spans="1:28" ht="16.5" customHeight="1">
      <c r="A88" s="1"/>
      <c r="B88" s="1"/>
      <c r="C88" s="35"/>
      <c r="D88" s="35"/>
      <c r="E88" s="35"/>
      <c r="F88" s="35"/>
      <c r="G88" s="36"/>
      <c r="H88" s="37"/>
      <c r="I88" s="37"/>
      <c r="J88" s="3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2"/>
    </row>
    <row r="89" spans="1:28" ht="16.5" customHeight="1">
      <c r="A89" s="1"/>
      <c r="B89" s="1"/>
      <c r="C89" s="35"/>
      <c r="D89" s="35"/>
      <c r="E89" s="35"/>
      <c r="F89" s="35"/>
      <c r="G89" s="36"/>
      <c r="H89" s="37"/>
      <c r="I89" s="37"/>
      <c r="J89" s="3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/>
    </row>
    <row r="90" spans="1:28" ht="16.5" customHeight="1">
      <c r="A90" s="1"/>
      <c r="B90" s="1"/>
      <c r="C90" s="35"/>
      <c r="D90" s="35"/>
      <c r="E90" s="35"/>
      <c r="F90" s="35"/>
      <c r="G90" s="36"/>
      <c r="H90" s="37"/>
      <c r="I90" s="37"/>
      <c r="J90" s="3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2"/>
    </row>
    <row r="91" spans="1:28" ht="16.5" customHeight="1">
      <c r="A91" s="1"/>
      <c r="B91" s="1"/>
      <c r="C91" s="35"/>
      <c r="D91" s="35"/>
      <c r="E91" s="35"/>
      <c r="F91" s="35"/>
      <c r="G91" s="36"/>
      <c r="H91" s="37"/>
      <c r="I91" s="37"/>
      <c r="J91" s="3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</row>
    <row r="92" spans="1:28" ht="16.5" customHeight="1">
      <c r="A92" s="1"/>
      <c r="B92" s="1"/>
      <c r="C92" s="35"/>
      <c r="D92" s="35"/>
      <c r="E92" s="35"/>
      <c r="F92" s="35"/>
      <c r="G92" s="36"/>
      <c r="H92" s="37"/>
      <c r="I92" s="37"/>
      <c r="J92" s="3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/>
    </row>
    <row r="93" spans="1:28" ht="16.5" customHeight="1">
      <c r="A93" s="1"/>
      <c r="B93" s="1"/>
      <c r="C93" s="35"/>
      <c r="D93" s="35"/>
      <c r="E93" s="35"/>
      <c r="F93" s="35"/>
      <c r="G93" s="36"/>
      <c r="H93" s="37"/>
      <c r="I93" s="37"/>
      <c r="J93" s="3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</row>
    <row r="94" spans="1:28" ht="16.5" customHeight="1">
      <c r="A94" s="1"/>
      <c r="B94" s="1"/>
      <c r="C94" s="35"/>
      <c r="D94" s="35"/>
      <c r="E94" s="35"/>
      <c r="F94" s="35"/>
      <c r="G94" s="36"/>
      <c r="H94" s="37"/>
      <c r="I94" s="37"/>
      <c r="J94" s="3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2"/>
    </row>
    <row r="95" spans="1:28" ht="16.5" customHeight="1">
      <c r="A95" s="1"/>
      <c r="B95" s="1"/>
      <c r="C95" s="35"/>
      <c r="D95" s="35"/>
      <c r="E95" s="35"/>
      <c r="F95" s="35"/>
      <c r="G95" s="36"/>
      <c r="H95" s="37"/>
      <c r="I95" s="37"/>
      <c r="J95" s="3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</row>
    <row r="96" spans="1:28" ht="16.5" customHeight="1">
      <c r="A96" s="1"/>
      <c r="B96" s="1"/>
      <c r="C96" s="35"/>
      <c r="D96" s="35"/>
      <c r="E96" s="35"/>
      <c r="F96" s="35"/>
      <c r="G96" s="36"/>
      <c r="H96" s="37"/>
      <c r="I96" s="37"/>
      <c r="J96" s="3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2"/>
    </row>
    <row r="97" spans="1:28" ht="15.75" customHeight="1">
      <c r="A97" s="1"/>
      <c r="B97" s="1"/>
      <c r="C97" s="35"/>
      <c r="D97" s="35"/>
      <c r="E97" s="35"/>
      <c r="F97" s="35"/>
      <c r="G97" s="36"/>
      <c r="H97" s="37"/>
      <c r="I97" s="37"/>
      <c r="J97" s="3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</row>
    <row r="98" spans="1:28" ht="15.75" customHeight="1">
      <c r="A98" s="1"/>
      <c r="B98" s="1"/>
      <c r="C98" s="35"/>
      <c r="D98" s="35"/>
      <c r="E98" s="35"/>
      <c r="F98" s="35"/>
      <c r="G98" s="36"/>
      <c r="H98" s="37"/>
      <c r="I98" s="37"/>
      <c r="J98" s="3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2"/>
    </row>
    <row r="99" spans="1:28" ht="15.75" customHeight="1">
      <c r="A99" s="1"/>
      <c r="B99" s="1"/>
      <c r="C99" s="35"/>
      <c r="D99" s="35"/>
      <c r="E99" s="35"/>
      <c r="F99" s="35"/>
      <c r="G99" s="36"/>
      <c r="H99" s="37"/>
      <c r="I99" s="37"/>
      <c r="J99" s="3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</row>
    <row r="100" spans="1:28" ht="15.75" customHeight="1">
      <c r="A100" s="1"/>
      <c r="B100" s="1"/>
      <c r="C100" s="35"/>
      <c r="D100" s="35"/>
      <c r="E100" s="35"/>
      <c r="F100" s="35"/>
      <c r="G100" s="36"/>
      <c r="H100" s="37"/>
      <c r="I100" s="37"/>
      <c r="J100" s="3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2"/>
    </row>
    <row r="101" spans="1:28" ht="15.75" customHeight="1">
      <c r="A101" s="1"/>
      <c r="B101" s="1"/>
      <c r="C101" s="35"/>
      <c r="D101" s="35"/>
      <c r="E101" s="35"/>
      <c r="F101" s="35"/>
      <c r="G101" s="36"/>
      <c r="H101" s="37"/>
      <c r="I101" s="37"/>
      <c r="J101" s="3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2"/>
    </row>
    <row r="102" spans="1:28" ht="15.75" customHeight="1">
      <c r="A102" s="1"/>
      <c r="B102" s="1"/>
      <c r="C102" s="39"/>
      <c r="D102" s="39"/>
      <c r="E102" s="39"/>
      <c r="F102" s="39"/>
      <c r="G102" s="37"/>
      <c r="H102" s="37"/>
      <c r="I102" s="37"/>
      <c r="J102" s="3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2"/>
    </row>
    <row r="103" spans="1:28" ht="15.75" customHeight="1">
      <c r="A103" s="1"/>
      <c r="B103" s="1"/>
      <c r="C103" s="39"/>
      <c r="D103" s="39"/>
      <c r="E103" s="39"/>
      <c r="F103" s="39"/>
      <c r="G103" s="37"/>
      <c r="H103" s="37"/>
      <c r="I103" s="37"/>
      <c r="J103" s="3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2"/>
    </row>
    <row r="104" spans="1:28" ht="15.75" customHeight="1">
      <c r="A104" s="1"/>
      <c r="B104" s="1"/>
      <c r="C104" s="39"/>
      <c r="D104" s="39"/>
      <c r="E104" s="39"/>
      <c r="F104" s="39"/>
      <c r="G104" s="37"/>
      <c r="H104" s="37"/>
      <c r="I104" s="37"/>
      <c r="J104" s="3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2"/>
    </row>
    <row r="105" spans="1:28" ht="15.75" customHeight="1">
      <c r="A105" s="1"/>
      <c r="B105" s="1"/>
      <c r="C105" s="39"/>
      <c r="D105" s="39"/>
      <c r="E105" s="39"/>
      <c r="F105" s="39"/>
      <c r="G105" s="37"/>
      <c r="H105" s="37"/>
      <c r="I105" s="37"/>
      <c r="J105" s="3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2"/>
    </row>
    <row r="106" spans="1:28" ht="15.75" customHeight="1">
      <c r="A106" s="1"/>
      <c r="B106" s="1"/>
      <c r="C106" s="39"/>
      <c r="D106" s="39"/>
      <c r="E106" s="39"/>
      <c r="F106" s="39"/>
      <c r="G106" s="37"/>
      <c r="H106" s="37"/>
      <c r="I106" s="37"/>
      <c r="J106" s="3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2"/>
    </row>
    <row r="107" spans="1:28" ht="15.75" customHeight="1">
      <c r="A107" s="1"/>
      <c r="B107" s="1"/>
      <c r="C107" s="39"/>
      <c r="D107" s="39"/>
      <c r="E107" s="39"/>
      <c r="F107" s="39"/>
      <c r="G107" s="37"/>
      <c r="H107" s="37"/>
      <c r="I107" s="37"/>
      <c r="J107" s="3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2"/>
    </row>
    <row r="108" spans="1:28" ht="15.75" customHeight="1">
      <c r="A108" s="1"/>
      <c r="B108" s="1"/>
      <c r="C108" s="39"/>
      <c r="D108" s="39"/>
      <c r="E108" s="39"/>
      <c r="F108" s="39"/>
      <c r="G108" s="37"/>
      <c r="H108" s="37"/>
      <c r="I108" s="37"/>
      <c r="J108" s="3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2"/>
    </row>
    <row r="109" spans="1:28" ht="15.75" customHeight="1">
      <c r="A109" s="1"/>
      <c r="B109" s="1"/>
      <c r="C109" s="39"/>
      <c r="D109" s="39"/>
      <c r="E109" s="39"/>
      <c r="F109" s="39"/>
      <c r="G109" s="37"/>
      <c r="H109" s="37"/>
      <c r="I109" s="37"/>
      <c r="J109" s="3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2"/>
    </row>
    <row r="110" spans="1:28" ht="15.75" customHeight="1">
      <c r="A110" s="1"/>
      <c r="B110" s="1"/>
      <c r="C110" s="39"/>
      <c r="D110" s="39"/>
      <c r="E110" s="39"/>
      <c r="F110" s="39"/>
      <c r="G110" s="37"/>
      <c r="H110" s="37"/>
      <c r="I110" s="37"/>
      <c r="J110" s="3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2"/>
    </row>
    <row r="111" spans="1:28" ht="15.75" customHeight="1">
      <c r="A111" s="1"/>
      <c r="B111" s="1"/>
      <c r="C111" s="39"/>
      <c r="D111" s="39"/>
      <c r="E111" s="39"/>
      <c r="F111" s="39"/>
      <c r="G111" s="37"/>
      <c r="H111" s="37"/>
      <c r="I111" s="37"/>
      <c r="J111" s="3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</row>
    <row r="112" spans="1:28" ht="15.75" customHeight="1">
      <c r="A112" s="1"/>
      <c r="B112" s="1"/>
      <c r="C112" s="39"/>
      <c r="D112" s="39"/>
      <c r="E112" s="39"/>
      <c r="F112" s="39"/>
      <c r="G112" s="37"/>
      <c r="H112" s="37"/>
      <c r="I112" s="37"/>
      <c r="J112" s="3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"/>
    </row>
    <row r="113" spans="1:28" ht="15.75" customHeight="1">
      <c r="A113" s="1"/>
      <c r="B113" s="1"/>
      <c r="C113" s="39"/>
      <c r="D113" s="39"/>
      <c r="E113" s="39"/>
      <c r="F113" s="39"/>
      <c r="G113" s="37"/>
      <c r="H113" s="37"/>
      <c r="I113" s="37"/>
      <c r="J113" s="3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"/>
    </row>
    <row r="114" spans="1:28" ht="15.75" customHeight="1">
      <c r="A114" s="1"/>
      <c r="B114" s="1"/>
      <c r="C114" s="39"/>
      <c r="D114" s="39"/>
      <c r="E114" s="39"/>
      <c r="F114" s="39"/>
      <c r="G114" s="37"/>
      <c r="H114" s="37"/>
      <c r="I114" s="37"/>
      <c r="J114" s="3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2"/>
    </row>
    <row r="115" spans="1:28" ht="15.75" customHeight="1">
      <c r="A115" s="1"/>
      <c r="B115" s="1"/>
      <c r="C115" s="39"/>
      <c r="D115" s="39"/>
      <c r="E115" s="39"/>
      <c r="F115" s="39"/>
      <c r="G115" s="37"/>
      <c r="H115" s="37"/>
      <c r="I115" s="37"/>
      <c r="J115" s="3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2"/>
    </row>
    <row r="116" spans="1:28" ht="15.75" customHeight="1">
      <c r="A116" s="1"/>
      <c r="B116" s="1"/>
      <c r="C116" s="39"/>
      <c r="D116" s="39"/>
      <c r="E116" s="39"/>
      <c r="F116" s="39"/>
      <c r="G116" s="37"/>
      <c r="H116" s="37"/>
      <c r="I116" s="37"/>
      <c r="J116" s="3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2"/>
    </row>
    <row r="117" spans="1:28" ht="15.75" customHeight="1">
      <c r="A117" s="1"/>
      <c r="B117" s="1"/>
      <c r="C117" s="39"/>
      <c r="D117" s="39"/>
      <c r="E117" s="39"/>
      <c r="F117" s="39"/>
      <c r="G117" s="37"/>
      <c r="H117" s="37"/>
      <c r="I117" s="37"/>
      <c r="J117" s="3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2"/>
    </row>
    <row r="118" spans="1:28" ht="15.75" customHeight="1">
      <c r="A118" s="1"/>
      <c r="B118" s="1"/>
      <c r="C118" s="39"/>
      <c r="D118" s="39"/>
      <c r="E118" s="39"/>
      <c r="F118" s="39"/>
      <c r="G118" s="37"/>
      <c r="H118" s="37"/>
      <c r="I118" s="37"/>
      <c r="J118" s="3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2"/>
    </row>
    <row r="119" spans="1:28" ht="15.75" customHeight="1">
      <c r="A119" s="1"/>
      <c r="B119" s="1"/>
      <c r="C119" s="39"/>
      <c r="D119" s="39"/>
      <c r="E119" s="39"/>
      <c r="F119" s="39"/>
      <c r="G119" s="37"/>
      <c r="H119" s="37"/>
      <c r="I119" s="37"/>
      <c r="J119" s="3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2"/>
    </row>
    <row r="120" spans="1:28" ht="15.75" customHeight="1">
      <c r="A120" s="1"/>
      <c r="B120" s="1"/>
      <c r="C120" s="39"/>
      <c r="D120" s="39"/>
      <c r="E120" s="39"/>
      <c r="F120" s="39"/>
      <c r="G120" s="37"/>
      <c r="H120" s="37"/>
      <c r="I120" s="37"/>
      <c r="J120" s="3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2"/>
    </row>
    <row r="121" spans="1:28" ht="15.75" customHeight="1">
      <c r="A121" s="1"/>
      <c r="B121" s="1"/>
      <c r="C121" s="39"/>
      <c r="D121" s="39"/>
      <c r="E121" s="39"/>
      <c r="F121" s="39"/>
      <c r="G121" s="37"/>
      <c r="H121" s="37"/>
      <c r="I121" s="37"/>
      <c r="J121" s="3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2"/>
    </row>
    <row r="122" spans="1:28" ht="15.75" customHeight="1">
      <c r="A122" s="1"/>
      <c r="B122" s="1"/>
      <c r="C122" s="39"/>
      <c r="D122" s="39"/>
      <c r="E122" s="39"/>
      <c r="F122" s="39"/>
      <c r="G122" s="37"/>
      <c r="H122" s="37"/>
      <c r="I122" s="37"/>
      <c r="J122" s="3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2"/>
    </row>
    <row r="123" spans="1:28" ht="15.75" customHeight="1">
      <c r="A123" s="1"/>
      <c r="B123" s="1"/>
      <c r="C123" s="39"/>
      <c r="D123" s="39"/>
      <c r="E123" s="39"/>
      <c r="F123" s="39"/>
      <c r="G123" s="37"/>
      <c r="H123" s="37"/>
      <c r="I123" s="37"/>
      <c r="J123" s="3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"/>
    </row>
    <row r="124" spans="1:28" ht="15.75" customHeight="1">
      <c r="A124" s="1"/>
      <c r="B124" s="1"/>
      <c r="C124" s="39"/>
      <c r="D124" s="39"/>
      <c r="E124" s="39"/>
      <c r="F124" s="39"/>
      <c r="G124" s="37"/>
      <c r="H124" s="37"/>
      <c r="I124" s="37"/>
      <c r="J124" s="3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"/>
    </row>
    <row r="125" spans="1:28" ht="15.75" customHeight="1">
      <c r="A125" s="1"/>
      <c r="B125" s="1"/>
      <c r="C125" s="39"/>
      <c r="D125" s="39"/>
      <c r="E125" s="39"/>
      <c r="F125" s="39"/>
      <c r="G125" s="37"/>
      <c r="H125" s="37"/>
      <c r="I125" s="37"/>
      <c r="J125" s="3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2"/>
    </row>
    <row r="126" spans="1:28" ht="15.75" customHeight="1">
      <c r="A126" s="1"/>
      <c r="B126" s="1"/>
      <c r="C126" s="39"/>
      <c r="D126" s="39"/>
      <c r="E126" s="39"/>
      <c r="F126" s="39"/>
      <c r="G126" s="37"/>
      <c r="H126" s="37"/>
      <c r="I126" s="37"/>
      <c r="J126" s="3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2"/>
    </row>
    <row r="127" spans="1:28" ht="15.75" customHeight="1">
      <c r="A127" s="1"/>
      <c r="B127" s="1"/>
      <c r="C127" s="39"/>
      <c r="D127" s="39"/>
      <c r="E127" s="39"/>
      <c r="F127" s="39"/>
      <c r="G127" s="37"/>
      <c r="H127" s="37"/>
      <c r="I127" s="37"/>
      <c r="J127" s="3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2"/>
    </row>
    <row r="128" spans="1:28" ht="15.75" customHeight="1">
      <c r="A128" s="1"/>
      <c r="B128" s="1"/>
      <c r="C128" s="39"/>
      <c r="D128" s="39"/>
      <c r="E128" s="39"/>
      <c r="F128" s="39"/>
      <c r="G128" s="37"/>
      <c r="H128" s="37"/>
      <c r="I128" s="37"/>
      <c r="J128" s="3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2"/>
    </row>
    <row r="129" spans="1:28" ht="15.75" customHeight="1">
      <c r="A129" s="1"/>
      <c r="B129" s="1"/>
      <c r="C129" s="39"/>
      <c r="D129" s="39"/>
      <c r="E129" s="39"/>
      <c r="F129" s="39"/>
      <c r="G129" s="37"/>
      <c r="H129" s="37"/>
      <c r="I129" s="37"/>
      <c r="J129" s="3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2"/>
    </row>
    <row r="130" spans="1:28" ht="15.75" customHeight="1">
      <c r="A130" s="1"/>
      <c r="B130" s="1"/>
      <c r="C130" s="39"/>
      <c r="D130" s="39"/>
      <c r="E130" s="39"/>
      <c r="F130" s="39"/>
      <c r="G130" s="37"/>
      <c r="H130" s="37"/>
      <c r="I130" s="37"/>
      <c r="J130" s="3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2"/>
    </row>
    <row r="131" spans="1:28" ht="15.75" customHeight="1">
      <c r="A131" s="1"/>
      <c r="B131" s="1"/>
      <c r="C131" s="39"/>
      <c r="D131" s="39"/>
      <c r="E131" s="39"/>
      <c r="F131" s="39"/>
      <c r="G131" s="37"/>
      <c r="H131" s="37"/>
      <c r="I131" s="37"/>
      <c r="J131" s="3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2"/>
    </row>
    <row r="132" spans="1:28" ht="15.75" customHeight="1">
      <c r="A132" s="1"/>
      <c r="B132" s="1"/>
      <c r="C132" s="39"/>
      <c r="D132" s="39"/>
      <c r="E132" s="39"/>
      <c r="F132" s="39"/>
      <c r="G132" s="37"/>
      <c r="H132" s="37"/>
      <c r="I132" s="37"/>
      <c r="J132" s="3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"/>
    </row>
    <row r="133" spans="1:28" ht="15.75" customHeight="1">
      <c r="A133" s="1"/>
      <c r="B133" s="1"/>
      <c r="C133" s="39"/>
      <c r="D133" s="39"/>
      <c r="E133" s="39"/>
      <c r="F133" s="39"/>
      <c r="G133" s="37"/>
      <c r="H133" s="37"/>
      <c r="I133" s="37"/>
      <c r="J133" s="3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"/>
    </row>
    <row r="134" spans="1:28" ht="15.75" customHeight="1">
      <c r="A134" s="1"/>
      <c r="B134" s="1"/>
      <c r="C134" s="39"/>
      <c r="D134" s="39"/>
      <c r="E134" s="39"/>
      <c r="F134" s="39"/>
      <c r="G134" s="37"/>
      <c r="H134" s="37"/>
      <c r="I134" s="37"/>
      <c r="J134" s="3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"/>
    </row>
    <row r="135" spans="1:28" ht="15.75" customHeight="1">
      <c r="A135" s="1"/>
      <c r="B135" s="1"/>
      <c r="C135" s="39"/>
      <c r="D135" s="39"/>
      <c r="E135" s="39"/>
      <c r="F135" s="39"/>
      <c r="G135" s="37"/>
      <c r="H135" s="37"/>
      <c r="I135" s="37"/>
      <c r="J135" s="3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"/>
    </row>
    <row r="136" spans="1:28" ht="15.75" customHeight="1">
      <c r="A136" s="1"/>
      <c r="B136" s="1"/>
      <c r="C136" s="39"/>
      <c r="D136" s="39"/>
      <c r="E136" s="39"/>
      <c r="F136" s="39"/>
      <c r="G136" s="37"/>
      <c r="H136" s="37"/>
      <c r="I136" s="37"/>
      <c r="J136" s="3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"/>
    </row>
    <row r="137" spans="1:28" ht="15.75" customHeight="1">
      <c r="A137" s="1"/>
      <c r="B137" s="1"/>
      <c r="C137" s="39"/>
      <c r="D137" s="39"/>
      <c r="E137" s="39"/>
      <c r="F137" s="39"/>
      <c r="G137" s="37"/>
      <c r="H137" s="37"/>
      <c r="I137" s="37"/>
      <c r="J137" s="3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"/>
    </row>
    <row r="138" spans="1:28" ht="15.75" customHeight="1">
      <c r="A138" s="1"/>
      <c r="B138" s="1"/>
      <c r="C138" s="39"/>
      <c r="D138" s="39"/>
      <c r="E138" s="39"/>
      <c r="F138" s="39"/>
      <c r="G138" s="37"/>
      <c r="H138" s="37"/>
      <c r="I138" s="37"/>
      <c r="J138" s="3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"/>
    </row>
    <row r="139" spans="1:28" ht="15.75" customHeight="1">
      <c r="A139" s="1"/>
      <c r="B139" s="1"/>
      <c r="C139" s="39"/>
      <c r="D139" s="39"/>
      <c r="E139" s="39"/>
      <c r="F139" s="39"/>
      <c r="G139" s="37"/>
      <c r="H139" s="37"/>
      <c r="I139" s="37"/>
      <c r="J139" s="3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/>
    </row>
    <row r="140" spans="1:28" ht="15.75" customHeight="1">
      <c r="A140" s="1"/>
      <c r="B140" s="1"/>
      <c r="C140" s="39"/>
      <c r="D140" s="39"/>
      <c r="E140" s="39"/>
      <c r="F140" s="39"/>
      <c r="G140" s="37"/>
      <c r="H140" s="37"/>
      <c r="I140" s="37"/>
      <c r="J140" s="3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"/>
    </row>
    <row r="141" spans="1:28" ht="15.75" customHeight="1">
      <c r="A141" s="1"/>
      <c r="B141" s="1"/>
      <c r="C141" s="39"/>
      <c r="D141" s="39"/>
      <c r="E141" s="39"/>
      <c r="F141" s="39"/>
      <c r="G141" s="37"/>
      <c r="H141" s="37"/>
      <c r="I141" s="37"/>
      <c r="J141" s="3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/>
    </row>
    <row r="142" spans="1:28" ht="15.75" customHeight="1">
      <c r="A142" s="1"/>
      <c r="B142" s="1"/>
      <c r="C142" s="39"/>
      <c r="D142" s="39"/>
      <c r="E142" s="39"/>
      <c r="F142" s="39"/>
      <c r="G142" s="37"/>
      <c r="H142" s="37"/>
      <c r="I142" s="37"/>
      <c r="J142" s="3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"/>
    </row>
    <row r="143" spans="1:28" ht="15.75" customHeight="1">
      <c r="A143" s="1"/>
      <c r="B143" s="1"/>
      <c r="C143" s="39"/>
      <c r="D143" s="39"/>
      <c r="E143" s="39"/>
      <c r="F143" s="39"/>
      <c r="G143" s="37"/>
      <c r="H143" s="37"/>
      <c r="I143" s="37"/>
      <c r="J143" s="3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/>
    </row>
    <row r="144" spans="1:28" ht="15.75" customHeight="1">
      <c r="A144" s="1"/>
      <c r="B144" s="1"/>
      <c r="C144" s="39"/>
      <c r="D144" s="39"/>
      <c r="E144" s="39"/>
      <c r="F144" s="39"/>
      <c r="G144" s="37"/>
      <c r="H144" s="37"/>
      <c r="I144" s="37"/>
      <c r="J144" s="3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"/>
    </row>
    <row r="145" spans="1:28" ht="15.75" customHeight="1">
      <c r="A145" s="1"/>
      <c r="B145" s="1"/>
      <c r="C145" s="39"/>
      <c r="D145" s="39"/>
      <c r="E145" s="39"/>
      <c r="F145" s="39"/>
      <c r="G145" s="37"/>
      <c r="H145" s="37"/>
      <c r="I145" s="37"/>
      <c r="J145" s="3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"/>
    </row>
    <row r="146" spans="1:28" ht="15.75" customHeight="1">
      <c r="A146" s="1"/>
      <c r="B146" s="1"/>
      <c r="C146" s="39"/>
      <c r="D146" s="39"/>
      <c r="E146" s="39"/>
      <c r="F146" s="39"/>
      <c r="G146" s="37"/>
      <c r="H146" s="37"/>
      <c r="I146" s="37"/>
      <c r="J146" s="3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"/>
    </row>
    <row r="147" spans="1:28" ht="15.75" customHeight="1">
      <c r="A147" s="1"/>
      <c r="B147" s="1"/>
      <c r="C147" s="39"/>
      <c r="D147" s="39"/>
      <c r="E147" s="39"/>
      <c r="F147" s="39"/>
      <c r="G147" s="37"/>
      <c r="H147" s="37"/>
      <c r="I147" s="37"/>
      <c r="J147" s="3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/>
    </row>
    <row r="148" spans="1:28" ht="15.75" customHeight="1">
      <c r="A148" s="1"/>
      <c r="B148" s="1"/>
      <c r="C148" s="39"/>
      <c r="D148" s="39"/>
      <c r="E148" s="39"/>
      <c r="F148" s="39"/>
      <c r="G148" s="37"/>
      <c r="H148" s="37"/>
      <c r="I148" s="37"/>
      <c r="J148" s="3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"/>
    </row>
    <row r="149" spans="1:28" ht="15.75" customHeight="1">
      <c r="A149" s="1"/>
      <c r="B149" s="1"/>
      <c r="C149" s="39"/>
      <c r="D149" s="39"/>
      <c r="E149" s="39"/>
      <c r="F149" s="39"/>
      <c r="G149" s="37"/>
      <c r="H149" s="37"/>
      <c r="I149" s="37"/>
      <c r="J149" s="3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"/>
    </row>
    <row r="150" spans="1:28" ht="15.75" customHeight="1">
      <c r="A150" s="1"/>
      <c r="B150" s="1"/>
      <c r="C150" s="39"/>
      <c r="D150" s="39"/>
      <c r="E150" s="39"/>
      <c r="F150" s="39"/>
      <c r="G150" s="37"/>
      <c r="H150" s="37"/>
      <c r="I150" s="37"/>
      <c r="J150" s="3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"/>
    </row>
    <row r="151" spans="1:28" ht="15.75" customHeight="1">
      <c r="A151" s="1"/>
      <c r="B151" s="1"/>
      <c r="C151" s="39"/>
      <c r="D151" s="39"/>
      <c r="E151" s="39"/>
      <c r="F151" s="39"/>
      <c r="G151" s="37"/>
      <c r="H151" s="37"/>
      <c r="I151" s="37"/>
      <c r="J151" s="3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"/>
    </row>
    <row r="152" spans="1:28" ht="15.75" customHeight="1">
      <c r="A152" s="1"/>
      <c r="B152" s="1"/>
      <c r="C152" s="39"/>
      <c r="D152" s="39"/>
      <c r="E152" s="39"/>
      <c r="F152" s="39"/>
      <c r="G152" s="37"/>
      <c r="H152" s="37"/>
      <c r="I152" s="37"/>
      <c r="J152" s="3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"/>
    </row>
    <row r="153" spans="1:28" ht="15.75" customHeight="1">
      <c r="A153" s="1"/>
      <c r="B153" s="1"/>
      <c r="C153" s="39"/>
      <c r="D153" s="39"/>
      <c r="E153" s="39"/>
      <c r="F153" s="39"/>
      <c r="G153" s="37"/>
      <c r="H153" s="37"/>
      <c r="I153" s="37"/>
      <c r="J153" s="3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"/>
    </row>
    <row r="154" spans="1:28" ht="15.75" customHeight="1">
      <c r="A154" s="1"/>
      <c r="B154" s="1"/>
      <c r="C154" s="39"/>
      <c r="D154" s="39"/>
      <c r="E154" s="39"/>
      <c r="F154" s="39"/>
      <c r="G154" s="37"/>
      <c r="H154" s="37"/>
      <c r="I154" s="37"/>
      <c r="J154" s="3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"/>
    </row>
    <row r="155" spans="1:28" ht="15.75" customHeight="1">
      <c r="A155" s="1"/>
      <c r="B155" s="1"/>
      <c r="C155" s="39"/>
      <c r="D155" s="39"/>
      <c r="E155" s="39"/>
      <c r="F155" s="39"/>
      <c r="G155" s="37"/>
      <c r="H155" s="37"/>
      <c r="I155" s="37"/>
      <c r="J155" s="3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/>
    </row>
    <row r="156" spans="1:28" ht="15.75" customHeight="1">
      <c r="A156" s="1"/>
      <c r="B156" s="1"/>
      <c r="C156" s="39"/>
      <c r="D156" s="39"/>
      <c r="E156" s="39"/>
      <c r="F156" s="39"/>
      <c r="G156" s="37"/>
      <c r="H156" s="37"/>
      <c r="I156" s="37"/>
      <c r="J156" s="3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"/>
    </row>
    <row r="157" spans="1:28" ht="15.75" customHeight="1">
      <c r="A157" s="1"/>
      <c r="B157" s="1"/>
      <c r="C157" s="39"/>
      <c r="D157" s="39"/>
      <c r="E157" s="39"/>
      <c r="F157" s="39"/>
      <c r="G157" s="37"/>
      <c r="H157" s="37"/>
      <c r="I157" s="37"/>
      <c r="J157" s="3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/>
    </row>
    <row r="158" spans="1:28" ht="15.75" customHeight="1">
      <c r="A158" s="1"/>
      <c r="B158" s="1"/>
      <c r="C158" s="39"/>
      <c r="D158" s="39"/>
      <c r="E158" s="39"/>
      <c r="F158" s="39"/>
      <c r="G158" s="37"/>
      <c r="H158" s="37"/>
      <c r="I158" s="37"/>
      <c r="J158" s="3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"/>
    </row>
    <row r="159" spans="1:28" ht="15.75" customHeight="1">
      <c r="A159" s="1"/>
      <c r="B159" s="1"/>
      <c r="C159" s="39"/>
      <c r="D159" s="39"/>
      <c r="E159" s="39"/>
      <c r="F159" s="39"/>
      <c r="G159" s="37"/>
      <c r="H159" s="37"/>
      <c r="I159" s="37"/>
      <c r="J159" s="3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/>
    </row>
    <row r="160" spans="1:28" ht="15.75" customHeight="1">
      <c r="A160" s="1"/>
      <c r="B160" s="1"/>
      <c r="C160" s="39"/>
      <c r="D160" s="39"/>
      <c r="E160" s="39"/>
      <c r="F160" s="39"/>
      <c r="G160" s="37"/>
      <c r="H160" s="37"/>
      <c r="I160" s="37"/>
      <c r="J160" s="3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"/>
    </row>
    <row r="161" spans="1:28" ht="15.75" customHeight="1">
      <c r="A161" s="1"/>
      <c r="B161" s="1"/>
      <c r="C161" s="39"/>
      <c r="D161" s="39"/>
      <c r="E161" s="39"/>
      <c r="F161" s="39"/>
      <c r="G161" s="37"/>
      <c r="H161" s="37"/>
      <c r="I161" s="37"/>
      <c r="J161" s="3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"/>
    </row>
    <row r="162" spans="1:28" ht="15.75" customHeight="1">
      <c r="A162" s="1"/>
      <c r="B162" s="1"/>
      <c r="C162" s="39"/>
      <c r="D162" s="39"/>
      <c r="E162" s="39"/>
      <c r="F162" s="39"/>
      <c r="G162" s="37"/>
      <c r="H162" s="37"/>
      <c r="I162" s="37"/>
      <c r="J162" s="3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"/>
    </row>
    <row r="163" spans="1:28" ht="15.75" customHeight="1">
      <c r="A163" s="1"/>
      <c r="B163" s="1"/>
      <c r="C163" s="39"/>
      <c r="D163" s="39"/>
      <c r="E163" s="39"/>
      <c r="F163" s="39"/>
      <c r="G163" s="37"/>
      <c r="H163" s="37"/>
      <c r="I163" s="37"/>
      <c r="J163" s="3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2"/>
    </row>
    <row r="164" spans="1:28" ht="15.75" customHeight="1">
      <c r="A164" s="1"/>
      <c r="B164" s="1"/>
      <c r="C164" s="39"/>
      <c r="D164" s="39"/>
      <c r="E164" s="39"/>
      <c r="F164" s="39"/>
      <c r="G164" s="37"/>
      <c r="H164" s="37"/>
      <c r="I164" s="37"/>
      <c r="J164" s="3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2"/>
    </row>
    <row r="165" spans="1:28" ht="15.75" customHeight="1">
      <c r="A165" s="1"/>
      <c r="B165" s="1"/>
      <c r="C165" s="39"/>
      <c r="D165" s="39"/>
      <c r="E165" s="39"/>
      <c r="F165" s="39"/>
      <c r="G165" s="37"/>
      <c r="H165" s="37"/>
      <c r="I165" s="37"/>
      <c r="J165" s="3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2"/>
    </row>
    <row r="166" spans="1:28" ht="15.75" customHeight="1">
      <c r="A166" s="1"/>
      <c r="B166" s="1"/>
      <c r="C166" s="39"/>
      <c r="D166" s="39"/>
      <c r="E166" s="39"/>
      <c r="F166" s="39"/>
      <c r="G166" s="37"/>
      <c r="H166" s="37"/>
      <c r="I166" s="37"/>
      <c r="J166" s="3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2"/>
    </row>
    <row r="167" spans="1:28" ht="15.75" customHeight="1">
      <c r="A167" s="1"/>
      <c r="B167" s="1"/>
      <c r="C167" s="39"/>
      <c r="D167" s="39"/>
      <c r="E167" s="39"/>
      <c r="F167" s="39"/>
      <c r="G167" s="37"/>
      <c r="H167" s="37"/>
      <c r="I167" s="37"/>
      <c r="J167" s="3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2"/>
    </row>
    <row r="168" spans="1:28" ht="15.75" customHeight="1">
      <c r="A168" s="1"/>
      <c r="B168" s="1"/>
      <c r="C168" s="39"/>
      <c r="D168" s="39"/>
      <c r="E168" s="39"/>
      <c r="F168" s="39"/>
      <c r="G168" s="37"/>
      <c r="H168" s="37"/>
      <c r="I168" s="37"/>
      <c r="J168" s="3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2"/>
    </row>
    <row r="169" spans="1:28" ht="15.75" customHeight="1">
      <c r="A169" s="1"/>
      <c r="B169" s="1"/>
      <c r="C169" s="39"/>
      <c r="D169" s="39"/>
      <c r="E169" s="39"/>
      <c r="F169" s="39"/>
      <c r="G169" s="37"/>
      <c r="H169" s="37"/>
      <c r="I169" s="37"/>
      <c r="J169" s="3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2"/>
    </row>
    <row r="170" spans="1:28" ht="15.75" customHeight="1">
      <c r="A170" s="1"/>
      <c r="B170" s="1"/>
      <c r="C170" s="39"/>
      <c r="D170" s="39"/>
      <c r="E170" s="39"/>
      <c r="F170" s="39"/>
      <c r="G170" s="37"/>
      <c r="H170" s="37"/>
      <c r="I170" s="37"/>
      <c r="J170" s="3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2"/>
    </row>
    <row r="171" spans="1:28" ht="15.75" customHeight="1">
      <c r="A171" s="1"/>
      <c r="B171" s="1"/>
      <c r="C171" s="39"/>
      <c r="D171" s="39"/>
      <c r="E171" s="39"/>
      <c r="F171" s="39"/>
      <c r="G171" s="37"/>
      <c r="H171" s="37"/>
      <c r="I171" s="37"/>
      <c r="J171" s="3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2"/>
    </row>
    <row r="172" spans="1:28" ht="15.75" customHeight="1">
      <c r="A172" s="1"/>
      <c r="B172" s="1"/>
      <c r="C172" s="39"/>
      <c r="D172" s="39"/>
      <c r="E172" s="39"/>
      <c r="F172" s="39"/>
      <c r="G172" s="37"/>
      <c r="H172" s="37"/>
      <c r="I172" s="37"/>
      <c r="J172" s="3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"/>
    </row>
    <row r="173" spans="1:28" ht="15.75" customHeight="1">
      <c r="A173" s="1"/>
      <c r="B173" s="1"/>
      <c r="C173" s="39"/>
      <c r="D173" s="39"/>
      <c r="E173" s="39"/>
      <c r="F173" s="39"/>
      <c r="G173" s="37"/>
      <c r="H173" s="37"/>
      <c r="I173" s="37"/>
      <c r="J173" s="3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"/>
    </row>
    <row r="174" spans="1:28" ht="15.75" customHeight="1">
      <c r="A174" s="1"/>
      <c r="B174" s="1"/>
      <c r="C174" s="39"/>
      <c r="D174" s="39"/>
      <c r="E174" s="39"/>
      <c r="F174" s="39"/>
      <c r="G174" s="37"/>
      <c r="H174" s="37"/>
      <c r="I174" s="37"/>
      <c r="J174" s="3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2"/>
    </row>
    <row r="175" spans="1:28" ht="15.75" customHeight="1">
      <c r="A175" s="1"/>
      <c r="B175" s="1"/>
      <c r="C175" s="39"/>
      <c r="D175" s="39"/>
      <c r="E175" s="39"/>
      <c r="F175" s="39"/>
      <c r="G175" s="37"/>
      <c r="H175" s="37"/>
      <c r="I175" s="37"/>
      <c r="J175" s="3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2"/>
    </row>
    <row r="176" spans="1:28" ht="15.75" customHeight="1">
      <c r="A176" s="1"/>
      <c r="B176" s="1"/>
      <c r="C176" s="39"/>
      <c r="D176" s="39"/>
      <c r="E176" s="39"/>
      <c r="F176" s="39"/>
      <c r="G176" s="37"/>
      <c r="H176" s="37"/>
      <c r="I176" s="37"/>
      <c r="J176" s="3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2"/>
    </row>
    <row r="177" spans="1:28" ht="15.75" customHeight="1">
      <c r="A177" s="1"/>
      <c r="B177" s="1"/>
      <c r="C177" s="39"/>
      <c r="D177" s="39"/>
      <c r="E177" s="39"/>
      <c r="F177" s="39"/>
      <c r="G177" s="37"/>
      <c r="H177" s="37"/>
      <c r="I177" s="37"/>
      <c r="J177" s="3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"/>
    </row>
    <row r="178" spans="1:28" ht="15.75" customHeight="1">
      <c r="A178" s="1"/>
      <c r="B178" s="1"/>
      <c r="C178" s="39"/>
      <c r="D178" s="39"/>
      <c r="E178" s="39"/>
      <c r="F178" s="39"/>
      <c r="G178" s="37"/>
      <c r="H178" s="37"/>
      <c r="I178" s="37"/>
      <c r="J178" s="3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2"/>
    </row>
    <row r="179" spans="1:28" ht="15.75" customHeight="1">
      <c r="A179" s="1"/>
      <c r="B179" s="1"/>
      <c r="C179" s="39"/>
      <c r="D179" s="39"/>
      <c r="E179" s="39"/>
      <c r="F179" s="39"/>
      <c r="G179" s="37"/>
      <c r="H179" s="37"/>
      <c r="I179" s="37"/>
      <c r="J179" s="3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"/>
    </row>
    <row r="180" spans="1:28" ht="15.75" customHeight="1">
      <c r="A180" s="1"/>
      <c r="B180" s="1"/>
      <c r="C180" s="39"/>
      <c r="D180" s="39"/>
      <c r="E180" s="39"/>
      <c r="F180" s="39"/>
      <c r="G180" s="37"/>
      <c r="H180" s="37"/>
      <c r="I180" s="37"/>
      <c r="J180" s="3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2"/>
    </row>
    <row r="181" spans="1:28" ht="15.75" customHeight="1">
      <c r="A181" s="1"/>
      <c r="B181" s="1"/>
      <c r="C181" s="39"/>
      <c r="D181" s="39"/>
      <c r="E181" s="39"/>
      <c r="F181" s="39"/>
      <c r="G181" s="37"/>
      <c r="H181" s="37"/>
      <c r="I181" s="37"/>
      <c r="J181" s="3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"/>
    </row>
    <row r="182" spans="1:28" ht="15.75" customHeight="1">
      <c r="A182" s="1"/>
      <c r="B182" s="1"/>
      <c r="C182" s="39"/>
      <c r="D182" s="39"/>
      <c r="E182" s="39"/>
      <c r="F182" s="39"/>
      <c r="G182" s="37"/>
      <c r="H182" s="37"/>
      <c r="I182" s="37"/>
      <c r="J182" s="3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"/>
    </row>
    <row r="183" spans="1:28" ht="15.75" customHeight="1">
      <c r="A183" s="1"/>
      <c r="B183" s="1"/>
      <c r="C183" s="39"/>
      <c r="D183" s="39"/>
      <c r="E183" s="39"/>
      <c r="F183" s="39"/>
      <c r="G183" s="37"/>
      <c r="H183" s="37"/>
      <c r="I183" s="37"/>
      <c r="J183" s="3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"/>
    </row>
    <row r="184" spans="1:28" ht="15.75" customHeight="1">
      <c r="A184" s="1"/>
      <c r="B184" s="1"/>
      <c r="C184" s="39"/>
      <c r="D184" s="39"/>
      <c r="E184" s="39"/>
      <c r="F184" s="39"/>
      <c r="G184" s="37"/>
      <c r="H184" s="37"/>
      <c r="I184" s="37"/>
      <c r="J184" s="3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"/>
    </row>
    <row r="185" spans="1:28" ht="15.75" customHeight="1">
      <c r="A185" s="1"/>
      <c r="B185" s="1"/>
      <c r="C185" s="39"/>
      <c r="D185" s="39"/>
      <c r="E185" s="39"/>
      <c r="F185" s="39"/>
      <c r="G185" s="37"/>
      <c r="H185" s="37"/>
      <c r="I185" s="37"/>
      <c r="J185" s="3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"/>
    </row>
    <row r="186" spans="1:28" ht="15.75" customHeight="1">
      <c r="A186" s="1"/>
      <c r="B186" s="1"/>
      <c r="C186" s="39"/>
      <c r="D186" s="39"/>
      <c r="E186" s="39"/>
      <c r="F186" s="39"/>
      <c r="G186" s="37"/>
      <c r="H186" s="37"/>
      <c r="I186" s="37"/>
      <c r="J186" s="3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2"/>
    </row>
    <row r="187" spans="1:28" ht="15.75" customHeight="1">
      <c r="A187" s="1"/>
      <c r="B187" s="1"/>
      <c r="C187" s="39"/>
      <c r="D187" s="39"/>
      <c r="E187" s="39"/>
      <c r="F187" s="39"/>
      <c r="G187" s="37"/>
      <c r="H187" s="37"/>
      <c r="I187" s="37"/>
      <c r="J187" s="3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2"/>
    </row>
    <row r="188" spans="1:28" ht="15.75" customHeight="1">
      <c r="A188" s="1"/>
      <c r="B188" s="1"/>
      <c r="C188" s="39"/>
      <c r="D188" s="39"/>
      <c r="E188" s="39"/>
      <c r="F188" s="39"/>
      <c r="G188" s="37"/>
      <c r="H188" s="37"/>
      <c r="I188" s="37"/>
      <c r="J188" s="3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2"/>
    </row>
    <row r="189" spans="1:28" ht="15.75" customHeight="1">
      <c r="A189" s="1"/>
      <c r="B189" s="1"/>
      <c r="C189" s="39"/>
      <c r="D189" s="39"/>
      <c r="E189" s="39"/>
      <c r="F189" s="39"/>
      <c r="G189" s="37"/>
      <c r="H189" s="37"/>
      <c r="I189" s="37"/>
      <c r="J189" s="3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2"/>
    </row>
    <row r="190" spans="1:28" ht="15.75" customHeight="1">
      <c r="A190" s="1"/>
      <c r="B190" s="1"/>
      <c r="C190" s="39"/>
      <c r="D190" s="39"/>
      <c r="E190" s="39"/>
      <c r="F190" s="39"/>
      <c r="G190" s="37"/>
      <c r="H190" s="37"/>
      <c r="I190" s="37"/>
      <c r="J190" s="3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2"/>
    </row>
    <row r="191" spans="1:28" ht="15.75" customHeight="1">
      <c r="A191" s="1"/>
      <c r="B191" s="1"/>
      <c r="C191" s="39"/>
      <c r="D191" s="39"/>
      <c r="E191" s="39"/>
      <c r="F191" s="39"/>
      <c r="G191" s="37"/>
      <c r="H191" s="37"/>
      <c r="I191" s="37"/>
      <c r="J191" s="3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2"/>
    </row>
    <row r="192" spans="1:28" ht="15.75" customHeight="1">
      <c r="A192" s="1"/>
      <c r="B192" s="1"/>
      <c r="C192" s="39"/>
      <c r="D192" s="39"/>
      <c r="E192" s="39"/>
      <c r="F192" s="39"/>
      <c r="G192" s="37"/>
      <c r="H192" s="37"/>
      <c r="I192" s="37"/>
      <c r="J192" s="3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2"/>
    </row>
    <row r="193" spans="1:28" ht="15.75" customHeight="1">
      <c r="A193" s="1"/>
      <c r="B193" s="1"/>
      <c r="C193" s="39"/>
      <c r="D193" s="39"/>
      <c r="E193" s="39"/>
      <c r="F193" s="39"/>
      <c r="G193" s="37"/>
      <c r="H193" s="37"/>
      <c r="I193" s="37"/>
      <c r="J193" s="3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2"/>
    </row>
    <row r="194" spans="1:28" ht="15.75" customHeight="1">
      <c r="A194" s="1"/>
      <c r="B194" s="1"/>
      <c r="C194" s="40"/>
      <c r="D194" s="40"/>
      <c r="E194" s="40"/>
      <c r="F194" s="4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2"/>
    </row>
    <row r="195" spans="1:28" ht="15.75" customHeight="1">
      <c r="A195" s="1"/>
      <c r="B195" s="1"/>
      <c r="C195" s="40"/>
      <c r="D195" s="40"/>
      <c r="E195" s="40"/>
      <c r="F195" s="4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2"/>
    </row>
    <row r="196" spans="1:28" ht="15.75" customHeight="1">
      <c r="A196" s="1"/>
      <c r="B196" s="1"/>
      <c r="C196" s="40"/>
      <c r="D196" s="40"/>
      <c r="E196" s="40"/>
      <c r="F196" s="4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2"/>
    </row>
    <row r="197" spans="1:28" ht="15.75" customHeight="1">
      <c r="A197" s="1"/>
      <c r="B197" s="1"/>
      <c r="C197" s="40"/>
      <c r="D197" s="40"/>
      <c r="E197" s="40"/>
      <c r="F197" s="4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"/>
    </row>
    <row r="198" spans="1:28" ht="15.75" customHeight="1">
      <c r="A198" s="1"/>
      <c r="B198" s="1"/>
      <c r="C198" s="40"/>
      <c r="D198" s="40"/>
      <c r="E198" s="40"/>
      <c r="F198" s="4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2"/>
    </row>
    <row r="199" spans="1:28" ht="15.75" customHeight="1">
      <c r="A199" s="1"/>
      <c r="B199" s="1"/>
      <c r="C199" s="40"/>
      <c r="D199" s="40"/>
      <c r="E199" s="40"/>
      <c r="F199" s="4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2"/>
    </row>
    <row r="200" spans="1:28" ht="15.75" customHeight="1">
      <c r="A200" s="1"/>
      <c r="B200" s="1"/>
      <c r="C200" s="40"/>
      <c r="D200" s="40"/>
      <c r="E200" s="40"/>
      <c r="F200" s="4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2"/>
    </row>
    <row r="201" spans="1:28" ht="15.75" customHeight="1">
      <c r="A201" s="1"/>
      <c r="B201" s="1"/>
      <c r="C201" s="40"/>
      <c r="D201" s="40"/>
      <c r="E201" s="40"/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2"/>
    </row>
    <row r="202" spans="1:28" ht="15.75" customHeight="1">
      <c r="A202" s="1"/>
      <c r="B202" s="1"/>
      <c r="C202" s="40"/>
      <c r="D202" s="40"/>
      <c r="E202" s="40"/>
      <c r="F202" s="4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2"/>
    </row>
    <row r="203" spans="1:28" ht="15.75" customHeight="1">
      <c r="A203" s="1"/>
      <c r="B203" s="1"/>
      <c r="C203" s="40"/>
      <c r="D203" s="40"/>
      <c r="E203" s="40"/>
      <c r="F203" s="4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"/>
    </row>
    <row r="204" spans="1:28" ht="15.75" customHeight="1">
      <c r="A204" s="1"/>
      <c r="B204" s="1"/>
      <c r="C204" s="40"/>
      <c r="D204" s="40"/>
      <c r="E204" s="40"/>
      <c r="F204" s="4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2"/>
    </row>
    <row r="205" spans="1:28" ht="15.75" customHeight="1">
      <c r="A205" s="1"/>
      <c r="B205" s="1"/>
      <c r="C205" s="40"/>
      <c r="D205" s="40"/>
      <c r="E205" s="40"/>
      <c r="F205" s="4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"/>
    </row>
    <row r="206" spans="1:28" ht="15.75" customHeight="1">
      <c r="A206" s="1"/>
      <c r="B206" s="1"/>
      <c r="C206" s="40"/>
      <c r="D206" s="40"/>
      <c r="E206" s="40"/>
      <c r="F206" s="4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2"/>
    </row>
    <row r="207" spans="1:28" ht="15.75" customHeight="1">
      <c r="A207" s="1"/>
      <c r="B207" s="1"/>
      <c r="C207" s="40"/>
      <c r="D207" s="40"/>
      <c r="E207" s="40"/>
      <c r="F207" s="4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"/>
    </row>
    <row r="208" spans="1:28" ht="15.75" customHeight="1">
      <c r="A208" s="1"/>
      <c r="B208" s="1"/>
      <c r="C208" s="40"/>
      <c r="D208" s="40"/>
      <c r="E208" s="40"/>
      <c r="F208" s="4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2"/>
    </row>
    <row r="209" spans="1:28" ht="15.75" customHeight="1">
      <c r="A209" s="1"/>
      <c r="B209" s="1"/>
      <c r="C209" s="40"/>
      <c r="D209" s="40"/>
      <c r="E209" s="40"/>
      <c r="F209" s="4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2"/>
    </row>
    <row r="210" spans="1:28" ht="15.75" customHeight="1">
      <c r="A210" s="1"/>
      <c r="B210" s="1"/>
      <c r="C210" s="40"/>
      <c r="D210" s="40"/>
      <c r="E210" s="40"/>
      <c r="F210" s="4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2"/>
    </row>
    <row r="211" spans="1:28" ht="15.75" customHeight="1">
      <c r="A211" s="1"/>
      <c r="B211" s="1"/>
      <c r="C211" s="40"/>
      <c r="D211" s="40"/>
      <c r="E211" s="40"/>
      <c r="F211" s="4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"/>
    </row>
    <row r="212" spans="1:28" ht="15.75" customHeight="1">
      <c r="A212" s="1"/>
      <c r="B212" s="1"/>
      <c r="C212" s="40"/>
      <c r="D212" s="40"/>
      <c r="E212" s="40"/>
      <c r="F212" s="4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2"/>
    </row>
    <row r="213" spans="1:28" ht="15.75" customHeight="1">
      <c r="A213" s="1"/>
      <c r="B213" s="1"/>
      <c r="C213" s="40"/>
      <c r="D213" s="40"/>
      <c r="E213" s="40"/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"/>
    </row>
    <row r="214" spans="1:28" ht="15.75" customHeight="1">
      <c r="A214" s="1"/>
      <c r="B214" s="1"/>
      <c r="C214" s="40"/>
      <c r="D214" s="40"/>
      <c r="E214" s="40"/>
      <c r="F214" s="4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2"/>
    </row>
    <row r="215" spans="1:28" ht="15.75" customHeight="1">
      <c r="A215" s="1"/>
      <c r="B215" s="1"/>
      <c r="C215" s="40"/>
      <c r="D215" s="40"/>
      <c r="E215" s="40"/>
      <c r="F215" s="4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"/>
    </row>
    <row r="216" spans="1:28" ht="15.75" customHeight="1">
      <c r="A216" s="1"/>
      <c r="B216" s="1"/>
      <c r="C216" s="40"/>
      <c r="D216" s="40"/>
      <c r="E216" s="40"/>
      <c r="F216" s="4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2"/>
    </row>
    <row r="217" spans="1:28" ht="15.75" customHeight="1">
      <c r="A217" s="1"/>
      <c r="B217" s="1"/>
      <c r="C217" s="40"/>
      <c r="D217" s="40"/>
      <c r="E217" s="40"/>
      <c r="F217" s="4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"/>
    </row>
    <row r="218" spans="1:28" ht="15.75" customHeight="1">
      <c r="A218" s="1"/>
      <c r="B218" s="1"/>
      <c r="C218" s="40"/>
      <c r="D218" s="40"/>
      <c r="E218" s="40"/>
      <c r="F218" s="4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2"/>
    </row>
    <row r="219" spans="1:28" ht="15.75" customHeight="1">
      <c r="A219" s="1"/>
      <c r="B219" s="1"/>
      <c r="C219" s="40"/>
      <c r="D219" s="40"/>
      <c r="E219" s="40"/>
      <c r="F219" s="4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"/>
    </row>
    <row r="220" spans="1:28" ht="15.75" customHeight="1">
      <c r="A220" s="1"/>
      <c r="B220" s="1"/>
      <c r="C220" s="40"/>
      <c r="D220" s="40"/>
      <c r="E220" s="40"/>
      <c r="F220" s="4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"/>
    </row>
    <row r="221" spans="1:28" ht="15.75" customHeight="1">
      <c r="A221" s="1"/>
      <c r="B221" s="1"/>
      <c r="C221" s="40"/>
      <c r="D221" s="40"/>
      <c r="E221" s="40"/>
      <c r="F221" s="4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"/>
    </row>
    <row r="222" spans="1:28" ht="15.75" customHeight="1">
      <c r="A222" s="1"/>
      <c r="B222" s="1"/>
      <c r="C222" s="40"/>
      <c r="D222" s="40"/>
      <c r="E222" s="40"/>
      <c r="F222" s="4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2"/>
    </row>
    <row r="223" spans="1:28" ht="15.75" customHeight="1">
      <c r="A223" s="1"/>
      <c r="B223" s="1"/>
      <c r="C223" s="40"/>
      <c r="D223" s="40"/>
      <c r="E223" s="40"/>
      <c r="F223" s="4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"/>
    </row>
    <row r="224" spans="1:28" ht="15.75" customHeight="1">
      <c r="A224" s="1"/>
      <c r="B224" s="1"/>
      <c r="C224" s="40"/>
      <c r="D224" s="40"/>
      <c r="E224" s="40"/>
      <c r="F224" s="4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2"/>
    </row>
    <row r="225" spans="1:28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/>
    <row r="238" spans="1:28" ht="15.75" customHeight="1"/>
    <row r="239" spans="1:28" ht="15.75" customHeight="1"/>
    <row r="240" spans="1:2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B2"/>
    <mergeCell ref="C1:C2"/>
    <mergeCell ref="D1:D2"/>
    <mergeCell ref="E1:E2"/>
    <mergeCell ref="G1:J2"/>
    <mergeCell ref="F1:F2"/>
    <mergeCell ref="A17:A21"/>
    <mergeCell ref="A22:A24"/>
    <mergeCell ref="A25:J29"/>
    <mergeCell ref="I3:I4"/>
    <mergeCell ref="J3:J4"/>
    <mergeCell ref="I5:I8"/>
    <mergeCell ref="I9:I13"/>
    <mergeCell ref="I14:I16"/>
    <mergeCell ref="I17:I21"/>
    <mergeCell ref="I22:I24"/>
    <mergeCell ref="J22:J24"/>
    <mergeCell ref="A3:B3"/>
    <mergeCell ref="C3:C4"/>
    <mergeCell ref="F3:F4"/>
    <mergeCell ref="D3:D4"/>
    <mergeCell ref="E3:E4"/>
    <mergeCell ref="A5:A9"/>
    <mergeCell ref="A10:A13"/>
    <mergeCell ref="A14:A16"/>
  </mergeCells>
  <phoneticPr fontId="30" type="noConversion"/>
  <pageMargins left="0.25" right="0.25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1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98.42578125" customWidth="1"/>
    <col min="3" max="3" width="21.7109375" customWidth="1"/>
    <col min="4" max="5" width="19.28515625" customWidth="1"/>
    <col min="6" max="6" width="21.140625" customWidth="1"/>
    <col min="7" max="7" width="21.5703125" customWidth="1"/>
    <col min="9" max="9" width="49.7109375" customWidth="1"/>
  </cols>
  <sheetData>
    <row r="1" spans="1:27" ht="16.5" customHeight="1">
      <c r="A1" s="625" t="s">
        <v>39</v>
      </c>
      <c r="B1" s="611"/>
      <c r="C1" s="644" t="s">
        <v>40</v>
      </c>
      <c r="D1" s="645" t="s">
        <v>41</v>
      </c>
      <c r="E1" s="627" t="s">
        <v>42</v>
      </c>
      <c r="F1" s="629"/>
      <c r="G1" s="611"/>
      <c r="H1" s="611"/>
      <c r="I1" s="6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 spans="1:27" ht="16.5" customHeight="1">
      <c r="A2" s="608"/>
      <c r="B2" s="613"/>
      <c r="C2" s="606"/>
      <c r="D2" s="621"/>
      <c r="E2" s="621"/>
      <c r="F2" s="630"/>
      <c r="G2" s="631"/>
      <c r="H2" s="631"/>
      <c r="I2" s="6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</row>
    <row r="3" spans="1:27" ht="16.5" customHeight="1">
      <c r="A3" s="633"/>
      <c r="B3" s="634"/>
      <c r="C3" s="635"/>
      <c r="D3" s="600"/>
      <c r="E3" s="600"/>
      <c r="F3" s="3" t="s">
        <v>4</v>
      </c>
      <c r="G3" s="4" t="s">
        <v>5</v>
      </c>
      <c r="H3" s="617" t="s">
        <v>6</v>
      </c>
      <c r="I3" s="619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</row>
    <row r="4" spans="1:27" ht="16.5" customHeight="1">
      <c r="A4" s="5" t="s">
        <v>8</v>
      </c>
      <c r="B4" s="41" t="s">
        <v>9</v>
      </c>
      <c r="C4" s="636"/>
      <c r="D4" s="601"/>
      <c r="E4" s="601"/>
      <c r="F4" s="7" t="s">
        <v>10</v>
      </c>
      <c r="G4" s="7" t="s">
        <v>11</v>
      </c>
      <c r="H4" s="618"/>
      <c r="I4" s="60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</row>
    <row r="5" spans="1:27" ht="16.5" customHeight="1">
      <c r="A5" s="637" t="s">
        <v>43</v>
      </c>
      <c r="B5" s="42" t="s">
        <v>44</v>
      </c>
      <c r="C5" s="43">
        <v>60000</v>
      </c>
      <c r="D5" s="44">
        <v>40000</v>
      </c>
      <c r="E5" s="43">
        <v>44000</v>
      </c>
      <c r="F5" s="10"/>
      <c r="G5" s="10"/>
      <c r="H5" s="640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</row>
    <row r="6" spans="1:27" ht="16.5" customHeight="1">
      <c r="A6" s="638"/>
      <c r="B6" s="45" t="s">
        <v>45</v>
      </c>
      <c r="C6" s="46">
        <v>205000</v>
      </c>
      <c r="D6" s="47">
        <v>160000</v>
      </c>
      <c r="E6" s="46">
        <v>176000</v>
      </c>
      <c r="F6" s="10"/>
      <c r="G6" s="48"/>
      <c r="H6" s="603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</row>
    <row r="7" spans="1:27" ht="16.5" customHeight="1">
      <c r="A7" s="638"/>
      <c r="B7" s="45" t="s">
        <v>46</v>
      </c>
      <c r="C7" s="46">
        <v>260000</v>
      </c>
      <c r="D7" s="47">
        <v>200000</v>
      </c>
      <c r="E7" s="46">
        <v>220000</v>
      </c>
      <c r="F7" s="15"/>
      <c r="G7" s="15"/>
      <c r="H7" s="603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</row>
    <row r="8" spans="1:27" ht="16.5" customHeight="1">
      <c r="A8" s="638"/>
      <c r="B8" s="45" t="s">
        <v>47</v>
      </c>
      <c r="C8" s="46">
        <v>270000</v>
      </c>
      <c r="D8" s="47">
        <v>220000</v>
      </c>
      <c r="E8" s="46">
        <v>242000</v>
      </c>
      <c r="F8" s="15"/>
      <c r="G8" s="15"/>
      <c r="H8" s="621"/>
      <c r="I8" s="1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</row>
    <row r="9" spans="1:27" ht="16.5" customHeight="1">
      <c r="A9" s="638"/>
      <c r="B9" s="49" t="s">
        <v>48</v>
      </c>
      <c r="C9" s="46">
        <v>475000</v>
      </c>
      <c r="D9" s="47">
        <v>400000</v>
      </c>
      <c r="E9" s="46">
        <v>440000</v>
      </c>
      <c r="F9" s="50"/>
      <c r="G9" s="15"/>
      <c r="H9" s="641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</row>
    <row r="10" spans="1:27" ht="16.5" customHeight="1">
      <c r="A10" s="639"/>
      <c r="B10" s="51" t="s">
        <v>49</v>
      </c>
      <c r="C10" s="52">
        <v>660000</v>
      </c>
      <c r="D10" s="53">
        <v>600000</v>
      </c>
      <c r="E10" s="52">
        <v>660000</v>
      </c>
      <c r="F10" s="15"/>
      <c r="G10" s="50"/>
      <c r="H10" s="603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</row>
    <row r="11" spans="1:27" ht="16.5" customHeight="1">
      <c r="A11" s="609" t="s">
        <v>50</v>
      </c>
      <c r="B11" s="54" t="s">
        <v>51</v>
      </c>
      <c r="C11" s="43">
        <v>140000</v>
      </c>
      <c r="D11" s="44">
        <v>100000</v>
      </c>
      <c r="E11" s="43">
        <v>110000</v>
      </c>
      <c r="F11" s="55"/>
      <c r="G11" s="15"/>
      <c r="H11" s="603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</row>
    <row r="12" spans="1:27" ht="16.5" customHeight="1">
      <c r="A12" s="608"/>
      <c r="B12" s="45" t="s">
        <v>52</v>
      </c>
      <c r="C12" s="46">
        <v>300000</v>
      </c>
      <c r="D12" s="47">
        <v>250000</v>
      </c>
      <c r="E12" s="46">
        <v>275000</v>
      </c>
      <c r="F12" s="50"/>
      <c r="G12" s="50"/>
      <c r="H12" s="603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</row>
    <row r="13" spans="1:27" ht="16.5" customHeight="1">
      <c r="A13" s="608"/>
      <c r="B13" s="45" t="s">
        <v>53</v>
      </c>
      <c r="C13" s="46">
        <v>330000</v>
      </c>
      <c r="D13" s="47">
        <v>250000</v>
      </c>
      <c r="E13" s="46">
        <v>275000</v>
      </c>
      <c r="F13" s="23"/>
      <c r="G13" s="15"/>
      <c r="H13" s="603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</row>
    <row r="14" spans="1:27" ht="16.5" customHeight="1">
      <c r="A14" s="608"/>
      <c r="B14" s="51" t="s">
        <v>54</v>
      </c>
      <c r="C14" s="52">
        <v>800000</v>
      </c>
      <c r="D14" s="53">
        <v>700000</v>
      </c>
      <c r="E14" s="52">
        <v>770000</v>
      </c>
      <c r="F14" s="23"/>
      <c r="G14" s="50"/>
      <c r="H14" s="621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</row>
    <row r="15" spans="1:27" ht="16.5" customHeight="1">
      <c r="A15" s="609" t="s">
        <v>55</v>
      </c>
      <c r="B15" s="42" t="s">
        <v>56</v>
      </c>
      <c r="C15" s="43">
        <v>85000</v>
      </c>
      <c r="D15" s="44">
        <v>70000</v>
      </c>
      <c r="E15" s="43">
        <f t="shared" ref="E15:E17" si="0">D15*1.1</f>
        <v>77000</v>
      </c>
      <c r="F15" s="15"/>
      <c r="G15" s="15"/>
      <c r="H15" s="622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</row>
    <row r="16" spans="1:27" ht="16.5" customHeight="1">
      <c r="A16" s="608"/>
      <c r="B16" s="45" t="s">
        <v>57</v>
      </c>
      <c r="C16" s="46">
        <v>250000</v>
      </c>
      <c r="D16" s="47">
        <v>200000</v>
      </c>
      <c r="E16" s="46">
        <f t="shared" si="0"/>
        <v>220000.00000000003</v>
      </c>
      <c r="F16" s="15"/>
      <c r="G16" s="15"/>
      <c r="H16" s="603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</row>
    <row r="17" spans="1:27" ht="16.5" customHeight="1">
      <c r="A17" s="610"/>
      <c r="B17" s="56" t="s">
        <v>58</v>
      </c>
      <c r="C17" s="52">
        <v>360000</v>
      </c>
      <c r="D17" s="53">
        <v>330000</v>
      </c>
      <c r="E17" s="52">
        <f t="shared" si="0"/>
        <v>363000.00000000006</v>
      </c>
      <c r="F17" s="15"/>
      <c r="G17" s="15"/>
      <c r="H17" s="601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</row>
    <row r="18" spans="1:27" ht="16.5" customHeight="1">
      <c r="A18" s="607" t="s">
        <v>27</v>
      </c>
      <c r="B18" s="57" t="s">
        <v>59</v>
      </c>
      <c r="C18" s="58">
        <v>50000</v>
      </c>
      <c r="D18" s="59">
        <v>36000</v>
      </c>
      <c r="E18" s="43">
        <v>39600</v>
      </c>
      <c r="F18" s="60"/>
      <c r="G18" s="60"/>
      <c r="H18" s="642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</row>
    <row r="19" spans="1:27" ht="16.5" customHeight="1">
      <c r="A19" s="608"/>
      <c r="B19" s="61" t="s">
        <v>60</v>
      </c>
      <c r="C19" s="62">
        <v>125000</v>
      </c>
      <c r="D19" s="63">
        <v>90000</v>
      </c>
      <c r="E19" s="46">
        <v>99000</v>
      </c>
      <c r="F19" s="60"/>
      <c r="G19" s="60"/>
      <c r="H19" s="603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</row>
    <row r="20" spans="1:27" ht="16.5" customHeight="1">
      <c r="A20" s="608"/>
      <c r="B20" s="61" t="s">
        <v>61</v>
      </c>
      <c r="C20" s="62">
        <v>140000</v>
      </c>
      <c r="D20" s="63">
        <v>110000</v>
      </c>
      <c r="E20" s="46">
        <v>121000</v>
      </c>
      <c r="F20" s="60"/>
      <c r="G20" s="60"/>
      <c r="H20" s="603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</row>
    <row r="21" spans="1:27" ht="16.5" customHeight="1">
      <c r="A21" s="608"/>
      <c r="B21" s="61" t="s">
        <v>62</v>
      </c>
      <c r="C21" s="62">
        <v>175000</v>
      </c>
      <c r="D21" s="63">
        <v>130000</v>
      </c>
      <c r="E21" s="46">
        <v>143000</v>
      </c>
      <c r="F21" s="60"/>
      <c r="G21" s="60"/>
      <c r="H21" s="603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</row>
    <row r="22" spans="1:27" ht="16.5" customHeight="1">
      <c r="A22" s="608"/>
      <c r="B22" s="56" t="s">
        <v>63</v>
      </c>
      <c r="C22" s="64">
        <v>400000</v>
      </c>
      <c r="D22" s="65">
        <v>250000</v>
      </c>
      <c r="E22" s="52">
        <v>275000</v>
      </c>
      <c r="F22" s="27"/>
      <c r="G22" s="66"/>
      <c r="H22" s="601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</row>
    <row r="23" spans="1:27" ht="16.5" customHeight="1">
      <c r="A23" s="609" t="s">
        <v>33</v>
      </c>
      <c r="B23" s="61" t="s">
        <v>64</v>
      </c>
      <c r="C23" s="67">
        <v>110000</v>
      </c>
      <c r="D23" s="68">
        <v>90000</v>
      </c>
      <c r="E23" s="43">
        <f t="shared" ref="E23:E25" si="1">D23*1.1</f>
        <v>99000.000000000015</v>
      </c>
      <c r="F23" s="69"/>
      <c r="G23" s="69"/>
      <c r="H23" s="643"/>
      <c r="I23" s="62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</row>
    <row r="24" spans="1:27" ht="16.5" customHeight="1">
      <c r="A24" s="608"/>
      <c r="B24" s="61" t="s">
        <v>65</v>
      </c>
      <c r="C24" s="67">
        <v>165000</v>
      </c>
      <c r="D24" s="68">
        <v>120000</v>
      </c>
      <c r="E24" s="46">
        <f t="shared" si="1"/>
        <v>132000</v>
      </c>
      <c r="F24" s="69"/>
      <c r="G24" s="69"/>
      <c r="H24" s="603"/>
      <c r="I24" s="60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</row>
    <row r="25" spans="1:27" ht="16.5" customHeight="1">
      <c r="A25" s="610"/>
      <c r="B25" s="56" t="s">
        <v>66</v>
      </c>
      <c r="C25" s="70">
        <v>150000</v>
      </c>
      <c r="D25" s="71">
        <v>120000</v>
      </c>
      <c r="E25" s="52">
        <f t="shared" si="1"/>
        <v>132000</v>
      </c>
      <c r="F25" s="72"/>
      <c r="G25" s="72"/>
      <c r="H25" s="621"/>
      <c r="I25" s="60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/>
    </row>
    <row r="26" spans="1:27" ht="16.5" customHeight="1">
      <c r="A26" s="609" t="s">
        <v>67</v>
      </c>
      <c r="B26" s="611"/>
      <c r="C26" s="611"/>
      <c r="D26" s="611"/>
      <c r="E26" s="611"/>
      <c r="F26" s="611"/>
      <c r="G26" s="611"/>
      <c r="H26" s="611"/>
      <c r="I26" s="6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</row>
    <row r="27" spans="1:27" ht="16.5" customHeight="1">
      <c r="A27" s="608"/>
      <c r="B27" s="613"/>
      <c r="C27" s="613"/>
      <c r="D27" s="613"/>
      <c r="E27" s="613"/>
      <c r="F27" s="613"/>
      <c r="G27" s="613"/>
      <c r="H27" s="613"/>
      <c r="I27" s="6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</row>
    <row r="28" spans="1:27" ht="16.5" customHeight="1">
      <c r="A28" s="608"/>
      <c r="B28" s="613"/>
      <c r="C28" s="613"/>
      <c r="D28" s="613"/>
      <c r="E28" s="613"/>
      <c r="F28" s="613"/>
      <c r="G28" s="613"/>
      <c r="H28" s="613"/>
      <c r="I28" s="6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</row>
    <row r="29" spans="1:27" ht="16.5" customHeight="1">
      <c r="A29" s="608"/>
      <c r="B29" s="613"/>
      <c r="C29" s="613"/>
      <c r="D29" s="613"/>
      <c r="E29" s="613"/>
      <c r="F29" s="613"/>
      <c r="G29" s="613"/>
      <c r="H29" s="613"/>
      <c r="I29" s="61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</row>
    <row r="30" spans="1:27" ht="16.5" customHeight="1">
      <c r="A30" s="610"/>
      <c r="B30" s="615"/>
      <c r="C30" s="615"/>
      <c r="D30" s="615"/>
      <c r="E30" s="615"/>
      <c r="F30" s="615"/>
      <c r="G30" s="615"/>
      <c r="H30" s="615"/>
      <c r="I30" s="61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</row>
    <row r="31" spans="1:27" ht="16.5" customHeight="1">
      <c r="A31" s="1"/>
      <c r="B31" s="1"/>
      <c r="C31" s="35"/>
      <c r="D31" s="35"/>
      <c r="E31" s="35"/>
      <c r="F31" s="36"/>
      <c r="G31" s="37"/>
      <c r="H31" s="37"/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</row>
    <row r="32" spans="1:27" ht="16.5" customHeight="1">
      <c r="A32" s="1"/>
      <c r="B32" s="1"/>
      <c r="C32" s="38"/>
      <c r="D32" s="38"/>
      <c r="E32" s="3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/>
    </row>
    <row r="33" spans="1:27" ht="16.5" customHeight="1">
      <c r="A33" s="1"/>
      <c r="B33" s="1"/>
      <c r="C33" s="35"/>
      <c r="D33" s="35"/>
      <c r="E33" s="3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"/>
    </row>
    <row r="34" spans="1:27" ht="16.5" customHeight="1">
      <c r="A34" s="1"/>
      <c r="B34" s="1"/>
      <c r="C34" s="35"/>
      <c r="D34" s="35"/>
      <c r="E34" s="35"/>
      <c r="F34" s="36"/>
      <c r="G34" s="37"/>
      <c r="H34" s="37"/>
      <c r="I34" s="3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</row>
    <row r="35" spans="1:27" ht="16.5" customHeight="1">
      <c r="A35" s="1"/>
      <c r="B35" s="1"/>
      <c r="C35" s="35"/>
      <c r="D35" s="35"/>
      <c r="E35" s="35"/>
      <c r="F35" s="36"/>
      <c r="G35" s="37"/>
      <c r="H35" s="37"/>
      <c r="I35" s="3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/>
    </row>
    <row r="36" spans="1:27" ht="16.5" customHeight="1">
      <c r="A36" s="1"/>
      <c r="B36" s="1"/>
      <c r="C36" s="35"/>
      <c r="D36" s="35"/>
      <c r="E36" s="35"/>
      <c r="F36" s="36"/>
      <c r="G36" s="37"/>
      <c r="H36" s="37"/>
      <c r="I36" s="3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"/>
    </row>
    <row r="37" spans="1:27" ht="16.5" customHeight="1">
      <c r="A37" s="1"/>
      <c r="B37" s="1" t="s">
        <v>38</v>
      </c>
      <c r="C37" s="35"/>
      <c r="D37" s="35"/>
      <c r="E37" s="35"/>
      <c r="F37" s="36"/>
      <c r="G37" s="37"/>
      <c r="H37" s="37"/>
      <c r="I37" s="3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/>
    </row>
    <row r="38" spans="1:27" ht="16.5" customHeight="1">
      <c r="A38" s="1"/>
      <c r="B38" s="1"/>
      <c r="C38" s="35"/>
      <c r="D38" s="35"/>
      <c r="E38" s="35"/>
      <c r="F38" s="36"/>
      <c r="G38" s="37"/>
      <c r="H38" s="37"/>
      <c r="I38" s="3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/>
    </row>
    <row r="39" spans="1:27" ht="16.5" customHeight="1">
      <c r="A39" s="1"/>
      <c r="B39" s="1"/>
      <c r="C39" s="35"/>
      <c r="D39" s="35"/>
      <c r="E39" s="35"/>
      <c r="F39" s="36"/>
      <c r="G39" s="37"/>
      <c r="H39" s="37"/>
      <c r="I39" s="3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</row>
    <row r="40" spans="1:27" ht="16.5" customHeight="1">
      <c r="A40" s="1"/>
      <c r="B40" s="1"/>
      <c r="C40" s="35"/>
      <c r="D40" s="35"/>
      <c r="E40" s="35"/>
      <c r="F40" s="36"/>
      <c r="G40" s="37"/>
      <c r="H40" s="37"/>
      <c r="I40" s="3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</row>
    <row r="41" spans="1:27" ht="16.5" customHeight="1">
      <c r="A41" s="1"/>
      <c r="B41" s="1"/>
      <c r="C41" s="35"/>
      <c r="D41" s="35"/>
      <c r="E41" s="35"/>
      <c r="F41" s="36"/>
      <c r="G41" s="37"/>
      <c r="H41" s="37"/>
      <c r="I41" s="3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</row>
    <row r="42" spans="1:27" ht="16.5" customHeight="1">
      <c r="A42" s="1"/>
      <c r="B42" s="1"/>
      <c r="C42" s="35"/>
      <c r="D42" s="35"/>
      <c r="E42" s="35"/>
      <c r="F42" s="36"/>
      <c r="G42" s="37"/>
      <c r="H42" s="37"/>
      <c r="I42" s="3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</row>
    <row r="43" spans="1:27" ht="16.5" customHeight="1">
      <c r="A43" s="1"/>
      <c r="B43" s="1"/>
      <c r="C43" s="35"/>
      <c r="D43" s="35"/>
      <c r="E43" s="35"/>
      <c r="F43" s="36"/>
      <c r="G43" s="37"/>
      <c r="H43" s="37"/>
      <c r="I43" s="3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</row>
    <row r="44" spans="1:27" ht="16.5" customHeight="1">
      <c r="A44" s="1"/>
      <c r="B44" s="1"/>
      <c r="C44" s="35"/>
      <c r="D44" s="35"/>
      <c r="E44" s="35"/>
      <c r="F44" s="36"/>
      <c r="G44" s="37"/>
      <c r="H44" s="37"/>
      <c r="I44" s="3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</row>
    <row r="45" spans="1:27" ht="16.5" customHeight="1">
      <c r="A45" s="1"/>
      <c r="B45" s="1"/>
      <c r="C45" s="35"/>
      <c r="D45" s="35"/>
      <c r="E45" s="35"/>
      <c r="F45" s="36"/>
      <c r="G45" s="37"/>
      <c r="H45" s="37"/>
      <c r="I45" s="3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</row>
    <row r="46" spans="1:27" ht="16.5" customHeight="1">
      <c r="A46" s="1"/>
      <c r="B46" s="1"/>
      <c r="C46" s="35"/>
      <c r="D46" s="35"/>
      <c r="E46" s="35"/>
      <c r="F46" s="36"/>
      <c r="G46" s="37"/>
      <c r="H46" s="37"/>
      <c r="I46" s="3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</row>
    <row r="47" spans="1:27" ht="16.5" customHeight="1">
      <c r="A47" s="1"/>
      <c r="B47" s="1"/>
      <c r="C47" s="35"/>
      <c r="D47" s="35"/>
      <c r="E47" s="35"/>
      <c r="F47" s="36"/>
      <c r="G47" s="37"/>
      <c r="H47" s="37"/>
      <c r="I47" s="3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</row>
    <row r="48" spans="1:27" ht="16.5" customHeight="1">
      <c r="A48" s="1"/>
      <c r="B48" s="1"/>
      <c r="C48" s="35"/>
      <c r="D48" s="35"/>
      <c r="E48" s="35"/>
      <c r="F48" s="36"/>
      <c r="G48" s="37"/>
      <c r="H48" s="37"/>
      <c r="I48" s="3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</row>
    <row r="49" spans="1:27" ht="16.5" customHeight="1">
      <c r="A49" s="1"/>
      <c r="B49" s="1"/>
      <c r="C49" s="35"/>
      <c r="D49" s="35"/>
      <c r="E49" s="35"/>
      <c r="F49" s="36"/>
      <c r="G49" s="37"/>
      <c r="H49" s="37"/>
      <c r="I49" s="3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</row>
    <row r="50" spans="1:27" ht="16.5" customHeight="1">
      <c r="A50" s="1"/>
      <c r="B50" s="1"/>
      <c r="C50" s="35"/>
      <c r="D50" s="35"/>
      <c r="E50" s="35"/>
      <c r="F50" s="36"/>
      <c r="G50" s="37"/>
      <c r="H50" s="37"/>
      <c r="I50" s="3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</row>
    <row r="51" spans="1:27" ht="16.5" customHeight="1">
      <c r="A51" s="1"/>
      <c r="B51" s="1"/>
      <c r="C51" s="35"/>
      <c r="D51" s="35"/>
      <c r="E51" s="35"/>
      <c r="F51" s="36"/>
      <c r="G51" s="37"/>
      <c r="H51" s="37"/>
      <c r="I51" s="3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</row>
    <row r="52" spans="1:27" ht="16.5" customHeight="1">
      <c r="A52" s="1"/>
      <c r="B52" s="1"/>
      <c r="C52" s="35"/>
      <c r="D52" s="35"/>
      <c r="E52" s="35"/>
      <c r="F52" s="36"/>
      <c r="G52" s="37"/>
      <c r="H52" s="37"/>
      <c r="I52" s="3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</row>
    <row r="53" spans="1:27" ht="16.5" customHeight="1">
      <c r="A53" s="1"/>
      <c r="B53" s="1"/>
      <c r="C53" s="35"/>
      <c r="D53" s="35"/>
      <c r="E53" s="35"/>
      <c r="F53" s="36"/>
      <c r="G53" s="37"/>
      <c r="H53" s="37"/>
      <c r="I53" s="3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</row>
    <row r="54" spans="1:27" ht="16.5" customHeight="1">
      <c r="A54" s="1"/>
      <c r="B54" s="1"/>
      <c r="C54" s="35"/>
      <c r="D54" s="35"/>
      <c r="E54" s="35"/>
      <c r="F54" s="36"/>
      <c r="G54" s="37"/>
      <c r="H54" s="37"/>
      <c r="I54" s="3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</row>
    <row r="55" spans="1:27" ht="16.5" customHeight="1">
      <c r="A55" s="1"/>
      <c r="B55" s="1"/>
      <c r="C55" s="35"/>
      <c r="D55" s="35"/>
      <c r="E55" s="35"/>
      <c r="F55" s="36"/>
      <c r="G55" s="37"/>
      <c r="H55" s="37"/>
      <c r="I55" s="3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</row>
    <row r="56" spans="1:27" ht="16.5" customHeight="1">
      <c r="A56" s="1"/>
      <c r="B56" s="1"/>
      <c r="C56" s="35"/>
      <c r="D56" s="35"/>
      <c r="E56" s="35"/>
      <c r="F56" s="36"/>
      <c r="G56" s="37"/>
      <c r="H56" s="37"/>
      <c r="I56" s="3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</row>
    <row r="57" spans="1:27" ht="16.5" customHeight="1">
      <c r="A57" s="1"/>
      <c r="B57" s="1"/>
      <c r="C57" s="35"/>
      <c r="D57" s="35"/>
      <c r="E57" s="35"/>
      <c r="F57" s="36"/>
      <c r="G57" s="37"/>
      <c r="H57" s="37"/>
      <c r="I57" s="3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</row>
    <row r="58" spans="1:27" ht="16.5" customHeight="1">
      <c r="A58" s="1"/>
      <c r="B58" s="1"/>
      <c r="C58" s="35"/>
      <c r="D58" s="35"/>
      <c r="E58" s="35"/>
      <c r="F58" s="36"/>
      <c r="G58" s="37"/>
      <c r="H58" s="37"/>
      <c r="I58" s="3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</row>
    <row r="59" spans="1:27" ht="16.5" customHeight="1">
      <c r="A59" s="1"/>
      <c r="B59" s="1"/>
      <c r="C59" s="35"/>
      <c r="D59" s="35"/>
      <c r="E59" s="35"/>
      <c r="F59" s="36"/>
      <c r="G59" s="37"/>
      <c r="H59" s="37"/>
      <c r="I59" s="3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</row>
    <row r="60" spans="1:27" ht="16.5" customHeight="1">
      <c r="A60" s="1"/>
      <c r="B60" s="1"/>
      <c r="C60" s="35"/>
      <c r="D60" s="35"/>
      <c r="E60" s="35"/>
      <c r="F60" s="36"/>
      <c r="G60" s="37"/>
      <c r="H60" s="37"/>
      <c r="I60" s="3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</row>
    <row r="61" spans="1:27" ht="16.5" customHeight="1">
      <c r="A61" s="1"/>
      <c r="B61" s="1"/>
      <c r="C61" s="35"/>
      <c r="D61" s="35"/>
      <c r="E61" s="35"/>
      <c r="F61" s="36"/>
      <c r="G61" s="37"/>
      <c r="H61" s="37"/>
      <c r="I61" s="3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</row>
    <row r="62" spans="1:27" ht="16.5" customHeight="1">
      <c r="A62" s="1"/>
      <c r="B62" s="1"/>
      <c r="C62" s="35"/>
      <c r="D62" s="35"/>
      <c r="E62" s="35"/>
      <c r="F62" s="36"/>
      <c r="G62" s="37"/>
      <c r="H62" s="37"/>
      <c r="I62" s="3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</row>
    <row r="63" spans="1:27" ht="16.5" customHeight="1">
      <c r="A63" s="1"/>
      <c r="B63" s="1"/>
      <c r="C63" s="35"/>
      <c r="D63" s="35"/>
      <c r="E63" s="35"/>
      <c r="F63" s="36"/>
      <c r="G63" s="37"/>
      <c r="H63" s="37"/>
      <c r="I63" s="3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</row>
    <row r="64" spans="1:27" ht="16.5" customHeight="1">
      <c r="A64" s="1"/>
      <c r="B64" s="1"/>
      <c r="C64" s="35"/>
      <c r="D64" s="35"/>
      <c r="E64" s="35"/>
      <c r="F64" s="36"/>
      <c r="G64" s="37"/>
      <c r="H64" s="37"/>
      <c r="I64" s="3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</row>
    <row r="65" spans="1:27" ht="16.5" customHeight="1">
      <c r="A65" s="1"/>
      <c r="B65" s="1"/>
      <c r="C65" s="35"/>
      <c r="D65" s="35"/>
      <c r="E65" s="35"/>
      <c r="F65" s="36"/>
      <c r="G65" s="37"/>
      <c r="H65" s="37"/>
      <c r="I65" s="3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</row>
    <row r="66" spans="1:27" ht="16.5" customHeight="1">
      <c r="A66" s="1"/>
      <c r="B66" s="1"/>
      <c r="C66" s="35"/>
      <c r="D66" s="35"/>
      <c r="E66" s="35"/>
      <c r="F66" s="36"/>
      <c r="G66" s="37"/>
      <c r="H66" s="37"/>
      <c r="I66" s="3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</row>
    <row r="67" spans="1:27" ht="16.5" customHeight="1">
      <c r="A67" s="1"/>
      <c r="B67" s="1"/>
      <c r="C67" s="35"/>
      <c r="D67" s="35"/>
      <c r="E67" s="35"/>
      <c r="F67" s="36"/>
      <c r="G67" s="37"/>
      <c r="H67" s="37"/>
      <c r="I67" s="3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</row>
    <row r="68" spans="1:27" ht="16.5" customHeight="1">
      <c r="A68" s="1"/>
      <c r="B68" s="1"/>
      <c r="C68" s="35"/>
      <c r="D68" s="35"/>
      <c r="E68" s="35"/>
      <c r="F68" s="36"/>
      <c r="G68" s="37"/>
      <c r="H68" s="37"/>
      <c r="I68" s="3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</row>
    <row r="69" spans="1:27" ht="16.5" customHeight="1">
      <c r="A69" s="1"/>
      <c r="B69" s="1"/>
      <c r="C69" s="35"/>
      <c r="D69" s="35"/>
      <c r="E69" s="35"/>
      <c r="F69" s="36"/>
      <c r="G69" s="37"/>
      <c r="H69" s="37"/>
      <c r="I69" s="3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</row>
    <row r="70" spans="1:27" ht="16.5" customHeight="1">
      <c r="A70" s="1"/>
      <c r="B70" s="1"/>
      <c r="C70" s="35"/>
      <c r="D70" s="35"/>
      <c r="E70" s="35"/>
      <c r="F70" s="36"/>
      <c r="G70" s="37"/>
      <c r="H70" s="37"/>
      <c r="I70" s="3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</row>
    <row r="71" spans="1:27" ht="16.5" customHeight="1">
      <c r="A71" s="1"/>
      <c r="B71" s="1"/>
      <c r="C71" s="35"/>
      <c r="D71" s="35"/>
      <c r="E71" s="35"/>
      <c r="F71" s="36"/>
      <c r="G71" s="37"/>
      <c r="H71" s="37"/>
      <c r="I71" s="3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</row>
    <row r="72" spans="1:27" ht="16.5" customHeight="1">
      <c r="A72" s="1"/>
      <c r="B72" s="1"/>
      <c r="C72" s="35"/>
      <c r="D72" s="35"/>
      <c r="E72" s="35"/>
      <c r="F72" s="36"/>
      <c r="G72" s="37"/>
      <c r="H72" s="37"/>
      <c r="I72" s="3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</row>
    <row r="73" spans="1:27" ht="16.5" customHeight="1">
      <c r="A73" s="1"/>
      <c r="B73" s="1"/>
      <c r="C73" s="35"/>
      <c r="D73" s="35"/>
      <c r="E73" s="35"/>
      <c r="F73" s="36"/>
      <c r="G73" s="37"/>
      <c r="H73" s="37"/>
      <c r="I73" s="3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</row>
    <row r="74" spans="1:27" ht="16.5" customHeight="1">
      <c r="A74" s="1"/>
      <c r="B74" s="1"/>
      <c r="C74" s="35"/>
      <c r="D74" s="35"/>
      <c r="E74" s="35"/>
      <c r="F74" s="36"/>
      <c r="G74" s="37"/>
      <c r="H74" s="37"/>
      <c r="I74" s="3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</row>
    <row r="75" spans="1:27" ht="16.5" customHeight="1">
      <c r="A75" s="1"/>
      <c r="B75" s="1"/>
      <c r="C75" s="35"/>
      <c r="D75" s="35"/>
      <c r="E75" s="35"/>
      <c r="F75" s="36"/>
      <c r="G75" s="37"/>
      <c r="H75" s="37"/>
      <c r="I75" s="3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</row>
    <row r="76" spans="1:27" ht="16.5" customHeight="1">
      <c r="A76" s="1"/>
      <c r="B76" s="1"/>
      <c r="C76" s="35"/>
      <c r="D76" s="35"/>
      <c r="E76" s="35"/>
      <c r="F76" s="36"/>
      <c r="G76" s="37"/>
      <c r="H76" s="37"/>
      <c r="I76" s="3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</row>
    <row r="77" spans="1:27" ht="16.5" customHeight="1">
      <c r="A77" s="1"/>
      <c r="B77" s="1"/>
      <c r="C77" s="35"/>
      <c r="D77" s="35"/>
      <c r="E77" s="35"/>
      <c r="F77" s="36"/>
      <c r="G77" s="37"/>
      <c r="H77" s="37"/>
      <c r="I77" s="3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</row>
    <row r="78" spans="1:27" ht="16.5" customHeight="1">
      <c r="A78" s="1"/>
      <c r="B78" s="1"/>
      <c r="C78" s="35"/>
      <c r="D78" s="35"/>
      <c r="E78" s="35"/>
      <c r="F78" s="36"/>
      <c r="G78" s="37"/>
      <c r="H78" s="37"/>
      <c r="I78" s="3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</row>
    <row r="79" spans="1:27" ht="16.5" customHeight="1">
      <c r="A79" s="1"/>
      <c r="B79" s="1"/>
      <c r="C79" s="35"/>
      <c r="D79" s="35"/>
      <c r="E79" s="35"/>
      <c r="F79" s="36"/>
      <c r="G79" s="37"/>
      <c r="H79" s="37"/>
      <c r="I79" s="3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</row>
    <row r="80" spans="1:27" ht="16.5" customHeight="1">
      <c r="A80" s="1"/>
      <c r="B80" s="1"/>
      <c r="C80" s="35"/>
      <c r="D80" s="35"/>
      <c r="E80" s="35"/>
      <c r="F80" s="36"/>
      <c r="G80" s="37"/>
      <c r="H80" s="37"/>
      <c r="I80" s="3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</row>
    <row r="81" spans="1:27" ht="16.5" customHeight="1">
      <c r="A81" s="1"/>
      <c r="B81" s="1"/>
      <c r="C81" s="35"/>
      <c r="D81" s="35"/>
      <c r="E81" s="35"/>
      <c r="F81" s="36"/>
      <c r="G81" s="37"/>
      <c r="H81" s="37"/>
      <c r="I81" s="3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</row>
    <row r="82" spans="1:27" ht="16.5" customHeight="1">
      <c r="A82" s="1"/>
      <c r="B82" s="1"/>
      <c r="C82" s="35"/>
      <c r="D82" s="35"/>
      <c r="E82" s="35"/>
      <c r="F82" s="36"/>
      <c r="G82" s="37"/>
      <c r="H82" s="37"/>
      <c r="I82" s="3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</row>
    <row r="83" spans="1:27" ht="16.5" customHeight="1">
      <c r="A83" s="1"/>
      <c r="B83" s="1"/>
      <c r="C83" s="35"/>
      <c r="D83" s="35"/>
      <c r="E83" s="35"/>
      <c r="F83" s="36"/>
      <c r="G83" s="37"/>
      <c r="H83" s="37"/>
      <c r="I83" s="3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</row>
    <row r="84" spans="1:27" ht="16.5" customHeight="1">
      <c r="A84" s="1"/>
      <c r="B84" s="1"/>
      <c r="C84" s="35"/>
      <c r="D84" s="35"/>
      <c r="E84" s="35"/>
      <c r="F84" s="36"/>
      <c r="G84" s="37"/>
      <c r="H84" s="37"/>
      <c r="I84" s="3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</row>
    <row r="85" spans="1:27" ht="16.5" customHeight="1">
      <c r="A85" s="1"/>
      <c r="B85" s="1"/>
      <c r="C85" s="35"/>
      <c r="D85" s="35"/>
      <c r="E85" s="35"/>
      <c r="F85" s="36"/>
      <c r="G85" s="37"/>
      <c r="H85" s="37"/>
      <c r="I85" s="3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</row>
    <row r="86" spans="1:27" ht="16.5" customHeight="1">
      <c r="A86" s="1"/>
      <c r="B86" s="1"/>
      <c r="C86" s="35"/>
      <c r="D86" s="35"/>
      <c r="E86" s="35"/>
      <c r="F86" s="36"/>
      <c r="G86" s="37"/>
      <c r="H86" s="37"/>
      <c r="I86" s="3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</row>
    <row r="87" spans="1:27" ht="16.5" customHeight="1">
      <c r="A87" s="1"/>
      <c r="B87" s="1"/>
      <c r="C87" s="35"/>
      <c r="D87" s="35"/>
      <c r="E87" s="35"/>
      <c r="F87" s="36"/>
      <c r="G87" s="37"/>
      <c r="H87" s="37"/>
      <c r="I87" s="3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</row>
    <row r="88" spans="1:27" ht="16.5" customHeight="1">
      <c r="A88" s="1"/>
      <c r="B88" s="1"/>
      <c r="C88" s="35"/>
      <c r="D88" s="35"/>
      <c r="E88" s="35"/>
      <c r="F88" s="36"/>
      <c r="G88" s="37"/>
      <c r="H88" s="37"/>
      <c r="I88" s="3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</row>
    <row r="89" spans="1:27" ht="16.5" customHeight="1">
      <c r="A89" s="1"/>
      <c r="B89" s="1"/>
      <c r="C89" s="35"/>
      <c r="D89" s="35"/>
      <c r="E89" s="35"/>
      <c r="F89" s="36"/>
      <c r="G89" s="37"/>
      <c r="H89" s="37"/>
      <c r="I89" s="3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</row>
    <row r="90" spans="1:27" ht="16.5" customHeight="1">
      <c r="A90" s="1"/>
      <c r="B90" s="1"/>
      <c r="C90" s="35"/>
      <c r="D90" s="35"/>
      <c r="E90" s="35"/>
      <c r="F90" s="36"/>
      <c r="G90" s="37"/>
      <c r="H90" s="37"/>
      <c r="I90" s="3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</row>
    <row r="91" spans="1:27" ht="16.5" customHeight="1">
      <c r="A91" s="1"/>
      <c r="B91" s="1"/>
      <c r="C91" s="35"/>
      <c r="D91" s="35"/>
      <c r="E91" s="35"/>
      <c r="F91" s="36"/>
      <c r="G91" s="37"/>
      <c r="H91" s="37"/>
      <c r="I91" s="3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</row>
    <row r="92" spans="1:27" ht="16.5" customHeight="1">
      <c r="A92" s="1"/>
      <c r="B92" s="1"/>
      <c r="C92" s="35"/>
      <c r="D92" s="35"/>
      <c r="E92" s="35"/>
      <c r="F92" s="36"/>
      <c r="G92" s="37"/>
      <c r="H92" s="37"/>
      <c r="I92" s="3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</row>
    <row r="93" spans="1:27" ht="16.5" customHeight="1">
      <c r="A93" s="1"/>
      <c r="B93" s="1"/>
      <c r="C93" s="35"/>
      <c r="D93" s="35"/>
      <c r="E93" s="35"/>
      <c r="F93" s="36"/>
      <c r="G93" s="37"/>
      <c r="H93" s="37"/>
      <c r="I93" s="3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</row>
    <row r="94" spans="1:27" ht="16.5" customHeight="1">
      <c r="A94" s="1"/>
      <c r="B94" s="1"/>
      <c r="C94" s="35"/>
      <c r="D94" s="35"/>
      <c r="E94" s="35"/>
      <c r="F94" s="36"/>
      <c r="G94" s="37"/>
      <c r="H94" s="37"/>
      <c r="I94" s="3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</row>
    <row r="95" spans="1:27" ht="16.5" customHeight="1">
      <c r="A95" s="1"/>
      <c r="B95" s="1"/>
      <c r="C95" s="35"/>
      <c r="D95" s="35"/>
      <c r="E95" s="35"/>
      <c r="F95" s="36"/>
      <c r="G95" s="37"/>
      <c r="H95" s="37"/>
      <c r="I95" s="3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</row>
    <row r="96" spans="1:27" ht="16.5" customHeight="1">
      <c r="A96" s="1"/>
      <c r="B96" s="1"/>
      <c r="C96" s="35"/>
      <c r="D96" s="35"/>
      <c r="E96" s="35"/>
      <c r="F96" s="36"/>
      <c r="G96" s="37"/>
      <c r="H96" s="37"/>
      <c r="I96" s="3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</row>
    <row r="97" spans="1:27" ht="16.5" customHeight="1">
      <c r="A97" s="1"/>
      <c r="B97" s="1"/>
      <c r="C97" s="35"/>
      <c r="D97" s="35"/>
      <c r="E97" s="35"/>
      <c r="F97" s="36"/>
      <c r="G97" s="37"/>
      <c r="H97" s="37"/>
      <c r="I97" s="3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</row>
    <row r="98" spans="1:27" ht="15.75" customHeight="1">
      <c r="A98" s="1"/>
      <c r="B98" s="1"/>
      <c r="C98" s="35"/>
      <c r="D98" s="35"/>
      <c r="E98" s="35"/>
      <c r="F98" s="36"/>
      <c r="G98" s="37"/>
      <c r="H98" s="37"/>
      <c r="I98" s="3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</row>
    <row r="99" spans="1:27" ht="15.75" customHeight="1">
      <c r="A99" s="1"/>
      <c r="B99" s="1"/>
      <c r="C99" s="35"/>
      <c r="D99" s="35"/>
      <c r="E99" s="35"/>
      <c r="F99" s="36"/>
      <c r="G99" s="37"/>
      <c r="H99" s="37"/>
      <c r="I99" s="3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</row>
    <row r="100" spans="1:27" ht="15.75" customHeight="1">
      <c r="A100" s="1"/>
      <c r="B100" s="1"/>
      <c r="C100" s="35"/>
      <c r="D100" s="35"/>
      <c r="E100" s="35"/>
      <c r="F100" s="36"/>
      <c r="G100" s="37"/>
      <c r="H100" s="37"/>
      <c r="I100" s="3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</row>
    <row r="101" spans="1:27" ht="15.75" customHeight="1">
      <c r="A101" s="1"/>
      <c r="B101" s="1"/>
      <c r="C101" s="35"/>
      <c r="D101" s="35"/>
      <c r="E101" s="35"/>
      <c r="F101" s="36"/>
      <c r="G101" s="37"/>
      <c r="H101" s="37"/>
      <c r="I101" s="3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</row>
    <row r="102" spans="1:27" ht="15.75" customHeight="1">
      <c r="A102" s="1"/>
      <c r="B102" s="1"/>
      <c r="C102" s="35"/>
      <c r="D102" s="35"/>
      <c r="E102" s="35"/>
      <c r="F102" s="36"/>
      <c r="G102" s="37"/>
      <c r="H102" s="37"/>
      <c r="I102" s="3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</row>
    <row r="103" spans="1:27" ht="15.75" customHeight="1">
      <c r="A103" s="1"/>
      <c r="B103" s="1"/>
      <c r="C103" s="39"/>
      <c r="D103" s="39"/>
      <c r="E103" s="39"/>
      <c r="F103" s="37"/>
      <c r="G103" s="37"/>
      <c r="H103" s="37"/>
      <c r="I103" s="3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</row>
    <row r="104" spans="1:27" ht="15.75" customHeight="1">
      <c r="A104" s="1"/>
      <c r="B104" s="1"/>
      <c r="C104" s="39"/>
      <c r="D104" s="39"/>
      <c r="E104" s="39"/>
      <c r="F104" s="37"/>
      <c r="G104" s="37"/>
      <c r="H104" s="37"/>
      <c r="I104" s="3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</row>
    <row r="105" spans="1:27" ht="15.75" customHeight="1">
      <c r="A105" s="1"/>
      <c r="B105" s="1"/>
      <c r="C105" s="39"/>
      <c r="D105" s="39"/>
      <c r="E105" s="39"/>
      <c r="F105" s="37"/>
      <c r="G105" s="37"/>
      <c r="H105" s="37"/>
      <c r="I105" s="3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</row>
    <row r="106" spans="1:27" ht="15.75" customHeight="1">
      <c r="A106" s="1"/>
      <c r="B106" s="1"/>
      <c r="C106" s="39"/>
      <c r="D106" s="39"/>
      <c r="E106" s="39"/>
      <c r="F106" s="37"/>
      <c r="G106" s="37"/>
      <c r="H106" s="37"/>
      <c r="I106" s="3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</row>
    <row r="107" spans="1:27" ht="15.75" customHeight="1">
      <c r="A107" s="1"/>
      <c r="B107" s="1"/>
      <c r="C107" s="39"/>
      <c r="D107" s="39"/>
      <c r="E107" s="39"/>
      <c r="F107" s="37"/>
      <c r="G107" s="37"/>
      <c r="H107" s="37"/>
      <c r="I107" s="3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</row>
    <row r="108" spans="1:27" ht="15.75" customHeight="1">
      <c r="A108" s="1"/>
      <c r="B108" s="1"/>
      <c r="C108" s="39"/>
      <c r="D108" s="39"/>
      <c r="E108" s="39"/>
      <c r="F108" s="37"/>
      <c r="G108" s="37"/>
      <c r="H108" s="37"/>
      <c r="I108" s="3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</row>
    <row r="109" spans="1:27" ht="15.75" customHeight="1">
      <c r="A109" s="1"/>
      <c r="B109" s="1"/>
      <c r="C109" s="39"/>
      <c r="D109" s="39"/>
      <c r="E109" s="39"/>
      <c r="F109" s="37"/>
      <c r="G109" s="37"/>
      <c r="H109" s="37"/>
      <c r="I109" s="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</row>
    <row r="110" spans="1:27" ht="15.75" customHeight="1">
      <c r="A110" s="1"/>
      <c r="B110" s="1"/>
      <c r="C110" s="39"/>
      <c r="D110" s="39"/>
      <c r="E110" s="39"/>
      <c r="F110" s="37"/>
      <c r="G110" s="37"/>
      <c r="H110" s="37"/>
      <c r="I110" s="3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</row>
    <row r="111" spans="1:27" ht="15.75" customHeight="1">
      <c r="A111" s="1"/>
      <c r="B111" s="1"/>
      <c r="C111" s="39"/>
      <c r="D111" s="39"/>
      <c r="E111" s="39"/>
      <c r="F111" s="37"/>
      <c r="G111" s="37"/>
      <c r="H111" s="37"/>
      <c r="I111" s="3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</row>
    <row r="112" spans="1:27" ht="15.75" customHeight="1">
      <c r="A112" s="1"/>
      <c r="B112" s="1"/>
      <c r="C112" s="39"/>
      <c r="D112" s="39"/>
      <c r="E112" s="39"/>
      <c r="F112" s="37"/>
      <c r="G112" s="37"/>
      <c r="H112" s="37"/>
      <c r="I112" s="3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</row>
    <row r="113" spans="1:27" ht="15.75" customHeight="1">
      <c r="A113" s="1"/>
      <c r="B113" s="1"/>
      <c r="C113" s="39"/>
      <c r="D113" s="39"/>
      <c r="E113" s="39"/>
      <c r="F113" s="37"/>
      <c r="G113" s="37"/>
      <c r="H113" s="37"/>
      <c r="I113" s="3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</row>
    <row r="114" spans="1:27" ht="15.75" customHeight="1">
      <c r="A114" s="1"/>
      <c r="B114" s="1"/>
      <c r="C114" s="39"/>
      <c r="D114" s="39"/>
      <c r="E114" s="39"/>
      <c r="F114" s="37"/>
      <c r="G114" s="37"/>
      <c r="H114" s="37"/>
      <c r="I114" s="3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</row>
    <row r="115" spans="1:27" ht="15.75" customHeight="1">
      <c r="A115" s="1"/>
      <c r="B115" s="1"/>
      <c r="C115" s="39"/>
      <c r="D115" s="39"/>
      <c r="E115" s="39"/>
      <c r="F115" s="37"/>
      <c r="G115" s="37"/>
      <c r="H115" s="37"/>
      <c r="I115" s="3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</row>
    <row r="116" spans="1:27" ht="15.75" customHeight="1">
      <c r="A116" s="1"/>
      <c r="B116" s="1"/>
      <c r="C116" s="39"/>
      <c r="D116" s="39"/>
      <c r="E116" s="39"/>
      <c r="F116" s="37"/>
      <c r="G116" s="37"/>
      <c r="H116" s="37"/>
      <c r="I116" s="3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</row>
    <row r="117" spans="1:27" ht="15.75" customHeight="1">
      <c r="A117" s="1"/>
      <c r="B117" s="1"/>
      <c r="C117" s="39"/>
      <c r="D117" s="39"/>
      <c r="E117" s="39"/>
      <c r="F117" s="37"/>
      <c r="G117" s="37"/>
      <c r="H117" s="37"/>
      <c r="I117" s="3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</row>
    <row r="118" spans="1:27" ht="15.75" customHeight="1">
      <c r="A118" s="1"/>
      <c r="B118" s="1"/>
      <c r="C118" s="39"/>
      <c r="D118" s="39"/>
      <c r="E118" s="39"/>
      <c r="F118" s="37"/>
      <c r="G118" s="37"/>
      <c r="H118" s="37"/>
      <c r="I118" s="3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</row>
    <row r="119" spans="1:27" ht="15.75" customHeight="1">
      <c r="A119" s="1"/>
      <c r="B119" s="1"/>
      <c r="C119" s="39"/>
      <c r="D119" s="39"/>
      <c r="E119" s="39"/>
      <c r="F119" s="37"/>
      <c r="G119" s="37"/>
      <c r="H119" s="37"/>
      <c r="I119" s="3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</row>
    <row r="120" spans="1:27" ht="15.75" customHeight="1">
      <c r="A120" s="1"/>
      <c r="B120" s="1"/>
      <c r="C120" s="39"/>
      <c r="D120" s="39"/>
      <c r="E120" s="39"/>
      <c r="F120" s="37"/>
      <c r="G120" s="37"/>
      <c r="H120" s="37"/>
      <c r="I120" s="3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</row>
    <row r="121" spans="1:27" ht="15.75" customHeight="1">
      <c r="A121" s="1"/>
      <c r="B121" s="1"/>
      <c r="C121" s="39"/>
      <c r="D121" s="39"/>
      <c r="E121" s="39"/>
      <c r="F121" s="37"/>
      <c r="G121" s="37"/>
      <c r="H121" s="37"/>
      <c r="I121" s="3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</row>
    <row r="122" spans="1:27" ht="15.75" customHeight="1">
      <c r="A122" s="1"/>
      <c r="B122" s="1"/>
      <c r="C122" s="39"/>
      <c r="D122" s="39"/>
      <c r="E122" s="39"/>
      <c r="F122" s="37"/>
      <c r="G122" s="37"/>
      <c r="H122" s="37"/>
      <c r="I122" s="3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</row>
    <row r="123" spans="1:27" ht="15.75" customHeight="1">
      <c r="A123" s="1"/>
      <c r="B123" s="1"/>
      <c r="C123" s="39"/>
      <c r="D123" s="39"/>
      <c r="E123" s="39"/>
      <c r="F123" s="37"/>
      <c r="G123" s="37"/>
      <c r="H123" s="37"/>
      <c r="I123" s="3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</row>
    <row r="124" spans="1:27" ht="15.75" customHeight="1">
      <c r="A124" s="1"/>
      <c r="B124" s="1"/>
      <c r="C124" s="39"/>
      <c r="D124" s="39"/>
      <c r="E124" s="39"/>
      <c r="F124" s="37"/>
      <c r="G124" s="37"/>
      <c r="H124" s="37"/>
      <c r="I124" s="3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</row>
    <row r="125" spans="1:27" ht="15.75" customHeight="1">
      <c r="A125" s="1"/>
      <c r="B125" s="1"/>
      <c r="C125" s="39"/>
      <c r="D125" s="39"/>
      <c r="E125" s="39"/>
      <c r="F125" s="37"/>
      <c r="G125" s="37"/>
      <c r="H125" s="37"/>
      <c r="I125" s="3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</row>
    <row r="126" spans="1:27" ht="15.75" customHeight="1">
      <c r="A126" s="1"/>
      <c r="B126" s="1"/>
      <c r="C126" s="39"/>
      <c r="D126" s="39"/>
      <c r="E126" s="39"/>
      <c r="F126" s="37"/>
      <c r="G126" s="37"/>
      <c r="H126" s="37"/>
      <c r="I126" s="3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</row>
    <row r="127" spans="1:27" ht="15.75" customHeight="1">
      <c r="A127" s="1"/>
      <c r="B127" s="1"/>
      <c r="C127" s="39"/>
      <c r="D127" s="39"/>
      <c r="E127" s="39"/>
      <c r="F127" s="37"/>
      <c r="G127" s="37"/>
      <c r="H127" s="37"/>
      <c r="I127" s="3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</row>
    <row r="128" spans="1:27" ht="15.75" customHeight="1">
      <c r="A128" s="1"/>
      <c r="B128" s="1"/>
      <c r="C128" s="39"/>
      <c r="D128" s="39"/>
      <c r="E128" s="39"/>
      <c r="F128" s="37"/>
      <c r="G128" s="37"/>
      <c r="H128" s="37"/>
      <c r="I128" s="3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</row>
    <row r="129" spans="1:27" ht="15.75" customHeight="1">
      <c r="A129" s="1"/>
      <c r="B129" s="1"/>
      <c r="C129" s="39"/>
      <c r="D129" s="39"/>
      <c r="E129" s="39"/>
      <c r="F129" s="37"/>
      <c r="G129" s="37"/>
      <c r="H129" s="37"/>
      <c r="I129" s="3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</row>
    <row r="130" spans="1:27" ht="15.75" customHeight="1">
      <c r="A130" s="1"/>
      <c r="B130" s="1"/>
      <c r="C130" s="39"/>
      <c r="D130" s="39"/>
      <c r="E130" s="39"/>
      <c r="F130" s="37"/>
      <c r="G130" s="37"/>
      <c r="H130" s="37"/>
      <c r="I130" s="3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</row>
    <row r="131" spans="1:27" ht="15.75" customHeight="1">
      <c r="A131" s="1"/>
      <c r="B131" s="1"/>
      <c r="C131" s="39"/>
      <c r="D131" s="39"/>
      <c r="E131" s="39"/>
      <c r="F131" s="37"/>
      <c r="G131" s="37"/>
      <c r="H131" s="37"/>
      <c r="I131" s="3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</row>
    <row r="132" spans="1:27" ht="15.75" customHeight="1">
      <c r="A132" s="1"/>
      <c r="B132" s="1"/>
      <c r="C132" s="39"/>
      <c r="D132" s="39"/>
      <c r="E132" s="39"/>
      <c r="F132" s="37"/>
      <c r="G132" s="37"/>
      <c r="H132" s="37"/>
      <c r="I132" s="3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</row>
    <row r="133" spans="1:27" ht="15.75" customHeight="1">
      <c r="A133" s="1"/>
      <c r="B133" s="1"/>
      <c r="C133" s="39"/>
      <c r="D133" s="39"/>
      <c r="E133" s="39"/>
      <c r="F133" s="37"/>
      <c r="G133" s="37"/>
      <c r="H133" s="37"/>
      <c r="I133" s="3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</row>
    <row r="134" spans="1:27" ht="15.75" customHeight="1">
      <c r="A134" s="1"/>
      <c r="B134" s="1"/>
      <c r="C134" s="39"/>
      <c r="D134" s="39"/>
      <c r="E134" s="39"/>
      <c r="F134" s="37"/>
      <c r="G134" s="37"/>
      <c r="H134" s="37"/>
      <c r="I134" s="3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</row>
    <row r="135" spans="1:27" ht="15.75" customHeight="1">
      <c r="A135" s="1"/>
      <c r="B135" s="1"/>
      <c r="C135" s="39"/>
      <c r="D135" s="39"/>
      <c r="E135" s="39"/>
      <c r="F135" s="37"/>
      <c r="G135" s="37"/>
      <c r="H135" s="37"/>
      <c r="I135" s="3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</row>
    <row r="136" spans="1:27" ht="15.75" customHeight="1">
      <c r="A136" s="1"/>
      <c r="B136" s="1"/>
      <c r="C136" s="39"/>
      <c r="D136" s="39"/>
      <c r="E136" s="39"/>
      <c r="F136" s="37"/>
      <c r="G136" s="37"/>
      <c r="H136" s="37"/>
      <c r="I136" s="3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</row>
    <row r="137" spans="1:27" ht="15.75" customHeight="1">
      <c r="A137" s="1"/>
      <c r="B137" s="1"/>
      <c r="C137" s="39"/>
      <c r="D137" s="39"/>
      <c r="E137" s="39"/>
      <c r="F137" s="37"/>
      <c r="G137" s="37"/>
      <c r="H137" s="37"/>
      <c r="I137" s="3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</row>
    <row r="138" spans="1:27" ht="15.75" customHeight="1">
      <c r="A138" s="1"/>
      <c r="B138" s="1"/>
      <c r="C138" s="39"/>
      <c r="D138" s="39"/>
      <c r="E138" s="39"/>
      <c r="F138" s="37"/>
      <c r="G138" s="37"/>
      <c r="H138" s="37"/>
      <c r="I138" s="3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</row>
    <row r="139" spans="1:27" ht="15.75" customHeight="1">
      <c r="A139" s="1"/>
      <c r="B139" s="1"/>
      <c r="C139" s="39"/>
      <c r="D139" s="39"/>
      <c r="E139" s="39"/>
      <c r="F139" s="37"/>
      <c r="G139" s="37"/>
      <c r="H139" s="37"/>
      <c r="I139" s="3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</row>
    <row r="140" spans="1:27" ht="15.75" customHeight="1">
      <c r="A140" s="1"/>
      <c r="B140" s="1"/>
      <c r="C140" s="39"/>
      <c r="D140" s="39"/>
      <c r="E140" s="39"/>
      <c r="F140" s="37"/>
      <c r="G140" s="37"/>
      <c r="H140" s="37"/>
      <c r="I140" s="3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</row>
    <row r="141" spans="1:27" ht="15.75" customHeight="1">
      <c r="A141" s="1"/>
      <c r="B141" s="1"/>
      <c r="C141" s="39"/>
      <c r="D141" s="39"/>
      <c r="E141" s="39"/>
      <c r="F141" s="37"/>
      <c r="G141" s="37"/>
      <c r="H141" s="37"/>
      <c r="I141" s="3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</row>
    <row r="142" spans="1:27" ht="15.75" customHeight="1">
      <c r="A142" s="1"/>
      <c r="B142" s="1"/>
      <c r="C142" s="39"/>
      <c r="D142" s="39"/>
      <c r="E142" s="39"/>
      <c r="F142" s="37"/>
      <c r="G142" s="37"/>
      <c r="H142" s="37"/>
      <c r="I142" s="3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</row>
    <row r="143" spans="1:27" ht="15.75" customHeight="1">
      <c r="A143" s="1"/>
      <c r="B143" s="1"/>
      <c r="C143" s="39"/>
      <c r="D143" s="39"/>
      <c r="E143" s="39"/>
      <c r="F143" s="37"/>
      <c r="G143" s="37"/>
      <c r="H143" s="37"/>
      <c r="I143" s="3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</row>
    <row r="144" spans="1:27" ht="15.75" customHeight="1">
      <c r="A144" s="1"/>
      <c r="B144" s="1"/>
      <c r="C144" s="39"/>
      <c r="D144" s="39"/>
      <c r="E144" s="39"/>
      <c r="F144" s="37"/>
      <c r="G144" s="37"/>
      <c r="H144" s="37"/>
      <c r="I144" s="3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</row>
    <row r="145" spans="1:27" ht="15.75" customHeight="1">
      <c r="A145" s="1"/>
      <c r="B145" s="1"/>
      <c r="C145" s="39"/>
      <c r="D145" s="39"/>
      <c r="E145" s="39"/>
      <c r="F145" s="37"/>
      <c r="G145" s="37"/>
      <c r="H145" s="37"/>
      <c r="I145" s="3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</row>
    <row r="146" spans="1:27" ht="15.75" customHeight="1">
      <c r="A146" s="1"/>
      <c r="B146" s="1"/>
      <c r="C146" s="39"/>
      <c r="D146" s="39"/>
      <c r="E146" s="39"/>
      <c r="F146" s="37"/>
      <c r="G146" s="37"/>
      <c r="H146" s="37"/>
      <c r="I146" s="3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</row>
    <row r="147" spans="1:27" ht="15.75" customHeight="1">
      <c r="A147" s="1"/>
      <c r="B147" s="1"/>
      <c r="C147" s="39"/>
      <c r="D147" s="39"/>
      <c r="E147" s="39"/>
      <c r="F147" s="37"/>
      <c r="G147" s="37"/>
      <c r="H147" s="37"/>
      <c r="I147" s="3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</row>
    <row r="148" spans="1:27" ht="15.75" customHeight="1">
      <c r="A148" s="1"/>
      <c r="B148" s="1"/>
      <c r="C148" s="39"/>
      <c r="D148" s="39"/>
      <c r="E148" s="39"/>
      <c r="F148" s="37"/>
      <c r="G148" s="37"/>
      <c r="H148" s="37"/>
      <c r="I148" s="3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</row>
    <row r="149" spans="1:27" ht="15.75" customHeight="1">
      <c r="A149" s="1"/>
      <c r="B149" s="1"/>
      <c r="C149" s="39"/>
      <c r="D149" s="39"/>
      <c r="E149" s="39"/>
      <c r="F149" s="37"/>
      <c r="G149" s="37"/>
      <c r="H149" s="37"/>
      <c r="I149" s="3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</row>
    <row r="150" spans="1:27" ht="15.75" customHeight="1">
      <c r="A150" s="1"/>
      <c r="B150" s="1"/>
      <c r="C150" s="39"/>
      <c r="D150" s="39"/>
      <c r="E150" s="39"/>
      <c r="F150" s="37"/>
      <c r="G150" s="37"/>
      <c r="H150" s="37"/>
      <c r="I150" s="3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</row>
    <row r="151" spans="1:27" ht="15.75" customHeight="1">
      <c r="A151" s="1"/>
      <c r="B151" s="1"/>
      <c r="C151" s="39"/>
      <c r="D151" s="39"/>
      <c r="E151" s="39"/>
      <c r="F151" s="37"/>
      <c r="G151" s="37"/>
      <c r="H151" s="37"/>
      <c r="I151" s="3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</row>
    <row r="152" spans="1:27" ht="15.75" customHeight="1">
      <c r="A152" s="1"/>
      <c r="B152" s="1"/>
      <c r="C152" s="39"/>
      <c r="D152" s="39"/>
      <c r="E152" s="39"/>
      <c r="F152" s="37"/>
      <c r="G152" s="37"/>
      <c r="H152" s="37"/>
      <c r="I152" s="3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</row>
    <row r="153" spans="1:27" ht="15.75" customHeight="1">
      <c r="A153" s="1"/>
      <c r="B153" s="1"/>
      <c r="C153" s="39"/>
      <c r="D153" s="39"/>
      <c r="E153" s="39"/>
      <c r="F153" s="37"/>
      <c r="G153" s="37"/>
      <c r="H153" s="37"/>
      <c r="I153" s="3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</row>
    <row r="154" spans="1:27" ht="15.75" customHeight="1">
      <c r="A154" s="1"/>
      <c r="B154" s="1"/>
      <c r="C154" s="39"/>
      <c r="D154" s="39"/>
      <c r="E154" s="39"/>
      <c r="F154" s="37"/>
      <c r="G154" s="37"/>
      <c r="H154" s="37"/>
      <c r="I154" s="3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</row>
    <row r="155" spans="1:27" ht="15.75" customHeight="1">
      <c r="A155" s="1"/>
      <c r="B155" s="1"/>
      <c r="C155" s="39"/>
      <c r="D155" s="39"/>
      <c r="E155" s="39"/>
      <c r="F155" s="37"/>
      <c r="G155" s="37"/>
      <c r="H155" s="37"/>
      <c r="I155" s="3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</row>
    <row r="156" spans="1:27" ht="15.75" customHeight="1">
      <c r="A156" s="1"/>
      <c r="B156" s="1"/>
      <c r="C156" s="39"/>
      <c r="D156" s="39"/>
      <c r="E156" s="39"/>
      <c r="F156" s="37"/>
      <c r="G156" s="37"/>
      <c r="H156" s="37"/>
      <c r="I156" s="3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</row>
    <row r="157" spans="1:27" ht="15.75" customHeight="1">
      <c r="A157" s="1"/>
      <c r="B157" s="1"/>
      <c r="C157" s="39"/>
      <c r="D157" s="39"/>
      <c r="E157" s="39"/>
      <c r="F157" s="37"/>
      <c r="G157" s="37"/>
      <c r="H157" s="37"/>
      <c r="I157" s="3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</row>
    <row r="158" spans="1:27" ht="15.75" customHeight="1">
      <c r="A158" s="1"/>
      <c r="B158" s="1"/>
      <c r="C158" s="39"/>
      <c r="D158" s="39"/>
      <c r="E158" s="39"/>
      <c r="F158" s="37"/>
      <c r="G158" s="37"/>
      <c r="H158" s="37"/>
      <c r="I158" s="3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</row>
    <row r="159" spans="1:27" ht="15.75" customHeight="1">
      <c r="A159" s="1"/>
      <c r="B159" s="1"/>
      <c r="C159" s="39"/>
      <c r="D159" s="39"/>
      <c r="E159" s="39"/>
      <c r="F159" s="37"/>
      <c r="G159" s="37"/>
      <c r="H159" s="37"/>
      <c r="I159" s="3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</row>
    <row r="160" spans="1:27" ht="15.75" customHeight="1">
      <c r="A160" s="1"/>
      <c r="B160" s="1"/>
      <c r="C160" s="39"/>
      <c r="D160" s="39"/>
      <c r="E160" s="39"/>
      <c r="F160" s="37"/>
      <c r="G160" s="37"/>
      <c r="H160" s="37"/>
      <c r="I160" s="3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</row>
    <row r="161" spans="1:27" ht="15.75" customHeight="1">
      <c r="A161" s="1"/>
      <c r="B161" s="1"/>
      <c r="C161" s="39"/>
      <c r="D161" s="39"/>
      <c r="E161" s="39"/>
      <c r="F161" s="37"/>
      <c r="G161" s="37"/>
      <c r="H161" s="37"/>
      <c r="I161" s="3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</row>
    <row r="162" spans="1:27" ht="15.75" customHeight="1">
      <c r="A162" s="1"/>
      <c r="B162" s="1"/>
      <c r="C162" s="39"/>
      <c r="D162" s="39"/>
      <c r="E162" s="39"/>
      <c r="F162" s="37"/>
      <c r="G162" s="37"/>
      <c r="H162" s="37"/>
      <c r="I162" s="3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</row>
    <row r="163" spans="1:27" ht="15.75" customHeight="1">
      <c r="A163" s="1"/>
      <c r="B163" s="1"/>
      <c r="C163" s="39"/>
      <c r="D163" s="39"/>
      <c r="E163" s="39"/>
      <c r="F163" s="37"/>
      <c r="G163" s="37"/>
      <c r="H163" s="37"/>
      <c r="I163" s="3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</row>
    <row r="164" spans="1:27" ht="15.75" customHeight="1">
      <c r="A164" s="1"/>
      <c r="B164" s="1"/>
      <c r="C164" s="39"/>
      <c r="D164" s="39"/>
      <c r="E164" s="39"/>
      <c r="F164" s="37"/>
      <c r="G164" s="37"/>
      <c r="H164" s="37"/>
      <c r="I164" s="3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</row>
    <row r="165" spans="1:27" ht="15.75" customHeight="1">
      <c r="A165" s="1"/>
      <c r="B165" s="1"/>
      <c r="C165" s="39"/>
      <c r="D165" s="39"/>
      <c r="E165" s="39"/>
      <c r="F165" s="37"/>
      <c r="G165" s="37"/>
      <c r="H165" s="37"/>
      <c r="I165" s="3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</row>
    <row r="166" spans="1:27" ht="15.75" customHeight="1">
      <c r="A166" s="1"/>
      <c r="B166" s="1"/>
      <c r="C166" s="39"/>
      <c r="D166" s="39"/>
      <c r="E166" s="39"/>
      <c r="F166" s="37"/>
      <c r="G166" s="37"/>
      <c r="H166" s="37"/>
      <c r="I166" s="3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</row>
    <row r="167" spans="1:27" ht="15.75" customHeight="1">
      <c r="A167" s="1"/>
      <c r="B167" s="1"/>
      <c r="C167" s="39"/>
      <c r="D167" s="39"/>
      <c r="E167" s="39"/>
      <c r="F167" s="37"/>
      <c r="G167" s="37"/>
      <c r="H167" s="37"/>
      <c r="I167" s="3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</row>
    <row r="168" spans="1:27" ht="15.75" customHeight="1">
      <c r="A168" s="1"/>
      <c r="B168" s="1"/>
      <c r="C168" s="39"/>
      <c r="D168" s="39"/>
      <c r="E168" s="39"/>
      <c r="F168" s="37"/>
      <c r="G168" s="37"/>
      <c r="H168" s="37"/>
      <c r="I168" s="3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</row>
    <row r="169" spans="1:27" ht="15.75" customHeight="1">
      <c r="A169" s="1"/>
      <c r="B169" s="1"/>
      <c r="C169" s="39"/>
      <c r="D169" s="39"/>
      <c r="E169" s="39"/>
      <c r="F169" s="37"/>
      <c r="G169" s="37"/>
      <c r="H169" s="37"/>
      <c r="I169" s="3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</row>
    <row r="170" spans="1:27" ht="15.75" customHeight="1">
      <c r="A170" s="1"/>
      <c r="B170" s="1"/>
      <c r="C170" s="39"/>
      <c r="D170" s="39"/>
      <c r="E170" s="39"/>
      <c r="F170" s="37"/>
      <c r="G170" s="37"/>
      <c r="H170" s="37"/>
      <c r="I170" s="3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</row>
    <row r="171" spans="1:27" ht="15.75" customHeight="1">
      <c r="A171" s="1"/>
      <c r="B171" s="1"/>
      <c r="C171" s="39"/>
      <c r="D171" s="39"/>
      <c r="E171" s="39"/>
      <c r="F171" s="37"/>
      <c r="G171" s="37"/>
      <c r="H171" s="37"/>
      <c r="I171" s="3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</row>
    <row r="172" spans="1:27" ht="15.75" customHeight="1">
      <c r="A172" s="1"/>
      <c r="B172" s="1"/>
      <c r="C172" s="39"/>
      <c r="D172" s="39"/>
      <c r="E172" s="39"/>
      <c r="F172" s="37"/>
      <c r="G172" s="37"/>
      <c r="H172" s="37"/>
      <c r="I172" s="3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</row>
    <row r="173" spans="1:27" ht="15.75" customHeight="1">
      <c r="A173" s="1"/>
      <c r="B173" s="1"/>
      <c r="C173" s="39"/>
      <c r="D173" s="39"/>
      <c r="E173" s="39"/>
      <c r="F173" s="37"/>
      <c r="G173" s="37"/>
      <c r="H173" s="37"/>
      <c r="I173" s="3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</row>
    <row r="174" spans="1:27" ht="15.75" customHeight="1">
      <c r="A174" s="1"/>
      <c r="B174" s="1"/>
      <c r="C174" s="39"/>
      <c r="D174" s="39"/>
      <c r="E174" s="39"/>
      <c r="F174" s="37"/>
      <c r="G174" s="37"/>
      <c r="H174" s="37"/>
      <c r="I174" s="3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</row>
    <row r="175" spans="1:27" ht="15.75" customHeight="1">
      <c r="A175" s="1"/>
      <c r="B175" s="1"/>
      <c r="C175" s="39"/>
      <c r="D175" s="39"/>
      <c r="E175" s="39"/>
      <c r="F175" s="37"/>
      <c r="G175" s="37"/>
      <c r="H175" s="37"/>
      <c r="I175" s="3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</row>
    <row r="176" spans="1:27" ht="15.75" customHeight="1">
      <c r="A176" s="1"/>
      <c r="B176" s="1"/>
      <c r="C176" s="39"/>
      <c r="D176" s="39"/>
      <c r="E176" s="39"/>
      <c r="F176" s="37"/>
      <c r="G176" s="37"/>
      <c r="H176" s="37"/>
      <c r="I176" s="3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</row>
    <row r="177" spans="1:27" ht="15.75" customHeight="1">
      <c r="A177" s="1"/>
      <c r="B177" s="1"/>
      <c r="C177" s="39"/>
      <c r="D177" s="39"/>
      <c r="E177" s="39"/>
      <c r="F177" s="37"/>
      <c r="G177" s="37"/>
      <c r="H177" s="37"/>
      <c r="I177" s="3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</row>
    <row r="178" spans="1:27" ht="15.75" customHeight="1">
      <c r="A178" s="1"/>
      <c r="B178" s="1"/>
      <c r="C178" s="39"/>
      <c r="D178" s="39"/>
      <c r="E178" s="39"/>
      <c r="F178" s="37"/>
      <c r="G178" s="37"/>
      <c r="H178" s="37"/>
      <c r="I178" s="3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</row>
    <row r="179" spans="1:27" ht="15.75" customHeight="1">
      <c r="A179" s="1"/>
      <c r="B179" s="1"/>
      <c r="C179" s="39"/>
      <c r="D179" s="39"/>
      <c r="E179" s="39"/>
      <c r="F179" s="37"/>
      <c r="G179" s="37"/>
      <c r="H179" s="37"/>
      <c r="I179" s="3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</row>
    <row r="180" spans="1:27" ht="15.75" customHeight="1">
      <c r="A180" s="1"/>
      <c r="B180" s="1"/>
      <c r="C180" s="39"/>
      <c r="D180" s="39"/>
      <c r="E180" s="39"/>
      <c r="F180" s="37"/>
      <c r="G180" s="37"/>
      <c r="H180" s="37"/>
      <c r="I180" s="3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</row>
    <row r="181" spans="1:27" ht="15.75" customHeight="1">
      <c r="A181" s="1"/>
      <c r="B181" s="1"/>
      <c r="C181" s="39"/>
      <c r="D181" s="39"/>
      <c r="E181" s="39"/>
      <c r="F181" s="37"/>
      <c r="G181" s="37"/>
      <c r="H181" s="37"/>
      <c r="I181" s="3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</row>
    <row r="182" spans="1:27" ht="15.75" customHeight="1">
      <c r="A182" s="1"/>
      <c r="B182" s="1"/>
      <c r="C182" s="39"/>
      <c r="D182" s="39"/>
      <c r="E182" s="39"/>
      <c r="F182" s="37"/>
      <c r="G182" s="37"/>
      <c r="H182" s="37"/>
      <c r="I182" s="3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</row>
    <row r="183" spans="1:27" ht="15.75" customHeight="1">
      <c r="A183" s="1"/>
      <c r="B183" s="1"/>
      <c r="C183" s="39"/>
      <c r="D183" s="39"/>
      <c r="E183" s="39"/>
      <c r="F183" s="37"/>
      <c r="G183" s="37"/>
      <c r="H183" s="37"/>
      <c r="I183" s="3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</row>
    <row r="184" spans="1:27" ht="15.75" customHeight="1">
      <c r="A184" s="1"/>
      <c r="B184" s="1"/>
      <c r="C184" s="39"/>
      <c r="D184" s="39"/>
      <c r="E184" s="39"/>
      <c r="F184" s="37"/>
      <c r="G184" s="37"/>
      <c r="H184" s="37"/>
      <c r="I184" s="3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</row>
    <row r="185" spans="1:27" ht="15.75" customHeight="1">
      <c r="A185" s="1"/>
      <c r="B185" s="1"/>
      <c r="C185" s="39"/>
      <c r="D185" s="39"/>
      <c r="E185" s="39"/>
      <c r="F185" s="37"/>
      <c r="G185" s="37"/>
      <c r="H185" s="37"/>
      <c r="I185" s="3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</row>
    <row r="186" spans="1:27" ht="15.75" customHeight="1">
      <c r="A186" s="1"/>
      <c r="B186" s="1"/>
      <c r="C186" s="39"/>
      <c r="D186" s="39"/>
      <c r="E186" s="39"/>
      <c r="F186" s="37"/>
      <c r="G186" s="37"/>
      <c r="H186" s="37"/>
      <c r="I186" s="3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</row>
    <row r="187" spans="1:27" ht="15.75" customHeight="1">
      <c r="A187" s="1"/>
      <c r="B187" s="1"/>
      <c r="C187" s="39"/>
      <c r="D187" s="39"/>
      <c r="E187" s="39"/>
      <c r="F187" s="37"/>
      <c r="G187" s="37"/>
      <c r="H187" s="37"/>
      <c r="I187" s="3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</row>
    <row r="188" spans="1:27" ht="15.75" customHeight="1">
      <c r="A188" s="1"/>
      <c r="B188" s="1"/>
      <c r="C188" s="39"/>
      <c r="D188" s="39"/>
      <c r="E188" s="39"/>
      <c r="F188" s="37"/>
      <c r="G188" s="37"/>
      <c r="H188" s="37"/>
      <c r="I188" s="3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</row>
    <row r="189" spans="1:27" ht="15.75" customHeight="1">
      <c r="A189" s="1"/>
      <c r="B189" s="1"/>
      <c r="C189" s="39"/>
      <c r="D189" s="39"/>
      <c r="E189" s="39"/>
      <c r="F189" s="37"/>
      <c r="G189" s="37"/>
      <c r="H189" s="37"/>
      <c r="I189" s="3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</row>
    <row r="190" spans="1:27" ht="15.75" customHeight="1">
      <c r="A190" s="1"/>
      <c r="B190" s="1"/>
      <c r="C190" s="39"/>
      <c r="D190" s="39"/>
      <c r="E190" s="39"/>
      <c r="F190" s="37"/>
      <c r="G190" s="37"/>
      <c r="H190" s="37"/>
      <c r="I190" s="3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</row>
    <row r="191" spans="1:27" ht="15.75" customHeight="1">
      <c r="A191" s="1"/>
      <c r="B191" s="1"/>
      <c r="C191" s="39"/>
      <c r="D191" s="39"/>
      <c r="E191" s="39"/>
      <c r="F191" s="37"/>
      <c r="G191" s="37"/>
      <c r="H191" s="37"/>
      <c r="I191" s="3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</row>
    <row r="192" spans="1:27" ht="15.75" customHeight="1">
      <c r="A192" s="1"/>
      <c r="B192" s="1"/>
      <c r="C192" s="39"/>
      <c r="D192" s="39"/>
      <c r="E192" s="39"/>
      <c r="F192" s="37"/>
      <c r="G192" s="37"/>
      <c r="H192" s="37"/>
      <c r="I192" s="3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</row>
    <row r="193" spans="1:27" ht="15.75" customHeight="1">
      <c r="A193" s="1"/>
      <c r="B193" s="1"/>
      <c r="C193" s="39"/>
      <c r="D193" s="39"/>
      <c r="E193" s="39"/>
      <c r="F193" s="37"/>
      <c r="G193" s="37"/>
      <c r="H193" s="37"/>
      <c r="I193" s="3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</row>
    <row r="194" spans="1:27" ht="15.75" customHeight="1">
      <c r="A194" s="1"/>
      <c r="B194" s="1"/>
      <c r="C194" s="39"/>
      <c r="D194" s="39"/>
      <c r="E194" s="39"/>
      <c r="F194" s="37"/>
      <c r="G194" s="37"/>
      <c r="H194" s="37"/>
      <c r="I194" s="3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</row>
    <row r="195" spans="1:27" ht="15.75" customHeight="1">
      <c r="A195" s="1"/>
      <c r="B195" s="1"/>
      <c r="C195" s="40"/>
      <c r="D195" s="40"/>
      <c r="E195" s="4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</row>
    <row r="196" spans="1:27" ht="15.75" customHeight="1">
      <c r="A196" s="1"/>
      <c r="B196" s="1"/>
      <c r="C196" s="40"/>
      <c r="D196" s="40"/>
      <c r="E196" s="4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</row>
    <row r="197" spans="1:27" ht="15.75" customHeight="1">
      <c r="A197" s="1"/>
      <c r="B197" s="1"/>
      <c r="C197" s="40"/>
      <c r="D197" s="40"/>
      <c r="E197" s="4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</row>
    <row r="198" spans="1:27" ht="15.75" customHeight="1">
      <c r="A198" s="1"/>
      <c r="B198" s="1"/>
      <c r="C198" s="40"/>
      <c r="D198" s="40"/>
      <c r="E198" s="4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</row>
    <row r="199" spans="1:27" ht="15.75" customHeight="1">
      <c r="A199" s="1"/>
      <c r="B199" s="1"/>
      <c r="C199" s="40"/>
      <c r="D199" s="40"/>
      <c r="E199" s="4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</row>
    <row r="200" spans="1:27" ht="15.75" customHeight="1">
      <c r="A200" s="1"/>
      <c r="B200" s="1"/>
      <c r="C200" s="40"/>
      <c r="D200" s="40"/>
      <c r="E200" s="4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</row>
    <row r="201" spans="1:27" ht="15.75" customHeight="1">
      <c r="A201" s="1"/>
      <c r="B201" s="1"/>
      <c r="C201" s="40"/>
      <c r="D201" s="40"/>
      <c r="E201" s="4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</row>
    <row r="202" spans="1:27" ht="15.75" customHeight="1">
      <c r="A202" s="1"/>
      <c r="B202" s="1"/>
      <c r="C202" s="40"/>
      <c r="D202" s="40"/>
      <c r="E202" s="4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</row>
    <row r="203" spans="1:27" ht="15.75" customHeight="1">
      <c r="A203" s="1"/>
      <c r="B203" s="1"/>
      <c r="C203" s="40"/>
      <c r="D203" s="40"/>
      <c r="E203" s="4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</row>
    <row r="204" spans="1:27" ht="15.75" customHeight="1">
      <c r="A204" s="1"/>
      <c r="B204" s="1"/>
      <c r="C204" s="40"/>
      <c r="D204" s="40"/>
      <c r="E204" s="4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</row>
    <row r="205" spans="1:27" ht="15.75" customHeight="1">
      <c r="A205" s="1"/>
      <c r="B205" s="1"/>
      <c r="C205" s="40"/>
      <c r="D205" s="40"/>
      <c r="E205" s="4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</row>
    <row r="206" spans="1:27" ht="15.75" customHeight="1">
      <c r="A206" s="1"/>
      <c r="B206" s="1"/>
      <c r="C206" s="40"/>
      <c r="D206" s="40"/>
      <c r="E206" s="4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</row>
    <row r="207" spans="1:27" ht="15.75" customHeight="1">
      <c r="A207" s="1"/>
      <c r="B207" s="1"/>
      <c r="C207" s="40"/>
      <c r="D207" s="40"/>
      <c r="E207" s="4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</row>
    <row r="208" spans="1:27" ht="15.75" customHeight="1">
      <c r="A208" s="1"/>
      <c r="B208" s="1"/>
      <c r="C208" s="40"/>
      <c r="D208" s="40"/>
      <c r="E208" s="4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</row>
    <row r="209" spans="1:27" ht="15.75" customHeight="1">
      <c r="A209" s="1"/>
      <c r="B209" s="1"/>
      <c r="C209" s="40"/>
      <c r="D209" s="40"/>
      <c r="E209" s="4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</row>
    <row r="210" spans="1:27" ht="15.75" customHeight="1">
      <c r="A210" s="1"/>
      <c r="B210" s="1"/>
      <c r="C210" s="40"/>
      <c r="D210" s="40"/>
      <c r="E210" s="4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</row>
    <row r="211" spans="1:27" ht="15.75" customHeight="1">
      <c r="A211" s="1"/>
      <c r="B211" s="1"/>
      <c r="C211" s="40"/>
      <c r="D211" s="40"/>
      <c r="E211" s="4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</row>
    <row r="212" spans="1:27" ht="15.75" customHeight="1">
      <c r="A212" s="1"/>
      <c r="B212" s="1"/>
      <c r="C212" s="40"/>
      <c r="D212" s="40"/>
      <c r="E212" s="4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</row>
    <row r="213" spans="1:27" ht="15.75" customHeight="1">
      <c r="A213" s="1"/>
      <c r="B213" s="1"/>
      <c r="C213" s="40"/>
      <c r="D213" s="40"/>
      <c r="E213" s="4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</row>
    <row r="214" spans="1:27" ht="15.75" customHeight="1">
      <c r="A214" s="1"/>
      <c r="B214" s="1"/>
      <c r="C214" s="40"/>
      <c r="D214" s="40"/>
      <c r="E214" s="4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</row>
    <row r="215" spans="1:27" ht="15.75" customHeight="1">
      <c r="A215" s="1"/>
      <c r="B215" s="1"/>
      <c r="C215" s="40"/>
      <c r="D215" s="40"/>
      <c r="E215" s="4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</row>
    <row r="216" spans="1:27" ht="15.75" customHeight="1">
      <c r="A216" s="1"/>
      <c r="B216" s="1"/>
      <c r="C216" s="40"/>
      <c r="D216" s="40"/>
      <c r="E216" s="4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</row>
    <row r="217" spans="1:27" ht="15.75" customHeight="1">
      <c r="A217" s="1"/>
      <c r="B217" s="1"/>
      <c r="C217" s="40"/>
      <c r="D217" s="40"/>
      <c r="E217" s="4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</row>
    <row r="218" spans="1:27" ht="15.75" customHeight="1">
      <c r="A218" s="1"/>
      <c r="B218" s="1"/>
      <c r="C218" s="40"/>
      <c r="D218" s="40"/>
      <c r="E218" s="4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</row>
    <row r="219" spans="1:27" ht="15.75" customHeight="1">
      <c r="A219" s="1"/>
      <c r="B219" s="1"/>
      <c r="C219" s="40"/>
      <c r="D219" s="40"/>
      <c r="E219" s="4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</row>
    <row r="220" spans="1:27" ht="15.75" customHeight="1">
      <c r="A220" s="1"/>
      <c r="B220" s="1"/>
      <c r="C220" s="40"/>
      <c r="D220" s="40"/>
      <c r="E220" s="4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</row>
    <row r="221" spans="1:27" ht="15.75" customHeight="1">
      <c r="A221" s="1"/>
      <c r="B221" s="1"/>
      <c r="C221" s="40"/>
      <c r="D221" s="40"/>
      <c r="E221" s="4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"/>
    </row>
    <row r="222" spans="1:27" ht="15.75" customHeight="1">
      <c r="A222" s="1"/>
      <c r="B222" s="1"/>
      <c r="C222" s="40"/>
      <c r="D222" s="40"/>
      <c r="E222" s="4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</row>
    <row r="223" spans="1:27" ht="15.75" customHeight="1">
      <c r="A223" s="1"/>
      <c r="B223" s="1"/>
      <c r="C223" s="40"/>
      <c r="D223" s="40"/>
      <c r="E223" s="4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</row>
    <row r="224" spans="1:27" ht="15.75" customHeight="1">
      <c r="A224" s="1"/>
      <c r="B224" s="1"/>
      <c r="C224" s="40"/>
      <c r="D224" s="40"/>
      <c r="E224" s="4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</row>
    <row r="225" spans="1:27" ht="15.75" customHeight="1">
      <c r="A225" s="1"/>
      <c r="B225" s="1"/>
      <c r="C225" s="40"/>
      <c r="D225" s="40"/>
      <c r="E225" s="4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3">
    <mergeCell ref="A1:B2"/>
    <mergeCell ref="C1:C2"/>
    <mergeCell ref="D1:D2"/>
    <mergeCell ref="E1:E2"/>
    <mergeCell ref="F1:I2"/>
    <mergeCell ref="A18:A22"/>
    <mergeCell ref="A23:A25"/>
    <mergeCell ref="A26:I30"/>
    <mergeCell ref="H3:H4"/>
    <mergeCell ref="I3:I4"/>
    <mergeCell ref="H5:H8"/>
    <mergeCell ref="H9:H14"/>
    <mergeCell ref="H15:H17"/>
    <mergeCell ref="H18:H22"/>
    <mergeCell ref="H23:H25"/>
    <mergeCell ref="I23:I25"/>
    <mergeCell ref="A3:B3"/>
    <mergeCell ref="C3:C4"/>
    <mergeCell ref="D3:D4"/>
    <mergeCell ref="E3:E4"/>
    <mergeCell ref="A5:A10"/>
    <mergeCell ref="A11:A14"/>
    <mergeCell ref="A15:A17"/>
  </mergeCells>
  <phoneticPr fontId="30" type="noConversion"/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87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94.140625" customWidth="1"/>
    <col min="3" max="3" width="21.7109375" customWidth="1"/>
    <col min="4" max="4" width="19.28515625" customWidth="1"/>
    <col min="5" max="5" width="21.140625" customWidth="1"/>
    <col min="6" max="6" width="21.5703125" customWidth="1"/>
    <col min="8" max="8" width="49.7109375" customWidth="1"/>
  </cols>
  <sheetData>
    <row r="1" spans="1:25" ht="16.5" customHeight="1">
      <c r="A1" s="625" t="s">
        <v>68</v>
      </c>
      <c r="B1" s="611"/>
      <c r="C1" s="647" t="s">
        <v>69</v>
      </c>
      <c r="D1" s="649" t="s">
        <v>70</v>
      </c>
      <c r="E1" s="629"/>
      <c r="F1" s="611"/>
      <c r="G1" s="611"/>
      <c r="H1" s="6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73"/>
    </row>
    <row r="2" spans="1:25" ht="16.5" customHeight="1">
      <c r="A2" s="608"/>
      <c r="B2" s="613"/>
      <c r="C2" s="648"/>
      <c r="D2" s="606"/>
      <c r="E2" s="630"/>
      <c r="F2" s="631"/>
      <c r="G2" s="631"/>
      <c r="H2" s="63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73"/>
    </row>
    <row r="3" spans="1:25" ht="16.5" customHeight="1">
      <c r="A3" s="633"/>
      <c r="B3" s="634"/>
      <c r="C3" s="650"/>
      <c r="D3" s="600"/>
      <c r="E3" s="3" t="s">
        <v>4</v>
      </c>
      <c r="F3" s="4" t="s">
        <v>5</v>
      </c>
      <c r="G3" s="617" t="s">
        <v>6</v>
      </c>
      <c r="H3" s="619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73"/>
    </row>
    <row r="4" spans="1:25" ht="16.5" customHeight="1">
      <c r="A4" s="5" t="s">
        <v>8</v>
      </c>
      <c r="B4" s="41" t="s">
        <v>9</v>
      </c>
      <c r="C4" s="636"/>
      <c r="D4" s="601"/>
      <c r="E4" s="7" t="s">
        <v>10</v>
      </c>
      <c r="F4" s="7" t="s">
        <v>11</v>
      </c>
      <c r="G4" s="618"/>
      <c r="H4" s="60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73"/>
    </row>
    <row r="5" spans="1:25" ht="16.5" customHeight="1">
      <c r="A5" s="637" t="s">
        <v>71</v>
      </c>
      <c r="B5" s="74" t="s">
        <v>72</v>
      </c>
      <c r="C5" s="58">
        <v>130000</v>
      </c>
      <c r="D5" s="75">
        <v>90000</v>
      </c>
      <c r="E5" s="76"/>
      <c r="F5" s="76"/>
      <c r="G5" s="642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73"/>
    </row>
    <row r="6" spans="1:25" ht="16.5" customHeight="1">
      <c r="A6" s="638"/>
      <c r="B6" s="77" t="s">
        <v>73</v>
      </c>
      <c r="C6" s="62">
        <v>140000</v>
      </c>
      <c r="D6" s="78">
        <v>100000</v>
      </c>
      <c r="E6" s="48"/>
      <c r="F6" s="76"/>
      <c r="G6" s="60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73"/>
    </row>
    <row r="7" spans="1:25" ht="16.5" customHeight="1">
      <c r="A7" s="638"/>
      <c r="B7" s="77" t="s">
        <v>74</v>
      </c>
      <c r="C7" s="62">
        <v>200000</v>
      </c>
      <c r="D7" s="78">
        <v>180000</v>
      </c>
      <c r="E7" s="72"/>
      <c r="F7" s="72"/>
      <c r="G7" s="60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73"/>
    </row>
    <row r="8" spans="1:25" ht="16.5" customHeight="1">
      <c r="A8" s="638"/>
      <c r="B8" s="77" t="s">
        <v>75</v>
      </c>
      <c r="C8" s="62">
        <v>250000</v>
      </c>
      <c r="D8" s="78">
        <v>200000</v>
      </c>
      <c r="E8" s="72"/>
      <c r="F8" s="72"/>
      <c r="G8" s="621"/>
      <c r="H8" s="1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73"/>
    </row>
    <row r="9" spans="1:25" ht="16.5" customHeight="1">
      <c r="A9" s="638"/>
      <c r="B9" s="77" t="s">
        <v>76</v>
      </c>
      <c r="C9" s="79">
        <v>440000</v>
      </c>
      <c r="D9" s="78">
        <v>400000</v>
      </c>
      <c r="E9" s="72"/>
      <c r="F9" s="72"/>
      <c r="G9" s="64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73"/>
    </row>
    <row r="10" spans="1:25" ht="16.5" customHeight="1">
      <c r="A10" s="639"/>
      <c r="B10" s="80" t="s">
        <v>77</v>
      </c>
      <c r="C10" s="81">
        <v>440000</v>
      </c>
      <c r="D10" s="82">
        <v>400000</v>
      </c>
      <c r="E10" s="72"/>
      <c r="F10" s="72"/>
      <c r="G10" s="603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73"/>
    </row>
    <row r="11" spans="1:25" ht="16.5" customHeight="1">
      <c r="A11" s="609" t="s">
        <v>78</v>
      </c>
      <c r="B11" s="77" t="s">
        <v>79</v>
      </c>
      <c r="C11" s="79">
        <v>130000</v>
      </c>
      <c r="D11" s="39">
        <v>100000</v>
      </c>
      <c r="E11" s="83"/>
      <c r="F11" s="72"/>
      <c r="G11" s="603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73"/>
    </row>
    <row r="12" spans="1:25" ht="16.5" customHeight="1">
      <c r="A12" s="608"/>
      <c r="B12" s="77" t="s">
        <v>80</v>
      </c>
      <c r="C12" s="79">
        <f>135000+95000</f>
        <v>230000</v>
      </c>
      <c r="D12" s="39">
        <v>180000</v>
      </c>
      <c r="E12" s="84"/>
      <c r="F12" s="50"/>
      <c r="G12" s="603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3"/>
    </row>
    <row r="13" spans="1:25" ht="16.5" customHeight="1">
      <c r="A13" s="608"/>
      <c r="B13" s="77" t="s">
        <v>81</v>
      </c>
      <c r="C13" s="79">
        <v>360000</v>
      </c>
      <c r="D13" s="39">
        <v>300000</v>
      </c>
      <c r="E13" s="85"/>
      <c r="F13" s="72"/>
      <c r="G13" s="601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73"/>
    </row>
    <row r="14" spans="1:25" ht="16.5" customHeight="1">
      <c r="A14" s="609" t="s">
        <v>82</v>
      </c>
      <c r="B14" s="86" t="s">
        <v>83</v>
      </c>
      <c r="C14" s="75">
        <v>120000</v>
      </c>
      <c r="D14" s="87">
        <v>100000</v>
      </c>
      <c r="E14" s="84"/>
      <c r="F14" s="72"/>
      <c r="G14" s="641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73"/>
    </row>
    <row r="15" spans="1:25" ht="16.5" customHeight="1">
      <c r="A15" s="608"/>
      <c r="B15" s="88" t="s">
        <v>84</v>
      </c>
      <c r="C15" s="78">
        <f>160000+105000</f>
        <v>265000</v>
      </c>
      <c r="D15" s="39">
        <v>200000</v>
      </c>
      <c r="E15" s="84"/>
      <c r="F15" s="72"/>
      <c r="G15" s="603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73"/>
    </row>
    <row r="16" spans="1:25" ht="16.5" customHeight="1">
      <c r="A16" s="610"/>
      <c r="B16" s="89" t="s">
        <v>85</v>
      </c>
      <c r="C16" s="78">
        <v>360000</v>
      </c>
      <c r="D16" s="39">
        <v>300000</v>
      </c>
      <c r="E16" s="84"/>
      <c r="F16" s="72"/>
      <c r="G16" s="601"/>
      <c r="H16" s="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73"/>
    </row>
    <row r="17" spans="1:25" ht="16.5" customHeight="1">
      <c r="A17" s="607" t="s">
        <v>27</v>
      </c>
      <c r="B17" s="90" t="s">
        <v>86</v>
      </c>
      <c r="C17" s="58">
        <v>70000</v>
      </c>
      <c r="D17" s="91">
        <v>50000</v>
      </c>
      <c r="E17" s="92"/>
      <c r="F17" s="60"/>
      <c r="G17" s="642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73"/>
    </row>
    <row r="18" spans="1:25" ht="16.5" customHeight="1">
      <c r="A18" s="608"/>
      <c r="B18" s="90" t="s">
        <v>87</v>
      </c>
      <c r="C18" s="62">
        <v>90000</v>
      </c>
      <c r="D18" s="93">
        <v>60000</v>
      </c>
      <c r="E18" s="92"/>
      <c r="F18" s="60"/>
      <c r="G18" s="603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73"/>
    </row>
    <row r="19" spans="1:25" ht="16.5" customHeight="1">
      <c r="A19" s="608"/>
      <c r="B19" s="90" t="s">
        <v>88</v>
      </c>
      <c r="C19" s="62">
        <v>150000</v>
      </c>
      <c r="D19" s="93">
        <v>100000</v>
      </c>
      <c r="E19" s="92"/>
      <c r="F19" s="60"/>
      <c r="G19" s="603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73"/>
    </row>
    <row r="20" spans="1:25" ht="16.5" customHeight="1">
      <c r="A20" s="608"/>
      <c r="B20" s="90" t="s">
        <v>89</v>
      </c>
      <c r="C20" s="62">
        <v>240000</v>
      </c>
      <c r="D20" s="93">
        <v>180000</v>
      </c>
      <c r="E20" s="92"/>
      <c r="F20" s="60"/>
      <c r="G20" s="603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73"/>
    </row>
    <row r="21" spans="1:25" ht="16.5" customHeight="1">
      <c r="A21" s="608"/>
      <c r="B21" s="94" t="s">
        <v>90</v>
      </c>
      <c r="C21" s="62">
        <v>280000</v>
      </c>
      <c r="D21" s="93">
        <v>240000</v>
      </c>
      <c r="E21" s="95"/>
      <c r="F21" s="60"/>
      <c r="G21" s="601"/>
      <c r="H21" s="1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73"/>
    </row>
    <row r="22" spans="1:25" ht="16.5" customHeight="1">
      <c r="A22" s="604" t="s">
        <v>33</v>
      </c>
      <c r="B22" s="96" t="s">
        <v>64</v>
      </c>
      <c r="C22" s="97">
        <v>110000</v>
      </c>
      <c r="D22" s="98">
        <v>90000</v>
      </c>
      <c r="E22" s="99"/>
      <c r="F22" s="69"/>
      <c r="G22" s="643"/>
      <c r="H22" s="624" t="s">
        <v>91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73"/>
    </row>
    <row r="23" spans="1:25" ht="16.5" customHeight="1">
      <c r="A23" s="605"/>
      <c r="B23" s="90" t="s">
        <v>65</v>
      </c>
      <c r="C23" s="67">
        <v>165000</v>
      </c>
      <c r="D23" s="100">
        <v>120000</v>
      </c>
      <c r="E23" s="99"/>
      <c r="F23" s="69"/>
      <c r="G23" s="603"/>
      <c r="H23" s="60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73"/>
    </row>
    <row r="24" spans="1:25" ht="16.5" customHeight="1">
      <c r="A24" s="606"/>
      <c r="B24" s="90" t="s">
        <v>66</v>
      </c>
      <c r="C24" s="70">
        <v>150000</v>
      </c>
      <c r="D24" s="101">
        <v>120000</v>
      </c>
      <c r="E24" s="84"/>
      <c r="F24" s="72"/>
      <c r="G24" s="621"/>
      <c r="H24" s="60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3"/>
    </row>
    <row r="25" spans="1:25" ht="16.5" customHeight="1">
      <c r="A25" s="609" t="s">
        <v>92</v>
      </c>
      <c r="B25" s="611"/>
      <c r="C25" s="611"/>
      <c r="D25" s="611"/>
      <c r="E25" s="611"/>
      <c r="F25" s="611"/>
      <c r="G25" s="611"/>
      <c r="H25" s="6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3"/>
    </row>
    <row r="26" spans="1:25" ht="16.5" customHeight="1">
      <c r="A26" s="608"/>
      <c r="B26" s="613"/>
      <c r="C26" s="613"/>
      <c r="D26" s="613"/>
      <c r="E26" s="613"/>
      <c r="F26" s="613"/>
      <c r="G26" s="613"/>
      <c r="H26" s="6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73"/>
    </row>
    <row r="27" spans="1:25" ht="16.5" customHeight="1">
      <c r="A27" s="608"/>
      <c r="B27" s="613"/>
      <c r="C27" s="613"/>
      <c r="D27" s="613"/>
      <c r="E27" s="613"/>
      <c r="F27" s="613"/>
      <c r="G27" s="613"/>
      <c r="H27" s="6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73"/>
    </row>
    <row r="28" spans="1:25" ht="16.5" customHeight="1">
      <c r="A28" s="608"/>
      <c r="B28" s="613"/>
      <c r="C28" s="613"/>
      <c r="D28" s="613"/>
      <c r="E28" s="613"/>
      <c r="F28" s="613"/>
      <c r="G28" s="613"/>
      <c r="H28" s="6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3"/>
    </row>
    <row r="29" spans="1:25" ht="16.5" customHeight="1">
      <c r="A29" s="610"/>
      <c r="B29" s="615"/>
      <c r="C29" s="615"/>
      <c r="D29" s="615"/>
      <c r="E29" s="615"/>
      <c r="F29" s="615"/>
      <c r="G29" s="615"/>
      <c r="H29" s="61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73"/>
    </row>
    <row r="30" spans="1:25" ht="16.5" customHeight="1">
      <c r="A30" s="1"/>
      <c r="B30" s="1"/>
      <c r="C30" s="35"/>
      <c r="D30" s="35"/>
      <c r="E30" s="36"/>
      <c r="F30" s="37"/>
      <c r="G30" s="37"/>
      <c r="H30" s="3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73"/>
    </row>
    <row r="31" spans="1:25" ht="16.5" customHeight="1">
      <c r="A31" s="1"/>
      <c r="B31" s="1"/>
      <c r="C31" s="38"/>
      <c r="D31" s="3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3"/>
    </row>
    <row r="32" spans="1:25" ht="16.5" customHeight="1">
      <c r="A32" s="1"/>
      <c r="B32" s="1"/>
      <c r="C32" s="38"/>
      <c r="D32" s="3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73"/>
    </row>
    <row r="33" spans="1:25" ht="16.5" customHeight="1">
      <c r="A33" s="1"/>
      <c r="B33" s="1"/>
      <c r="C33" s="35"/>
      <c r="D33" s="35"/>
      <c r="E33" s="36"/>
      <c r="F33" s="37"/>
      <c r="G33" s="37"/>
      <c r="H33" s="3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73"/>
    </row>
    <row r="34" spans="1:25" ht="16.5" customHeight="1">
      <c r="A34" s="1"/>
      <c r="B34" s="1"/>
      <c r="C34" s="35"/>
      <c r="D34" s="35"/>
      <c r="E34" s="36"/>
      <c r="F34" s="37"/>
      <c r="G34" s="37"/>
      <c r="H34" s="3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73"/>
    </row>
    <row r="35" spans="1:25" ht="16.5" customHeight="1">
      <c r="A35" s="1"/>
      <c r="B35" s="1"/>
      <c r="C35" s="35"/>
      <c r="D35" s="35"/>
      <c r="E35" s="36"/>
      <c r="F35" s="37"/>
      <c r="G35" s="37"/>
      <c r="H35" s="3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73"/>
    </row>
    <row r="36" spans="1:25" ht="16.5" customHeight="1">
      <c r="A36" s="1"/>
      <c r="B36" s="1"/>
      <c r="C36" s="35"/>
      <c r="D36" s="35"/>
      <c r="E36" s="36"/>
      <c r="F36" s="37"/>
      <c r="G36" s="37"/>
      <c r="H36" s="3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73"/>
    </row>
    <row r="37" spans="1:25" ht="16.5" customHeight="1">
      <c r="A37" s="1"/>
      <c r="B37" s="1"/>
      <c r="C37" s="35"/>
      <c r="D37" s="35"/>
      <c r="E37" s="36"/>
      <c r="F37" s="37"/>
      <c r="G37" s="37"/>
      <c r="H37" s="3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73"/>
    </row>
    <row r="38" spans="1:25" ht="16.5" customHeight="1">
      <c r="A38" s="1"/>
      <c r="B38" s="1"/>
      <c r="C38" s="35"/>
      <c r="D38" s="35"/>
      <c r="E38" s="36"/>
      <c r="F38" s="37"/>
      <c r="G38" s="37"/>
      <c r="H38" s="3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73"/>
    </row>
    <row r="39" spans="1:25" ht="16.5" customHeight="1">
      <c r="A39" s="1"/>
      <c r="B39" s="1"/>
      <c r="C39" s="35"/>
      <c r="D39" s="35"/>
      <c r="E39" s="36"/>
      <c r="F39" s="37"/>
      <c r="G39" s="37"/>
      <c r="H39" s="3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73"/>
    </row>
    <row r="40" spans="1:25" ht="16.5" customHeight="1">
      <c r="A40" s="1"/>
      <c r="B40" s="1"/>
      <c r="C40" s="35"/>
      <c r="D40" s="35"/>
      <c r="E40" s="36"/>
      <c r="F40" s="37"/>
      <c r="G40" s="37"/>
      <c r="H40" s="3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73"/>
    </row>
    <row r="41" spans="1:25" ht="16.5" customHeight="1">
      <c r="A41" s="1"/>
      <c r="B41" s="1"/>
      <c r="C41" s="35"/>
      <c r="D41" s="35"/>
      <c r="E41" s="36"/>
      <c r="F41" s="37"/>
      <c r="G41" s="37"/>
      <c r="H41" s="3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73"/>
    </row>
    <row r="42" spans="1:25" ht="16.5" customHeight="1">
      <c r="A42" s="1"/>
      <c r="B42" s="1"/>
      <c r="C42" s="35"/>
      <c r="D42" s="35"/>
      <c r="E42" s="36"/>
      <c r="F42" s="37"/>
      <c r="G42" s="37"/>
      <c r="H42" s="3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73"/>
    </row>
    <row r="43" spans="1:25" ht="16.5" customHeight="1">
      <c r="A43" s="1"/>
      <c r="B43" s="1"/>
      <c r="C43" s="35"/>
      <c r="D43" s="35"/>
      <c r="E43" s="36"/>
      <c r="F43" s="37"/>
      <c r="G43" s="37"/>
      <c r="H43" s="3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73"/>
    </row>
    <row r="44" spans="1:25" ht="16.5" customHeight="1">
      <c r="A44" s="1"/>
      <c r="B44" s="1"/>
      <c r="C44" s="35"/>
      <c r="D44" s="35"/>
      <c r="E44" s="36"/>
      <c r="F44" s="37"/>
      <c r="G44" s="37"/>
      <c r="H44" s="3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73"/>
    </row>
    <row r="45" spans="1:25" ht="16.5" customHeight="1">
      <c r="A45" s="1"/>
      <c r="B45" s="1"/>
      <c r="C45" s="35"/>
      <c r="D45" s="35"/>
      <c r="E45" s="36"/>
      <c r="F45" s="37"/>
      <c r="G45" s="37"/>
      <c r="H45" s="3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73"/>
    </row>
    <row r="46" spans="1:25" ht="16.5" customHeight="1">
      <c r="A46" s="1"/>
      <c r="B46" s="1"/>
      <c r="C46" s="35"/>
      <c r="D46" s="35"/>
      <c r="E46" s="36"/>
      <c r="F46" s="37"/>
      <c r="G46" s="37"/>
      <c r="H46" s="3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73"/>
    </row>
    <row r="47" spans="1:25" ht="16.5" customHeight="1">
      <c r="A47" s="1"/>
      <c r="B47" s="1"/>
      <c r="C47" s="35"/>
      <c r="D47" s="35"/>
      <c r="E47" s="36"/>
      <c r="F47" s="37"/>
      <c r="G47" s="37"/>
      <c r="H47" s="3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73"/>
    </row>
    <row r="48" spans="1:25" ht="16.5" customHeight="1">
      <c r="A48" s="1"/>
      <c r="B48" s="1"/>
      <c r="C48" s="35"/>
      <c r="D48" s="35"/>
      <c r="E48" s="36"/>
      <c r="F48" s="37"/>
      <c r="G48" s="37"/>
      <c r="H48" s="3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73"/>
    </row>
    <row r="49" spans="1:25" ht="16.5" customHeight="1">
      <c r="A49" s="1"/>
      <c r="B49" s="1"/>
      <c r="C49" s="35"/>
      <c r="D49" s="35"/>
      <c r="E49" s="36"/>
      <c r="F49" s="37"/>
      <c r="G49" s="37"/>
      <c r="H49" s="3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73"/>
    </row>
    <row r="50" spans="1:25" ht="16.5" customHeight="1">
      <c r="A50" s="1"/>
      <c r="B50" s="1"/>
      <c r="C50" s="35"/>
      <c r="D50" s="35"/>
      <c r="E50" s="36"/>
      <c r="F50" s="37"/>
      <c r="G50" s="37"/>
      <c r="H50" s="3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73"/>
    </row>
    <row r="51" spans="1:25" ht="16.5" customHeight="1">
      <c r="A51" s="1"/>
      <c r="B51" s="1"/>
      <c r="C51" s="35"/>
      <c r="D51" s="35"/>
      <c r="E51" s="36"/>
      <c r="F51" s="37"/>
      <c r="G51" s="37"/>
      <c r="H51" s="3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73"/>
    </row>
    <row r="52" spans="1:25" ht="16.5" customHeight="1">
      <c r="A52" s="1"/>
      <c r="B52" s="1"/>
      <c r="C52" s="35"/>
      <c r="D52" s="35"/>
      <c r="E52" s="36"/>
      <c r="F52" s="37"/>
      <c r="G52" s="37"/>
      <c r="H52" s="3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73"/>
    </row>
    <row r="53" spans="1:25" ht="16.5" customHeight="1">
      <c r="A53" s="1"/>
      <c r="B53" s="1"/>
      <c r="C53" s="35"/>
      <c r="D53" s="35"/>
      <c r="E53" s="36"/>
      <c r="F53" s="37"/>
      <c r="G53" s="37"/>
      <c r="H53" s="3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73"/>
    </row>
    <row r="54" spans="1:25" ht="16.5" customHeight="1">
      <c r="A54" s="1"/>
      <c r="B54" s="1"/>
      <c r="C54" s="35"/>
      <c r="D54" s="35"/>
      <c r="E54" s="36"/>
      <c r="F54" s="37"/>
      <c r="G54" s="37"/>
      <c r="H54" s="3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73"/>
    </row>
    <row r="55" spans="1:25" ht="16.5" customHeight="1">
      <c r="A55" s="1"/>
      <c r="B55" s="1"/>
      <c r="C55" s="35"/>
      <c r="D55" s="35"/>
      <c r="E55" s="36"/>
      <c r="F55" s="37"/>
      <c r="G55" s="37"/>
      <c r="H55" s="3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73"/>
    </row>
    <row r="56" spans="1:25" ht="16.5" customHeight="1">
      <c r="A56" s="1"/>
      <c r="B56" s="1"/>
      <c r="C56" s="35"/>
      <c r="D56" s="35"/>
      <c r="E56" s="36"/>
      <c r="F56" s="37"/>
      <c r="G56" s="37"/>
      <c r="H56" s="3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73"/>
    </row>
    <row r="57" spans="1:25" ht="16.5" customHeight="1">
      <c r="A57" s="1"/>
      <c r="B57" s="1"/>
      <c r="C57" s="35"/>
      <c r="D57" s="35"/>
      <c r="E57" s="36"/>
      <c r="F57" s="37"/>
      <c r="G57" s="37"/>
      <c r="H57" s="3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73"/>
    </row>
    <row r="58" spans="1:25" ht="16.5" customHeight="1">
      <c r="A58" s="1"/>
      <c r="B58" s="1"/>
      <c r="C58" s="35"/>
      <c r="D58" s="35"/>
      <c r="E58" s="36"/>
      <c r="F58" s="37"/>
      <c r="G58" s="37"/>
      <c r="H58" s="3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73"/>
    </row>
    <row r="59" spans="1:25" ht="16.5" customHeight="1">
      <c r="A59" s="1"/>
      <c r="B59" s="1"/>
      <c r="C59" s="35"/>
      <c r="D59" s="35"/>
      <c r="E59" s="36"/>
      <c r="F59" s="37"/>
      <c r="G59" s="37"/>
      <c r="H59" s="3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73"/>
    </row>
    <row r="60" spans="1:25" ht="16.5" customHeight="1">
      <c r="A60" s="1"/>
      <c r="B60" s="1"/>
      <c r="C60" s="35"/>
      <c r="D60" s="35"/>
      <c r="E60" s="36"/>
      <c r="F60" s="37"/>
      <c r="G60" s="37"/>
      <c r="H60" s="3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73"/>
    </row>
    <row r="61" spans="1:25" ht="16.5" customHeight="1">
      <c r="A61" s="1"/>
      <c r="B61" s="1"/>
      <c r="C61" s="35"/>
      <c r="D61" s="35"/>
      <c r="E61" s="36"/>
      <c r="F61" s="37"/>
      <c r="G61" s="37"/>
      <c r="H61" s="3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3"/>
    </row>
    <row r="62" spans="1:25" ht="16.5" customHeight="1">
      <c r="A62" s="1"/>
      <c r="B62" s="1"/>
      <c r="C62" s="35"/>
      <c r="D62" s="35"/>
      <c r="E62" s="36"/>
      <c r="F62" s="37"/>
      <c r="G62" s="37"/>
      <c r="H62" s="3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3"/>
    </row>
    <row r="63" spans="1:25" ht="16.5" customHeight="1">
      <c r="A63" s="1"/>
      <c r="B63" s="1"/>
      <c r="C63" s="35"/>
      <c r="D63" s="35"/>
      <c r="E63" s="36"/>
      <c r="F63" s="37"/>
      <c r="G63" s="37"/>
      <c r="H63" s="3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3"/>
    </row>
    <row r="64" spans="1:25" ht="16.5" customHeight="1">
      <c r="A64" s="1"/>
      <c r="B64" s="1"/>
      <c r="C64" s="35"/>
      <c r="D64" s="35"/>
      <c r="E64" s="36"/>
      <c r="F64" s="37"/>
      <c r="G64" s="37"/>
      <c r="H64" s="3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3"/>
    </row>
    <row r="65" spans="1:25" ht="16.5" customHeight="1">
      <c r="A65" s="1"/>
      <c r="B65" s="1"/>
      <c r="C65" s="35"/>
      <c r="D65" s="35"/>
      <c r="E65" s="36"/>
      <c r="F65" s="37"/>
      <c r="G65" s="37"/>
      <c r="H65" s="3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3"/>
    </row>
    <row r="66" spans="1:25" ht="16.5" customHeight="1">
      <c r="A66" s="1"/>
      <c r="B66" s="1"/>
      <c r="C66" s="35"/>
      <c r="D66" s="35"/>
      <c r="E66" s="36"/>
      <c r="F66" s="37"/>
      <c r="G66" s="37"/>
      <c r="H66" s="3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3"/>
    </row>
    <row r="67" spans="1:25" ht="16.5" customHeight="1">
      <c r="A67" s="1"/>
      <c r="B67" s="1"/>
      <c r="C67" s="35"/>
      <c r="D67" s="35"/>
      <c r="E67" s="36"/>
      <c r="F67" s="37"/>
      <c r="G67" s="37"/>
      <c r="H67" s="3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3"/>
    </row>
    <row r="68" spans="1:25" ht="16.5" customHeight="1">
      <c r="A68" s="1"/>
      <c r="B68" s="1"/>
      <c r="C68" s="35"/>
      <c r="D68" s="35"/>
      <c r="E68" s="36"/>
      <c r="F68" s="37"/>
      <c r="G68" s="37"/>
      <c r="H68" s="3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3"/>
    </row>
    <row r="69" spans="1:25" ht="16.5" customHeight="1">
      <c r="A69" s="1"/>
      <c r="B69" s="1"/>
      <c r="C69" s="35"/>
      <c r="D69" s="35"/>
      <c r="E69" s="36"/>
      <c r="F69" s="37"/>
      <c r="G69" s="37"/>
      <c r="H69" s="3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3"/>
    </row>
    <row r="70" spans="1:25" ht="16.5" customHeight="1">
      <c r="A70" s="1"/>
      <c r="B70" s="1"/>
      <c r="C70" s="35"/>
      <c r="D70" s="35"/>
      <c r="E70" s="36"/>
      <c r="F70" s="37"/>
      <c r="G70" s="37"/>
      <c r="H70" s="3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73"/>
    </row>
    <row r="71" spans="1:25" ht="16.5" customHeight="1">
      <c r="A71" s="1"/>
      <c r="B71" s="1"/>
      <c r="C71" s="35"/>
      <c r="D71" s="35"/>
      <c r="E71" s="36"/>
      <c r="F71" s="37"/>
      <c r="G71" s="37"/>
      <c r="H71" s="3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73"/>
    </row>
    <row r="72" spans="1:25" ht="16.5" customHeight="1">
      <c r="A72" s="1"/>
      <c r="B72" s="1"/>
      <c r="C72" s="35"/>
      <c r="D72" s="35"/>
      <c r="E72" s="36"/>
      <c r="F72" s="37"/>
      <c r="G72" s="37"/>
      <c r="H72" s="3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73"/>
    </row>
    <row r="73" spans="1:25" ht="16.5" customHeight="1">
      <c r="A73" s="1"/>
      <c r="B73" s="1"/>
      <c r="C73" s="35"/>
      <c r="D73" s="35"/>
      <c r="E73" s="36"/>
      <c r="F73" s="37"/>
      <c r="G73" s="37"/>
      <c r="H73" s="3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3"/>
    </row>
    <row r="74" spans="1:25" ht="16.5" customHeight="1">
      <c r="A74" s="1"/>
      <c r="B74" s="1"/>
      <c r="C74" s="35"/>
      <c r="D74" s="35"/>
      <c r="E74" s="36"/>
      <c r="F74" s="37"/>
      <c r="G74" s="37"/>
      <c r="H74" s="3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3"/>
    </row>
    <row r="75" spans="1:25" ht="16.5" customHeight="1">
      <c r="A75" s="1"/>
      <c r="B75" s="1"/>
      <c r="C75" s="35"/>
      <c r="D75" s="35"/>
      <c r="E75" s="36"/>
      <c r="F75" s="37"/>
      <c r="G75" s="37"/>
      <c r="H75" s="3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3"/>
    </row>
    <row r="76" spans="1:25" ht="16.5" customHeight="1">
      <c r="A76" s="1"/>
      <c r="B76" s="1"/>
      <c r="C76" s="35"/>
      <c r="D76" s="35"/>
      <c r="E76" s="36"/>
      <c r="F76" s="37"/>
      <c r="G76" s="37"/>
      <c r="H76" s="3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3"/>
    </row>
    <row r="77" spans="1:25" ht="16.5" customHeight="1">
      <c r="A77" s="1"/>
      <c r="B77" s="1"/>
      <c r="C77" s="35"/>
      <c r="D77" s="35"/>
      <c r="E77" s="36"/>
      <c r="F77" s="37"/>
      <c r="G77" s="37"/>
      <c r="H77" s="3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3"/>
    </row>
    <row r="78" spans="1:25" ht="16.5" customHeight="1">
      <c r="A78" s="1"/>
      <c r="B78" s="1"/>
      <c r="C78" s="35"/>
      <c r="D78" s="35"/>
      <c r="E78" s="36"/>
      <c r="F78" s="37"/>
      <c r="G78" s="37"/>
      <c r="H78" s="3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3"/>
    </row>
    <row r="79" spans="1:25" ht="16.5" customHeight="1">
      <c r="A79" s="1"/>
      <c r="B79" s="1"/>
      <c r="C79" s="35"/>
      <c r="D79" s="35"/>
      <c r="E79" s="36"/>
      <c r="F79" s="37"/>
      <c r="G79" s="37"/>
      <c r="H79" s="3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3"/>
    </row>
    <row r="80" spans="1:25" ht="16.5" customHeight="1">
      <c r="A80" s="1"/>
      <c r="B80" s="1"/>
      <c r="C80" s="35"/>
      <c r="D80" s="35"/>
      <c r="E80" s="36"/>
      <c r="F80" s="37"/>
      <c r="G80" s="37"/>
      <c r="H80" s="3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3"/>
    </row>
    <row r="81" spans="1:25" ht="16.5" customHeight="1">
      <c r="A81" s="1"/>
      <c r="B81" s="1"/>
      <c r="C81" s="35"/>
      <c r="D81" s="35"/>
      <c r="E81" s="36"/>
      <c r="F81" s="37"/>
      <c r="G81" s="37"/>
      <c r="H81" s="3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3"/>
    </row>
    <row r="82" spans="1:25" ht="16.5" customHeight="1">
      <c r="A82" s="1"/>
      <c r="B82" s="1"/>
      <c r="C82" s="35"/>
      <c r="D82" s="35"/>
      <c r="E82" s="36"/>
      <c r="F82" s="37"/>
      <c r="G82" s="37"/>
      <c r="H82" s="3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3"/>
    </row>
    <row r="83" spans="1:25" ht="16.5" customHeight="1">
      <c r="A83" s="1"/>
      <c r="B83" s="1"/>
      <c r="C83" s="35"/>
      <c r="D83" s="35"/>
      <c r="E83" s="36"/>
      <c r="F83" s="37"/>
      <c r="G83" s="37"/>
      <c r="H83" s="3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3"/>
    </row>
    <row r="84" spans="1:25" ht="16.5" customHeight="1">
      <c r="A84" s="1"/>
      <c r="B84" s="1"/>
      <c r="C84" s="35"/>
      <c r="D84" s="35"/>
      <c r="E84" s="36"/>
      <c r="F84" s="37"/>
      <c r="G84" s="37"/>
      <c r="H84" s="3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3"/>
    </row>
    <row r="85" spans="1:25" ht="16.5" customHeight="1">
      <c r="A85" s="1"/>
      <c r="B85" s="1"/>
      <c r="C85" s="35"/>
      <c r="D85" s="35"/>
      <c r="E85" s="36"/>
      <c r="F85" s="37"/>
      <c r="G85" s="37"/>
      <c r="H85" s="3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3"/>
    </row>
    <row r="86" spans="1:25" ht="16.5" customHeight="1">
      <c r="A86" s="1"/>
      <c r="B86" s="1"/>
      <c r="C86" s="35"/>
      <c r="D86" s="35"/>
      <c r="E86" s="36"/>
      <c r="F86" s="37"/>
      <c r="G86" s="37"/>
      <c r="H86" s="3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3"/>
    </row>
    <row r="87" spans="1:25" ht="16.5" customHeight="1">
      <c r="A87" s="1"/>
      <c r="B87" s="1"/>
      <c r="C87" s="35"/>
      <c r="D87" s="35"/>
      <c r="E87" s="36"/>
      <c r="F87" s="37"/>
      <c r="G87" s="37"/>
      <c r="H87" s="3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3"/>
    </row>
    <row r="88" spans="1:25" ht="16.5" customHeight="1">
      <c r="A88" s="1"/>
      <c r="B88" s="1"/>
      <c r="C88" s="35"/>
      <c r="D88" s="35"/>
      <c r="E88" s="36"/>
      <c r="F88" s="37"/>
      <c r="G88" s="37"/>
      <c r="H88" s="3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3"/>
    </row>
    <row r="89" spans="1:25" ht="16.5" customHeight="1">
      <c r="A89" s="1"/>
      <c r="B89" s="1"/>
      <c r="C89" s="35"/>
      <c r="D89" s="35"/>
      <c r="E89" s="36"/>
      <c r="F89" s="37"/>
      <c r="G89" s="37"/>
      <c r="H89" s="3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3"/>
    </row>
    <row r="90" spans="1:25" ht="16.5" customHeight="1">
      <c r="A90" s="1"/>
      <c r="B90" s="1"/>
      <c r="C90" s="35"/>
      <c r="D90" s="35"/>
      <c r="E90" s="36"/>
      <c r="F90" s="37"/>
      <c r="G90" s="37"/>
      <c r="H90" s="3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3"/>
    </row>
    <row r="91" spans="1:25" ht="16.5" customHeight="1">
      <c r="A91" s="1"/>
      <c r="B91" s="1"/>
      <c r="C91" s="35"/>
      <c r="D91" s="35"/>
      <c r="E91" s="36"/>
      <c r="F91" s="37"/>
      <c r="G91" s="37"/>
      <c r="H91" s="3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3"/>
    </row>
    <row r="92" spans="1:25" ht="16.5" customHeight="1">
      <c r="A92" s="1"/>
      <c r="B92" s="1"/>
      <c r="C92" s="35"/>
      <c r="D92" s="35"/>
      <c r="E92" s="36"/>
      <c r="F92" s="37"/>
      <c r="G92" s="37"/>
      <c r="H92" s="3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3"/>
    </row>
    <row r="93" spans="1:25" ht="16.5" customHeight="1">
      <c r="A93" s="1"/>
      <c r="B93" s="1"/>
      <c r="C93" s="35"/>
      <c r="D93" s="35"/>
      <c r="E93" s="36"/>
      <c r="F93" s="37"/>
      <c r="G93" s="37"/>
      <c r="H93" s="3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3"/>
    </row>
    <row r="94" spans="1:25" ht="16.5" customHeight="1">
      <c r="A94" s="1"/>
      <c r="B94" s="1"/>
      <c r="C94" s="35"/>
      <c r="D94" s="35"/>
      <c r="E94" s="36"/>
      <c r="F94" s="37"/>
      <c r="G94" s="37"/>
      <c r="H94" s="3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3"/>
    </row>
    <row r="95" spans="1:25" ht="16.5" customHeight="1">
      <c r="A95" s="1"/>
      <c r="B95" s="1"/>
      <c r="C95" s="35"/>
      <c r="D95" s="35"/>
      <c r="E95" s="36"/>
      <c r="F95" s="37"/>
      <c r="G95" s="37"/>
      <c r="H95" s="3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3"/>
    </row>
    <row r="96" spans="1:25" ht="16.5" customHeight="1">
      <c r="A96" s="1"/>
      <c r="B96" s="1"/>
      <c r="C96" s="35"/>
      <c r="D96" s="35"/>
      <c r="E96" s="36"/>
      <c r="F96" s="37"/>
      <c r="G96" s="37"/>
      <c r="H96" s="3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3"/>
    </row>
    <row r="97" spans="1:25" ht="15.75" customHeight="1">
      <c r="A97" s="1"/>
      <c r="B97" s="1"/>
      <c r="C97" s="35"/>
      <c r="D97" s="35"/>
      <c r="E97" s="36"/>
      <c r="F97" s="37"/>
      <c r="G97" s="37"/>
      <c r="H97" s="3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3"/>
    </row>
    <row r="98" spans="1:25" ht="15.75" customHeight="1">
      <c r="A98" s="1"/>
      <c r="B98" s="1"/>
      <c r="C98" s="35"/>
      <c r="D98" s="35"/>
      <c r="E98" s="36"/>
      <c r="F98" s="37"/>
      <c r="G98" s="37"/>
      <c r="H98" s="3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3"/>
    </row>
    <row r="99" spans="1:25" ht="15.75" customHeight="1">
      <c r="A99" s="1"/>
      <c r="B99" s="1"/>
      <c r="C99" s="35"/>
      <c r="D99" s="35"/>
      <c r="E99" s="36"/>
      <c r="F99" s="37"/>
      <c r="G99" s="37"/>
      <c r="H99" s="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3"/>
    </row>
    <row r="100" spans="1:25" ht="15.75" customHeight="1">
      <c r="A100" s="1"/>
      <c r="B100" s="1"/>
      <c r="C100" s="35"/>
      <c r="D100" s="35"/>
      <c r="E100" s="36"/>
      <c r="F100" s="37"/>
      <c r="G100" s="37"/>
      <c r="H100" s="3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3"/>
    </row>
    <row r="101" spans="1:25" ht="15.75" customHeight="1">
      <c r="A101" s="1"/>
      <c r="B101" s="1"/>
      <c r="C101" s="35"/>
      <c r="D101" s="35"/>
      <c r="E101" s="36"/>
      <c r="F101" s="37"/>
      <c r="G101" s="37"/>
      <c r="H101" s="3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3"/>
    </row>
    <row r="102" spans="1:25" ht="15.75" customHeight="1">
      <c r="A102" s="1"/>
      <c r="B102" s="1"/>
      <c r="C102" s="39"/>
      <c r="D102" s="39"/>
      <c r="E102" s="37"/>
      <c r="F102" s="37"/>
      <c r="G102" s="37"/>
      <c r="H102" s="3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3"/>
    </row>
    <row r="103" spans="1:25" ht="15.75" customHeight="1">
      <c r="A103" s="1"/>
      <c r="B103" s="1"/>
      <c r="C103" s="39"/>
      <c r="D103" s="39"/>
      <c r="E103" s="37"/>
      <c r="F103" s="37"/>
      <c r="G103" s="37"/>
      <c r="H103" s="3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3"/>
    </row>
    <row r="104" spans="1:25" ht="15.75" customHeight="1">
      <c r="A104" s="1"/>
      <c r="B104" s="1"/>
      <c r="C104" s="39"/>
      <c r="D104" s="39"/>
      <c r="E104" s="37"/>
      <c r="F104" s="37"/>
      <c r="G104" s="37"/>
      <c r="H104" s="3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3"/>
    </row>
    <row r="105" spans="1:25" ht="15.75" customHeight="1">
      <c r="A105" s="1"/>
      <c r="B105" s="1"/>
      <c r="C105" s="39"/>
      <c r="D105" s="39"/>
      <c r="E105" s="37"/>
      <c r="F105" s="37"/>
      <c r="G105" s="37"/>
      <c r="H105" s="3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3"/>
    </row>
    <row r="106" spans="1:25" ht="15.75" customHeight="1">
      <c r="A106" s="1"/>
      <c r="B106" s="1"/>
      <c r="C106" s="39"/>
      <c r="D106" s="39"/>
      <c r="E106" s="37"/>
      <c r="F106" s="37"/>
      <c r="G106" s="37"/>
      <c r="H106" s="3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3"/>
    </row>
    <row r="107" spans="1:25" ht="15.75" customHeight="1">
      <c r="A107" s="1"/>
      <c r="B107" s="1"/>
      <c r="C107" s="39"/>
      <c r="D107" s="39"/>
      <c r="E107" s="37"/>
      <c r="F107" s="37"/>
      <c r="G107" s="37"/>
      <c r="H107" s="3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3"/>
    </row>
    <row r="108" spans="1:25" ht="15.75" customHeight="1">
      <c r="A108" s="1"/>
      <c r="B108" s="1"/>
      <c r="C108" s="39"/>
      <c r="D108" s="39"/>
      <c r="E108" s="37"/>
      <c r="F108" s="37"/>
      <c r="G108" s="37"/>
      <c r="H108" s="3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3"/>
    </row>
    <row r="109" spans="1:25" ht="15.75" customHeight="1">
      <c r="A109" s="1"/>
      <c r="B109" s="1"/>
      <c r="C109" s="39"/>
      <c r="D109" s="39"/>
      <c r="E109" s="37"/>
      <c r="F109" s="37"/>
      <c r="G109" s="37"/>
      <c r="H109" s="3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3"/>
    </row>
    <row r="110" spans="1:25" ht="15.75" customHeight="1">
      <c r="A110" s="1"/>
      <c r="B110" s="1"/>
      <c r="C110" s="39"/>
      <c r="D110" s="39"/>
      <c r="E110" s="37"/>
      <c r="F110" s="37"/>
      <c r="G110" s="37"/>
      <c r="H110" s="3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3"/>
    </row>
    <row r="111" spans="1:25" ht="15.75" customHeight="1">
      <c r="A111" s="1"/>
      <c r="B111" s="1"/>
      <c r="C111" s="39"/>
      <c r="D111" s="39"/>
      <c r="E111" s="37"/>
      <c r="F111" s="37"/>
      <c r="G111" s="37"/>
      <c r="H111" s="3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3"/>
    </row>
    <row r="112" spans="1:25" ht="15.75" customHeight="1">
      <c r="A112" s="1"/>
      <c r="B112" s="1"/>
      <c r="C112" s="39"/>
      <c r="D112" s="39"/>
      <c r="E112" s="37"/>
      <c r="F112" s="37"/>
      <c r="G112" s="37"/>
      <c r="H112" s="3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3"/>
    </row>
    <row r="113" spans="1:25" ht="15.75" customHeight="1">
      <c r="A113" s="1"/>
      <c r="B113" s="1"/>
      <c r="C113" s="39"/>
      <c r="D113" s="39"/>
      <c r="E113" s="37"/>
      <c r="F113" s="37"/>
      <c r="G113" s="37"/>
      <c r="H113" s="3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3"/>
    </row>
    <row r="114" spans="1:25" ht="15.75" customHeight="1">
      <c r="A114" s="1"/>
      <c r="B114" s="1"/>
      <c r="C114" s="39"/>
      <c r="D114" s="39"/>
      <c r="E114" s="37"/>
      <c r="F114" s="37"/>
      <c r="G114" s="37"/>
      <c r="H114" s="3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3"/>
    </row>
    <row r="115" spans="1:25" ht="15.75" customHeight="1">
      <c r="A115" s="1"/>
      <c r="B115" s="1"/>
      <c r="C115" s="39"/>
      <c r="D115" s="39"/>
      <c r="E115" s="37"/>
      <c r="F115" s="37"/>
      <c r="G115" s="37"/>
      <c r="H115" s="3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3"/>
    </row>
    <row r="116" spans="1:25" ht="15.75" customHeight="1">
      <c r="A116" s="1"/>
      <c r="B116" s="1"/>
      <c r="C116" s="39"/>
      <c r="D116" s="39"/>
      <c r="E116" s="37"/>
      <c r="F116" s="37"/>
      <c r="G116" s="37"/>
      <c r="H116" s="3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3"/>
    </row>
    <row r="117" spans="1:25" ht="15.75" customHeight="1">
      <c r="A117" s="1"/>
      <c r="B117" s="1"/>
      <c r="C117" s="39"/>
      <c r="D117" s="39"/>
      <c r="E117" s="37"/>
      <c r="F117" s="37"/>
      <c r="G117" s="37"/>
      <c r="H117" s="3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3"/>
    </row>
    <row r="118" spans="1:25" ht="15.75" customHeight="1">
      <c r="A118" s="1"/>
      <c r="B118" s="1"/>
      <c r="C118" s="39"/>
      <c r="D118" s="39"/>
      <c r="E118" s="37"/>
      <c r="F118" s="37"/>
      <c r="G118" s="37"/>
      <c r="H118" s="3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3"/>
    </row>
    <row r="119" spans="1:25" ht="15.75" customHeight="1">
      <c r="A119" s="1"/>
      <c r="B119" s="1"/>
      <c r="C119" s="39"/>
      <c r="D119" s="39"/>
      <c r="E119" s="37"/>
      <c r="F119" s="37"/>
      <c r="G119" s="37"/>
      <c r="H119" s="3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3"/>
    </row>
    <row r="120" spans="1:25" ht="15.75" customHeight="1">
      <c r="A120" s="1"/>
      <c r="B120" s="1"/>
      <c r="C120" s="39"/>
      <c r="D120" s="39"/>
      <c r="E120" s="37"/>
      <c r="F120" s="37"/>
      <c r="G120" s="37"/>
      <c r="H120" s="3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3"/>
    </row>
    <row r="121" spans="1:25" ht="15.75" customHeight="1">
      <c r="A121" s="1"/>
      <c r="B121" s="1"/>
      <c r="C121" s="39"/>
      <c r="D121" s="39"/>
      <c r="E121" s="37"/>
      <c r="F121" s="37"/>
      <c r="G121" s="37"/>
      <c r="H121" s="3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3"/>
    </row>
    <row r="122" spans="1:25" ht="15.75" customHeight="1">
      <c r="A122" s="1"/>
      <c r="B122" s="1"/>
      <c r="C122" s="39"/>
      <c r="D122" s="39"/>
      <c r="E122" s="37"/>
      <c r="F122" s="37"/>
      <c r="G122" s="37"/>
      <c r="H122" s="3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3"/>
    </row>
    <row r="123" spans="1:25" ht="15.75" customHeight="1">
      <c r="A123" s="1"/>
      <c r="B123" s="1"/>
      <c r="C123" s="39"/>
      <c r="D123" s="39"/>
      <c r="E123" s="37"/>
      <c r="F123" s="37"/>
      <c r="G123" s="37"/>
      <c r="H123" s="3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3"/>
    </row>
    <row r="124" spans="1:25" ht="15.75" customHeight="1">
      <c r="A124" s="1"/>
      <c r="B124" s="1"/>
      <c r="C124" s="39"/>
      <c r="D124" s="39"/>
      <c r="E124" s="37"/>
      <c r="F124" s="37"/>
      <c r="G124" s="37"/>
      <c r="H124" s="3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3"/>
    </row>
    <row r="125" spans="1:25" ht="15.75" customHeight="1">
      <c r="A125" s="1"/>
      <c r="B125" s="1"/>
      <c r="C125" s="39"/>
      <c r="D125" s="39"/>
      <c r="E125" s="37"/>
      <c r="F125" s="37"/>
      <c r="G125" s="37"/>
      <c r="H125" s="3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3"/>
    </row>
    <row r="126" spans="1:25" ht="15.75" customHeight="1">
      <c r="A126" s="1"/>
      <c r="B126" s="1"/>
      <c r="C126" s="39"/>
      <c r="D126" s="39"/>
      <c r="E126" s="37"/>
      <c r="F126" s="37"/>
      <c r="G126" s="37"/>
      <c r="H126" s="3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3"/>
    </row>
    <row r="127" spans="1:25" ht="15.75" customHeight="1">
      <c r="A127" s="1"/>
      <c r="B127" s="1"/>
      <c r="C127" s="39"/>
      <c r="D127" s="39"/>
      <c r="E127" s="37"/>
      <c r="F127" s="37"/>
      <c r="G127" s="37"/>
      <c r="H127" s="3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3"/>
    </row>
    <row r="128" spans="1:25" ht="15.75" customHeight="1">
      <c r="A128" s="1"/>
      <c r="B128" s="1"/>
      <c r="C128" s="39"/>
      <c r="D128" s="39"/>
      <c r="E128" s="37"/>
      <c r="F128" s="37"/>
      <c r="G128" s="37"/>
      <c r="H128" s="3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3"/>
    </row>
    <row r="129" spans="1:25" ht="15.75" customHeight="1">
      <c r="A129" s="1"/>
      <c r="B129" s="1"/>
      <c r="C129" s="39"/>
      <c r="D129" s="39"/>
      <c r="E129" s="37"/>
      <c r="F129" s="37"/>
      <c r="G129" s="37"/>
      <c r="H129" s="3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3"/>
    </row>
    <row r="130" spans="1:25" ht="15.75" customHeight="1">
      <c r="A130" s="1"/>
      <c r="B130" s="1"/>
      <c r="C130" s="39"/>
      <c r="D130" s="39"/>
      <c r="E130" s="37"/>
      <c r="F130" s="37"/>
      <c r="G130" s="37"/>
      <c r="H130" s="3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3"/>
    </row>
    <row r="131" spans="1:25" ht="15.75" customHeight="1">
      <c r="A131" s="1"/>
      <c r="B131" s="1"/>
      <c r="C131" s="39"/>
      <c r="D131" s="39"/>
      <c r="E131" s="37"/>
      <c r="F131" s="37"/>
      <c r="G131" s="37"/>
      <c r="H131" s="3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3"/>
    </row>
    <row r="132" spans="1:25" ht="15.75" customHeight="1">
      <c r="A132" s="1"/>
      <c r="B132" s="1"/>
      <c r="C132" s="39"/>
      <c r="D132" s="39"/>
      <c r="E132" s="37"/>
      <c r="F132" s="37"/>
      <c r="G132" s="37"/>
      <c r="H132" s="3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3"/>
    </row>
    <row r="133" spans="1:25" ht="15.75" customHeight="1">
      <c r="A133" s="1"/>
      <c r="B133" s="1"/>
      <c r="C133" s="39"/>
      <c r="D133" s="39"/>
      <c r="E133" s="37"/>
      <c r="F133" s="37"/>
      <c r="G133" s="37"/>
      <c r="H133" s="3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3"/>
    </row>
    <row r="134" spans="1:25" ht="15.75" customHeight="1">
      <c r="A134" s="1"/>
      <c r="B134" s="1"/>
      <c r="C134" s="39"/>
      <c r="D134" s="39"/>
      <c r="E134" s="37"/>
      <c r="F134" s="37"/>
      <c r="G134" s="37"/>
      <c r="H134" s="3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3"/>
    </row>
    <row r="135" spans="1:25" ht="15.75" customHeight="1">
      <c r="A135" s="1"/>
      <c r="B135" s="1"/>
      <c r="C135" s="39"/>
      <c r="D135" s="39"/>
      <c r="E135" s="37"/>
      <c r="F135" s="37"/>
      <c r="G135" s="37"/>
      <c r="H135" s="3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3"/>
    </row>
    <row r="136" spans="1:25" ht="15.75" customHeight="1">
      <c r="A136" s="1"/>
      <c r="B136" s="1"/>
      <c r="C136" s="39"/>
      <c r="D136" s="39"/>
      <c r="E136" s="37"/>
      <c r="F136" s="37"/>
      <c r="G136" s="37"/>
      <c r="H136" s="3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3"/>
    </row>
    <row r="137" spans="1:25" ht="15.75" customHeight="1">
      <c r="A137" s="1"/>
      <c r="B137" s="1"/>
      <c r="C137" s="39"/>
      <c r="D137" s="39"/>
      <c r="E137" s="37"/>
      <c r="F137" s="37"/>
      <c r="G137" s="37"/>
      <c r="H137" s="3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3"/>
    </row>
    <row r="138" spans="1:25" ht="15.75" customHeight="1">
      <c r="A138" s="1"/>
      <c r="B138" s="1"/>
      <c r="C138" s="39"/>
      <c r="D138" s="39"/>
      <c r="E138" s="37"/>
      <c r="F138" s="37"/>
      <c r="G138" s="37"/>
      <c r="H138" s="3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3"/>
    </row>
    <row r="139" spans="1:25" ht="15.75" customHeight="1">
      <c r="A139" s="1"/>
      <c r="B139" s="1"/>
      <c r="C139" s="39"/>
      <c r="D139" s="39"/>
      <c r="E139" s="37"/>
      <c r="F139" s="37"/>
      <c r="G139" s="37"/>
      <c r="H139" s="3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3"/>
    </row>
    <row r="140" spans="1:25" ht="15.75" customHeight="1">
      <c r="A140" s="1"/>
      <c r="B140" s="1"/>
      <c r="C140" s="39"/>
      <c r="D140" s="39"/>
      <c r="E140" s="37"/>
      <c r="F140" s="37"/>
      <c r="G140" s="37"/>
      <c r="H140" s="3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3"/>
    </row>
    <row r="141" spans="1:25" ht="15.75" customHeight="1">
      <c r="A141" s="1"/>
      <c r="B141" s="1"/>
      <c r="C141" s="39"/>
      <c r="D141" s="39"/>
      <c r="E141" s="37"/>
      <c r="F141" s="37"/>
      <c r="G141" s="37"/>
      <c r="H141" s="3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3"/>
    </row>
    <row r="142" spans="1:25" ht="15.75" customHeight="1">
      <c r="A142" s="1"/>
      <c r="B142" s="1"/>
      <c r="C142" s="39"/>
      <c r="D142" s="39"/>
      <c r="E142" s="37"/>
      <c r="F142" s="37"/>
      <c r="G142" s="37"/>
      <c r="H142" s="3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3"/>
    </row>
    <row r="143" spans="1:25" ht="15.75" customHeight="1">
      <c r="A143" s="1"/>
      <c r="B143" s="1"/>
      <c r="C143" s="39"/>
      <c r="D143" s="39"/>
      <c r="E143" s="37"/>
      <c r="F143" s="37"/>
      <c r="G143" s="37"/>
      <c r="H143" s="3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3"/>
    </row>
    <row r="144" spans="1:25" ht="15.75" customHeight="1">
      <c r="A144" s="1"/>
      <c r="B144" s="1"/>
      <c r="C144" s="39"/>
      <c r="D144" s="39"/>
      <c r="E144" s="37"/>
      <c r="F144" s="37"/>
      <c r="G144" s="37"/>
      <c r="H144" s="3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3"/>
    </row>
    <row r="145" spans="1:25" ht="15.75" customHeight="1">
      <c r="A145" s="1"/>
      <c r="B145" s="1"/>
      <c r="C145" s="39"/>
      <c r="D145" s="39"/>
      <c r="E145" s="37"/>
      <c r="F145" s="37"/>
      <c r="G145" s="37"/>
      <c r="H145" s="3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3"/>
    </row>
    <row r="146" spans="1:25" ht="15.75" customHeight="1">
      <c r="A146" s="1"/>
      <c r="B146" s="1"/>
      <c r="C146" s="39"/>
      <c r="D146" s="39"/>
      <c r="E146" s="37"/>
      <c r="F146" s="37"/>
      <c r="G146" s="37"/>
      <c r="H146" s="3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3"/>
    </row>
    <row r="147" spans="1:25" ht="15.75" customHeight="1">
      <c r="A147" s="1"/>
      <c r="B147" s="1"/>
      <c r="C147" s="39"/>
      <c r="D147" s="39"/>
      <c r="E147" s="37"/>
      <c r="F147" s="37"/>
      <c r="G147" s="37"/>
      <c r="H147" s="3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3"/>
    </row>
    <row r="148" spans="1:25" ht="15.75" customHeight="1">
      <c r="A148" s="1"/>
      <c r="B148" s="1"/>
      <c r="C148" s="39"/>
      <c r="D148" s="39"/>
      <c r="E148" s="37"/>
      <c r="F148" s="37"/>
      <c r="G148" s="37"/>
      <c r="H148" s="3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3"/>
    </row>
    <row r="149" spans="1:25" ht="15.75" customHeight="1">
      <c r="A149" s="1"/>
      <c r="B149" s="1"/>
      <c r="C149" s="39"/>
      <c r="D149" s="39"/>
      <c r="E149" s="37"/>
      <c r="F149" s="37"/>
      <c r="G149" s="37"/>
      <c r="H149" s="3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3"/>
    </row>
    <row r="150" spans="1:25" ht="15.75" customHeight="1">
      <c r="A150" s="1"/>
      <c r="B150" s="1"/>
      <c r="C150" s="39"/>
      <c r="D150" s="39"/>
      <c r="E150" s="37"/>
      <c r="F150" s="37"/>
      <c r="G150" s="37"/>
      <c r="H150" s="3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3"/>
    </row>
    <row r="151" spans="1:25" ht="15.75" customHeight="1">
      <c r="A151" s="1"/>
      <c r="B151" s="1"/>
      <c r="C151" s="39"/>
      <c r="D151" s="39"/>
      <c r="E151" s="37"/>
      <c r="F151" s="37"/>
      <c r="G151" s="37"/>
      <c r="H151" s="3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3"/>
    </row>
    <row r="152" spans="1:25" ht="15.75" customHeight="1">
      <c r="A152" s="1"/>
      <c r="B152" s="1"/>
      <c r="C152" s="39"/>
      <c r="D152" s="39"/>
      <c r="E152" s="37"/>
      <c r="F152" s="37"/>
      <c r="G152" s="37"/>
      <c r="H152" s="3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3"/>
    </row>
    <row r="153" spans="1:25" ht="15.75" customHeight="1">
      <c r="A153" s="1"/>
      <c r="B153" s="1"/>
      <c r="C153" s="39"/>
      <c r="D153" s="39"/>
      <c r="E153" s="37"/>
      <c r="F153" s="37"/>
      <c r="G153" s="37"/>
      <c r="H153" s="3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3"/>
    </row>
    <row r="154" spans="1:25" ht="15.75" customHeight="1">
      <c r="A154" s="1"/>
      <c r="B154" s="1"/>
      <c r="C154" s="39"/>
      <c r="D154" s="39"/>
      <c r="E154" s="37"/>
      <c r="F154" s="37"/>
      <c r="G154" s="37"/>
      <c r="H154" s="3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3"/>
    </row>
    <row r="155" spans="1:25" ht="15.75" customHeight="1">
      <c r="A155" s="1"/>
      <c r="B155" s="1"/>
      <c r="C155" s="39"/>
      <c r="D155" s="39"/>
      <c r="E155" s="37"/>
      <c r="F155" s="37"/>
      <c r="G155" s="37"/>
      <c r="H155" s="3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3"/>
    </row>
    <row r="156" spans="1:25" ht="15.75" customHeight="1">
      <c r="A156" s="1"/>
      <c r="B156" s="1"/>
      <c r="C156" s="39"/>
      <c r="D156" s="39"/>
      <c r="E156" s="37"/>
      <c r="F156" s="37"/>
      <c r="G156" s="37"/>
      <c r="H156" s="3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3"/>
    </row>
    <row r="157" spans="1:25" ht="15.75" customHeight="1">
      <c r="A157" s="1"/>
      <c r="B157" s="1"/>
      <c r="C157" s="39"/>
      <c r="D157" s="39"/>
      <c r="E157" s="37"/>
      <c r="F157" s="37"/>
      <c r="G157" s="37"/>
      <c r="H157" s="3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3"/>
    </row>
    <row r="158" spans="1:25" ht="15.75" customHeight="1">
      <c r="A158" s="1"/>
      <c r="B158" s="1"/>
      <c r="C158" s="39"/>
      <c r="D158" s="39"/>
      <c r="E158" s="37"/>
      <c r="F158" s="37"/>
      <c r="G158" s="37"/>
      <c r="H158" s="3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3"/>
    </row>
    <row r="159" spans="1:25" ht="15.75" customHeight="1">
      <c r="A159" s="1"/>
      <c r="B159" s="1"/>
      <c r="C159" s="39"/>
      <c r="D159" s="39"/>
      <c r="E159" s="37"/>
      <c r="F159" s="37"/>
      <c r="G159" s="37"/>
      <c r="H159" s="3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3"/>
    </row>
    <row r="160" spans="1:25" ht="15.75" customHeight="1">
      <c r="A160" s="1"/>
      <c r="B160" s="1"/>
      <c r="C160" s="39"/>
      <c r="D160" s="39"/>
      <c r="E160" s="37"/>
      <c r="F160" s="37"/>
      <c r="G160" s="37"/>
      <c r="H160" s="3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3"/>
    </row>
    <row r="161" spans="1:25" ht="15.75" customHeight="1">
      <c r="A161" s="1"/>
      <c r="B161" s="1"/>
      <c r="C161" s="39"/>
      <c r="D161" s="39"/>
      <c r="E161" s="37"/>
      <c r="F161" s="37"/>
      <c r="G161" s="37"/>
      <c r="H161" s="3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3"/>
    </row>
    <row r="162" spans="1:25" ht="15.75" customHeight="1">
      <c r="A162" s="1"/>
      <c r="B162" s="1"/>
      <c r="C162" s="39"/>
      <c r="D162" s="39"/>
      <c r="E162" s="37"/>
      <c r="F162" s="37"/>
      <c r="G162" s="37"/>
      <c r="H162" s="3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3"/>
    </row>
    <row r="163" spans="1:25" ht="15.75" customHeight="1">
      <c r="A163" s="1"/>
      <c r="B163" s="1"/>
      <c r="C163" s="39"/>
      <c r="D163" s="39"/>
      <c r="E163" s="37"/>
      <c r="F163" s="37"/>
      <c r="G163" s="37"/>
      <c r="H163" s="3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3"/>
    </row>
    <row r="164" spans="1:25" ht="15.75" customHeight="1">
      <c r="A164" s="1"/>
      <c r="B164" s="1"/>
      <c r="C164" s="39"/>
      <c r="D164" s="39"/>
      <c r="E164" s="37"/>
      <c r="F164" s="37"/>
      <c r="G164" s="37"/>
      <c r="H164" s="3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3"/>
    </row>
    <row r="165" spans="1:25" ht="15.75" customHeight="1">
      <c r="A165" s="1"/>
      <c r="B165" s="1"/>
      <c r="C165" s="39"/>
      <c r="D165" s="39"/>
      <c r="E165" s="37"/>
      <c r="F165" s="37"/>
      <c r="G165" s="37"/>
      <c r="H165" s="3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3"/>
    </row>
    <row r="166" spans="1:25" ht="15.75" customHeight="1">
      <c r="A166" s="1"/>
      <c r="B166" s="1"/>
      <c r="C166" s="39"/>
      <c r="D166" s="39"/>
      <c r="E166" s="37"/>
      <c r="F166" s="37"/>
      <c r="G166" s="37"/>
      <c r="H166" s="3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3"/>
    </row>
    <row r="167" spans="1:25" ht="15.75" customHeight="1">
      <c r="A167" s="1"/>
      <c r="B167" s="1"/>
      <c r="C167" s="39"/>
      <c r="D167" s="39"/>
      <c r="E167" s="37"/>
      <c r="F167" s="37"/>
      <c r="G167" s="37"/>
      <c r="H167" s="3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3"/>
    </row>
    <row r="168" spans="1:25" ht="15.75" customHeight="1">
      <c r="A168" s="1"/>
      <c r="B168" s="1"/>
      <c r="C168" s="39"/>
      <c r="D168" s="39"/>
      <c r="E168" s="37"/>
      <c r="F168" s="37"/>
      <c r="G168" s="37"/>
      <c r="H168" s="3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3"/>
    </row>
    <row r="169" spans="1:25" ht="15.75" customHeight="1">
      <c r="A169" s="1"/>
      <c r="B169" s="1"/>
      <c r="C169" s="39"/>
      <c r="D169" s="39"/>
      <c r="E169" s="37"/>
      <c r="F169" s="37"/>
      <c r="G169" s="37"/>
      <c r="H169" s="3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3"/>
    </row>
    <row r="170" spans="1:25" ht="15.75" customHeight="1">
      <c r="A170" s="1"/>
      <c r="B170" s="1"/>
      <c r="C170" s="39"/>
      <c r="D170" s="39"/>
      <c r="E170" s="37"/>
      <c r="F170" s="37"/>
      <c r="G170" s="37"/>
      <c r="H170" s="3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3"/>
    </row>
    <row r="171" spans="1:25" ht="15.75" customHeight="1">
      <c r="A171" s="1"/>
      <c r="B171" s="1"/>
      <c r="C171" s="39"/>
      <c r="D171" s="39"/>
      <c r="E171" s="37"/>
      <c r="F171" s="37"/>
      <c r="G171" s="37"/>
      <c r="H171" s="3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3"/>
    </row>
    <row r="172" spans="1:25" ht="15.75" customHeight="1">
      <c r="A172" s="1"/>
      <c r="B172" s="1"/>
      <c r="C172" s="39"/>
      <c r="D172" s="39"/>
      <c r="E172" s="37"/>
      <c r="F172" s="37"/>
      <c r="G172" s="37"/>
      <c r="H172" s="3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3"/>
    </row>
    <row r="173" spans="1:25" ht="15.75" customHeight="1">
      <c r="A173" s="1"/>
      <c r="B173" s="1"/>
      <c r="C173" s="39"/>
      <c r="D173" s="39"/>
      <c r="E173" s="37"/>
      <c r="F173" s="37"/>
      <c r="G173" s="37"/>
      <c r="H173" s="3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3"/>
    </row>
    <row r="174" spans="1:25" ht="15.75" customHeight="1">
      <c r="A174" s="1"/>
      <c r="B174" s="1"/>
      <c r="C174" s="39"/>
      <c r="D174" s="39"/>
      <c r="E174" s="37"/>
      <c r="F174" s="37"/>
      <c r="G174" s="37"/>
      <c r="H174" s="3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3"/>
    </row>
    <row r="175" spans="1:25" ht="15.75" customHeight="1">
      <c r="A175" s="1"/>
      <c r="B175" s="1"/>
      <c r="C175" s="39"/>
      <c r="D175" s="39"/>
      <c r="E175" s="37"/>
      <c r="F175" s="37"/>
      <c r="G175" s="37"/>
      <c r="H175" s="3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3"/>
    </row>
    <row r="176" spans="1:25" ht="15.75" customHeight="1">
      <c r="A176" s="1"/>
      <c r="B176" s="1"/>
      <c r="C176" s="39"/>
      <c r="D176" s="39"/>
      <c r="E176" s="37"/>
      <c r="F176" s="37"/>
      <c r="G176" s="37"/>
      <c r="H176" s="3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3"/>
    </row>
    <row r="177" spans="1:25" ht="15.75" customHeight="1">
      <c r="A177" s="1"/>
      <c r="B177" s="1"/>
      <c r="C177" s="39"/>
      <c r="D177" s="39"/>
      <c r="E177" s="37"/>
      <c r="F177" s="37"/>
      <c r="G177" s="37"/>
      <c r="H177" s="3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3"/>
    </row>
    <row r="178" spans="1:25" ht="15.75" customHeight="1">
      <c r="A178" s="1"/>
      <c r="B178" s="1"/>
      <c r="C178" s="39"/>
      <c r="D178" s="39"/>
      <c r="E178" s="37"/>
      <c r="F178" s="37"/>
      <c r="G178" s="37"/>
      <c r="H178" s="3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73"/>
    </row>
    <row r="179" spans="1:25" ht="15.75" customHeight="1">
      <c r="A179" s="1"/>
      <c r="B179" s="1"/>
      <c r="C179" s="39"/>
      <c r="D179" s="39"/>
      <c r="E179" s="37"/>
      <c r="F179" s="37"/>
      <c r="G179" s="37"/>
      <c r="H179" s="3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73"/>
    </row>
    <row r="180" spans="1:25" ht="15.75" customHeight="1">
      <c r="A180" s="1"/>
      <c r="B180" s="1"/>
      <c r="C180" s="39"/>
      <c r="D180" s="39"/>
      <c r="E180" s="37"/>
      <c r="F180" s="37"/>
      <c r="G180" s="37"/>
      <c r="H180" s="3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73"/>
    </row>
    <row r="181" spans="1:25" ht="15.75" customHeight="1">
      <c r="A181" s="1"/>
      <c r="B181" s="1"/>
      <c r="C181" s="39"/>
      <c r="D181" s="39"/>
      <c r="E181" s="37"/>
      <c r="F181" s="37"/>
      <c r="G181" s="37"/>
      <c r="H181" s="3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73"/>
    </row>
    <row r="182" spans="1:25" ht="15.75" customHeight="1">
      <c r="A182" s="1"/>
      <c r="B182" s="1"/>
      <c r="C182" s="39"/>
      <c r="D182" s="39"/>
      <c r="E182" s="37"/>
      <c r="F182" s="37"/>
      <c r="G182" s="37"/>
      <c r="H182" s="3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73"/>
    </row>
    <row r="183" spans="1:25" ht="15.75" customHeight="1">
      <c r="A183" s="1"/>
      <c r="B183" s="1"/>
      <c r="C183" s="39"/>
      <c r="D183" s="39"/>
      <c r="E183" s="37"/>
      <c r="F183" s="37"/>
      <c r="G183" s="37"/>
      <c r="H183" s="3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73"/>
    </row>
    <row r="184" spans="1:25" ht="15.75" customHeight="1">
      <c r="A184" s="1"/>
      <c r="B184" s="1"/>
      <c r="C184" s="39"/>
      <c r="D184" s="39"/>
      <c r="E184" s="37"/>
      <c r="F184" s="37"/>
      <c r="G184" s="37"/>
      <c r="H184" s="3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73"/>
    </row>
    <row r="185" spans="1:25" ht="15.75" customHeight="1">
      <c r="A185" s="1"/>
      <c r="B185" s="1"/>
      <c r="C185" s="39"/>
      <c r="D185" s="39"/>
      <c r="E185" s="37"/>
      <c r="F185" s="37"/>
      <c r="G185" s="37"/>
      <c r="H185" s="3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73"/>
    </row>
    <row r="186" spans="1:25" ht="15.75" customHeight="1">
      <c r="A186" s="1"/>
      <c r="B186" s="1"/>
      <c r="C186" s="39"/>
      <c r="D186" s="39"/>
      <c r="E186" s="37"/>
      <c r="F186" s="37"/>
      <c r="G186" s="37"/>
      <c r="H186" s="3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73"/>
    </row>
    <row r="187" spans="1:25" ht="15.75" customHeight="1">
      <c r="A187" s="1"/>
      <c r="B187" s="1"/>
      <c r="C187" s="39"/>
      <c r="D187" s="39"/>
      <c r="E187" s="37"/>
      <c r="F187" s="37"/>
      <c r="G187" s="37"/>
      <c r="H187" s="3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73"/>
    </row>
    <row r="188" spans="1:25" ht="15.75" customHeight="1">
      <c r="A188" s="1"/>
      <c r="B188" s="1"/>
      <c r="C188" s="39"/>
      <c r="D188" s="39"/>
      <c r="E188" s="37"/>
      <c r="F188" s="37"/>
      <c r="G188" s="37"/>
      <c r="H188" s="3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73"/>
    </row>
    <row r="189" spans="1:25" ht="15.75" customHeight="1">
      <c r="A189" s="1"/>
      <c r="B189" s="1"/>
      <c r="C189" s="39"/>
      <c r="D189" s="39"/>
      <c r="E189" s="37"/>
      <c r="F189" s="37"/>
      <c r="G189" s="37"/>
      <c r="H189" s="3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73"/>
    </row>
    <row r="190" spans="1:25" ht="15.75" customHeight="1">
      <c r="A190" s="1"/>
      <c r="B190" s="1"/>
      <c r="C190" s="39"/>
      <c r="D190" s="39"/>
      <c r="E190" s="37"/>
      <c r="F190" s="37"/>
      <c r="G190" s="37"/>
      <c r="H190" s="3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73"/>
    </row>
    <row r="191" spans="1:25" ht="15.75" customHeight="1">
      <c r="A191" s="1"/>
      <c r="B191" s="1"/>
      <c r="C191" s="39"/>
      <c r="D191" s="39"/>
      <c r="E191" s="37"/>
      <c r="F191" s="37"/>
      <c r="G191" s="37"/>
      <c r="H191" s="3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73"/>
    </row>
    <row r="192" spans="1:25" ht="15.75" customHeight="1">
      <c r="A192" s="1"/>
      <c r="B192" s="1"/>
      <c r="C192" s="39"/>
      <c r="D192" s="39"/>
      <c r="E192" s="37"/>
      <c r="F192" s="37"/>
      <c r="G192" s="37"/>
      <c r="H192" s="3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73"/>
    </row>
    <row r="193" spans="1:25" ht="15.75" customHeight="1">
      <c r="A193" s="1"/>
      <c r="B193" s="1"/>
      <c r="C193" s="39"/>
      <c r="D193" s="39"/>
      <c r="E193" s="37"/>
      <c r="F193" s="37"/>
      <c r="G193" s="37"/>
      <c r="H193" s="3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73"/>
    </row>
    <row r="194" spans="1:25" ht="15.75" customHeight="1">
      <c r="A194" s="1"/>
      <c r="B194" s="1"/>
      <c r="C194" s="40"/>
      <c r="D194" s="40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73"/>
    </row>
    <row r="195" spans="1:25" ht="15.75" customHeight="1">
      <c r="A195" s="1"/>
      <c r="B195" s="1"/>
      <c r="C195" s="40"/>
      <c r="D195" s="40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73"/>
    </row>
    <row r="196" spans="1:25" ht="15.75" customHeight="1">
      <c r="A196" s="1"/>
      <c r="B196" s="1"/>
      <c r="C196" s="40"/>
      <c r="D196" s="40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73"/>
    </row>
    <row r="197" spans="1:25" ht="15.75" customHeight="1">
      <c r="A197" s="1"/>
      <c r="B197" s="1"/>
      <c r="C197" s="40"/>
      <c r="D197" s="40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73"/>
    </row>
    <row r="198" spans="1:25" ht="15.75" customHeight="1">
      <c r="A198" s="1"/>
      <c r="B198" s="1"/>
      <c r="C198" s="40"/>
      <c r="D198" s="40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73"/>
    </row>
    <row r="199" spans="1:25" ht="15.75" customHeight="1">
      <c r="A199" s="1"/>
      <c r="B199" s="1"/>
      <c r="C199" s="40"/>
      <c r="D199" s="40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73"/>
    </row>
    <row r="200" spans="1:25" ht="15.75" customHeight="1">
      <c r="A200" s="1"/>
      <c r="B200" s="1"/>
      <c r="C200" s="40"/>
      <c r="D200" s="40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73"/>
    </row>
    <row r="201" spans="1:25" ht="15.75" customHeight="1">
      <c r="A201" s="1"/>
      <c r="B201" s="1"/>
      <c r="C201" s="40"/>
      <c r="D201" s="40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73"/>
    </row>
    <row r="202" spans="1:25" ht="15.75" customHeight="1">
      <c r="A202" s="1"/>
      <c r="B202" s="1"/>
      <c r="C202" s="40"/>
      <c r="D202" s="40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73"/>
    </row>
    <row r="203" spans="1:25" ht="15.75" customHeight="1">
      <c r="A203" s="1"/>
      <c r="B203" s="1"/>
      <c r="C203" s="40"/>
      <c r="D203" s="40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73"/>
    </row>
    <row r="204" spans="1:25" ht="15.75" customHeight="1">
      <c r="A204" s="1"/>
      <c r="B204" s="1"/>
      <c r="C204" s="40"/>
      <c r="D204" s="40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73"/>
    </row>
    <row r="205" spans="1:25" ht="15.75" customHeight="1">
      <c r="A205" s="1"/>
      <c r="B205" s="1"/>
      <c r="C205" s="40"/>
      <c r="D205" s="40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73"/>
    </row>
    <row r="206" spans="1:25" ht="15.75" customHeight="1">
      <c r="A206" s="1"/>
      <c r="B206" s="1"/>
      <c r="C206" s="40"/>
      <c r="D206" s="40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73"/>
    </row>
    <row r="207" spans="1:25" ht="15.75" customHeight="1">
      <c r="A207" s="1"/>
      <c r="B207" s="1"/>
      <c r="C207" s="40"/>
      <c r="D207" s="40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73"/>
    </row>
    <row r="208" spans="1:25" ht="15.75" customHeight="1">
      <c r="A208" s="1"/>
      <c r="B208" s="1"/>
      <c r="C208" s="40"/>
      <c r="D208" s="40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73"/>
    </row>
    <row r="209" spans="1:25" ht="15.75" customHeight="1">
      <c r="A209" s="1"/>
      <c r="B209" s="1"/>
      <c r="C209" s="40"/>
      <c r="D209" s="40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73"/>
    </row>
    <row r="210" spans="1:25" ht="15.75" customHeight="1">
      <c r="A210" s="1"/>
      <c r="B210" s="1"/>
      <c r="C210" s="40"/>
      <c r="D210" s="40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73"/>
    </row>
    <row r="211" spans="1:25" ht="15.75" customHeight="1">
      <c r="A211" s="1"/>
      <c r="B211" s="1"/>
      <c r="C211" s="40"/>
      <c r="D211" s="40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73"/>
    </row>
    <row r="212" spans="1:25" ht="15.75" customHeight="1">
      <c r="A212" s="1"/>
      <c r="B212" s="1"/>
      <c r="C212" s="40"/>
      <c r="D212" s="40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73"/>
    </row>
    <row r="213" spans="1:25" ht="15.75" customHeight="1">
      <c r="A213" s="1"/>
      <c r="B213" s="1"/>
      <c r="C213" s="40"/>
      <c r="D213" s="40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73"/>
    </row>
    <row r="214" spans="1:25" ht="15.75" customHeight="1">
      <c r="A214" s="1"/>
      <c r="B214" s="1"/>
      <c r="C214" s="40"/>
      <c r="D214" s="40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73"/>
    </row>
    <row r="215" spans="1:25" ht="15.75" customHeight="1">
      <c r="A215" s="1"/>
      <c r="B215" s="1"/>
      <c r="C215" s="40"/>
      <c r="D215" s="40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73"/>
    </row>
    <row r="216" spans="1:25" ht="15.75" customHeight="1">
      <c r="A216" s="1"/>
      <c r="B216" s="1"/>
      <c r="C216" s="40"/>
      <c r="D216" s="40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73"/>
    </row>
    <row r="217" spans="1:25" ht="15.75" customHeight="1">
      <c r="A217" s="1"/>
      <c r="B217" s="1"/>
      <c r="C217" s="40"/>
      <c r="D217" s="40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73"/>
    </row>
    <row r="218" spans="1:25" ht="15.75" customHeight="1">
      <c r="A218" s="1"/>
      <c r="B218" s="1"/>
      <c r="C218" s="40"/>
      <c r="D218" s="40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73"/>
    </row>
    <row r="219" spans="1:25" ht="15.75" customHeight="1">
      <c r="A219" s="1"/>
      <c r="B219" s="1"/>
      <c r="C219" s="40"/>
      <c r="D219" s="40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73"/>
    </row>
    <row r="220" spans="1:25" ht="15.75" customHeight="1">
      <c r="A220" s="1"/>
      <c r="B220" s="1"/>
      <c r="C220" s="40"/>
      <c r="D220" s="40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73"/>
    </row>
    <row r="221" spans="1:25" ht="15.75" customHeight="1">
      <c r="A221" s="1"/>
      <c r="B221" s="1"/>
      <c r="C221" s="40"/>
      <c r="D221" s="40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73"/>
    </row>
    <row r="222" spans="1:25" ht="15.75" customHeight="1">
      <c r="A222" s="1"/>
      <c r="B222" s="1"/>
      <c r="C222" s="40"/>
      <c r="D222" s="40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73"/>
    </row>
    <row r="223" spans="1:25" ht="15.75" customHeight="1">
      <c r="A223" s="1"/>
      <c r="B223" s="1"/>
      <c r="C223" s="40"/>
      <c r="D223" s="40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73"/>
    </row>
    <row r="224" spans="1:25" ht="15.75" customHeight="1">
      <c r="A224" s="1"/>
      <c r="B224" s="1"/>
      <c r="C224" s="40"/>
      <c r="D224" s="40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73"/>
    </row>
    <row r="225" spans="1:8" ht="15.75" customHeight="1">
      <c r="A225" s="73"/>
      <c r="B225" s="73"/>
      <c r="C225" s="73"/>
      <c r="D225" s="73"/>
      <c r="E225" s="73"/>
      <c r="F225" s="73"/>
      <c r="H225" s="73"/>
    </row>
    <row r="226" spans="1:8" ht="15.75" customHeight="1">
      <c r="A226" s="73"/>
      <c r="B226" s="73"/>
      <c r="C226" s="73"/>
      <c r="D226" s="73"/>
      <c r="E226" s="73"/>
      <c r="F226" s="73"/>
      <c r="H226" s="73"/>
    </row>
    <row r="227" spans="1:8" ht="15.75" customHeight="1">
      <c r="A227" s="73"/>
      <c r="B227" s="73"/>
      <c r="C227" s="73"/>
      <c r="D227" s="73"/>
      <c r="E227" s="73"/>
      <c r="F227" s="73"/>
      <c r="H227" s="73"/>
    </row>
    <row r="228" spans="1:8" ht="15.75" customHeight="1">
      <c r="A228" s="73"/>
      <c r="B228" s="73"/>
      <c r="C228" s="73"/>
      <c r="D228" s="73"/>
      <c r="E228" s="73"/>
      <c r="F228" s="73"/>
      <c r="H228" s="73"/>
    </row>
    <row r="229" spans="1:8" ht="15.75" customHeight="1">
      <c r="A229" s="73"/>
      <c r="B229" s="73"/>
      <c r="C229" s="73"/>
      <c r="D229" s="73"/>
      <c r="E229" s="73"/>
      <c r="F229" s="73"/>
      <c r="H229" s="73"/>
    </row>
    <row r="230" spans="1:8" ht="15.75" customHeight="1">
      <c r="A230" s="73"/>
      <c r="B230" s="73"/>
      <c r="C230" s="73"/>
      <c r="D230" s="73"/>
      <c r="E230" s="73"/>
      <c r="F230" s="73"/>
      <c r="H230" s="73"/>
    </row>
    <row r="231" spans="1:8" ht="15.75" customHeight="1">
      <c r="A231" s="73"/>
      <c r="B231" s="73"/>
      <c r="C231" s="73"/>
      <c r="D231" s="73"/>
      <c r="E231" s="73"/>
      <c r="F231" s="73"/>
      <c r="H231" s="73"/>
    </row>
    <row r="232" spans="1:8" ht="15.75" customHeight="1">
      <c r="A232" s="73"/>
      <c r="B232" s="73"/>
      <c r="C232" s="73"/>
      <c r="D232" s="73"/>
      <c r="E232" s="73"/>
      <c r="F232" s="73"/>
      <c r="H232" s="73"/>
    </row>
    <row r="233" spans="1:8" ht="15.75" customHeight="1">
      <c r="A233" s="73"/>
      <c r="B233" s="73"/>
      <c r="C233" s="73"/>
      <c r="D233" s="73"/>
      <c r="E233" s="73"/>
      <c r="F233" s="73"/>
      <c r="H233" s="73"/>
    </row>
    <row r="234" spans="1:8" ht="15.75" customHeight="1">
      <c r="A234" s="73"/>
      <c r="B234" s="73"/>
      <c r="C234" s="73"/>
      <c r="D234" s="73"/>
      <c r="E234" s="73"/>
      <c r="F234" s="73"/>
      <c r="H234" s="73"/>
    </row>
    <row r="235" spans="1:8" ht="15.75" customHeight="1">
      <c r="A235" s="73"/>
      <c r="B235" s="73"/>
      <c r="C235" s="73"/>
      <c r="D235" s="73"/>
      <c r="E235" s="73"/>
      <c r="F235" s="73"/>
      <c r="H235" s="73"/>
    </row>
    <row r="236" spans="1:8" ht="15.75" customHeight="1">
      <c r="A236" s="73"/>
      <c r="B236" s="73"/>
      <c r="C236" s="73"/>
      <c r="D236" s="73"/>
      <c r="E236" s="73"/>
      <c r="F236" s="73"/>
      <c r="H236" s="73"/>
    </row>
    <row r="237" spans="1:8" ht="15.75" customHeight="1">
      <c r="A237" s="73"/>
      <c r="B237" s="73"/>
      <c r="C237" s="73"/>
      <c r="D237" s="73"/>
      <c r="E237" s="73"/>
      <c r="F237" s="73"/>
      <c r="H237" s="73"/>
    </row>
    <row r="238" spans="1:8" ht="15.75" customHeight="1">
      <c r="A238" s="73"/>
      <c r="B238" s="73"/>
      <c r="C238" s="73"/>
      <c r="D238" s="73"/>
      <c r="E238" s="73"/>
      <c r="F238" s="73"/>
      <c r="H238" s="73"/>
    </row>
    <row r="239" spans="1:8" ht="15.75" customHeight="1">
      <c r="A239" s="73"/>
      <c r="B239" s="73"/>
      <c r="C239" s="73"/>
      <c r="D239" s="73"/>
      <c r="E239" s="73"/>
      <c r="F239" s="73"/>
      <c r="H239" s="73"/>
    </row>
    <row r="240" spans="1:8" ht="15.75" customHeight="1">
      <c r="A240" s="73"/>
      <c r="B240" s="73"/>
      <c r="C240" s="73"/>
      <c r="D240" s="73"/>
      <c r="E240" s="73"/>
      <c r="F240" s="73"/>
      <c r="H240" s="73"/>
    </row>
    <row r="241" spans="1:8" ht="15.75" customHeight="1">
      <c r="A241" s="73"/>
      <c r="B241" s="73"/>
      <c r="C241" s="73"/>
      <c r="D241" s="73"/>
      <c r="E241" s="73"/>
      <c r="F241" s="73"/>
      <c r="H241" s="73"/>
    </row>
    <row r="242" spans="1:8" ht="15.75" customHeight="1">
      <c r="A242" s="73"/>
      <c r="B242" s="73"/>
      <c r="C242" s="73"/>
      <c r="D242" s="73"/>
      <c r="E242" s="73"/>
      <c r="F242" s="73"/>
      <c r="H242" s="73"/>
    </row>
    <row r="243" spans="1:8" ht="15.75" customHeight="1">
      <c r="A243" s="73"/>
      <c r="B243" s="73"/>
      <c r="C243" s="73"/>
      <c r="D243" s="73"/>
      <c r="E243" s="73"/>
      <c r="F243" s="73"/>
      <c r="H243" s="73"/>
    </row>
    <row r="244" spans="1:8" ht="15.75" customHeight="1">
      <c r="A244" s="73"/>
      <c r="B244" s="73"/>
      <c r="C244" s="73"/>
      <c r="D244" s="73"/>
      <c r="E244" s="73"/>
      <c r="F244" s="73"/>
      <c r="H244" s="73"/>
    </row>
    <row r="245" spans="1:8" ht="15.75" customHeight="1">
      <c r="A245" s="73"/>
      <c r="B245" s="73"/>
      <c r="C245" s="73"/>
      <c r="D245" s="73"/>
      <c r="E245" s="73"/>
      <c r="F245" s="73"/>
      <c r="H245" s="73"/>
    </row>
    <row r="246" spans="1:8" ht="15.75" customHeight="1">
      <c r="A246" s="73"/>
      <c r="B246" s="73"/>
      <c r="C246" s="73"/>
      <c r="D246" s="73"/>
      <c r="E246" s="73"/>
      <c r="F246" s="73"/>
      <c r="H246" s="73"/>
    </row>
    <row r="247" spans="1:8" ht="15.75" customHeight="1">
      <c r="A247" s="73"/>
      <c r="B247" s="73"/>
      <c r="C247" s="73"/>
      <c r="D247" s="73"/>
      <c r="E247" s="73"/>
      <c r="F247" s="73"/>
      <c r="H247" s="73"/>
    </row>
    <row r="248" spans="1:8" ht="15.75" customHeight="1">
      <c r="A248" s="73"/>
      <c r="B248" s="73"/>
      <c r="C248" s="73"/>
      <c r="D248" s="73"/>
      <c r="E248" s="73"/>
      <c r="F248" s="73"/>
      <c r="H248" s="73"/>
    </row>
    <row r="249" spans="1:8" ht="15.75" customHeight="1">
      <c r="A249" s="73"/>
      <c r="B249" s="73"/>
      <c r="C249" s="73"/>
      <c r="D249" s="73"/>
      <c r="E249" s="73"/>
      <c r="F249" s="73"/>
      <c r="H249" s="73"/>
    </row>
    <row r="250" spans="1:8" ht="15.75" customHeight="1">
      <c r="A250" s="73"/>
      <c r="B250" s="73"/>
      <c r="C250" s="73"/>
      <c r="D250" s="73"/>
      <c r="E250" s="73"/>
      <c r="F250" s="73"/>
      <c r="H250" s="73"/>
    </row>
    <row r="251" spans="1:8" ht="15.75" customHeight="1">
      <c r="A251" s="73"/>
      <c r="B251" s="73"/>
      <c r="C251" s="73"/>
      <c r="D251" s="73"/>
      <c r="E251" s="73"/>
      <c r="F251" s="73"/>
      <c r="H251" s="73"/>
    </row>
    <row r="252" spans="1:8" ht="15.75" customHeight="1">
      <c r="A252" s="73"/>
      <c r="B252" s="73"/>
      <c r="C252" s="73"/>
      <c r="D252" s="73"/>
      <c r="E252" s="73"/>
      <c r="F252" s="73"/>
      <c r="H252" s="73"/>
    </row>
    <row r="253" spans="1:8" ht="15.75" customHeight="1">
      <c r="A253" s="73"/>
      <c r="B253" s="73"/>
      <c r="C253" s="73"/>
      <c r="D253" s="73"/>
      <c r="E253" s="73"/>
      <c r="F253" s="73"/>
      <c r="H253" s="73"/>
    </row>
    <row r="254" spans="1:8" ht="15.75" customHeight="1">
      <c r="A254" s="73"/>
      <c r="B254" s="73"/>
      <c r="C254" s="73"/>
      <c r="D254" s="73"/>
      <c r="E254" s="73"/>
      <c r="F254" s="73"/>
      <c r="H254" s="73"/>
    </row>
    <row r="255" spans="1:8" ht="15.75" customHeight="1">
      <c r="A255" s="73"/>
      <c r="B255" s="73"/>
      <c r="C255" s="73"/>
      <c r="D255" s="73"/>
      <c r="E255" s="73"/>
      <c r="F255" s="73"/>
      <c r="H255" s="73"/>
    </row>
    <row r="256" spans="1:8" ht="15.75" customHeight="1">
      <c r="A256" s="73"/>
      <c r="B256" s="73"/>
      <c r="C256" s="73"/>
      <c r="D256" s="73"/>
      <c r="E256" s="73"/>
      <c r="F256" s="73"/>
      <c r="H256" s="73"/>
    </row>
    <row r="257" spans="1:8" ht="15.75" customHeight="1">
      <c r="A257" s="73"/>
      <c r="B257" s="73"/>
      <c r="C257" s="73"/>
      <c r="D257" s="73"/>
      <c r="E257" s="73"/>
      <c r="F257" s="73"/>
      <c r="H257" s="73"/>
    </row>
    <row r="258" spans="1:8" ht="15.75" customHeight="1">
      <c r="A258" s="73"/>
      <c r="B258" s="73"/>
      <c r="C258" s="73"/>
      <c r="D258" s="73"/>
      <c r="E258" s="73"/>
      <c r="F258" s="73"/>
      <c r="H258" s="73"/>
    </row>
    <row r="259" spans="1:8" ht="15.75" customHeight="1">
      <c r="A259" s="73"/>
      <c r="B259" s="73"/>
      <c r="C259" s="73"/>
      <c r="D259" s="73"/>
      <c r="E259" s="73"/>
      <c r="F259" s="73"/>
      <c r="H259" s="73"/>
    </row>
    <row r="260" spans="1:8" ht="15.75" customHeight="1">
      <c r="A260" s="73"/>
      <c r="B260" s="73"/>
      <c r="C260" s="73"/>
      <c r="D260" s="73"/>
      <c r="E260" s="73"/>
      <c r="F260" s="73"/>
      <c r="H260" s="73"/>
    </row>
    <row r="261" spans="1:8" ht="15.75" customHeight="1">
      <c r="A261" s="73"/>
      <c r="B261" s="73"/>
      <c r="C261" s="73"/>
      <c r="D261" s="73"/>
      <c r="E261" s="73"/>
      <c r="F261" s="73"/>
      <c r="H261" s="73"/>
    </row>
    <row r="262" spans="1:8" ht="15.75" customHeight="1">
      <c r="A262" s="73"/>
      <c r="B262" s="73"/>
      <c r="C262" s="73"/>
      <c r="D262" s="73"/>
      <c r="E262" s="73"/>
      <c r="F262" s="73"/>
      <c r="H262" s="73"/>
    </row>
    <row r="263" spans="1:8" ht="15.75" customHeight="1">
      <c r="A263" s="73"/>
      <c r="B263" s="73"/>
      <c r="C263" s="73"/>
      <c r="D263" s="73"/>
      <c r="E263" s="73"/>
      <c r="F263" s="73"/>
      <c r="H263" s="73"/>
    </row>
    <row r="264" spans="1:8" ht="15.75" customHeight="1">
      <c r="A264" s="73"/>
      <c r="B264" s="73"/>
      <c r="C264" s="73"/>
      <c r="D264" s="73"/>
      <c r="E264" s="73"/>
      <c r="F264" s="73"/>
      <c r="H264" s="73"/>
    </row>
    <row r="265" spans="1:8" ht="15.75" customHeight="1">
      <c r="A265" s="73"/>
      <c r="B265" s="73"/>
      <c r="C265" s="73"/>
      <c r="D265" s="73"/>
      <c r="E265" s="73"/>
      <c r="F265" s="73"/>
      <c r="H265" s="73"/>
    </row>
    <row r="266" spans="1:8" ht="15.75" customHeight="1">
      <c r="A266" s="73"/>
      <c r="B266" s="73"/>
      <c r="C266" s="73"/>
      <c r="D266" s="73"/>
      <c r="E266" s="73"/>
      <c r="F266" s="73"/>
      <c r="H266" s="73"/>
    </row>
    <row r="267" spans="1:8" ht="15.75" customHeight="1">
      <c r="A267" s="73"/>
      <c r="B267" s="73"/>
      <c r="C267" s="73"/>
      <c r="D267" s="73"/>
      <c r="E267" s="73"/>
      <c r="F267" s="73"/>
      <c r="H267" s="73"/>
    </row>
    <row r="268" spans="1:8" ht="15.75" customHeight="1">
      <c r="A268" s="73"/>
      <c r="B268" s="73"/>
      <c r="C268" s="73"/>
      <c r="D268" s="73"/>
      <c r="E268" s="73"/>
      <c r="F268" s="73"/>
      <c r="H268" s="73"/>
    </row>
    <row r="269" spans="1:8" ht="15.75" customHeight="1">
      <c r="A269" s="73"/>
      <c r="B269" s="73"/>
      <c r="C269" s="73"/>
      <c r="D269" s="73"/>
      <c r="E269" s="73"/>
      <c r="F269" s="73"/>
      <c r="H269" s="73"/>
    </row>
    <row r="270" spans="1:8" ht="15.75" customHeight="1">
      <c r="A270" s="73"/>
      <c r="B270" s="73"/>
      <c r="C270" s="73"/>
      <c r="D270" s="73"/>
      <c r="E270" s="73"/>
      <c r="F270" s="73"/>
      <c r="H270" s="73"/>
    </row>
    <row r="271" spans="1:8" ht="15.75" customHeight="1">
      <c r="A271" s="73"/>
      <c r="B271" s="73"/>
      <c r="C271" s="73"/>
      <c r="D271" s="73"/>
      <c r="E271" s="73"/>
      <c r="F271" s="73"/>
      <c r="H271" s="73"/>
    </row>
    <row r="272" spans="1:8" ht="15.75" customHeight="1">
      <c r="A272" s="73"/>
      <c r="B272" s="73"/>
      <c r="C272" s="73"/>
      <c r="D272" s="73"/>
      <c r="E272" s="73"/>
      <c r="F272" s="73"/>
      <c r="H272" s="73"/>
    </row>
    <row r="273" spans="1:8" ht="15.75" customHeight="1">
      <c r="A273" s="73"/>
      <c r="B273" s="73"/>
      <c r="C273" s="73"/>
      <c r="D273" s="73"/>
      <c r="E273" s="73"/>
      <c r="F273" s="73"/>
      <c r="H273" s="73"/>
    </row>
    <row r="274" spans="1:8" ht="15.75" customHeight="1">
      <c r="A274" s="73"/>
      <c r="B274" s="73"/>
      <c r="C274" s="73"/>
      <c r="D274" s="73"/>
      <c r="E274" s="73"/>
      <c r="F274" s="73"/>
      <c r="H274" s="73"/>
    </row>
    <row r="275" spans="1:8" ht="15.75" customHeight="1">
      <c r="A275" s="73"/>
      <c r="B275" s="73"/>
      <c r="C275" s="73"/>
      <c r="D275" s="73"/>
      <c r="E275" s="73"/>
      <c r="F275" s="73"/>
      <c r="H275" s="73"/>
    </row>
    <row r="276" spans="1:8" ht="15.75" customHeight="1">
      <c r="A276" s="73"/>
      <c r="B276" s="73"/>
      <c r="C276" s="73"/>
      <c r="D276" s="73"/>
      <c r="E276" s="73"/>
      <c r="F276" s="73"/>
      <c r="H276" s="73"/>
    </row>
    <row r="277" spans="1:8" ht="15.75" customHeight="1">
      <c r="A277" s="73"/>
      <c r="B277" s="73"/>
      <c r="C277" s="73"/>
      <c r="D277" s="73"/>
      <c r="E277" s="73"/>
      <c r="F277" s="73"/>
      <c r="H277" s="73"/>
    </row>
    <row r="278" spans="1:8" ht="15.75" customHeight="1">
      <c r="A278" s="73"/>
      <c r="B278" s="73"/>
      <c r="C278" s="73"/>
      <c r="D278" s="73"/>
      <c r="E278" s="73"/>
      <c r="F278" s="73"/>
      <c r="H278" s="73"/>
    </row>
    <row r="279" spans="1:8" ht="15.75" customHeight="1">
      <c r="A279" s="73"/>
      <c r="B279" s="73"/>
      <c r="C279" s="73"/>
      <c r="D279" s="73"/>
      <c r="E279" s="73"/>
      <c r="F279" s="73"/>
      <c r="H279" s="73"/>
    </row>
    <row r="280" spans="1:8" ht="15.75" customHeight="1">
      <c r="A280" s="73"/>
      <c r="B280" s="73"/>
      <c r="C280" s="73"/>
      <c r="D280" s="73"/>
      <c r="E280" s="73"/>
      <c r="F280" s="73"/>
      <c r="H280" s="73"/>
    </row>
    <row r="281" spans="1:8" ht="15.75" customHeight="1">
      <c r="A281" s="73"/>
      <c r="B281" s="73"/>
      <c r="C281" s="73"/>
      <c r="D281" s="73"/>
      <c r="E281" s="73"/>
      <c r="F281" s="73"/>
      <c r="H281" s="73"/>
    </row>
    <row r="282" spans="1:8" ht="15.75" customHeight="1">
      <c r="A282" s="73"/>
      <c r="B282" s="73"/>
      <c r="C282" s="73"/>
      <c r="D282" s="73"/>
      <c r="E282" s="73"/>
      <c r="F282" s="73"/>
      <c r="H282" s="73"/>
    </row>
    <row r="283" spans="1:8" ht="15.75" customHeight="1">
      <c r="A283" s="73"/>
      <c r="B283" s="73"/>
      <c r="C283" s="73"/>
      <c r="D283" s="73"/>
      <c r="E283" s="73"/>
      <c r="F283" s="73"/>
      <c r="H283" s="73"/>
    </row>
    <row r="284" spans="1:8" ht="15.75" customHeight="1">
      <c r="A284" s="73"/>
      <c r="B284" s="73"/>
      <c r="C284" s="73"/>
      <c r="D284" s="73"/>
      <c r="E284" s="73"/>
      <c r="F284" s="73"/>
      <c r="H284" s="73"/>
    </row>
    <row r="285" spans="1:8" ht="15.75" customHeight="1">
      <c r="A285" s="73"/>
      <c r="B285" s="73"/>
      <c r="C285" s="73"/>
      <c r="D285" s="73"/>
      <c r="E285" s="73"/>
      <c r="F285" s="73"/>
      <c r="H285" s="73"/>
    </row>
    <row r="286" spans="1:8" ht="15.75" customHeight="1">
      <c r="A286" s="73"/>
      <c r="B286" s="73"/>
      <c r="C286" s="73"/>
      <c r="D286" s="73"/>
      <c r="E286" s="73"/>
      <c r="F286" s="73"/>
      <c r="H286" s="73"/>
    </row>
    <row r="287" spans="1:8" ht="15.75" customHeight="1">
      <c r="A287" s="73"/>
      <c r="B287" s="73"/>
      <c r="C287" s="73"/>
      <c r="D287" s="73"/>
      <c r="E287" s="73"/>
      <c r="F287" s="73"/>
      <c r="H287" s="73"/>
    </row>
    <row r="288" spans="1:8" ht="15.75" customHeight="1">
      <c r="A288" s="73"/>
      <c r="B288" s="73"/>
      <c r="C288" s="73"/>
      <c r="D288" s="73"/>
      <c r="E288" s="73"/>
      <c r="F288" s="73"/>
      <c r="H288" s="73"/>
    </row>
    <row r="289" spans="1:8" ht="15.75" customHeight="1">
      <c r="A289" s="73"/>
      <c r="B289" s="73"/>
      <c r="C289" s="73"/>
      <c r="D289" s="73"/>
      <c r="E289" s="73"/>
      <c r="F289" s="73"/>
      <c r="H289" s="73"/>
    </row>
    <row r="290" spans="1:8" ht="15.75" customHeight="1">
      <c r="A290" s="73"/>
      <c r="B290" s="73"/>
      <c r="C290" s="73"/>
      <c r="D290" s="73"/>
      <c r="E290" s="73"/>
      <c r="F290" s="73"/>
      <c r="H290" s="73"/>
    </row>
    <row r="291" spans="1:8" ht="15.75" customHeight="1">
      <c r="A291" s="73"/>
      <c r="B291" s="73"/>
      <c r="C291" s="73"/>
      <c r="D291" s="73"/>
      <c r="E291" s="73"/>
      <c r="F291" s="73"/>
      <c r="H291" s="73"/>
    </row>
    <row r="292" spans="1:8" ht="15.75" customHeight="1">
      <c r="A292" s="73"/>
      <c r="B292" s="73"/>
      <c r="C292" s="73"/>
      <c r="D292" s="73"/>
      <c r="E292" s="73"/>
      <c r="F292" s="73"/>
      <c r="H292" s="73"/>
    </row>
    <row r="293" spans="1:8" ht="15.75" customHeight="1">
      <c r="A293" s="73"/>
      <c r="B293" s="73"/>
      <c r="C293" s="73"/>
      <c r="D293" s="73"/>
      <c r="E293" s="73"/>
      <c r="F293" s="73"/>
      <c r="H293" s="73"/>
    </row>
    <row r="294" spans="1:8" ht="15.75" customHeight="1">
      <c r="A294" s="73"/>
      <c r="B294" s="73"/>
      <c r="C294" s="73"/>
      <c r="D294" s="73"/>
      <c r="E294" s="73"/>
      <c r="F294" s="73"/>
      <c r="H294" s="73"/>
    </row>
    <row r="295" spans="1:8" ht="15.75" customHeight="1">
      <c r="A295" s="73"/>
      <c r="B295" s="73"/>
      <c r="C295" s="73"/>
      <c r="D295" s="73"/>
      <c r="E295" s="73"/>
      <c r="F295" s="73"/>
      <c r="H295" s="73"/>
    </row>
    <row r="296" spans="1:8" ht="15.75" customHeight="1">
      <c r="A296" s="73"/>
      <c r="B296" s="73"/>
      <c r="C296" s="73"/>
      <c r="D296" s="73"/>
      <c r="E296" s="73"/>
      <c r="F296" s="73"/>
      <c r="H296" s="73"/>
    </row>
    <row r="297" spans="1:8" ht="15.75" customHeight="1">
      <c r="A297" s="73"/>
      <c r="B297" s="73"/>
      <c r="C297" s="73"/>
      <c r="D297" s="73"/>
      <c r="E297" s="73"/>
      <c r="F297" s="73"/>
      <c r="H297" s="73"/>
    </row>
    <row r="298" spans="1:8" ht="15.75" customHeight="1">
      <c r="A298" s="73"/>
      <c r="B298" s="73"/>
      <c r="C298" s="73"/>
      <c r="D298" s="73"/>
      <c r="E298" s="73"/>
      <c r="F298" s="73"/>
      <c r="H298" s="73"/>
    </row>
    <row r="299" spans="1:8" ht="15.75" customHeight="1">
      <c r="A299" s="73"/>
      <c r="B299" s="73"/>
      <c r="C299" s="73"/>
      <c r="D299" s="73"/>
      <c r="E299" s="73"/>
      <c r="F299" s="73"/>
      <c r="H299" s="73"/>
    </row>
    <row r="300" spans="1:8" ht="15.75" customHeight="1">
      <c r="A300" s="73"/>
      <c r="B300" s="73"/>
      <c r="C300" s="73"/>
      <c r="D300" s="73"/>
      <c r="E300" s="73"/>
      <c r="F300" s="73"/>
      <c r="H300" s="73"/>
    </row>
    <row r="301" spans="1:8" ht="15.75" customHeight="1">
      <c r="A301" s="73"/>
      <c r="B301" s="73"/>
      <c r="C301" s="73"/>
      <c r="D301" s="73"/>
      <c r="E301" s="73"/>
      <c r="F301" s="73"/>
      <c r="H301" s="73"/>
    </row>
    <row r="302" spans="1:8" ht="15.75" customHeight="1">
      <c r="A302" s="73"/>
      <c r="B302" s="73"/>
      <c r="C302" s="73"/>
      <c r="D302" s="73"/>
      <c r="E302" s="73"/>
      <c r="F302" s="73"/>
      <c r="H302" s="73"/>
    </row>
    <row r="303" spans="1:8" ht="15.75" customHeight="1">
      <c r="A303" s="73"/>
      <c r="B303" s="73"/>
      <c r="C303" s="73"/>
      <c r="D303" s="73"/>
      <c r="E303" s="73"/>
      <c r="F303" s="73"/>
      <c r="H303" s="73"/>
    </row>
    <row r="304" spans="1:8" ht="15.75" customHeight="1">
      <c r="A304" s="73"/>
      <c r="B304" s="73"/>
      <c r="C304" s="73"/>
      <c r="D304" s="73"/>
      <c r="E304" s="73"/>
      <c r="F304" s="73"/>
      <c r="H304" s="73"/>
    </row>
    <row r="305" spans="1:8" ht="15.75" customHeight="1">
      <c r="A305" s="73"/>
      <c r="B305" s="73"/>
      <c r="C305" s="73"/>
      <c r="D305" s="73"/>
      <c r="E305" s="73"/>
      <c r="F305" s="73"/>
      <c r="H305" s="73"/>
    </row>
    <row r="306" spans="1:8" ht="15.75" customHeight="1">
      <c r="A306" s="73"/>
      <c r="B306" s="73"/>
      <c r="C306" s="73"/>
      <c r="D306" s="73"/>
      <c r="E306" s="73"/>
      <c r="F306" s="73"/>
      <c r="H306" s="73"/>
    </row>
    <row r="307" spans="1:8" ht="15.75" customHeight="1">
      <c r="A307" s="73"/>
      <c r="B307" s="73"/>
      <c r="C307" s="73"/>
      <c r="D307" s="73"/>
      <c r="E307" s="73"/>
      <c r="F307" s="73"/>
      <c r="H307" s="73"/>
    </row>
    <row r="308" spans="1:8" ht="15.75" customHeight="1">
      <c r="A308" s="73"/>
      <c r="B308" s="73"/>
      <c r="C308" s="73"/>
      <c r="D308" s="73"/>
      <c r="E308" s="73"/>
      <c r="F308" s="73"/>
      <c r="H308" s="73"/>
    </row>
    <row r="309" spans="1:8" ht="15.75" customHeight="1">
      <c r="A309" s="73"/>
      <c r="B309" s="73"/>
      <c r="C309" s="73"/>
      <c r="D309" s="73"/>
      <c r="E309" s="73"/>
      <c r="F309" s="73"/>
      <c r="H309" s="73"/>
    </row>
    <row r="310" spans="1:8" ht="15.75" customHeight="1">
      <c r="A310" s="73"/>
      <c r="B310" s="73"/>
      <c r="C310" s="73"/>
      <c r="D310" s="73"/>
      <c r="E310" s="73"/>
      <c r="F310" s="73"/>
      <c r="H310" s="73"/>
    </row>
    <row r="311" spans="1:8" ht="15.75" customHeight="1">
      <c r="A311" s="73"/>
      <c r="B311" s="73"/>
      <c r="C311" s="73"/>
      <c r="D311" s="73"/>
      <c r="E311" s="73"/>
      <c r="F311" s="73"/>
      <c r="H311" s="73"/>
    </row>
    <row r="312" spans="1:8" ht="15.75" customHeight="1">
      <c r="A312" s="73"/>
      <c r="B312" s="73"/>
      <c r="C312" s="73"/>
      <c r="D312" s="73"/>
      <c r="E312" s="73"/>
      <c r="F312" s="73"/>
      <c r="H312" s="73"/>
    </row>
    <row r="313" spans="1:8" ht="15.75" customHeight="1">
      <c r="A313" s="73"/>
      <c r="B313" s="73"/>
      <c r="C313" s="73"/>
      <c r="D313" s="73"/>
      <c r="E313" s="73"/>
      <c r="F313" s="73"/>
      <c r="H313" s="73"/>
    </row>
    <row r="314" spans="1:8" ht="15.75" customHeight="1">
      <c r="A314" s="73"/>
      <c r="B314" s="73"/>
      <c r="C314" s="73"/>
      <c r="D314" s="73"/>
      <c r="E314" s="73"/>
      <c r="F314" s="73"/>
      <c r="H314" s="73"/>
    </row>
    <row r="315" spans="1:8" ht="15.75" customHeight="1">
      <c r="A315" s="73"/>
      <c r="B315" s="73"/>
      <c r="C315" s="73"/>
      <c r="D315" s="73"/>
      <c r="E315" s="73"/>
      <c r="F315" s="73"/>
      <c r="H315" s="73"/>
    </row>
    <row r="316" spans="1:8" ht="15.75" customHeight="1">
      <c r="A316" s="73"/>
      <c r="B316" s="73"/>
      <c r="C316" s="73"/>
      <c r="D316" s="73"/>
      <c r="E316" s="73"/>
      <c r="F316" s="73"/>
      <c r="H316" s="73"/>
    </row>
    <row r="317" spans="1:8" ht="15.75" customHeight="1">
      <c r="A317" s="73"/>
      <c r="B317" s="73"/>
      <c r="C317" s="73"/>
      <c r="D317" s="73"/>
      <c r="E317" s="73"/>
      <c r="F317" s="73"/>
      <c r="H317" s="73"/>
    </row>
    <row r="318" spans="1:8" ht="15.75" customHeight="1">
      <c r="A318" s="73"/>
      <c r="B318" s="73"/>
      <c r="C318" s="73"/>
      <c r="D318" s="73"/>
      <c r="E318" s="73"/>
      <c r="F318" s="73"/>
      <c r="H318" s="73"/>
    </row>
    <row r="319" spans="1:8" ht="15.75" customHeight="1">
      <c r="A319" s="73"/>
      <c r="B319" s="73"/>
      <c r="C319" s="73"/>
      <c r="D319" s="73"/>
      <c r="E319" s="73"/>
      <c r="F319" s="73"/>
      <c r="H319" s="73"/>
    </row>
    <row r="320" spans="1:8" ht="15.75" customHeight="1">
      <c r="A320" s="73"/>
      <c r="B320" s="73"/>
      <c r="C320" s="73"/>
      <c r="D320" s="73"/>
      <c r="E320" s="73"/>
      <c r="F320" s="73"/>
      <c r="H320" s="73"/>
    </row>
    <row r="321" spans="1:8" ht="15.75" customHeight="1">
      <c r="A321" s="73"/>
      <c r="B321" s="73"/>
      <c r="C321" s="73"/>
      <c r="D321" s="73"/>
      <c r="E321" s="73"/>
      <c r="F321" s="73"/>
      <c r="H321" s="73"/>
    </row>
    <row r="322" spans="1:8" ht="15.75" customHeight="1">
      <c r="A322" s="73"/>
      <c r="B322" s="73"/>
      <c r="C322" s="73"/>
      <c r="D322" s="73"/>
      <c r="E322" s="73"/>
      <c r="F322" s="73"/>
      <c r="H322" s="73"/>
    </row>
    <row r="323" spans="1:8" ht="15.75" customHeight="1">
      <c r="A323" s="73"/>
      <c r="B323" s="73"/>
      <c r="C323" s="73"/>
      <c r="D323" s="73"/>
      <c r="E323" s="73"/>
      <c r="F323" s="73"/>
      <c r="H323" s="73"/>
    </row>
    <row r="324" spans="1:8" ht="15.75" customHeight="1">
      <c r="A324" s="73"/>
      <c r="B324" s="73"/>
      <c r="C324" s="73"/>
      <c r="D324" s="73"/>
      <c r="E324" s="73"/>
      <c r="F324" s="73"/>
      <c r="H324" s="73"/>
    </row>
    <row r="325" spans="1:8" ht="15.75" customHeight="1">
      <c r="A325" s="73"/>
      <c r="B325" s="73"/>
      <c r="C325" s="73"/>
      <c r="D325" s="73"/>
      <c r="E325" s="73"/>
      <c r="F325" s="73"/>
      <c r="H325" s="73"/>
    </row>
    <row r="326" spans="1:8" ht="15.75" customHeight="1">
      <c r="A326" s="73"/>
      <c r="B326" s="73"/>
      <c r="C326" s="73"/>
      <c r="D326" s="73"/>
      <c r="E326" s="73"/>
      <c r="F326" s="73"/>
      <c r="H326" s="73"/>
    </row>
    <row r="327" spans="1:8" ht="15.75" customHeight="1">
      <c r="A327" s="73"/>
      <c r="B327" s="73"/>
      <c r="C327" s="73"/>
      <c r="D327" s="73"/>
      <c r="E327" s="73"/>
      <c r="F327" s="73"/>
      <c r="H327" s="73"/>
    </row>
    <row r="328" spans="1:8" ht="15.75" customHeight="1">
      <c r="A328" s="73"/>
      <c r="B328" s="73"/>
      <c r="C328" s="73"/>
      <c r="D328" s="73"/>
      <c r="E328" s="73"/>
      <c r="F328" s="73"/>
      <c r="H328" s="73"/>
    </row>
    <row r="329" spans="1:8" ht="15.75" customHeight="1">
      <c r="A329" s="73"/>
      <c r="B329" s="73"/>
      <c r="C329" s="73"/>
      <c r="D329" s="73"/>
      <c r="E329" s="73"/>
      <c r="F329" s="73"/>
      <c r="H329" s="73"/>
    </row>
    <row r="330" spans="1:8" ht="15.75" customHeight="1">
      <c r="A330" s="73"/>
      <c r="B330" s="73"/>
      <c r="C330" s="73"/>
      <c r="D330" s="73"/>
      <c r="E330" s="73"/>
      <c r="F330" s="73"/>
      <c r="H330" s="73"/>
    </row>
    <row r="331" spans="1:8" ht="15.75" customHeight="1">
      <c r="A331" s="73"/>
      <c r="B331" s="73"/>
      <c r="C331" s="73"/>
      <c r="D331" s="73"/>
      <c r="E331" s="73"/>
      <c r="F331" s="73"/>
      <c r="H331" s="73"/>
    </row>
    <row r="332" spans="1:8" ht="15.75" customHeight="1">
      <c r="A332" s="73"/>
      <c r="B332" s="73"/>
      <c r="C332" s="73"/>
      <c r="D332" s="73"/>
      <c r="E332" s="73"/>
      <c r="F332" s="73"/>
      <c r="H332" s="73"/>
    </row>
    <row r="333" spans="1:8" ht="15.75" customHeight="1">
      <c r="A333" s="73"/>
      <c r="B333" s="73"/>
      <c r="C333" s="73"/>
      <c r="D333" s="73"/>
      <c r="E333" s="73"/>
      <c r="F333" s="73"/>
      <c r="H333" s="73"/>
    </row>
    <row r="334" spans="1:8" ht="15.75" customHeight="1">
      <c r="A334" s="73"/>
      <c r="B334" s="73"/>
      <c r="C334" s="73"/>
      <c r="D334" s="73"/>
      <c r="E334" s="73"/>
      <c r="F334" s="73"/>
      <c r="H334" s="73"/>
    </row>
    <row r="335" spans="1:8" ht="15.75" customHeight="1">
      <c r="A335" s="73"/>
      <c r="B335" s="73"/>
      <c r="C335" s="73"/>
      <c r="D335" s="73"/>
      <c r="E335" s="73"/>
      <c r="F335" s="73"/>
      <c r="H335" s="73"/>
    </row>
    <row r="336" spans="1:8" ht="15.75" customHeight="1">
      <c r="A336" s="73"/>
      <c r="B336" s="73"/>
      <c r="C336" s="73"/>
      <c r="D336" s="73"/>
      <c r="E336" s="73"/>
      <c r="F336" s="73"/>
      <c r="H336" s="73"/>
    </row>
    <row r="337" spans="1:8" ht="15.75" customHeight="1">
      <c r="A337" s="73"/>
      <c r="B337" s="73"/>
      <c r="C337" s="73"/>
      <c r="D337" s="73"/>
      <c r="E337" s="73"/>
      <c r="F337" s="73"/>
      <c r="H337" s="73"/>
    </row>
    <row r="338" spans="1:8" ht="15.75" customHeight="1">
      <c r="A338" s="73"/>
      <c r="B338" s="73"/>
      <c r="C338" s="73"/>
      <c r="D338" s="73"/>
      <c r="E338" s="73"/>
      <c r="F338" s="73"/>
      <c r="H338" s="73"/>
    </row>
    <row r="339" spans="1:8" ht="15.75" customHeight="1">
      <c r="A339" s="73"/>
      <c r="B339" s="73"/>
      <c r="C339" s="73"/>
      <c r="D339" s="73"/>
      <c r="E339" s="73"/>
      <c r="F339" s="73"/>
      <c r="H339" s="73"/>
    </row>
    <row r="340" spans="1:8" ht="15.75" customHeight="1">
      <c r="A340" s="73"/>
      <c r="B340" s="73"/>
      <c r="C340" s="73"/>
      <c r="D340" s="73"/>
      <c r="E340" s="73"/>
      <c r="F340" s="73"/>
      <c r="H340" s="73"/>
    </row>
    <row r="341" spans="1:8" ht="15.75" customHeight="1">
      <c r="A341" s="73"/>
      <c r="B341" s="73"/>
      <c r="C341" s="73"/>
      <c r="D341" s="73"/>
      <c r="E341" s="73"/>
      <c r="F341" s="73"/>
      <c r="H341" s="73"/>
    </row>
    <row r="342" spans="1:8" ht="15.75" customHeight="1">
      <c r="A342" s="73"/>
      <c r="B342" s="73"/>
      <c r="C342" s="73"/>
      <c r="D342" s="73"/>
      <c r="E342" s="73"/>
      <c r="F342" s="73"/>
      <c r="H342" s="73"/>
    </row>
    <row r="343" spans="1:8" ht="15.75" customHeight="1">
      <c r="A343" s="73"/>
      <c r="B343" s="73"/>
      <c r="C343" s="73"/>
      <c r="D343" s="73"/>
      <c r="E343" s="73"/>
      <c r="F343" s="73"/>
      <c r="H343" s="73"/>
    </row>
    <row r="344" spans="1:8" ht="15.75" customHeight="1">
      <c r="A344" s="73"/>
      <c r="B344" s="73"/>
      <c r="C344" s="73"/>
      <c r="D344" s="73"/>
      <c r="E344" s="73"/>
      <c r="F344" s="73"/>
      <c r="H344" s="73"/>
    </row>
    <row r="345" spans="1:8" ht="15.75" customHeight="1">
      <c r="A345" s="73"/>
      <c r="B345" s="73"/>
      <c r="C345" s="73"/>
      <c r="D345" s="73"/>
      <c r="E345" s="73"/>
      <c r="F345" s="73"/>
      <c r="H345" s="73"/>
    </row>
    <row r="346" spans="1:8" ht="15.75" customHeight="1">
      <c r="A346" s="73"/>
      <c r="B346" s="73"/>
      <c r="C346" s="73"/>
      <c r="D346" s="73"/>
      <c r="E346" s="73"/>
      <c r="F346" s="73"/>
      <c r="H346" s="73"/>
    </row>
    <row r="347" spans="1:8" ht="15.75" customHeight="1">
      <c r="A347" s="73"/>
      <c r="B347" s="73"/>
      <c r="C347" s="73"/>
      <c r="D347" s="73"/>
      <c r="E347" s="73"/>
      <c r="F347" s="73"/>
      <c r="H347" s="73"/>
    </row>
    <row r="348" spans="1:8" ht="15.75" customHeight="1">
      <c r="A348" s="73"/>
      <c r="B348" s="73"/>
      <c r="C348" s="73"/>
      <c r="D348" s="73"/>
      <c r="E348" s="73"/>
      <c r="F348" s="73"/>
      <c r="H348" s="73"/>
    </row>
    <row r="349" spans="1:8" ht="15.75" customHeight="1">
      <c r="A349" s="73"/>
      <c r="B349" s="73"/>
      <c r="C349" s="73"/>
      <c r="D349" s="73"/>
      <c r="E349" s="73"/>
      <c r="F349" s="73"/>
      <c r="H349" s="73"/>
    </row>
    <row r="350" spans="1:8" ht="15.75" customHeight="1">
      <c r="A350" s="73"/>
      <c r="B350" s="73"/>
      <c r="C350" s="73"/>
      <c r="D350" s="73"/>
      <c r="E350" s="73"/>
      <c r="F350" s="73"/>
      <c r="H350" s="73"/>
    </row>
    <row r="351" spans="1:8" ht="15.75" customHeight="1">
      <c r="A351" s="73"/>
      <c r="B351" s="73"/>
      <c r="C351" s="73"/>
      <c r="D351" s="73"/>
      <c r="E351" s="73"/>
      <c r="F351" s="73"/>
      <c r="H351" s="73"/>
    </row>
    <row r="352" spans="1:8" ht="15.75" customHeight="1">
      <c r="A352" s="73"/>
      <c r="B352" s="73"/>
      <c r="C352" s="73"/>
      <c r="D352" s="73"/>
      <c r="E352" s="73"/>
      <c r="F352" s="73"/>
      <c r="H352" s="73"/>
    </row>
    <row r="353" spans="1:8" ht="15.75" customHeight="1">
      <c r="A353" s="73"/>
      <c r="B353" s="73"/>
      <c r="C353" s="73"/>
      <c r="D353" s="73"/>
      <c r="E353" s="73"/>
      <c r="F353" s="73"/>
      <c r="H353" s="73"/>
    </row>
    <row r="354" spans="1:8" ht="15.75" customHeight="1">
      <c r="A354" s="73"/>
      <c r="B354" s="73"/>
      <c r="C354" s="73"/>
      <c r="D354" s="73"/>
      <c r="E354" s="73"/>
      <c r="F354" s="73"/>
      <c r="H354" s="73"/>
    </row>
    <row r="355" spans="1:8" ht="15.75" customHeight="1">
      <c r="A355" s="73"/>
      <c r="B355" s="73"/>
      <c r="C355" s="73"/>
      <c r="D355" s="73"/>
      <c r="E355" s="73"/>
      <c r="F355" s="73"/>
      <c r="H355" s="73"/>
    </row>
    <row r="356" spans="1:8" ht="15.75" customHeight="1">
      <c r="A356" s="73"/>
      <c r="B356" s="73"/>
      <c r="C356" s="73"/>
      <c r="D356" s="73"/>
      <c r="E356" s="73"/>
      <c r="F356" s="73"/>
      <c r="H356" s="73"/>
    </row>
    <row r="357" spans="1:8" ht="15.75" customHeight="1">
      <c r="A357" s="73"/>
      <c r="B357" s="73"/>
      <c r="C357" s="73"/>
      <c r="D357" s="73"/>
      <c r="E357" s="73"/>
      <c r="F357" s="73"/>
      <c r="H357" s="73"/>
    </row>
    <row r="358" spans="1:8" ht="15.75" customHeight="1">
      <c r="A358" s="73"/>
      <c r="B358" s="73"/>
      <c r="C358" s="73"/>
      <c r="D358" s="73"/>
      <c r="E358" s="73"/>
      <c r="F358" s="73"/>
      <c r="H358" s="73"/>
    </row>
    <row r="359" spans="1:8" ht="15.75" customHeight="1">
      <c r="A359" s="73"/>
      <c r="B359" s="73"/>
      <c r="C359" s="73"/>
      <c r="D359" s="73"/>
      <c r="E359" s="73"/>
      <c r="F359" s="73"/>
      <c r="H359" s="73"/>
    </row>
    <row r="360" spans="1:8" ht="15.75" customHeight="1">
      <c r="A360" s="73"/>
      <c r="B360" s="73"/>
      <c r="C360" s="73"/>
      <c r="D360" s="73"/>
      <c r="E360" s="73"/>
      <c r="F360" s="73"/>
      <c r="H360" s="73"/>
    </row>
    <row r="361" spans="1:8" ht="15.75" customHeight="1">
      <c r="A361" s="73"/>
      <c r="B361" s="73"/>
      <c r="C361" s="73"/>
      <c r="D361" s="73"/>
      <c r="E361" s="73"/>
      <c r="F361" s="73"/>
      <c r="H361" s="73"/>
    </row>
    <row r="362" spans="1:8" ht="15.75" customHeight="1">
      <c r="A362" s="73"/>
      <c r="B362" s="73"/>
      <c r="C362" s="73"/>
      <c r="D362" s="73"/>
      <c r="E362" s="73"/>
      <c r="F362" s="73"/>
      <c r="H362" s="73"/>
    </row>
    <row r="363" spans="1:8" ht="15.75" customHeight="1">
      <c r="A363" s="73"/>
      <c r="B363" s="73"/>
      <c r="C363" s="73"/>
      <c r="D363" s="73"/>
      <c r="E363" s="73"/>
      <c r="F363" s="73"/>
      <c r="H363" s="73"/>
    </row>
    <row r="364" spans="1:8" ht="15.75" customHeight="1">
      <c r="A364" s="73"/>
      <c r="B364" s="73"/>
      <c r="C364" s="73"/>
      <c r="D364" s="73"/>
      <c r="E364" s="73"/>
      <c r="F364" s="73"/>
      <c r="H364" s="73"/>
    </row>
    <row r="365" spans="1:8" ht="15.75" customHeight="1">
      <c r="A365" s="73"/>
      <c r="B365" s="73"/>
      <c r="C365" s="73"/>
      <c r="D365" s="73"/>
      <c r="E365" s="73"/>
      <c r="F365" s="73"/>
      <c r="H365" s="73"/>
    </row>
    <row r="366" spans="1:8" ht="15.75" customHeight="1">
      <c r="A366" s="73"/>
      <c r="B366" s="73"/>
      <c r="C366" s="73"/>
      <c r="D366" s="73"/>
      <c r="E366" s="73"/>
      <c r="F366" s="73"/>
      <c r="H366" s="73"/>
    </row>
    <row r="367" spans="1:8" ht="15.75" customHeight="1">
      <c r="A367" s="73"/>
      <c r="B367" s="73"/>
      <c r="C367" s="73"/>
      <c r="D367" s="73"/>
      <c r="E367" s="73"/>
      <c r="F367" s="73"/>
      <c r="H367" s="73"/>
    </row>
    <row r="368" spans="1:8" ht="15.75" customHeight="1">
      <c r="A368" s="73"/>
      <c r="B368" s="73"/>
      <c r="C368" s="73"/>
      <c r="D368" s="73"/>
      <c r="E368" s="73"/>
      <c r="F368" s="73"/>
      <c r="H368" s="73"/>
    </row>
    <row r="369" spans="1:8" ht="15.75" customHeight="1">
      <c r="A369" s="73"/>
      <c r="B369" s="73"/>
      <c r="C369" s="73"/>
      <c r="D369" s="73"/>
      <c r="E369" s="73"/>
      <c r="F369" s="73"/>
      <c r="H369" s="73"/>
    </row>
    <row r="370" spans="1:8" ht="15.75" customHeight="1">
      <c r="A370" s="73"/>
      <c r="B370" s="73"/>
      <c r="C370" s="73"/>
      <c r="D370" s="73"/>
      <c r="E370" s="73"/>
      <c r="F370" s="73"/>
      <c r="H370" s="73"/>
    </row>
    <row r="371" spans="1:8" ht="15.75" customHeight="1">
      <c r="A371" s="73"/>
      <c r="B371" s="73"/>
      <c r="C371" s="73"/>
      <c r="D371" s="73"/>
      <c r="E371" s="73"/>
      <c r="F371" s="73"/>
      <c r="H371" s="73"/>
    </row>
    <row r="372" spans="1:8" ht="15.75" customHeight="1">
      <c r="A372" s="73"/>
      <c r="B372" s="73"/>
      <c r="C372" s="73"/>
      <c r="D372" s="73"/>
      <c r="E372" s="73"/>
      <c r="F372" s="73"/>
      <c r="H372" s="73"/>
    </row>
    <row r="373" spans="1:8" ht="15.75" customHeight="1">
      <c r="A373" s="73"/>
      <c r="B373" s="73"/>
      <c r="C373" s="73"/>
      <c r="D373" s="73"/>
      <c r="E373" s="73"/>
      <c r="F373" s="73"/>
      <c r="H373" s="73"/>
    </row>
    <row r="374" spans="1:8" ht="15.75" customHeight="1">
      <c r="A374" s="73"/>
      <c r="B374" s="73"/>
      <c r="C374" s="73"/>
      <c r="D374" s="73"/>
      <c r="E374" s="73"/>
      <c r="F374" s="73"/>
      <c r="H374" s="73"/>
    </row>
    <row r="375" spans="1:8" ht="15.75" customHeight="1">
      <c r="A375" s="73"/>
      <c r="B375" s="73"/>
      <c r="C375" s="73"/>
      <c r="D375" s="73"/>
      <c r="E375" s="73"/>
      <c r="F375" s="73"/>
      <c r="H375" s="73"/>
    </row>
    <row r="376" spans="1:8" ht="15.75" customHeight="1">
      <c r="A376" s="73"/>
      <c r="B376" s="73"/>
      <c r="C376" s="73"/>
      <c r="D376" s="73"/>
      <c r="E376" s="73"/>
      <c r="F376" s="73"/>
      <c r="H376" s="73"/>
    </row>
    <row r="377" spans="1:8" ht="15.75" customHeight="1">
      <c r="A377" s="73"/>
      <c r="B377" s="73"/>
      <c r="C377" s="73"/>
      <c r="D377" s="73"/>
      <c r="E377" s="73"/>
      <c r="F377" s="73"/>
      <c r="H377" s="73"/>
    </row>
    <row r="378" spans="1:8" ht="15.75" customHeight="1">
      <c r="A378" s="73"/>
      <c r="B378" s="73"/>
      <c r="C378" s="73"/>
      <c r="D378" s="73"/>
      <c r="E378" s="73"/>
      <c r="F378" s="73"/>
      <c r="H378" s="73"/>
    </row>
    <row r="379" spans="1:8" ht="15.75" customHeight="1">
      <c r="A379" s="73"/>
      <c r="B379" s="73"/>
      <c r="C379" s="73"/>
      <c r="D379" s="73"/>
      <c r="E379" s="73"/>
      <c r="F379" s="73"/>
      <c r="H379" s="73"/>
    </row>
    <row r="380" spans="1:8" ht="15.75" customHeight="1">
      <c r="A380" s="73"/>
      <c r="B380" s="73"/>
      <c r="C380" s="73"/>
      <c r="D380" s="73"/>
      <c r="E380" s="73"/>
      <c r="F380" s="73"/>
      <c r="H380" s="73"/>
    </row>
    <row r="381" spans="1:8" ht="15.75" customHeight="1">
      <c r="A381" s="73"/>
      <c r="B381" s="73"/>
      <c r="C381" s="73"/>
      <c r="D381" s="73"/>
      <c r="E381" s="73"/>
      <c r="F381" s="73"/>
      <c r="H381" s="73"/>
    </row>
    <row r="382" spans="1:8" ht="15.75" customHeight="1">
      <c r="A382" s="73"/>
      <c r="B382" s="73"/>
      <c r="C382" s="73"/>
      <c r="D382" s="73"/>
      <c r="E382" s="73"/>
      <c r="F382" s="73"/>
      <c r="H382" s="73"/>
    </row>
    <row r="383" spans="1:8" ht="15.75" customHeight="1">
      <c r="A383" s="73"/>
      <c r="B383" s="73"/>
      <c r="C383" s="73"/>
      <c r="D383" s="73"/>
      <c r="E383" s="73"/>
      <c r="F383" s="73"/>
      <c r="H383" s="73"/>
    </row>
    <row r="384" spans="1:8" ht="15.75" customHeight="1">
      <c r="A384" s="73"/>
      <c r="B384" s="73"/>
      <c r="C384" s="73"/>
      <c r="D384" s="73"/>
      <c r="E384" s="73"/>
      <c r="F384" s="73"/>
      <c r="H384" s="73"/>
    </row>
    <row r="385" spans="1:8" ht="15.75" customHeight="1">
      <c r="A385" s="73"/>
      <c r="B385" s="73"/>
      <c r="C385" s="73"/>
      <c r="D385" s="73"/>
      <c r="E385" s="73"/>
      <c r="F385" s="73"/>
      <c r="H385" s="73"/>
    </row>
    <row r="386" spans="1:8" ht="15.75" customHeight="1">
      <c r="A386" s="73"/>
      <c r="B386" s="73"/>
      <c r="C386" s="73"/>
      <c r="D386" s="73"/>
      <c r="E386" s="73"/>
      <c r="F386" s="73"/>
      <c r="H386" s="73"/>
    </row>
    <row r="387" spans="1:8" ht="15.75" customHeight="1">
      <c r="A387" s="73"/>
      <c r="B387" s="73"/>
      <c r="C387" s="73"/>
      <c r="D387" s="73"/>
      <c r="E387" s="73"/>
      <c r="F387" s="73"/>
      <c r="H387" s="73"/>
    </row>
    <row r="388" spans="1:8" ht="15.75" customHeight="1">
      <c r="A388" s="73"/>
      <c r="B388" s="73"/>
      <c r="C388" s="73"/>
      <c r="D388" s="73"/>
      <c r="E388" s="73"/>
      <c r="F388" s="73"/>
      <c r="H388" s="73"/>
    </row>
    <row r="389" spans="1:8" ht="15.75" customHeight="1">
      <c r="A389" s="73"/>
      <c r="B389" s="73"/>
      <c r="C389" s="73"/>
      <c r="D389" s="73"/>
      <c r="E389" s="73"/>
      <c r="F389" s="73"/>
      <c r="H389" s="73"/>
    </row>
    <row r="390" spans="1:8" ht="15.75" customHeight="1">
      <c r="A390" s="73"/>
      <c r="B390" s="73"/>
      <c r="C390" s="73"/>
      <c r="D390" s="73"/>
      <c r="E390" s="73"/>
      <c r="F390" s="73"/>
      <c r="H390" s="73"/>
    </row>
    <row r="391" spans="1:8" ht="15.75" customHeight="1">
      <c r="A391" s="73"/>
      <c r="B391" s="73"/>
      <c r="C391" s="73"/>
      <c r="D391" s="73"/>
      <c r="E391" s="73"/>
      <c r="F391" s="73"/>
      <c r="H391" s="73"/>
    </row>
    <row r="392" spans="1:8" ht="15.75" customHeight="1">
      <c r="A392" s="73"/>
      <c r="B392" s="73"/>
      <c r="C392" s="73"/>
      <c r="D392" s="73"/>
      <c r="E392" s="73"/>
      <c r="F392" s="73"/>
      <c r="H392" s="73"/>
    </row>
    <row r="393" spans="1:8" ht="15.75" customHeight="1">
      <c r="A393" s="73"/>
      <c r="B393" s="73"/>
      <c r="C393" s="73"/>
      <c r="D393" s="73"/>
      <c r="E393" s="73"/>
      <c r="F393" s="73"/>
      <c r="H393" s="73"/>
    </row>
    <row r="394" spans="1:8" ht="15.75" customHeight="1">
      <c r="A394" s="73"/>
      <c r="B394" s="73"/>
      <c r="C394" s="73"/>
      <c r="D394" s="73"/>
      <c r="E394" s="73"/>
      <c r="F394" s="73"/>
      <c r="H394" s="73"/>
    </row>
    <row r="395" spans="1:8" ht="15.75" customHeight="1">
      <c r="A395" s="73"/>
      <c r="B395" s="73"/>
      <c r="C395" s="73"/>
      <c r="D395" s="73"/>
      <c r="E395" s="73"/>
      <c r="F395" s="73"/>
      <c r="H395" s="73"/>
    </row>
    <row r="396" spans="1:8" ht="15.75" customHeight="1">
      <c r="A396" s="73"/>
      <c r="B396" s="73"/>
      <c r="C396" s="73"/>
      <c r="D396" s="73"/>
      <c r="E396" s="73"/>
      <c r="F396" s="73"/>
      <c r="H396" s="73"/>
    </row>
    <row r="397" spans="1:8" ht="15.75" customHeight="1">
      <c r="A397" s="73"/>
      <c r="B397" s="73"/>
      <c r="C397" s="73"/>
      <c r="D397" s="73"/>
      <c r="E397" s="73"/>
      <c r="F397" s="73"/>
      <c r="H397" s="73"/>
    </row>
    <row r="398" spans="1:8" ht="15.75" customHeight="1">
      <c r="A398" s="73"/>
      <c r="B398" s="73"/>
      <c r="C398" s="73"/>
      <c r="D398" s="73"/>
      <c r="E398" s="73"/>
      <c r="F398" s="73"/>
      <c r="H398" s="73"/>
    </row>
    <row r="399" spans="1:8" ht="15.75" customHeight="1">
      <c r="A399" s="73"/>
      <c r="B399" s="73"/>
      <c r="C399" s="73"/>
      <c r="D399" s="73"/>
      <c r="E399" s="73"/>
      <c r="F399" s="73"/>
      <c r="H399" s="73"/>
    </row>
    <row r="400" spans="1:8" ht="15.75" customHeight="1">
      <c r="A400" s="73"/>
      <c r="B400" s="73"/>
      <c r="C400" s="73"/>
      <c r="D400" s="73"/>
      <c r="E400" s="73"/>
      <c r="F400" s="73"/>
      <c r="H400" s="73"/>
    </row>
    <row r="401" spans="1:8" ht="15.75" customHeight="1">
      <c r="A401" s="73"/>
      <c r="B401" s="73"/>
      <c r="C401" s="73"/>
      <c r="D401" s="73"/>
      <c r="E401" s="73"/>
      <c r="F401" s="73"/>
      <c r="H401" s="73"/>
    </row>
    <row r="402" spans="1:8" ht="15.75" customHeight="1">
      <c r="A402" s="73"/>
      <c r="B402" s="73"/>
      <c r="C402" s="73"/>
      <c r="D402" s="73"/>
      <c r="E402" s="73"/>
      <c r="F402" s="73"/>
      <c r="H402" s="73"/>
    </row>
    <row r="403" spans="1:8" ht="15.75" customHeight="1">
      <c r="A403" s="73"/>
      <c r="B403" s="73"/>
      <c r="C403" s="73"/>
      <c r="D403" s="73"/>
      <c r="E403" s="73"/>
      <c r="F403" s="73"/>
      <c r="H403" s="73"/>
    </row>
    <row r="404" spans="1:8" ht="15.75" customHeight="1">
      <c r="A404" s="73"/>
      <c r="B404" s="73"/>
      <c r="C404" s="73"/>
      <c r="D404" s="73"/>
      <c r="E404" s="73"/>
      <c r="F404" s="73"/>
      <c r="H404" s="73"/>
    </row>
    <row r="405" spans="1:8" ht="15.75" customHeight="1">
      <c r="A405" s="73"/>
      <c r="B405" s="73"/>
      <c r="C405" s="73"/>
      <c r="D405" s="73"/>
      <c r="E405" s="73"/>
      <c r="F405" s="73"/>
      <c r="H405" s="73"/>
    </row>
    <row r="406" spans="1:8" ht="15.75" customHeight="1">
      <c r="A406" s="73"/>
      <c r="B406" s="73"/>
      <c r="C406" s="73"/>
      <c r="D406" s="73"/>
      <c r="E406" s="73"/>
      <c r="F406" s="73"/>
      <c r="H406" s="73"/>
    </row>
    <row r="407" spans="1:8" ht="15.75" customHeight="1">
      <c r="A407" s="73"/>
      <c r="B407" s="73"/>
      <c r="C407" s="73"/>
      <c r="D407" s="73"/>
      <c r="E407" s="73"/>
      <c r="F407" s="73"/>
      <c r="H407" s="73"/>
    </row>
    <row r="408" spans="1:8" ht="15.75" customHeight="1">
      <c r="A408" s="73"/>
      <c r="B408" s="73"/>
      <c r="C408" s="73"/>
      <c r="D408" s="73"/>
      <c r="E408" s="73"/>
      <c r="F408" s="73"/>
      <c r="H408" s="73"/>
    </row>
    <row r="409" spans="1:8" ht="15.75" customHeight="1">
      <c r="A409" s="73"/>
      <c r="B409" s="73"/>
      <c r="C409" s="73"/>
      <c r="D409" s="73"/>
      <c r="E409" s="73"/>
      <c r="F409" s="73"/>
      <c r="H409" s="73"/>
    </row>
    <row r="410" spans="1:8" ht="15.75" customHeight="1">
      <c r="A410" s="73"/>
      <c r="B410" s="73"/>
      <c r="C410" s="73"/>
      <c r="D410" s="73"/>
      <c r="E410" s="73"/>
      <c r="F410" s="73"/>
      <c r="H410" s="73"/>
    </row>
    <row r="411" spans="1:8" ht="15.75" customHeight="1">
      <c r="A411" s="73"/>
      <c r="B411" s="73"/>
      <c r="C411" s="73"/>
      <c r="D411" s="73"/>
      <c r="E411" s="73"/>
      <c r="F411" s="73"/>
      <c r="H411" s="73"/>
    </row>
    <row r="412" spans="1:8" ht="15.75" customHeight="1">
      <c r="A412" s="73"/>
      <c r="B412" s="73"/>
      <c r="C412" s="73"/>
      <c r="D412" s="73"/>
      <c r="E412" s="73"/>
      <c r="F412" s="73"/>
      <c r="H412" s="73"/>
    </row>
    <row r="413" spans="1:8" ht="15.75" customHeight="1">
      <c r="A413" s="73"/>
      <c r="B413" s="73"/>
      <c r="C413" s="73"/>
      <c r="D413" s="73"/>
      <c r="E413" s="73"/>
      <c r="F413" s="73"/>
      <c r="H413" s="73"/>
    </row>
    <row r="414" spans="1:8" ht="15.75" customHeight="1">
      <c r="A414" s="73"/>
      <c r="B414" s="73"/>
      <c r="C414" s="73"/>
      <c r="D414" s="73"/>
      <c r="E414" s="73"/>
      <c r="F414" s="73"/>
      <c r="H414" s="73"/>
    </row>
    <row r="415" spans="1:8" ht="15.75" customHeight="1">
      <c r="A415" s="73"/>
      <c r="B415" s="73"/>
      <c r="C415" s="73"/>
      <c r="D415" s="73"/>
      <c r="E415" s="73"/>
      <c r="F415" s="73"/>
      <c r="H415" s="73"/>
    </row>
    <row r="416" spans="1:8" ht="15.75" customHeight="1">
      <c r="A416" s="73"/>
      <c r="B416" s="73"/>
      <c r="C416" s="73"/>
      <c r="D416" s="73"/>
      <c r="E416" s="73"/>
      <c r="F416" s="73"/>
      <c r="H416" s="73"/>
    </row>
    <row r="417" spans="1:8" ht="15.75" customHeight="1">
      <c r="A417" s="73"/>
      <c r="B417" s="73"/>
      <c r="C417" s="73"/>
      <c r="D417" s="73"/>
      <c r="E417" s="73"/>
      <c r="F417" s="73"/>
      <c r="H417" s="73"/>
    </row>
    <row r="418" spans="1:8" ht="15.75" customHeight="1">
      <c r="A418" s="73"/>
      <c r="B418" s="73"/>
      <c r="C418" s="73"/>
      <c r="D418" s="73"/>
      <c r="E418" s="73"/>
      <c r="F418" s="73"/>
      <c r="H418" s="73"/>
    </row>
    <row r="419" spans="1:8" ht="15.75" customHeight="1">
      <c r="A419" s="73"/>
      <c r="B419" s="73"/>
      <c r="C419" s="73"/>
      <c r="D419" s="73"/>
      <c r="E419" s="73"/>
      <c r="F419" s="73"/>
      <c r="H419" s="73"/>
    </row>
    <row r="420" spans="1:8" ht="15.75" customHeight="1">
      <c r="A420" s="73"/>
      <c r="B420" s="73"/>
      <c r="C420" s="73"/>
      <c r="D420" s="73"/>
      <c r="E420" s="73"/>
      <c r="F420" s="73"/>
      <c r="H420" s="73"/>
    </row>
    <row r="421" spans="1:8" ht="15.75" customHeight="1">
      <c r="A421" s="73"/>
      <c r="B421" s="73"/>
      <c r="C421" s="73"/>
      <c r="D421" s="73"/>
      <c r="E421" s="73"/>
      <c r="F421" s="73"/>
      <c r="H421" s="73"/>
    </row>
    <row r="422" spans="1:8" ht="15.75" customHeight="1">
      <c r="A422" s="73"/>
      <c r="B422" s="73"/>
      <c r="C422" s="73"/>
      <c r="D422" s="73"/>
      <c r="E422" s="73"/>
      <c r="F422" s="73"/>
      <c r="H422" s="73"/>
    </row>
    <row r="423" spans="1:8" ht="15.75" customHeight="1">
      <c r="A423" s="73"/>
      <c r="B423" s="73"/>
      <c r="C423" s="73"/>
      <c r="D423" s="73"/>
      <c r="E423" s="73"/>
      <c r="F423" s="73"/>
      <c r="H423" s="73"/>
    </row>
    <row r="424" spans="1:8" ht="15.75" customHeight="1">
      <c r="A424" s="73"/>
      <c r="B424" s="73"/>
      <c r="C424" s="73"/>
      <c r="D424" s="73"/>
      <c r="E424" s="73"/>
      <c r="F424" s="73"/>
      <c r="H424" s="73"/>
    </row>
    <row r="425" spans="1:8" ht="15.75" customHeight="1">
      <c r="A425" s="73"/>
      <c r="B425" s="73"/>
      <c r="C425" s="73"/>
      <c r="D425" s="73"/>
      <c r="E425" s="73"/>
      <c r="F425" s="73"/>
      <c r="H425" s="73"/>
    </row>
    <row r="426" spans="1:8" ht="15.75" customHeight="1">
      <c r="A426" s="73"/>
      <c r="B426" s="73"/>
      <c r="C426" s="73"/>
      <c r="D426" s="73"/>
      <c r="E426" s="73"/>
      <c r="F426" s="73"/>
      <c r="H426" s="73"/>
    </row>
    <row r="427" spans="1:8" ht="15.75" customHeight="1">
      <c r="A427" s="73"/>
      <c r="B427" s="73"/>
      <c r="C427" s="73"/>
      <c r="D427" s="73"/>
      <c r="E427" s="73"/>
      <c r="F427" s="73"/>
      <c r="H427" s="73"/>
    </row>
    <row r="428" spans="1:8" ht="15.75" customHeight="1">
      <c r="A428" s="73"/>
      <c r="B428" s="73"/>
      <c r="C428" s="73"/>
      <c r="D428" s="73"/>
      <c r="E428" s="73"/>
      <c r="F428" s="73"/>
      <c r="H428" s="73"/>
    </row>
    <row r="429" spans="1:8" ht="15.75" customHeight="1">
      <c r="A429" s="73"/>
      <c r="B429" s="73"/>
      <c r="C429" s="73"/>
      <c r="D429" s="73"/>
      <c r="E429" s="73"/>
      <c r="F429" s="73"/>
      <c r="H429" s="73"/>
    </row>
    <row r="430" spans="1:8" ht="15.75" customHeight="1">
      <c r="A430" s="73"/>
      <c r="B430" s="73"/>
      <c r="C430" s="73"/>
      <c r="D430" s="73"/>
      <c r="E430" s="73"/>
      <c r="F430" s="73"/>
      <c r="H430" s="73"/>
    </row>
    <row r="431" spans="1:8" ht="15.75" customHeight="1">
      <c r="A431" s="73"/>
      <c r="B431" s="73"/>
      <c r="C431" s="73"/>
      <c r="D431" s="73"/>
      <c r="E431" s="73"/>
      <c r="F431" s="73"/>
      <c r="H431" s="73"/>
    </row>
    <row r="432" spans="1:8" ht="15.75" customHeight="1">
      <c r="A432" s="73"/>
      <c r="B432" s="73"/>
      <c r="C432" s="73"/>
      <c r="D432" s="73"/>
      <c r="E432" s="73"/>
      <c r="F432" s="73"/>
      <c r="H432" s="73"/>
    </row>
    <row r="433" spans="1:8" ht="15.75" customHeight="1">
      <c r="A433" s="73"/>
      <c r="B433" s="73"/>
      <c r="C433" s="73"/>
      <c r="D433" s="73"/>
      <c r="E433" s="73"/>
      <c r="F433" s="73"/>
      <c r="H433" s="73"/>
    </row>
    <row r="434" spans="1:8" ht="15.75" customHeight="1">
      <c r="A434" s="73"/>
      <c r="B434" s="73"/>
      <c r="C434" s="73"/>
      <c r="D434" s="73"/>
      <c r="E434" s="73"/>
      <c r="F434" s="73"/>
      <c r="H434" s="73"/>
    </row>
    <row r="435" spans="1:8" ht="15.75" customHeight="1">
      <c r="A435" s="73"/>
      <c r="B435" s="73"/>
      <c r="C435" s="73"/>
      <c r="D435" s="73"/>
      <c r="E435" s="73"/>
      <c r="F435" s="73"/>
      <c r="H435" s="73"/>
    </row>
    <row r="436" spans="1:8" ht="15.75" customHeight="1">
      <c r="A436" s="73"/>
      <c r="B436" s="73"/>
      <c r="C436" s="73"/>
      <c r="D436" s="73"/>
      <c r="E436" s="73"/>
      <c r="F436" s="73"/>
      <c r="H436" s="73"/>
    </row>
    <row r="437" spans="1:8" ht="15.75" customHeight="1">
      <c r="A437" s="73"/>
      <c r="B437" s="73"/>
      <c r="C437" s="73"/>
      <c r="D437" s="73"/>
      <c r="E437" s="73"/>
      <c r="F437" s="73"/>
      <c r="H437" s="73"/>
    </row>
    <row r="438" spans="1:8" ht="15.75" customHeight="1">
      <c r="A438" s="73"/>
      <c r="B438" s="73"/>
      <c r="C438" s="73"/>
      <c r="D438" s="73"/>
      <c r="E438" s="73"/>
      <c r="F438" s="73"/>
      <c r="H438" s="73"/>
    </row>
    <row r="439" spans="1:8" ht="15.75" customHeight="1">
      <c r="A439" s="73"/>
      <c r="B439" s="73"/>
      <c r="C439" s="73"/>
      <c r="D439" s="73"/>
      <c r="E439" s="73"/>
      <c r="F439" s="73"/>
      <c r="H439" s="73"/>
    </row>
    <row r="440" spans="1:8" ht="15.75" customHeight="1">
      <c r="A440" s="73"/>
      <c r="B440" s="73"/>
      <c r="C440" s="73"/>
      <c r="D440" s="73"/>
      <c r="E440" s="73"/>
      <c r="F440" s="73"/>
      <c r="H440" s="73"/>
    </row>
    <row r="441" spans="1:8" ht="15.75" customHeight="1">
      <c r="A441" s="73"/>
      <c r="B441" s="73"/>
      <c r="C441" s="73"/>
      <c r="D441" s="73"/>
      <c r="E441" s="73"/>
      <c r="F441" s="73"/>
      <c r="H441" s="73"/>
    </row>
    <row r="442" spans="1:8" ht="15.75" customHeight="1">
      <c r="A442" s="73"/>
      <c r="B442" s="73"/>
      <c r="C442" s="73"/>
      <c r="D442" s="73"/>
      <c r="E442" s="73"/>
      <c r="F442" s="73"/>
      <c r="H442" s="73"/>
    </row>
    <row r="443" spans="1:8" ht="15.75" customHeight="1">
      <c r="A443" s="73"/>
      <c r="B443" s="73"/>
      <c r="C443" s="73"/>
      <c r="D443" s="73"/>
      <c r="E443" s="73"/>
      <c r="F443" s="73"/>
      <c r="H443" s="73"/>
    </row>
    <row r="444" spans="1:8" ht="15.75" customHeight="1">
      <c r="A444" s="73"/>
      <c r="B444" s="73"/>
      <c r="C444" s="73"/>
      <c r="D444" s="73"/>
      <c r="E444" s="73"/>
      <c r="F444" s="73"/>
      <c r="H444" s="73"/>
    </row>
    <row r="445" spans="1:8" ht="15.75" customHeight="1">
      <c r="A445" s="73"/>
      <c r="B445" s="73"/>
      <c r="C445" s="73"/>
      <c r="D445" s="73"/>
      <c r="E445" s="73"/>
      <c r="F445" s="73"/>
      <c r="H445" s="73"/>
    </row>
    <row r="446" spans="1:8" ht="15.75" customHeight="1">
      <c r="A446" s="73"/>
      <c r="B446" s="73"/>
      <c r="C446" s="73"/>
      <c r="D446" s="73"/>
      <c r="E446" s="73"/>
      <c r="F446" s="73"/>
      <c r="H446" s="73"/>
    </row>
    <row r="447" spans="1:8" ht="15.75" customHeight="1">
      <c r="A447" s="73"/>
      <c r="B447" s="73"/>
      <c r="C447" s="73"/>
      <c r="D447" s="73"/>
      <c r="E447" s="73"/>
      <c r="F447" s="73"/>
      <c r="H447" s="73"/>
    </row>
    <row r="448" spans="1:8" ht="15.75" customHeight="1">
      <c r="A448" s="73"/>
      <c r="B448" s="73"/>
      <c r="C448" s="73"/>
      <c r="D448" s="73"/>
      <c r="E448" s="73"/>
      <c r="F448" s="73"/>
      <c r="H448" s="73"/>
    </row>
    <row r="449" spans="1:8" ht="15.75" customHeight="1">
      <c r="A449" s="73"/>
      <c r="B449" s="73"/>
      <c r="C449" s="73"/>
      <c r="D449" s="73"/>
      <c r="E449" s="73"/>
      <c r="F449" s="73"/>
      <c r="H449" s="73"/>
    </row>
    <row r="450" spans="1:8" ht="15.75" customHeight="1">
      <c r="A450" s="73"/>
      <c r="B450" s="73"/>
      <c r="C450" s="73"/>
      <c r="D450" s="73"/>
      <c r="E450" s="73"/>
      <c r="F450" s="73"/>
      <c r="H450" s="73"/>
    </row>
    <row r="451" spans="1:8" ht="15.75" customHeight="1">
      <c r="A451" s="73"/>
      <c r="B451" s="73"/>
      <c r="C451" s="73"/>
      <c r="D451" s="73"/>
      <c r="E451" s="73"/>
      <c r="F451" s="73"/>
      <c r="H451" s="73"/>
    </row>
    <row r="452" spans="1:8" ht="15.75" customHeight="1">
      <c r="A452" s="73"/>
      <c r="B452" s="73"/>
      <c r="C452" s="73"/>
      <c r="D452" s="73"/>
      <c r="E452" s="73"/>
      <c r="F452" s="73"/>
      <c r="H452" s="73"/>
    </row>
    <row r="453" spans="1:8" ht="15.75" customHeight="1">
      <c r="A453" s="73"/>
      <c r="B453" s="73"/>
      <c r="C453" s="73"/>
      <c r="D453" s="73"/>
      <c r="E453" s="73"/>
      <c r="F453" s="73"/>
      <c r="H453" s="73"/>
    </row>
    <row r="454" spans="1:8" ht="15.75" customHeight="1">
      <c r="A454" s="73"/>
      <c r="B454" s="73"/>
      <c r="C454" s="73"/>
      <c r="D454" s="73"/>
      <c r="E454" s="73"/>
      <c r="F454" s="73"/>
      <c r="H454" s="73"/>
    </row>
    <row r="455" spans="1:8" ht="15.75" customHeight="1">
      <c r="A455" s="73"/>
      <c r="B455" s="73"/>
      <c r="C455" s="73"/>
      <c r="D455" s="73"/>
      <c r="E455" s="73"/>
      <c r="F455" s="73"/>
      <c r="H455" s="73"/>
    </row>
    <row r="456" spans="1:8" ht="15.75" customHeight="1">
      <c r="A456" s="73"/>
      <c r="B456" s="73"/>
      <c r="C456" s="73"/>
      <c r="D456" s="73"/>
      <c r="E456" s="73"/>
      <c r="F456" s="73"/>
      <c r="H456" s="73"/>
    </row>
    <row r="457" spans="1:8" ht="15.75" customHeight="1">
      <c r="A457" s="73"/>
      <c r="B457" s="73"/>
      <c r="C457" s="73"/>
      <c r="D457" s="73"/>
      <c r="E457" s="73"/>
      <c r="F457" s="73"/>
      <c r="H457" s="73"/>
    </row>
    <row r="458" spans="1:8" ht="15.75" customHeight="1">
      <c r="A458" s="73"/>
      <c r="B458" s="73"/>
      <c r="C458" s="73"/>
      <c r="D458" s="73"/>
      <c r="E458" s="73"/>
      <c r="F458" s="73"/>
      <c r="H458" s="73"/>
    </row>
    <row r="459" spans="1:8" ht="15.75" customHeight="1">
      <c r="A459" s="73"/>
      <c r="B459" s="73"/>
      <c r="C459" s="73"/>
      <c r="D459" s="73"/>
      <c r="E459" s="73"/>
      <c r="F459" s="73"/>
      <c r="H459" s="73"/>
    </row>
    <row r="460" spans="1:8" ht="15.75" customHeight="1">
      <c r="A460" s="73"/>
      <c r="B460" s="73"/>
      <c r="C460" s="73"/>
      <c r="D460" s="73"/>
      <c r="E460" s="73"/>
      <c r="F460" s="73"/>
      <c r="H460" s="73"/>
    </row>
    <row r="461" spans="1:8" ht="15.75" customHeight="1">
      <c r="A461" s="73"/>
      <c r="B461" s="73"/>
      <c r="C461" s="73"/>
      <c r="D461" s="73"/>
      <c r="E461" s="73"/>
      <c r="F461" s="73"/>
      <c r="H461" s="73"/>
    </row>
    <row r="462" spans="1:8" ht="15.75" customHeight="1">
      <c r="A462" s="73"/>
      <c r="B462" s="73"/>
      <c r="C462" s="73"/>
      <c r="D462" s="73"/>
      <c r="E462" s="73"/>
      <c r="F462" s="73"/>
      <c r="H462" s="73"/>
    </row>
    <row r="463" spans="1:8" ht="15.75" customHeight="1">
      <c r="A463" s="73"/>
      <c r="B463" s="73"/>
      <c r="C463" s="73"/>
      <c r="D463" s="73"/>
      <c r="E463" s="73"/>
      <c r="F463" s="73"/>
      <c r="H463" s="73"/>
    </row>
    <row r="464" spans="1:8" ht="15.75" customHeight="1">
      <c r="A464" s="73"/>
      <c r="B464" s="73"/>
      <c r="C464" s="73"/>
      <c r="D464" s="73"/>
      <c r="E464" s="73"/>
      <c r="F464" s="73"/>
      <c r="H464" s="73"/>
    </row>
    <row r="465" spans="1:8" ht="15.75" customHeight="1">
      <c r="A465" s="73"/>
      <c r="B465" s="73"/>
      <c r="C465" s="73"/>
      <c r="D465" s="73"/>
      <c r="E465" s="73"/>
      <c r="F465" s="73"/>
      <c r="H465" s="73"/>
    </row>
    <row r="466" spans="1:8" ht="15.75" customHeight="1">
      <c r="A466" s="73"/>
      <c r="B466" s="73"/>
      <c r="C466" s="73"/>
      <c r="D466" s="73"/>
      <c r="E466" s="73"/>
      <c r="F466" s="73"/>
      <c r="H466" s="73"/>
    </row>
    <row r="467" spans="1:8" ht="15.75" customHeight="1">
      <c r="A467" s="73"/>
      <c r="B467" s="73"/>
      <c r="C467" s="73"/>
      <c r="D467" s="73"/>
      <c r="E467" s="73"/>
      <c r="F467" s="73"/>
      <c r="H467" s="73"/>
    </row>
    <row r="468" spans="1:8" ht="15.75" customHeight="1">
      <c r="A468" s="73"/>
      <c r="B468" s="73"/>
      <c r="C468" s="73"/>
      <c r="D468" s="73"/>
      <c r="E468" s="73"/>
      <c r="F468" s="73"/>
      <c r="H468" s="73"/>
    </row>
    <row r="469" spans="1:8" ht="15.75" customHeight="1">
      <c r="A469" s="73"/>
      <c r="B469" s="73"/>
      <c r="C469" s="73"/>
      <c r="D469" s="73"/>
      <c r="E469" s="73"/>
      <c r="F469" s="73"/>
      <c r="H469" s="73"/>
    </row>
    <row r="470" spans="1:8" ht="15.75" customHeight="1">
      <c r="A470" s="73"/>
      <c r="B470" s="73"/>
      <c r="C470" s="73"/>
      <c r="D470" s="73"/>
      <c r="E470" s="73"/>
      <c r="F470" s="73"/>
      <c r="H470" s="73"/>
    </row>
    <row r="471" spans="1:8" ht="15.75" customHeight="1">
      <c r="A471" s="73"/>
      <c r="B471" s="73"/>
      <c r="C471" s="73"/>
      <c r="D471" s="73"/>
      <c r="E471" s="73"/>
      <c r="F471" s="73"/>
      <c r="H471" s="73"/>
    </row>
    <row r="472" spans="1:8" ht="15.75" customHeight="1">
      <c r="A472" s="73"/>
      <c r="B472" s="73"/>
      <c r="C472" s="73"/>
      <c r="D472" s="73"/>
      <c r="E472" s="73"/>
      <c r="F472" s="73"/>
      <c r="H472" s="73"/>
    </row>
    <row r="473" spans="1:8" ht="15.75" customHeight="1">
      <c r="A473" s="73"/>
      <c r="B473" s="73"/>
      <c r="C473" s="73"/>
      <c r="D473" s="73"/>
      <c r="E473" s="73"/>
      <c r="F473" s="73"/>
      <c r="H473" s="73"/>
    </row>
    <row r="474" spans="1:8" ht="15.75" customHeight="1">
      <c r="A474" s="73"/>
      <c r="B474" s="73"/>
      <c r="C474" s="73"/>
      <c r="D474" s="73"/>
      <c r="E474" s="73"/>
      <c r="F474" s="73"/>
      <c r="H474" s="73"/>
    </row>
    <row r="475" spans="1:8" ht="15.75" customHeight="1">
      <c r="A475" s="73"/>
      <c r="B475" s="73"/>
      <c r="C475" s="73"/>
      <c r="D475" s="73"/>
      <c r="E475" s="73"/>
      <c r="F475" s="73"/>
      <c r="H475" s="73"/>
    </row>
    <row r="476" spans="1:8" ht="15.75" customHeight="1">
      <c r="A476" s="73"/>
      <c r="B476" s="73"/>
      <c r="C476" s="73"/>
      <c r="D476" s="73"/>
      <c r="E476" s="73"/>
      <c r="F476" s="73"/>
      <c r="H476" s="73"/>
    </row>
    <row r="477" spans="1:8" ht="15.75" customHeight="1">
      <c r="A477" s="73"/>
      <c r="B477" s="73"/>
      <c r="C477" s="73"/>
      <c r="D477" s="73"/>
      <c r="E477" s="73"/>
      <c r="F477" s="73"/>
      <c r="H477" s="73"/>
    </row>
    <row r="478" spans="1:8" ht="15.75" customHeight="1">
      <c r="A478" s="73"/>
      <c r="B478" s="73"/>
      <c r="C478" s="73"/>
      <c r="D478" s="73"/>
      <c r="E478" s="73"/>
      <c r="F478" s="73"/>
      <c r="H478" s="73"/>
    </row>
    <row r="479" spans="1:8" ht="15.75" customHeight="1">
      <c r="A479" s="73"/>
      <c r="B479" s="73"/>
      <c r="C479" s="73"/>
      <c r="D479" s="73"/>
      <c r="E479" s="73"/>
      <c r="F479" s="73"/>
      <c r="H479" s="73"/>
    </row>
    <row r="480" spans="1:8" ht="15.75" customHeight="1">
      <c r="A480" s="73"/>
      <c r="B480" s="73"/>
      <c r="C480" s="73"/>
      <c r="D480" s="73"/>
      <c r="E480" s="73"/>
      <c r="F480" s="73"/>
      <c r="H480" s="73"/>
    </row>
    <row r="481" spans="1:8" ht="15.75" customHeight="1">
      <c r="A481" s="73"/>
      <c r="B481" s="73"/>
      <c r="C481" s="73"/>
      <c r="D481" s="73"/>
      <c r="E481" s="73"/>
      <c r="F481" s="73"/>
      <c r="H481" s="73"/>
    </row>
    <row r="482" spans="1:8" ht="15.75" customHeight="1">
      <c r="A482" s="73"/>
      <c r="B482" s="73"/>
      <c r="C482" s="73"/>
      <c r="D482" s="73"/>
      <c r="E482" s="73"/>
      <c r="F482" s="73"/>
      <c r="H482" s="73"/>
    </row>
    <row r="483" spans="1:8" ht="15.75" customHeight="1">
      <c r="A483" s="73"/>
      <c r="B483" s="73"/>
      <c r="C483" s="73"/>
      <c r="D483" s="73"/>
      <c r="E483" s="73"/>
      <c r="F483" s="73"/>
      <c r="H483" s="73"/>
    </row>
    <row r="484" spans="1:8" ht="15.75" customHeight="1">
      <c r="A484" s="73"/>
      <c r="B484" s="73"/>
      <c r="C484" s="73"/>
      <c r="D484" s="73"/>
      <c r="E484" s="73"/>
      <c r="F484" s="73"/>
      <c r="H484" s="73"/>
    </row>
    <row r="485" spans="1:8" ht="15.75" customHeight="1">
      <c r="A485" s="73"/>
      <c r="B485" s="73"/>
      <c r="C485" s="73"/>
      <c r="D485" s="73"/>
      <c r="E485" s="73"/>
      <c r="F485" s="73"/>
      <c r="H485" s="73"/>
    </row>
    <row r="486" spans="1:8" ht="15.75" customHeight="1">
      <c r="A486" s="73"/>
      <c r="B486" s="73"/>
      <c r="C486" s="73"/>
      <c r="D486" s="73"/>
      <c r="E486" s="73"/>
      <c r="F486" s="73"/>
      <c r="H486" s="73"/>
    </row>
    <row r="487" spans="1:8" ht="15.75" customHeight="1">
      <c r="A487" s="73"/>
      <c r="B487" s="73"/>
      <c r="C487" s="73"/>
      <c r="D487" s="73"/>
      <c r="E487" s="73"/>
      <c r="F487" s="73"/>
      <c r="H487" s="73"/>
    </row>
    <row r="488" spans="1:8" ht="15.75" customHeight="1">
      <c r="A488" s="73"/>
      <c r="B488" s="73"/>
      <c r="C488" s="73"/>
      <c r="D488" s="73"/>
      <c r="E488" s="73"/>
      <c r="F488" s="73"/>
      <c r="H488" s="73"/>
    </row>
    <row r="489" spans="1:8" ht="15.75" customHeight="1">
      <c r="A489" s="73"/>
      <c r="B489" s="73"/>
      <c r="C489" s="73"/>
      <c r="D489" s="73"/>
      <c r="E489" s="73"/>
      <c r="F489" s="73"/>
      <c r="H489" s="73"/>
    </row>
    <row r="490" spans="1:8" ht="15.75" customHeight="1">
      <c r="A490" s="73"/>
      <c r="B490" s="73"/>
      <c r="C490" s="73"/>
      <c r="D490" s="73"/>
      <c r="E490" s="73"/>
      <c r="F490" s="73"/>
      <c r="H490" s="73"/>
    </row>
    <row r="491" spans="1:8" ht="15.75" customHeight="1">
      <c r="A491" s="73"/>
      <c r="B491" s="73"/>
      <c r="C491" s="73"/>
      <c r="D491" s="73"/>
      <c r="E491" s="73"/>
      <c r="F491" s="73"/>
      <c r="H491" s="73"/>
    </row>
    <row r="492" spans="1:8" ht="15.75" customHeight="1">
      <c r="A492" s="73"/>
      <c r="B492" s="73"/>
      <c r="C492" s="73"/>
      <c r="D492" s="73"/>
      <c r="E492" s="73"/>
      <c r="F492" s="73"/>
      <c r="H492" s="73"/>
    </row>
    <row r="493" spans="1:8" ht="15.75" customHeight="1">
      <c r="A493" s="73"/>
      <c r="B493" s="73"/>
      <c r="C493" s="73"/>
      <c r="D493" s="73"/>
      <c r="E493" s="73"/>
      <c r="F493" s="73"/>
      <c r="H493" s="73"/>
    </row>
    <row r="494" spans="1:8" ht="15.75" customHeight="1">
      <c r="A494" s="73"/>
      <c r="B494" s="73"/>
      <c r="C494" s="73"/>
      <c r="D494" s="73"/>
      <c r="E494" s="73"/>
      <c r="F494" s="73"/>
      <c r="H494" s="73"/>
    </row>
    <row r="495" spans="1:8" ht="15.75" customHeight="1">
      <c r="A495" s="73"/>
      <c r="B495" s="73"/>
      <c r="C495" s="73"/>
      <c r="D495" s="73"/>
      <c r="E495" s="73"/>
      <c r="F495" s="73"/>
      <c r="H495" s="73"/>
    </row>
    <row r="496" spans="1:8" ht="15.75" customHeight="1">
      <c r="A496" s="73"/>
      <c r="B496" s="73"/>
      <c r="C496" s="73"/>
      <c r="D496" s="73"/>
      <c r="E496" s="73"/>
      <c r="F496" s="73"/>
      <c r="H496" s="73"/>
    </row>
    <row r="497" spans="1:8" ht="15.75" customHeight="1">
      <c r="A497" s="73"/>
      <c r="B497" s="73"/>
      <c r="C497" s="73"/>
      <c r="D497" s="73"/>
      <c r="E497" s="73"/>
      <c r="F497" s="73"/>
      <c r="H497" s="73"/>
    </row>
    <row r="498" spans="1:8" ht="15.75" customHeight="1">
      <c r="A498" s="73"/>
      <c r="B498" s="73"/>
      <c r="C498" s="73"/>
      <c r="D498" s="73"/>
      <c r="E498" s="73"/>
      <c r="F498" s="73"/>
      <c r="H498" s="73"/>
    </row>
    <row r="499" spans="1:8" ht="15.75" customHeight="1">
      <c r="A499" s="73"/>
      <c r="B499" s="73"/>
      <c r="C499" s="73"/>
      <c r="D499" s="73"/>
      <c r="E499" s="73"/>
      <c r="F499" s="73"/>
      <c r="H499" s="73"/>
    </row>
    <row r="500" spans="1:8" ht="15.75" customHeight="1">
      <c r="A500" s="73"/>
      <c r="B500" s="73"/>
      <c r="C500" s="73"/>
      <c r="D500" s="73"/>
      <c r="E500" s="73"/>
      <c r="F500" s="73"/>
      <c r="H500" s="73"/>
    </row>
    <row r="501" spans="1:8" ht="15.75" customHeight="1">
      <c r="A501" s="73"/>
      <c r="B501" s="73"/>
      <c r="C501" s="73"/>
      <c r="D501" s="73"/>
      <c r="E501" s="73"/>
      <c r="F501" s="73"/>
      <c r="H501" s="73"/>
    </row>
    <row r="502" spans="1:8" ht="15.75" customHeight="1">
      <c r="A502" s="73"/>
      <c r="B502" s="73"/>
      <c r="C502" s="73"/>
      <c r="D502" s="73"/>
      <c r="E502" s="73"/>
      <c r="F502" s="73"/>
      <c r="H502" s="73"/>
    </row>
    <row r="503" spans="1:8" ht="15.75" customHeight="1">
      <c r="A503" s="73"/>
      <c r="B503" s="73"/>
      <c r="C503" s="73"/>
      <c r="D503" s="73"/>
      <c r="E503" s="73"/>
      <c r="F503" s="73"/>
      <c r="H503" s="73"/>
    </row>
    <row r="504" spans="1:8" ht="15.75" customHeight="1">
      <c r="A504" s="73"/>
      <c r="B504" s="73"/>
      <c r="C504" s="73"/>
      <c r="D504" s="73"/>
      <c r="E504" s="73"/>
      <c r="F504" s="73"/>
      <c r="H504" s="73"/>
    </row>
    <row r="505" spans="1:8" ht="15.75" customHeight="1">
      <c r="A505" s="73"/>
      <c r="B505" s="73"/>
      <c r="C505" s="73"/>
      <c r="D505" s="73"/>
      <c r="E505" s="73"/>
      <c r="F505" s="73"/>
      <c r="H505" s="73"/>
    </row>
    <row r="506" spans="1:8" ht="15.75" customHeight="1">
      <c r="A506" s="73"/>
      <c r="B506" s="73"/>
      <c r="C506" s="73"/>
      <c r="D506" s="73"/>
      <c r="E506" s="73"/>
      <c r="F506" s="73"/>
      <c r="H506" s="73"/>
    </row>
    <row r="507" spans="1:8" ht="15.75" customHeight="1">
      <c r="A507" s="73"/>
      <c r="B507" s="73"/>
      <c r="C507" s="73"/>
      <c r="D507" s="73"/>
      <c r="E507" s="73"/>
      <c r="F507" s="73"/>
      <c r="H507" s="73"/>
    </row>
    <row r="508" spans="1:8" ht="15.75" customHeight="1">
      <c r="A508" s="73"/>
      <c r="B508" s="73"/>
      <c r="C508" s="73"/>
      <c r="D508" s="73"/>
      <c r="E508" s="73"/>
      <c r="F508" s="73"/>
      <c r="H508" s="73"/>
    </row>
    <row r="509" spans="1:8" ht="15.75" customHeight="1">
      <c r="A509" s="73"/>
      <c r="B509" s="73"/>
      <c r="C509" s="73"/>
      <c r="D509" s="73"/>
      <c r="E509" s="73"/>
      <c r="F509" s="73"/>
      <c r="H509" s="73"/>
    </row>
    <row r="510" spans="1:8" ht="15.75" customHeight="1">
      <c r="A510" s="73"/>
      <c r="B510" s="73"/>
      <c r="C510" s="73"/>
      <c r="D510" s="73"/>
      <c r="E510" s="73"/>
      <c r="F510" s="73"/>
      <c r="H510" s="73"/>
    </row>
    <row r="511" spans="1:8" ht="15.75" customHeight="1">
      <c r="A511" s="73"/>
      <c r="B511" s="73"/>
      <c r="C511" s="73"/>
      <c r="D511" s="73"/>
      <c r="E511" s="73"/>
      <c r="F511" s="73"/>
      <c r="H511" s="73"/>
    </row>
    <row r="512" spans="1:8" ht="15.75" customHeight="1">
      <c r="A512" s="73"/>
      <c r="B512" s="73"/>
      <c r="C512" s="73"/>
      <c r="D512" s="73"/>
      <c r="E512" s="73"/>
      <c r="F512" s="73"/>
      <c r="H512" s="73"/>
    </row>
    <row r="513" spans="1:8" ht="15.75" customHeight="1">
      <c r="A513" s="73"/>
      <c r="B513" s="73"/>
      <c r="C513" s="73"/>
      <c r="D513" s="73"/>
      <c r="E513" s="73"/>
      <c r="F513" s="73"/>
      <c r="H513" s="73"/>
    </row>
    <row r="514" spans="1:8" ht="15.75" customHeight="1">
      <c r="A514" s="73"/>
      <c r="B514" s="73"/>
      <c r="C514" s="73"/>
      <c r="D514" s="73"/>
      <c r="E514" s="73"/>
      <c r="F514" s="73"/>
      <c r="H514" s="73"/>
    </row>
    <row r="515" spans="1:8" ht="15.75" customHeight="1">
      <c r="A515" s="73"/>
      <c r="B515" s="73"/>
      <c r="C515" s="73"/>
      <c r="D515" s="73"/>
      <c r="E515" s="73"/>
      <c r="F515" s="73"/>
      <c r="H515" s="73"/>
    </row>
    <row r="516" spans="1:8" ht="15.75" customHeight="1">
      <c r="A516" s="73"/>
      <c r="B516" s="73"/>
      <c r="C516" s="73"/>
      <c r="D516" s="73"/>
      <c r="E516" s="73"/>
      <c r="F516" s="73"/>
      <c r="H516" s="73"/>
    </row>
    <row r="517" spans="1:8" ht="15.75" customHeight="1">
      <c r="A517" s="73"/>
      <c r="B517" s="73"/>
      <c r="C517" s="73"/>
      <c r="D517" s="73"/>
      <c r="E517" s="73"/>
      <c r="F517" s="73"/>
      <c r="H517" s="73"/>
    </row>
    <row r="518" spans="1:8" ht="15.75" customHeight="1">
      <c r="A518" s="73"/>
      <c r="B518" s="73"/>
      <c r="C518" s="73"/>
      <c r="D518" s="73"/>
      <c r="E518" s="73"/>
      <c r="F518" s="73"/>
      <c r="H518" s="73"/>
    </row>
    <row r="519" spans="1:8" ht="15.75" customHeight="1">
      <c r="A519" s="73"/>
      <c r="B519" s="73"/>
      <c r="C519" s="73"/>
      <c r="D519" s="73"/>
      <c r="E519" s="73"/>
      <c r="F519" s="73"/>
      <c r="H519" s="73"/>
    </row>
    <row r="520" spans="1:8" ht="15.75" customHeight="1">
      <c r="A520" s="73"/>
      <c r="B520" s="73"/>
      <c r="C520" s="73"/>
      <c r="D520" s="73"/>
      <c r="E520" s="73"/>
      <c r="F520" s="73"/>
      <c r="H520" s="73"/>
    </row>
    <row r="521" spans="1:8" ht="15.75" customHeight="1">
      <c r="A521" s="73"/>
      <c r="B521" s="73"/>
      <c r="C521" s="73"/>
      <c r="D521" s="73"/>
      <c r="E521" s="73"/>
      <c r="F521" s="73"/>
      <c r="H521" s="73"/>
    </row>
    <row r="522" spans="1:8" ht="15.75" customHeight="1">
      <c r="A522" s="73"/>
      <c r="B522" s="73"/>
      <c r="C522" s="73"/>
      <c r="D522" s="73"/>
      <c r="E522" s="73"/>
      <c r="F522" s="73"/>
      <c r="H522" s="73"/>
    </row>
    <row r="523" spans="1:8" ht="15.75" customHeight="1">
      <c r="A523" s="73"/>
      <c r="B523" s="73"/>
      <c r="C523" s="73"/>
      <c r="D523" s="73"/>
      <c r="E523" s="73"/>
      <c r="F523" s="73"/>
      <c r="H523" s="73"/>
    </row>
    <row r="524" spans="1:8" ht="15.75" customHeight="1">
      <c r="A524" s="73"/>
      <c r="B524" s="73"/>
      <c r="C524" s="73"/>
      <c r="D524" s="73"/>
      <c r="E524" s="73"/>
      <c r="F524" s="73"/>
      <c r="H524" s="73"/>
    </row>
    <row r="525" spans="1:8" ht="15.75" customHeight="1">
      <c r="A525" s="73"/>
      <c r="B525" s="73"/>
      <c r="C525" s="73"/>
      <c r="D525" s="73"/>
      <c r="E525" s="73"/>
      <c r="F525" s="73"/>
      <c r="H525" s="73"/>
    </row>
    <row r="526" spans="1:8" ht="15.75" customHeight="1">
      <c r="A526" s="73"/>
      <c r="B526" s="73"/>
      <c r="C526" s="73"/>
      <c r="D526" s="73"/>
      <c r="E526" s="73"/>
      <c r="F526" s="73"/>
      <c r="H526" s="73"/>
    </row>
    <row r="527" spans="1:8" ht="15.75" customHeight="1">
      <c r="A527" s="73"/>
      <c r="B527" s="73"/>
      <c r="C527" s="73"/>
      <c r="D527" s="73"/>
      <c r="E527" s="73"/>
      <c r="F527" s="73"/>
      <c r="H527" s="73"/>
    </row>
    <row r="528" spans="1:8" ht="15.75" customHeight="1">
      <c r="A528" s="73"/>
      <c r="B528" s="73"/>
      <c r="C528" s="73"/>
      <c r="D528" s="73"/>
      <c r="E528" s="73"/>
      <c r="F528" s="73"/>
      <c r="H528" s="73"/>
    </row>
    <row r="529" spans="1:8" ht="15.75" customHeight="1">
      <c r="A529" s="73"/>
      <c r="B529" s="73"/>
      <c r="C529" s="73"/>
      <c r="D529" s="73"/>
      <c r="E529" s="73"/>
      <c r="F529" s="73"/>
      <c r="H529" s="73"/>
    </row>
    <row r="530" spans="1:8" ht="15.75" customHeight="1">
      <c r="A530" s="73"/>
      <c r="B530" s="73"/>
      <c r="C530" s="73"/>
      <c r="D530" s="73"/>
      <c r="E530" s="73"/>
      <c r="F530" s="73"/>
      <c r="H530" s="73"/>
    </row>
    <row r="531" spans="1:8" ht="15.75" customHeight="1">
      <c r="A531" s="73"/>
      <c r="B531" s="73"/>
      <c r="C531" s="73"/>
      <c r="D531" s="73"/>
      <c r="E531" s="73"/>
      <c r="F531" s="73"/>
      <c r="H531" s="73"/>
    </row>
    <row r="532" spans="1:8" ht="15.75" customHeight="1">
      <c r="A532" s="73"/>
      <c r="B532" s="73"/>
      <c r="C532" s="73"/>
      <c r="D532" s="73"/>
      <c r="E532" s="73"/>
      <c r="F532" s="73"/>
      <c r="H532" s="73"/>
    </row>
    <row r="533" spans="1:8" ht="15.75" customHeight="1">
      <c r="A533" s="73"/>
      <c r="B533" s="73"/>
      <c r="C533" s="73"/>
      <c r="D533" s="73"/>
      <c r="E533" s="73"/>
      <c r="F533" s="73"/>
      <c r="H533" s="73"/>
    </row>
    <row r="534" spans="1:8" ht="15.75" customHeight="1">
      <c r="A534" s="73"/>
      <c r="B534" s="73"/>
      <c r="C534" s="73"/>
      <c r="D534" s="73"/>
      <c r="E534" s="73"/>
      <c r="F534" s="73"/>
      <c r="H534" s="73"/>
    </row>
    <row r="535" spans="1:8" ht="15.75" customHeight="1">
      <c r="A535" s="73"/>
      <c r="B535" s="73"/>
      <c r="C535" s="73"/>
      <c r="D535" s="73"/>
      <c r="E535" s="73"/>
      <c r="F535" s="73"/>
      <c r="H535" s="73"/>
    </row>
    <row r="536" spans="1:8" ht="15.75" customHeight="1">
      <c r="A536" s="73"/>
      <c r="B536" s="73"/>
      <c r="C536" s="73"/>
      <c r="D536" s="73"/>
      <c r="E536" s="73"/>
      <c r="F536" s="73"/>
      <c r="H536" s="73"/>
    </row>
    <row r="537" spans="1:8" ht="15.75" customHeight="1">
      <c r="A537" s="73"/>
      <c r="B537" s="73"/>
      <c r="C537" s="73"/>
      <c r="D537" s="73"/>
      <c r="E537" s="73"/>
      <c r="F537" s="73"/>
      <c r="H537" s="73"/>
    </row>
    <row r="538" spans="1:8" ht="15.75" customHeight="1">
      <c r="A538" s="73"/>
      <c r="B538" s="73"/>
      <c r="C538" s="73"/>
      <c r="D538" s="73"/>
      <c r="E538" s="73"/>
      <c r="F538" s="73"/>
      <c r="H538" s="73"/>
    </row>
    <row r="539" spans="1:8" ht="15.75" customHeight="1">
      <c r="A539" s="73"/>
      <c r="B539" s="73"/>
      <c r="C539" s="73"/>
      <c r="D539" s="73"/>
      <c r="E539" s="73"/>
      <c r="F539" s="73"/>
      <c r="H539" s="73"/>
    </row>
    <row r="540" spans="1:8" ht="15.75" customHeight="1">
      <c r="A540" s="73"/>
      <c r="B540" s="73"/>
      <c r="C540" s="73"/>
      <c r="D540" s="73"/>
      <c r="E540" s="73"/>
      <c r="F540" s="73"/>
      <c r="H540" s="73"/>
    </row>
    <row r="541" spans="1:8" ht="15.75" customHeight="1">
      <c r="A541" s="73"/>
      <c r="B541" s="73"/>
      <c r="C541" s="73"/>
      <c r="D541" s="73"/>
      <c r="E541" s="73"/>
      <c r="F541" s="73"/>
      <c r="H541" s="73"/>
    </row>
    <row r="542" spans="1:8" ht="15.75" customHeight="1">
      <c r="A542" s="73"/>
      <c r="B542" s="73"/>
      <c r="C542" s="73"/>
      <c r="D542" s="73"/>
      <c r="E542" s="73"/>
      <c r="F542" s="73"/>
      <c r="H542" s="73"/>
    </row>
    <row r="543" spans="1:8" ht="15.75" customHeight="1">
      <c r="A543" s="73"/>
      <c r="B543" s="73"/>
      <c r="C543" s="73"/>
      <c r="D543" s="73"/>
      <c r="E543" s="73"/>
      <c r="F543" s="73"/>
      <c r="H543" s="73"/>
    </row>
    <row r="544" spans="1:8" ht="15.75" customHeight="1">
      <c r="A544" s="73"/>
      <c r="B544" s="73"/>
      <c r="C544" s="73"/>
      <c r="D544" s="73"/>
      <c r="E544" s="73"/>
      <c r="F544" s="73"/>
      <c r="H544" s="73"/>
    </row>
    <row r="545" spans="1:8" ht="15.75" customHeight="1">
      <c r="A545" s="73"/>
      <c r="B545" s="73"/>
      <c r="C545" s="73"/>
      <c r="D545" s="73"/>
      <c r="E545" s="73"/>
      <c r="F545" s="73"/>
      <c r="H545" s="73"/>
    </row>
    <row r="546" spans="1:8" ht="15.75" customHeight="1">
      <c r="A546" s="73"/>
      <c r="B546" s="73"/>
      <c r="C546" s="73"/>
      <c r="D546" s="73"/>
      <c r="E546" s="73"/>
      <c r="F546" s="73"/>
      <c r="H546" s="73"/>
    </row>
    <row r="547" spans="1:8" ht="15.75" customHeight="1">
      <c r="A547" s="73"/>
      <c r="B547" s="73"/>
      <c r="C547" s="73"/>
      <c r="D547" s="73"/>
      <c r="E547" s="73"/>
      <c r="F547" s="73"/>
      <c r="H547" s="73"/>
    </row>
    <row r="548" spans="1:8" ht="15.75" customHeight="1">
      <c r="A548" s="73"/>
      <c r="B548" s="73"/>
      <c r="C548" s="73"/>
      <c r="D548" s="73"/>
      <c r="E548" s="73"/>
      <c r="F548" s="73"/>
      <c r="H548" s="73"/>
    </row>
    <row r="549" spans="1:8" ht="15.75" customHeight="1">
      <c r="A549" s="73"/>
      <c r="B549" s="73"/>
      <c r="C549" s="73"/>
      <c r="D549" s="73"/>
      <c r="E549" s="73"/>
      <c r="F549" s="73"/>
      <c r="H549" s="73"/>
    </row>
    <row r="550" spans="1:8" ht="15.75" customHeight="1">
      <c r="A550" s="73"/>
      <c r="B550" s="73"/>
      <c r="C550" s="73"/>
      <c r="D550" s="73"/>
      <c r="E550" s="73"/>
      <c r="F550" s="73"/>
      <c r="H550" s="73"/>
    </row>
    <row r="551" spans="1:8" ht="15.75" customHeight="1">
      <c r="A551" s="73"/>
      <c r="B551" s="73"/>
      <c r="C551" s="73"/>
      <c r="D551" s="73"/>
      <c r="E551" s="73"/>
      <c r="F551" s="73"/>
      <c r="H551" s="73"/>
    </row>
    <row r="552" spans="1:8" ht="15.75" customHeight="1">
      <c r="A552" s="73"/>
      <c r="B552" s="73"/>
      <c r="C552" s="73"/>
      <c r="D552" s="73"/>
      <c r="E552" s="73"/>
      <c r="F552" s="73"/>
      <c r="H552" s="73"/>
    </row>
    <row r="553" spans="1:8" ht="15.75" customHeight="1">
      <c r="A553" s="73"/>
      <c r="B553" s="73"/>
      <c r="C553" s="73"/>
      <c r="D553" s="73"/>
      <c r="E553" s="73"/>
      <c r="F553" s="73"/>
      <c r="H553" s="73"/>
    </row>
    <row r="554" spans="1:8" ht="15.75" customHeight="1">
      <c r="A554" s="73"/>
      <c r="B554" s="73"/>
      <c r="C554" s="73"/>
      <c r="D554" s="73"/>
      <c r="E554" s="73"/>
      <c r="F554" s="73"/>
      <c r="H554" s="73"/>
    </row>
    <row r="555" spans="1:8" ht="15.75" customHeight="1">
      <c r="A555" s="73"/>
      <c r="B555" s="73"/>
      <c r="C555" s="73"/>
      <c r="D555" s="73"/>
      <c r="E555" s="73"/>
      <c r="F555" s="73"/>
      <c r="H555" s="73"/>
    </row>
    <row r="556" spans="1:8" ht="15.75" customHeight="1">
      <c r="A556" s="73"/>
      <c r="B556" s="73"/>
      <c r="C556" s="73"/>
      <c r="D556" s="73"/>
      <c r="E556" s="73"/>
      <c r="F556" s="73"/>
      <c r="H556" s="73"/>
    </row>
    <row r="557" spans="1:8" ht="15.75" customHeight="1">
      <c r="A557" s="73"/>
      <c r="B557" s="73"/>
      <c r="C557" s="73"/>
      <c r="D557" s="73"/>
      <c r="E557" s="73"/>
      <c r="F557" s="73"/>
      <c r="H557" s="73"/>
    </row>
    <row r="558" spans="1:8" ht="15.75" customHeight="1">
      <c r="A558" s="73"/>
      <c r="B558" s="73"/>
      <c r="C558" s="73"/>
      <c r="D558" s="73"/>
      <c r="E558" s="73"/>
      <c r="F558" s="73"/>
      <c r="H558" s="73"/>
    </row>
    <row r="559" spans="1:8" ht="15.75" customHeight="1">
      <c r="A559" s="73"/>
      <c r="B559" s="73"/>
      <c r="C559" s="73"/>
      <c r="D559" s="73"/>
      <c r="E559" s="73"/>
      <c r="F559" s="73"/>
      <c r="H559" s="73"/>
    </row>
    <row r="560" spans="1:8" ht="15.75" customHeight="1">
      <c r="A560" s="73"/>
      <c r="B560" s="73"/>
      <c r="C560" s="73"/>
      <c r="D560" s="73"/>
      <c r="E560" s="73"/>
      <c r="F560" s="73"/>
      <c r="H560" s="73"/>
    </row>
    <row r="561" spans="1:8" ht="15.75" customHeight="1">
      <c r="A561" s="73"/>
      <c r="B561" s="73"/>
      <c r="C561" s="73"/>
      <c r="D561" s="73"/>
      <c r="E561" s="73"/>
      <c r="F561" s="73"/>
      <c r="H561" s="73"/>
    </row>
    <row r="562" spans="1:8" ht="15.75" customHeight="1">
      <c r="A562" s="73"/>
      <c r="B562" s="73"/>
      <c r="C562" s="73"/>
      <c r="D562" s="73"/>
      <c r="E562" s="73"/>
      <c r="F562" s="73"/>
      <c r="H562" s="73"/>
    </row>
    <row r="563" spans="1:8" ht="15.75" customHeight="1">
      <c r="A563" s="73"/>
      <c r="B563" s="73"/>
      <c r="C563" s="73"/>
      <c r="D563" s="73"/>
      <c r="E563" s="73"/>
      <c r="F563" s="73"/>
      <c r="H563" s="73"/>
    </row>
    <row r="564" spans="1:8" ht="15.75" customHeight="1">
      <c r="A564" s="73"/>
      <c r="B564" s="73"/>
      <c r="C564" s="73"/>
      <c r="D564" s="73"/>
      <c r="E564" s="73"/>
      <c r="F564" s="73"/>
      <c r="H564" s="73"/>
    </row>
    <row r="565" spans="1:8" ht="15.75" customHeight="1">
      <c r="A565" s="73"/>
      <c r="B565" s="73"/>
      <c r="C565" s="73"/>
      <c r="D565" s="73"/>
      <c r="E565" s="73"/>
      <c r="F565" s="73"/>
      <c r="H565" s="73"/>
    </row>
    <row r="566" spans="1:8" ht="15.75" customHeight="1">
      <c r="A566" s="73"/>
      <c r="B566" s="73"/>
      <c r="C566" s="73"/>
      <c r="D566" s="73"/>
      <c r="E566" s="73"/>
      <c r="F566" s="73"/>
      <c r="H566" s="73"/>
    </row>
    <row r="567" spans="1:8" ht="15.75" customHeight="1">
      <c r="A567" s="73"/>
      <c r="B567" s="73"/>
      <c r="C567" s="73"/>
      <c r="D567" s="73"/>
      <c r="E567" s="73"/>
      <c r="F567" s="73"/>
      <c r="H567" s="73"/>
    </row>
    <row r="568" spans="1:8" ht="15.75" customHeight="1">
      <c r="A568" s="73"/>
      <c r="B568" s="73"/>
      <c r="C568" s="73"/>
      <c r="D568" s="73"/>
      <c r="E568" s="73"/>
      <c r="F568" s="73"/>
      <c r="H568" s="73"/>
    </row>
    <row r="569" spans="1:8" ht="15.75" customHeight="1">
      <c r="A569" s="73"/>
      <c r="B569" s="73"/>
      <c r="C569" s="73"/>
      <c r="D569" s="73"/>
      <c r="E569" s="73"/>
      <c r="F569" s="73"/>
      <c r="H569" s="73"/>
    </row>
    <row r="570" spans="1:8" ht="15.75" customHeight="1">
      <c r="A570" s="73"/>
      <c r="B570" s="73"/>
      <c r="C570" s="73"/>
      <c r="D570" s="73"/>
      <c r="E570" s="73"/>
      <c r="F570" s="73"/>
      <c r="H570" s="73"/>
    </row>
    <row r="571" spans="1:8" ht="15.75" customHeight="1">
      <c r="A571" s="73"/>
      <c r="B571" s="73"/>
      <c r="C571" s="73"/>
      <c r="D571" s="73"/>
      <c r="E571" s="73"/>
      <c r="F571" s="73"/>
      <c r="H571" s="73"/>
    </row>
    <row r="572" spans="1:8" ht="15.75" customHeight="1">
      <c r="A572" s="73"/>
      <c r="B572" s="73"/>
      <c r="C572" s="73"/>
      <c r="D572" s="73"/>
      <c r="E572" s="73"/>
      <c r="F572" s="73"/>
      <c r="H572" s="73"/>
    </row>
    <row r="573" spans="1:8" ht="15.75" customHeight="1">
      <c r="A573" s="73"/>
      <c r="B573" s="73"/>
      <c r="C573" s="73"/>
      <c r="D573" s="73"/>
      <c r="E573" s="73"/>
      <c r="F573" s="73"/>
      <c r="H573" s="73"/>
    </row>
    <row r="574" spans="1:8" ht="15.75" customHeight="1">
      <c r="A574" s="73"/>
      <c r="B574" s="73"/>
      <c r="C574" s="73"/>
      <c r="D574" s="73"/>
      <c r="E574" s="73"/>
      <c r="F574" s="73"/>
      <c r="H574" s="73"/>
    </row>
    <row r="575" spans="1:8" ht="15.75" customHeight="1">
      <c r="A575" s="73"/>
      <c r="B575" s="73"/>
      <c r="C575" s="73"/>
      <c r="D575" s="73"/>
      <c r="E575" s="73"/>
      <c r="F575" s="73"/>
      <c r="H575" s="73"/>
    </row>
    <row r="576" spans="1:8" ht="15.75" customHeight="1">
      <c r="A576" s="73"/>
      <c r="B576" s="73"/>
      <c r="C576" s="73"/>
      <c r="D576" s="73"/>
      <c r="E576" s="73"/>
      <c r="F576" s="73"/>
      <c r="H576" s="73"/>
    </row>
    <row r="577" spans="1:8" ht="15.75" customHeight="1">
      <c r="A577" s="73"/>
      <c r="B577" s="73"/>
      <c r="C577" s="73"/>
      <c r="D577" s="73"/>
      <c r="E577" s="73"/>
      <c r="F577" s="73"/>
      <c r="H577" s="73"/>
    </row>
    <row r="578" spans="1:8" ht="15.75" customHeight="1">
      <c r="A578" s="73"/>
      <c r="B578" s="73"/>
      <c r="C578" s="73"/>
      <c r="D578" s="73"/>
      <c r="E578" s="73"/>
      <c r="F578" s="73"/>
      <c r="H578" s="73"/>
    </row>
    <row r="579" spans="1:8" ht="15.75" customHeight="1">
      <c r="A579" s="73"/>
      <c r="B579" s="73"/>
      <c r="C579" s="73"/>
      <c r="D579" s="73"/>
      <c r="E579" s="73"/>
      <c r="F579" s="73"/>
      <c r="H579" s="73"/>
    </row>
    <row r="580" spans="1:8" ht="15.75" customHeight="1">
      <c r="A580" s="73"/>
      <c r="B580" s="73"/>
      <c r="C580" s="73"/>
      <c r="D580" s="73"/>
      <c r="E580" s="73"/>
      <c r="F580" s="73"/>
      <c r="H580" s="73"/>
    </row>
    <row r="581" spans="1:8" ht="15.75" customHeight="1">
      <c r="A581" s="73"/>
      <c r="B581" s="73"/>
      <c r="C581" s="73"/>
      <c r="D581" s="73"/>
      <c r="E581" s="73"/>
      <c r="F581" s="73"/>
      <c r="H581" s="73"/>
    </row>
    <row r="582" spans="1:8" ht="15.75" customHeight="1">
      <c r="A582" s="73"/>
      <c r="B582" s="73"/>
      <c r="C582" s="73"/>
      <c r="D582" s="73"/>
      <c r="E582" s="73"/>
      <c r="F582" s="73"/>
      <c r="H582" s="73"/>
    </row>
    <row r="583" spans="1:8" ht="15.75" customHeight="1">
      <c r="A583" s="73"/>
      <c r="B583" s="73"/>
      <c r="C583" s="73"/>
      <c r="D583" s="73"/>
      <c r="E583" s="73"/>
      <c r="F583" s="73"/>
      <c r="H583" s="73"/>
    </row>
    <row r="584" spans="1:8" ht="15.75" customHeight="1">
      <c r="A584" s="73"/>
      <c r="B584" s="73"/>
      <c r="C584" s="73"/>
      <c r="D584" s="73"/>
      <c r="E584" s="73"/>
      <c r="F584" s="73"/>
      <c r="H584" s="73"/>
    </row>
    <row r="585" spans="1:8" ht="15.75" customHeight="1">
      <c r="A585" s="73"/>
      <c r="B585" s="73"/>
      <c r="C585" s="73"/>
      <c r="D585" s="73"/>
      <c r="E585" s="73"/>
      <c r="F585" s="73"/>
      <c r="H585" s="73"/>
    </row>
    <row r="586" spans="1:8" ht="15.75" customHeight="1">
      <c r="A586" s="73"/>
      <c r="B586" s="73"/>
      <c r="C586" s="73"/>
      <c r="D586" s="73"/>
      <c r="E586" s="73"/>
      <c r="F586" s="73"/>
      <c r="H586" s="73"/>
    </row>
    <row r="587" spans="1:8" ht="15.75" customHeight="1">
      <c r="A587" s="73"/>
      <c r="B587" s="73"/>
      <c r="C587" s="73"/>
      <c r="D587" s="73"/>
      <c r="E587" s="73"/>
      <c r="F587" s="73"/>
      <c r="H587" s="73"/>
    </row>
    <row r="588" spans="1:8" ht="15.75" customHeight="1">
      <c r="A588" s="73"/>
      <c r="B588" s="73"/>
      <c r="C588" s="73"/>
      <c r="D588" s="73"/>
      <c r="E588" s="73"/>
      <c r="F588" s="73"/>
      <c r="H588" s="73"/>
    </row>
    <row r="589" spans="1:8" ht="15.75" customHeight="1">
      <c r="A589" s="73"/>
      <c r="B589" s="73"/>
      <c r="C589" s="73"/>
      <c r="D589" s="73"/>
      <c r="E589" s="73"/>
      <c r="F589" s="73"/>
      <c r="H589" s="73"/>
    </row>
    <row r="590" spans="1:8" ht="15.75" customHeight="1">
      <c r="A590" s="73"/>
      <c r="B590" s="73"/>
      <c r="C590" s="73"/>
      <c r="D590" s="73"/>
      <c r="E590" s="73"/>
      <c r="F590" s="73"/>
      <c r="H590" s="73"/>
    </row>
    <row r="591" spans="1:8" ht="15.75" customHeight="1">
      <c r="A591" s="73"/>
      <c r="B591" s="73"/>
      <c r="C591" s="73"/>
      <c r="D591" s="73"/>
      <c r="E591" s="73"/>
      <c r="F591" s="73"/>
      <c r="H591" s="73"/>
    </row>
    <row r="592" spans="1:8" ht="15.75" customHeight="1">
      <c r="A592" s="73"/>
      <c r="B592" s="73"/>
      <c r="C592" s="73"/>
      <c r="D592" s="73"/>
      <c r="E592" s="73"/>
      <c r="F592" s="73"/>
      <c r="H592" s="73"/>
    </row>
    <row r="593" spans="1:8" ht="15.75" customHeight="1">
      <c r="A593" s="73"/>
      <c r="B593" s="73"/>
      <c r="C593" s="73"/>
      <c r="D593" s="73"/>
      <c r="E593" s="73"/>
      <c r="F593" s="73"/>
      <c r="H593" s="73"/>
    </row>
    <row r="594" spans="1:8" ht="15.75" customHeight="1">
      <c r="A594" s="73"/>
      <c r="B594" s="73"/>
      <c r="C594" s="73"/>
      <c r="D594" s="73"/>
      <c r="E594" s="73"/>
      <c r="F594" s="73"/>
      <c r="H594" s="73"/>
    </row>
    <row r="595" spans="1:8" ht="15.75" customHeight="1">
      <c r="A595" s="73"/>
      <c r="B595" s="73"/>
      <c r="C595" s="73"/>
      <c r="D595" s="73"/>
      <c r="E595" s="73"/>
      <c r="F595" s="73"/>
      <c r="H595" s="73"/>
    </row>
    <row r="596" spans="1:8" ht="15.75" customHeight="1">
      <c r="A596" s="73"/>
      <c r="B596" s="73"/>
      <c r="C596" s="73"/>
      <c r="D596" s="73"/>
      <c r="E596" s="73"/>
      <c r="F596" s="73"/>
      <c r="H596" s="73"/>
    </row>
    <row r="597" spans="1:8" ht="15.75" customHeight="1">
      <c r="A597" s="73"/>
      <c r="B597" s="73"/>
      <c r="C597" s="73"/>
      <c r="D597" s="73"/>
      <c r="E597" s="73"/>
      <c r="F597" s="73"/>
      <c r="H597" s="73"/>
    </row>
    <row r="598" spans="1:8" ht="15.75" customHeight="1">
      <c r="A598" s="73"/>
      <c r="B598" s="73"/>
      <c r="C598" s="73"/>
      <c r="D598" s="73"/>
      <c r="E598" s="73"/>
      <c r="F598" s="73"/>
      <c r="H598" s="73"/>
    </row>
    <row r="599" spans="1:8" ht="15.75" customHeight="1">
      <c r="A599" s="73"/>
      <c r="B599" s="73"/>
      <c r="C599" s="73"/>
      <c r="D599" s="73"/>
      <c r="E599" s="73"/>
      <c r="F599" s="73"/>
      <c r="H599" s="73"/>
    </row>
    <row r="600" spans="1:8" ht="15.75" customHeight="1">
      <c r="A600" s="73"/>
      <c r="B600" s="73"/>
      <c r="C600" s="73"/>
      <c r="D600" s="73"/>
      <c r="E600" s="73"/>
      <c r="F600" s="73"/>
      <c r="H600" s="73"/>
    </row>
    <row r="601" spans="1:8" ht="15.75" customHeight="1">
      <c r="A601" s="73"/>
      <c r="B601" s="73"/>
      <c r="C601" s="73"/>
      <c r="D601" s="73"/>
      <c r="E601" s="73"/>
      <c r="F601" s="73"/>
      <c r="H601" s="73"/>
    </row>
    <row r="602" spans="1:8" ht="15.75" customHeight="1">
      <c r="A602" s="73"/>
      <c r="B602" s="73"/>
      <c r="C602" s="73"/>
      <c r="D602" s="73"/>
      <c r="E602" s="73"/>
      <c r="F602" s="73"/>
      <c r="H602" s="73"/>
    </row>
    <row r="603" spans="1:8" ht="15.75" customHeight="1">
      <c r="A603" s="73"/>
      <c r="B603" s="73"/>
      <c r="C603" s="73"/>
      <c r="D603" s="73"/>
      <c r="E603" s="73"/>
      <c r="F603" s="73"/>
      <c r="H603" s="73"/>
    </row>
    <row r="604" spans="1:8" ht="15.75" customHeight="1">
      <c r="A604" s="73"/>
      <c r="B604" s="73"/>
      <c r="C604" s="73"/>
      <c r="D604" s="73"/>
      <c r="E604" s="73"/>
      <c r="F604" s="73"/>
      <c r="H604" s="73"/>
    </row>
    <row r="605" spans="1:8" ht="15.75" customHeight="1">
      <c r="A605" s="73"/>
      <c r="B605" s="73"/>
      <c r="C605" s="73"/>
      <c r="D605" s="73"/>
      <c r="E605" s="73"/>
      <c r="F605" s="73"/>
      <c r="H605" s="73"/>
    </row>
    <row r="606" spans="1:8" ht="15.75" customHeight="1">
      <c r="A606" s="73"/>
      <c r="B606" s="73"/>
      <c r="C606" s="73"/>
      <c r="D606" s="73"/>
      <c r="E606" s="73"/>
      <c r="F606" s="73"/>
      <c r="H606" s="73"/>
    </row>
    <row r="607" spans="1:8" ht="15.75" customHeight="1">
      <c r="A607" s="73"/>
      <c r="B607" s="73"/>
      <c r="C607" s="73"/>
      <c r="D607" s="73"/>
      <c r="E607" s="73"/>
      <c r="F607" s="73"/>
      <c r="H607" s="73"/>
    </row>
    <row r="608" spans="1:8" ht="15.75" customHeight="1">
      <c r="A608" s="73"/>
      <c r="B608" s="73"/>
      <c r="C608" s="73"/>
      <c r="D608" s="73"/>
      <c r="E608" s="73"/>
      <c r="F608" s="73"/>
      <c r="H608" s="73"/>
    </row>
    <row r="609" spans="1:8" ht="15.75" customHeight="1">
      <c r="A609" s="73"/>
      <c r="B609" s="73"/>
      <c r="C609" s="73"/>
      <c r="D609" s="73"/>
      <c r="E609" s="73"/>
      <c r="F609" s="73"/>
      <c r="H609" s="73"/>
    </row>
    <row r="610" spans="1:8" ht="15.75" customHeight="1">
      <c r="A610" s="73"/>
      <c r="B610" s="73"/>
      <c r="C610" s="73"/>
      <c r="D610" s="73"/>
      <c r="E610" s="73"/>
      <c r="F610" s="73"/>
      <c r="H610" s="73"/>
    </row>
    <row r="611" spans="1:8" ht="15.75" customHeight="1">
      <c r="A611" s="73"/>
      <c r="B611" s="73"/>
      <c r="C611" s="73"/>
      <c r="D611" s="73"/>
      <c r="E611" s="73"/>
      <c r="F611" s="73"/>
      <c r="H611" s="73"/>
    </row>
    <row r="612" spans="1:8" ht="15.75" customHeight="1">
      <c r="A612" s="73"/>
      <c r="B612" s="73"/>
      <c r="C612" s="73"/>
      <c r="D612" s="73"/>
      <c r="E612" s="73"/>
      <c r="F612" s="73"/>
      <c r="H612" s="73"/>
    </row>
    <row r="613" spans="1:8" ht="15.75" customHeight="1">
      <c r="A613" s="73"/>
      <c r="B613" s="73"/>
      <c r="C613" s="73"/>
      <c r="D613" s="73"/>
      <c r="E613" s="73"/>
      <c r="F613" s="73"/>
      <c r="H613" s="73"/>
    </row>
    <row r="614" spans="1:8" ht="15.75" customHeight="1">
      <c r="A614" s="73"/>
      <c r="B614" s="73"/>
      <c r="C614" s="73"/>
      <c r="D614" s="73"/>
      <c r="E614" s="73"/>
      <c r="F614" s="73"/>
      <c r="H614" s="73"/>
    </row>
    <row r="615" spans="1:8" ht="15.75" customHeight="1">
      <c r="A615" s="73"/>
      <c r="B615" s="73"/>
      <c r="C615" s="73"/>
      <c r="D615" s="73"/>
      <c r="E615" s="73"/>
      <c r="F615" s="73"/>
      <c r="H615" s="73"/>
    </row>
    <row r="616" spans="1:8" ht="15.75" customHeight="1">
      <c r="A616" s="73"/>
      <c r="B616" s="73"/>
      <c r="C616" s="73"/>
      <c r="D616" s="73"/>
      <c r="E616" s="73"/>
      <c r="F616" s="73"/>
      <c r="H616" s="73"/>
    </row>
    <row r="617" spans="1:8" ht="15.75" customHeight="1">
      <c r="A617" s="73"/>
      <c r="B617" s="73"/>
      <c r="C617" s="73"/>
      <c r="D617" s="73"/>
      <c r="E617" s="73"/>
      <c r="F617" s="73"/>
      <c r="H617" s="73"/>
    </row>
    <row r="618" spans="1:8" ht="15.75" customHeight="1">
      <c r="A618" s="73"/>
      <c r="B618" s="73"/>
      <c r="C618" s="73"/>
      <c r="D618" s="73"/>
      <c r="E618" s="73"/>
      <c r="F618" s="73"/>
      <c r="H618" s="73"/>
    </row>
    <row r="619" spans="1:8" ht="15.75" customHeight="1">
      <c r="A619" s="73"/>
      <c r="B619" s="73"/>
      <c r="C619" s="73"/>
      <c r="D619" s="73"/>
      <c r="E619" s="73"/>
      <c r="F619" s="73"/>
      <c r="H619" s="73"/>
    </row>
    <row r="620" spans="1:8" ht="15.75" customHeight="1">
      <c r="A620" s="73"/>
      <c r="B620" s="73"/>
      <c r="C620" s="73"/>
      <c r="D620" s="73"/>
      <c r="E620" s="73"/>
      <c r="F620" s="73"/>
      <c r="H620" s="73"/>
    </row>
    <row r="621" spans="1:8" ht="15.75" customHeight="1">
      <c r="A621" s="73"/>
      <c r="B621" s="73"/>
      <c r="C621" s="73"/>
      <c r="D621" s="73"/>
      <c r="E621" s="73"/>
      <c r="F621" s="73"/>
      <c r="H621" s="73"/>
    </row>
    <row r="622" spans="1:8" ht="15.75" customHeight="1">
      <c r="A622" s="73"/>
      <c r="B622" s="73"/>
      <c r="C622" s="73"/>
      <c r="D622" s="73"/>
      <c r="E622" s="73"/>
      <c r="F622" s="73"/>
      <c r="H622" s="73"/>
    </row>
    <row r="623" spans="1:8" ht="15.75" customHeight="1">
      <c r="A623" s="73"/>
      <c r="B623" s="73"/>
      <c r="C623" s="73"/>
      <c r="D623" s="73"/>
      <c r="E623" s="73"/>
      <c r="F623" s="73"/>
      <c r="H623" s="73"/>
    </row>
    <row r="624" spans="1:8" ht="15.75" customHeight="1">
      <c r="A624" s="73"/>
      <c r="B624" s="73"/>
      <c r="C624" s="73"/>
      <c r="D624" s="73"/>
      <c r="E624" s="73"/>
      <c r="F624" s="73"/>
      <c r="H624" s="73"/>
    </row>
    <row r="625" spans="1:8" ht="15.75" customHeight="1">
      <c r="A625" s="73"/>
      <c r="B625" s="73"/>
      <c r="C625" s="73"/>
      <c r="D625" s="73"/>
      <c r="E625" s="73"/>
      <c r="F625" s="73"/>
      <c r="H625" s="73"/>
    </row>
    <row r="626" spans="1:8" ht="15.75" customHeight="1">
      <c r="A626" s="73"/>
      <c r="B626" s="73"/>
      <c r="C626" s="73"/>
      <c r="D626" s="73"/>
      <c r="E626" s="73"/>
      <c r="F626" s="73"/>
      <c r="H626" s="73"/>
    </row>
    <row r="627" spans="1:8" ht="15.75" customHeight="1">
      <c r="A627" s="73"/>
      <c r="B627" s="73"/>
      <c r="C627" s="73"/>
      <c r="D627" s="73"/>
      <c r="E627" s="73"/>
      <c r="F627" s="73"/>
      <c r="H627" s="73"/>
    </row>
    <row r="628" spans="1:8" ht="15.75" customHeight="1">
      <c r="A628" s="73"/>
      <c r="B628" s="73"/>
      <c r="C628" s="73"/>
      <c r="D628" s="73"/>
      <c r="E628" s="73"/>
      <c r="F628" s="73"/>
      <c r="H628" s="73"/>
    </row>
    <row r="629" spans="1:8" ht="15.75" customHeight="1">
      <c r="A629" s="73"/>
      <c r="B629" s="73"/>
      <c r="C629" s="73"/>
      <c r="D629" s="73"/>
      <c r="E629" s="73"/>
      <c r="F629" s="73"/>
      <c r="H629" s="73"/>
    </row>
    <row r="630" spans="1:8" ht="15.75" customHeight="1">
      <c r="A630" s="73"/>
      <c r="B630" s="73"/>
      <c r="C630" s="73"/>
      <c r="D630" s="73"/>
      <c r="E630" s="73"/>
      <c r="F630" s="73"/>
      <c r="H630" s="73"/>
    </row>
    <row r="631" spans="1:8" ht="15.75" customHeight="1">
      <c r="A631" s="73"/>
      <c r="B631" s="73"/>
      <c r="C631" s="73"/>
      <c r="D631" s="73"/>
      <c r="E631" s="73"/>
      <c r="F631" s="73"/>
      <c r="H631" s="73"/>
    </row>
    <row r="632" spans="1:8" ht="15.75" customHeight="1">
      <c r="A632" s="73"/>
      <c r="B632" s="73"/>
      <c r="C632" s="73"/>
      <c r="D632" s="73"/>
      <c r="E632" s="73"/>
      <c r="F632" s="73"/>
      <c r="H632" s="73"/>
    </row>
    <row r="633" spans="1:8" ht="15.75" customHeight="1">
      <c r="A633" s="73"/>
      <c r="B633" s="73"/>
      <c r="C633" s="73"/>
      <c r="D633" s="73"/>
      <c r="E633" s="73"/>
      <c r="F633" s="73"/>
      <c r="H633" s="73"/>
    </row>
    <row r="634" spans="1:8" ht="15.75" customHeight="1">
      <c r="A634" s="73"/>
      <c r="B634" s="73"/>
      <c r="C634" s="73"/>
      <c r="D634" s="73"/>
      <c r="E634" s="73"/>
      <c r="F634" s="73"/>
      <c r="H634" s="73"/>
    </row>
    <row r="635" spans="1:8" ht="15.75" customHeight="1">
      <c r="A635" s="73"/>
      <c r="B635" s="73"/>
      <c r="C635" s="73"/>
      <c r="D635" s="73"/>
      <c r="E635" s="73"/>
      <c r="F635" s="73"/>
      <c r="H635" s="73"/>
    </row>
    <row r="636" spans="1:8" ht="15.75" customHeight="1">
      <c r="A636" s="73"/>
      <c r="B636" s="73"/>
      <c r="C636" s="73"/>
      <c r="D636" s="73"/>
      <c r="E636" s="73"/>
      <c r="F636" s="73"/>
      <c r="H636" s="73"/>
    </row>
    <row r="637" spans="1:8" ht="15.75" customHeight="1">
      <c r="A637" s="73"/>
      <c r="B637" s="73"/>
      <c r="C637" s="73"/>
      <c r="D637" s="73"/>
      <c r="E637" s="73"/>
      <c r="F637" s="73"/>
      <c r="H637" s="73"/>
    </row>
    <row r="638" spans="1:8" ht="15.75" customHeight="1">
      <c r="A638" s="73"/>
      <c r="B638" s="73"/>
      <c r="C638" s="73"/>
      <c r="D638" s="73"/>
      <c r="E638" s="73"/>
      <c r="F638" s="73"/>
      <c r="H638" s="73"/>
    </row>
    <row r="639" spans="1:8" ht="15.75" customHeight="1">
      <c r="A639" s="73"/>
      <c r="B639" s="73"/>
      <c r="C639" s="73"/>
      <c r="D639" s="73"/>
      <c r="E639" s="73"/>
      <c r="F639" s="73"/>
      <c r="H639" s="73"/>
    </row>
    <row r="640" spans="1:8" ht="15.75" customHeight="1">
      <c r="A640" s="73"/>
      <c r="B640" s="73"/>
      <c r="C640" s="73"/>
      <c r="D640" s="73"/>
      <c r="E640" s="73"/>
      <c r="F640" s="73"/>
      <c r="H640" s="73"/>
    </row>
    <row r="641" spans="1:8" ht="15.75" customHeight="1">
      <c r="A641" s="73"/>
      <c r="B641" s="73"/>
      <c r="C641" s="73"/>
      <c r="D641" s="73"/>
      <c r="E641" s="73"/>
      <c r="F641" s="73"/>
      <c r="H641" s="73"/>
    </row>
    <row r="642" spans="1:8" ht="15.75" customHeight="1">
      <c r="A642" s="73"/>
      <c r="B642" s="73"/>
      <c r="C642" s="73"/>
      <c r="D642" s="73"/>
      <c r="E642" s="73"/>
      <c r="F642" s="73"/>
      <c r="H642" s="73"/>
    </row>
    <row r="643" spans="1:8" ht="15.75" customHeight="1">
      <c r="A643" s="73"/>
      <c r="B643" s="73"/>
      <c r="C643" s="73"/>
      <c r="D643" s="73"/>
      <c r="E643" s="73"/>
      <c r="F643" s="73"/>
      <c r="H643" s="73"/>
    </row>
    <row r="644" spans="1:8" ht="15.75" customHeight="1">
      <c r="A644" s="73"/>
      <c r="B644" s="73"/>
      <c r="C644" s="73"/>
      <c r="D644" s="73"/>
      <c r="E644" s="73"/>
      <c r="F644" s="73"/>
      <c r="H644" s="73"/>
    </row>
    <row r="645" spans="1:8" ht="15.75" customHeight="1">
      <c r="A645" s="73"/>
      <c r="B645" s="73"/>
      <c r="C645" s="73"/>
      <c r="D645" s="73"/>
      <c r="E645" s="73"/>
      <c r="F645" s="73"/>
      <c r="H645" s="73"/>
    </row>
    <row r="646" spans="1:8" ht="15.75" customHeight="1">
      <c r="A646" s="73"/>
      <c r="B646" s="73"/>
      <c r="C646" s="73"/>
      <c r="D646" s="73"/>
      <c r="E646" s="73"/>
      <c r="F646" s="73"/>
      <c r="H646" s="73"/>
    </row>
    <row r="647" spans="1:8" ht="15.75" customHeight="1">
      <c r="A647" s="73"/>
      <c r="B647" s="73"/>
      <c r="C647" s="73"/>
      <c r="D647" s="73"/>
      <c r="E647" s="73"/>
      <c r="F647" s="73"/>
      <c r="H647" s="73"/>
    </row>
    <row r="648" spans="1:8" ht="15.75" customHeight="1">
      <c r="A648" s="73"/>
      <c r="B648" s="73"/>
      <c r="C648" s="73"/>
      <c r="D648" s="73"/>
      <c r="E648" s="73"/>
      <c r="F648" s="73"/>
      <c r="H648" s="73"/>
    </row>
    <row r="649" spans="1:8" ht="15.75" customHeight="1">
      <c r="A649" s="73"/>
      <c r="B649" s="73"/>
      <c r="C649" s="73"/>
      <c r="D649" s="73"/>
      <c r="E649" s="73"/>
      <c r="F649" s="73"/>
      <c r="H649" s="73"/>
    </row>
    <row r="650" spans="1:8" ht="15.75" customHeight="1">
      <c r="A650" s="73"/>
      <c r="B650" s="73"/>
      <c r="C650" s="73"/>
      <c r="D650" s="73"/>
      <c r="E650" s="73"/>
      <c r="F650" s="73"/>
      <c r="H650" s="73"/>
    </row>
    <row r="651" spans="1:8" ht="15.75" customHeight="1">
      <c r="A651" s="73"/>
      <c r="B651" s="73"/>
      <c r="C651" s="73"/>
      <c r="D651" s="73"/>
      <c r="E651" s="73"/>
      <c r="F651" s="73"/>
      <c r="H651" s="73"/>
    </row>
    <row r="652" spans="1:8" ht="15.75" customHeight="1">
      <c r="A652" s="73"/>
      <c r="B652" s="73"/>
      <c r="C652" s="73"/>
      <c r="D652" s="73"/>
      <c r="E652" s="73"/>
      <c r="F652" s="73"/>
      <c r="H652" s="73"/>
    </row>
    <row r="653" spans="1:8" ht="15.75" customHeight="1">
      <c r="A653" s="73"/>
      <c r="B653" s="73"/>
      <c r="C653" s="73"/>
      <c r="D653" s="73"/>
      <c r="E653" s="73"/>
      <c r="F653" s="73"/>
      <c r="H653" s="73"/>
    </row>
    <row r="654" spans="1:8" ht="15.75" customHeight="1">
      <c r="A654" s="73"/>
      <c r="B654" s="73"/>
      <c r="C654" s="73"/>
      <c r="D654" s="73"/>
      <c r="E654" s="73"/>
      <c r="F654" s="73"/>
      <c r="H654" s="73"/>
    </row>
    <row r="655" spans="1:8" ht="15.75" customHeight="1">
      <c r="A655" s="73"/>
      <c r="B655" s="73"/>
      <c r="C655" s="73"/>
      <c r="D655" s="73"/>
      <c r="E655" s="73"/>
      <c r="F655" s="73"/>
      <c r="H655" s="73"/>
    </row>
    <row r="656" spans="1:8" ht="15.75" customHeight="1">
      <c r="A656" s="73"/>
      <c r="B656" s="73"/>
      <c r="C656" s="73"/>
      <c r="D656" s="73"/>
      <c r="E656" s="73"/>
      <c r="F656" s="73"/>
      <c r="H656" s="73"/>
    </row>
    <row r="657" spans="1:8" ht="15.75" customHeight="1">
      <c r="A657" s="73"/>
      <c r="B657" s="73"/>
      <c r="C657" s="73"/>
      <c r="D657" s="73"/>
      <c r="E657" s="73"/>
      <c r="F657" s="73"/>
      <c r="H657" s="73"/>
    </row>
    <row r="658" spans="1:8" ht="15.75" customHeight="1">
      <c r="A658" s="73"/>
      <c r="B658" s="73"/>
      <c r="C658" s="73"/>
      <c r="D658" s="73"/>
      <c r="E658" s="73"/>
      <c r="F658" s="73"/>
      <c r="H658" s="73"/>
    </row>
    <row r="659" spans="1:8" ht="15.75" customHeight="1">
      <c r="A659" s="73"/>
      <c r="B659" s="73"/>
      <c r="C659" s="73"/>
      <c r="D659" s="73"/>
      <c r="E659" s="73"/>
      <c r="F659" s="73"/>
      <c r="H659" s="73"/>
    </row>
    <row r="660" spans="1:8" ht="15.75" customHeight="1">
      <c r="A660" s="73"/>
      <c r="B660" s="73"/>
      <c r="C660" s="73"/>
      <c r="D660" s="73"/>
      <c r="E660" s="73"/>
      <c r="F660" s="73"/>
      <c r="H660" s="73"/>
    </row>
    <row r="661" spans="1:8" ht="15.75" customHeight="1">
      <c r="A661" s="73"/>
      <c r="B661" s="73"/>
      <c r="C661" s="73"/>
      <c r="D661" s="73"/>
      <c r="E661" s="73"/>
      <c r="F661" s="73"/>
      <c r="H661" s="73"/>
    </row>
    <row r="662" spans="1:8" ht="15.75" customHeight="1">
      <c r="A662" s="73"/>
      <c r="B662" s="73"/>
      <c r="C662" s="73"/>
      <c r="D662" s="73"/>
      <c r="E662" s="73"/>
      <c r="F662" s="73"/>
      <c r="H662" s="73"/>
    </row>
    <row r="663" spans="1:8" ht="15.75" customHeight="1">
      <c r="A663" s="73"/>
      <c r="B663" s="73"/>
      <c r="C663" s="73"/>
      <c r="D663" s="73"/>
      <c r="E663" s="73"/>
      <c r="F663" s="73"/>
      <c r="H663" s="73"/>
    </row>
    <row r="664" spans="1:8" ht="15.75" customHeight="1">
      <c r="A664" s="73"/>
      <c r="B664" s="73"/>
      <c r="C664" s="73"/>
      <c r="D664" s="73"/>
      <c r="E664" s="73"/>
      <c r="F664" s="73"/>
      <c r="H664" s="73"/>
    </row>
    <row r="665" spans="1:8" ht="15.75" customHeight="1">
      <c r="A665" s="73"/>
      <c r="B665" s="73"/>
      <c r="C665" s="73"/>
      <c r="D665" s="73"/>
      <c r="E665" s="73"/>
      <c r="F665" s="73"/>
      <c r="H665" s="73"/>
    </row>
    <row r="666" spans="1:8" ht="15.75" customHeight="1">
      <c r="A666" s="73"/>
      <c r="B666" s="73"/>
      <c r="C666" s="73"/>
      <c r="D666" s="73"/>
      <c r="E666" s="73"/>
      <c r="F666" s="73"/>
      <c r="H666" s="73"/>
    </row>
    <row r="667" spans="1:8" ht="15.75" customHeight="1">
      <c r="A667" s="73"/>
      <c r="B667" s="73"/>
      <c r="C667" s="73"/>
      <c r="D667" s="73"/>
      <c r="E667" s="73"/>
      <c r="F667" s="73"/>
      <c r="H667" s="73"/>
    </row>
    <row r="668" spans="1:8" ht="15.75" customHeight="1">
      <c r="A668" s="73"/>
      <c r="B668" s="73"/>
      <c r="C668" s="73"/>
      <c r="D668" s="73"/>
      <c r="E668" s="73"/>
      <c r="F668" s="73"/>
      <c r="H668" s="73"/>
    </row>
    <row r="669" spans="1:8" ht="15.75" customHeight="1">
      <c r="A669" s="73"/>
      <c r="B669" s="73"/>
      <c r="C669" s="73"/>
      <c r="D669" s="73"/>
      <c r="E669" s="73"/>
      <c r="F669" s="73"/>
      <c r="H669" s="73"/>
    </row>
    <row r="670" spans="1:8" ht="15.75" customHeight="1">
      <c r="A670" s="73"/>
      <c r="B670" s="73"/>
      <c r="C670" s="73"/>
      <c r="D670" s="73"/>
      <c r="E670" s="73"/>
      <c r="F670" s="73"/>
      <c r="H670" s="73"/>
    </row>
    <row r="671" spans="1:8" ht="15.75" customHeight="1">
      <c r="A671" s="73"/>
      <c r="B671" s="73"/>
      <c r="C671" s="73"/>
      <c r="D671" s="73"/>
      <c r="E671" s="73"/>
      <c r="F671" s="73"/>
      <c r="H671" s="73"/>
    </row>
    <row r="672" spans="1:8" ht="15.75" customHeight="1">
      <c r="A672" s="73"/>
      <c r="B672" s="73"/>
      <c r="C672" s="73"/>
      <c r="D672" s="73"/>
      <c r="E672" s="73"/>
      <c r="F672" s="73"/>
      <c r="H672" s="73"/>
    </row>
    <row r="673" spans="1:8" ht="15.75" customHeight="1">
      <c r="A673" s="73"/>
      <c r="B673" s="73"/>
      <c r="C673" s="73"/>
      <c r="D673" s="73"/>
      <c r="E673" s="73"/>
      <c r="F673" s="73"/>
      <c r="H673" s="73"/>
    </row>
    <row r="674" spans="1:8" ht="15.75" customHeight="1">
      <c r="A674" s="73"/>
      <c r="B674" s="73"/>
      <c r="C674" s="73"/>
      <c r="D674" s="73"/>
      <c r="E674" s="73"/>
      <c r="F674" s="73"/>
      <c r="H674" s="73"/>
    </row>
    <row r="675" spans="1:8" ht="15.75" customHeight="1">
      <c r="A675" s="73"/>
      <c r="B675" s="73"/>
      <c r="C675" s="73"/>
      <c r="D675" s="73"/>
      <c r="E675" s="73"/>
      <c r="F675" s="73"/>
      <c r="H675" s="73"/>
    </row>
    <row r="676" spans="1:8" ht="15.75" customHeight="1">
      <c r="A676" s="73"/>
      <c r="B676" s="73"/>
      <c r="C676" s="73"/>
      <c r="D676" s="73"/>
      <c r="E676" s="73"/>
      <c r="F676" s="73"/>
      <c r="H676" s="73"/>
    </row>
    <row r="677" spans="1:8" ht="15.75" customHeight="1">
      <c r="A677" s="73"/>
      <c r="B677" s="73"/>
      <c r="C677" s="73"/>
      <c r="D677" s="73"/>
      <c r="E677" s="73"/>
      <c r="F677" s="73"/>
      <c r="H677" s="73"/>
    </row>
    <row r="678" spans="1:8" ht="15.75" customHeight="1">
      <c r="A678" s="73"/>
      <c r="B678" s="73"/>
      <c r="C678" s="73"/>
      <c r="D678" s="73"/>
      <c r="E678" s="73"/>
      <c r="F678" s="73"/>
      <c r="H678" s="73"/>
    </row>
    <row r="679" spans="1:8" ht="15.75" customHeight="1">
      <c r="A679" s="73"/>
      <c r="B679" s="73"/>
      <c r="C679" s="73"/>
      <c r="D679" s="73"/>
      <c r="E679" s="73"/>
      <c r="F679" s="73"/>
      <c r="H679" s="73"/>
    </row>
    <row r="680" spans="1:8" ht="15.75" customHeight="1">
      <c r="A680" s="73"/>
      <c r="B680" s="73"/>
      <c r="C680" s="73"/>
      <c r="D680" s="73"/>
      <c r="E680" s="73"/>
      <c r="F680" s="73"/>
      <c r="H680" s="73"/>
    </row>
    <row r="681" spans="1:8" ht="15.75" customHeight="1">
      <c r="A681" s="73"/>
      <c r="B681" s="73"/>
      <c r="C681" s="73"/>
      <c r="D681" s="73"/>
      <c r="E681" s="73"/>
      <c r="F681" s="73"/>
      <c r="H681" s="73"/>
    </row>
    <row r="682" spans="1:8" ht="15.75" customHeight="1">
      <c r="A682" s="73"/>
      <c r="B682" s="73"/>
      <c r="C682" s="73"/>
      <c r="D682" s="73"/>
      <c r="E682" s="73"/>
      <c r="F682" s="73"/>
      <c r="H682" s="73"/>
    </row>
    <row r="683" spans="1:8" ht="15.75" customHeight="1">
      <c r="A683" s="73"/>
      <c r="B683" s="73"/>
      <c r="C683" s="73"/>
      <c r="D683" s="73"/>
      <c r="E683" s="73"/>
      <c r="F683" s="73"/>
      <c r="H683" s="73"/>
    </row>
    <row r="684" spans="1:8" ht="15.75" customHeight="1">
      <c r="A684" s="73"/>
      <c r="B684" s="73"/>
      <c r="C684" s="73"/>
      <c r="D684" s="73"/>
      <c r="E684" s="73"/>
      <c r="F684" s="73"/>
      <c r="H684" s="73"/>
    </row>
    <row r="685" spans="1:8" ht="15.75" customHeight="1">
      <c r="A685" s="73"/>
      <c r="B685" s="73"/>
      <c r="C685" s="73"/>
      <c r="D685" s="73"/>
      <c r="E685" s="73"/>
      <c r="F685" s="73"/>
      <c r="H685" s="73"/>
    </row>
    <row r="686" spans="1:8" ht="15.75" customHeight="1">
      <c r="A686" s="73"/>
      <c r="B686" s="73"/>
      <c r="C686" s="73"/>
      <c r="D686" s="73"/>
      <c r="E686" s="73"/>
      <c r="F686" s="73"/>
      <c r="H686" s="73"/>
    </row>
    <row r="687" spans="1:8" ht="15.75" customHeight="1">
      <c r="A687" s="73"/>
      <c r="B687" s="73"/>
      <c r="C687" s="73"/>
      <c r="D687" s="73"/>
      <c r="E687" s="73"/>
      <c r="F687" s="73"/>
      <c r="H687" s="73"/>
    </row>
    <row r="688" spans="1:8" ht="15.75" customHeight="1">
      <c r="A688" s="73"/>
      <c r="B688" s="73"/>
      <c r="C688" s="73"/>
      <c r="D688" s="73"/>
      <c r="E688" s="73"/>
      <c r="F688" s="73"/>
      <c r="H688" s="73"/>
    </row>
    <row r="689" spans="1:8" ht="15.75" customHeight="1">
      <c r="A689" s="73"/>
      <c r="B689" s="73"/>
      <c r="C689" s="73"/>
      <c r="D689" s="73"/>
      <c r="E689" s="73"/>
      <c r="F689" s="73"/>
      <c r="H689" s="73"/>
    </row>
    <row r="690" spans="1:8" ht="15.75" customHeight="1">
      <c r="A690" s="73"/>
      <c r="B690" s="73"/>
      <c r="C690" s="73"/>
      <c r="D690" s="73"/>
      <c r="E690" s="73"/>
      <c r="F690" s="73"/>
      <c r="H690" s="73"/>
    </row>
    <row r="691" spans="1:8" ht="15.75" customHeight="1">
      <c r="A691" s="73"/>
      <c r="B691" s="73"/>
      <c r="C691" s="73"/>
      <c r="D691" s="73"/>
      <c r="E691" s="73"/>
      <c r="F691" s="73"/>
      <c r="H691" s="73"/>
    </row>
    <row r="692" spans="1:8" ht="15.75" customHeight="1">
      <c r="A692" s="73"/>
      <c r="B692" s="73"/>
      <c r="C692" s="73"/>
      <c r="D692" s="73"/>
      <c r="E692" s="73"/>
      <c r="F692" s="73"/>
      <c r="H692" s="73"/>
    </row>
    <row r="693" spans="1:8" ht="15.75" customHeight="1">
      <c r="A693" s="73"/>
      <c r="B693" s="73"/>
      <c r="C693" s="73"/>
      <c r="D693" s="73"/>
      <c r="E693" s="73"/>
      <c r="F693" s="73"/>
      <c r="H693" s="73"/>
    </row>
    <row r="694" spans="1:8" ht="15.75" customHeight="1">
      <c r="A694" s="73"/>
      <c r="B694" s="73"/>
      <c r="C694" s="73"/>
      <c r="D694" s="73"/>
      <c r="E694" s="73"/>
      <c r="F694" s="73"/>
      <c r="H694" s="73"/>
    </row>
    <row r="695" spans="1:8" ht="15.75" customHeight="1">
      <c r="A695" s="73"/>
      <c r="B695" s="73"/>
      <c r="C695" s="73"/>
      <c r="D695" s="73"/>
      <c r="E695" s="73"/>
      <c r="F695" s="73"/>
      <c r="H695" s="73"/>
    </row>
    <row r="696" spans="1:8" ht="15.75" customHeight="1">
      <c r="A696" s="73"/>
      <c r="B696" s="73"/>
      <c r="C696" s="73"/>
      <c r="D696" s="73"/>
      <c r="E696" s="73"/>
      <c r="F696" s="73"/>
      <c r="H696" s="73"/>
    </row>
    <row r="697" spans="1:8" ht="15.75" customHeight="1">
      <c r="A697" s="73"/>
      <c r="B697" s="73"/>
      <c r="C697" s="73"/>
      <c r="D697" s="73"/>
      <c r="E697" s="73"/>
      <c r="F697" s="73"/>
      <c r="H697" s="73"/>
    </row>
    <row r="698" spans="1:8" ht="15.75" customHeight="1">
      <c r="A698" s="73"/>
      <c r="B698" s="73"/>
      <c r="C698" s="73"/>
      <c r="D698" s="73"/>
      <c r="E698" s="73"/>
      <c r="F698" s="73"/>
      <c r="H698" s="73"/>
    </row>
    <row r="699" spans="1:8" ht="15.75" customHeight="1">
      <c r="A699" s="73"/>
      <c r="B699" s="73"/>
      <c r="C699" s="73"/>
      <c r="D699" s="73"/>
      <c r="E699" s="73"/>
      <c r="F699" s="73"/>
      <c r="H699" s="73"/>
    </row>
    <row r="700" spans="1:8" ht="15.75" customHeight="1">
      <c r="A700" s="73"/>
      <c r="B700" s="73"/>
      <c r="C700" s="73"/>
      <c r="D700" s="73"/>
      <c r="E700" s="73"/>
      <c r="F700" s="73"/>
      <c r="H700" s="73"/>
    </row>
    <row r="701" spans="1:8" ht="15.75" customHeight="1">
      <c r="A701" s="73"/>
      <c r="B701" s="73"/>
      <c r="C701" s="73"/>
      <c r="D701" s="73"/>
      <c r="E701" s="73"/>
      <c r="F701" s="73"/>
      <c r="H701" s="73"/>
    </row>
    <row r="702" spans="1:8" ht="15.75" customHeight="1">
      <c r="A702" s="73"/>
      <c r="B702" s="73"/>
      <c r="C702" s="73"/>
      <c r="D702" s="73"/>
      <c r="E702" s="73"/>
      <c r="F702" s="73"/>
      <c r="H702" s="73"/>
    </row>
    <row r="703" spans="1:8" ht="15.75" customHeight="1">
      <c r="A703" s="73"/>
      <c r="B703" s="73"/>
      <c r="C703" s="73"/>
      <c r="D703" s="73"/>
      <c r="E703" s="73"/>
      <c r="F703" s="73"/>
      <c r="H703" s="73"/>
    </row>
    <row r="704" spans="1:8" ht="15.75" customHeight="1">
      <c r="A704" s="73"/>
      <c r="B704" s="73"/>
      <c r="C704" s="73"/>
      <c r="D704" s="73"/>
      <c r="E704" s="73"/>
      <c r="F704" s="73"/>
      <c r="H704" s="73"/>
    </row>
    <row r="705" spans="1:8" ht="15.75" customHeight="1">
      <c r="A705" s="73"/>
      <c r="B705" s="73"/>
      <c r="C705" s="73"/>
      <c r="D705" s="73"/>
      <c r="E705" s="73"/>
      <c r="F705" s="73"/>
      <c r="H705" s="73"/>
    </row>
    <row r="706" spans="1:8" ht="15.75" customHeight="1">
      <c r="A706" s="73"/>
      <c r="B706" s="73"/>
      <c r="C706" s="73"/>
      <c r="D706" s="73"/>
      <c r="E706" s="73"/>
      <c r="F706" s="73"/>
      <c r="H706" s="73"/>
    </row>
    <row r="707" spans="1:8" ht="15.75" customHeight="1">
      <c r="A707" s="73"/>
      <c r="B707" s="73"/>
      <c r="C707" s="73"/>
      <c r="D707" s="73"/>
      <c r="E707" s="73"/>
      <c r="F707" s="73"/>
      <c r="H707" s="73"/>
    </row>
    <row r="708" spans="1:8" ht="15.75" customHeight="1">
      <c r="A708" s="73"/>
      <c r="B708" s="73"/>
      <c r="C708" s="73"/>
      <c r="D708" s="73"/>
      <c r="E708" s="73"/>
      <c r="F708" s="73"/>
      <c r="H708" s="73"/>
    </row>
    <row r="709" spans="1:8" ht="15.75" customHeight="1">
      <c r="A709" s="73"/>
      <c r="B709" s="73"/>
      <c r="C709" s="73"/>
      <c r="D709" s="73"/>
      <c r="E709" s="73"/>
      <c r="F709" s="73"/>
      <c r="H709" s="73"/>
    </row>
    <row r="710" spans="1:8" ht="15.75" customHeight="1">
      <c r="A710" s="73"/>
      <c r="B710" s="73"/>
      <c r="C710" s="73"/>
      <c r="D710" s="73"/>
      <c r="E710" s="73"/>
      <c r="F710" s="73"/>
      <c r="H710" s="73"/>
    </row>
    <row r="711" spans="1:8" ht="15.75" customHeight="1">
      <c r="A711" s="73"/>
      <c r="B711" s="73"/>
      <c r="C711" s="73"/>
      <c r="D711" s="73"/>
      <c r="E711" s="73"/>
      <c r="F711" s="73"/>
      <c r="H711" s="73"/>
    </row>
    <row r="712" spans="1:8" ht="15.75" customHeight="1">
      <c r="A712" s="73"/>
      <c r="B712" s="73"/>
      <c r="C712" s="73"/>
      <c r="D712" s="73"/>
      <c r="E712" s="73"/>
      <c r="F712" s="73"/>
      <c r="H712" s="73"/>
    </row>
    <row r="713" spans="1:8" ht="15.75" customHeight="1">
      <c r="A713" s="73"/>
      <c r="B713" s="73"/>
      <c r="C713" s="73"/>
      <c r="D713" s="73"/>
      <c r="E713" s="73"/>
      <c r="F713" s="73"/>
      <c r="H713" s="73"/>
    </row>
    <row r="714" spans="1:8" ht="15.75" customHeight="1">
      <c r="A714" s="73"/>
      <c r="B714" s="73"/>
      <c r="C714" s="73"/>
      <c r="D714" s="73"/>
      <c r="E714" s="73"/>
      <c r="F714" s="73"/>
      <c r="H714" s="73"/>
    </row>
    <row r="715" spans="1:8" ht="15.75" customHeight="1">
      <c r="A715" s="73"/>
      <c r="B715" s="73"/>
      <c r="C715" s="73"/>
      <c r="D715" s="73"/>
      <c r="E715" s="73"/>
      <c r="F715" s="73"/>
      <c r="H715" s="73"/>
    </row>
    <row r="716" spans="1:8" ht="15.75" customHeight="1">
      <c r="A716" s="73"/>
      <c r="B716" s="73"/>
      <c r="C716" s="73"/>
      <c r="D716" s="73"/>
      <c r="E716" s="73"/>
      <c r="F716" s="73"/>
      <c r="H716" s="73"/>
    </row>
    <row r="717" spans="1:8" ht="15.75" customHeight="1">
      <c r="A717" s="73"/>
      <c r="B717" s="73"/>
      <c r="C717" s="73"/>
      <c r="D717" s="73"/>
      <c r="E717" s="73"/>
      <c r="F717" s="73"/>
      <c r="H717" s="73"/>
    </row>
    <row r="718" spans="1:8" ht="15.75" customHeight="1">
      <c r="A718" s="73"/>
      <c r="B718" s="73"/>
      <c r="C718" s="73"/>
      <c r="D718" s="73"/>
      <c r="E718" s="73"/>
      <c r="F718" s="73"/>
      <c r="H718" s="73"/>
    </row>
    <row r="719" spans="1:8" ht="15.75" customHeight="1">
      <c r="A719" s="73"/>
      <c r="B719" s="73"/>
      <c r="C719" s="73"/>
      <c r="D719" s="73"/>
      <c r="E719" s="73"/>
      <c r="F719" s="73"/>
      <c r="H719" s="73"/>
    </row>
    <row r="720" spans="1:8" ht="15.75" customHeight="1">
      <c r="A720" s="73"/>
      <c r="B720" s="73"/>
      <c r="C720" s="73"/>
      <c r="D720" s="73"/>
      <c r="E720" s="73"/>
      <c r="F720" s="73"/>
      <c r="H720" s="73"/>
    </row>
    <row r="721" spans="1:8" ht="15.75" customHeight="1">
      <c r="A721" s="73"/>
      <c r="B721" s="73"/>
      <c r="C721" s="73"/>
      <c r="D721" s="73"/>
      <c r="E721" s="73"/>
      <c r="F721" s="73"/>
      <c r="H721" s="73"/>
    </row>
    <row r="722" spans="1:8" ht="15.75" customHeight="1">
      <c r="A722" s="73"/>
      <c r="B722" s="73"/>
      <c r="C722" s="73"/>
      <c r="D722" s="73"/>
      <c r="E722" s="73"/>
      <c r="F722" s="73"/>
      <c r="H722" s="73"/>
    </row>
    <row r="723" spans="1:8" ht="15.75" customHeight="1">
      <c r="A723" s="73"/>
      <c r="B723" s="73"/>
      <c r="C723" s="73"/>
      <c r="D723" s="73"/>
      <c r="E723" s="73"/>
      <c r="F723" s="73"/>
      <c r="H723" s="73"/>
    </row>
    <row r="724" spans="1:8" ht="15.75" customHeight="1">
      <c r="A724" s="73"/>
      <c r="B724" s="73"/>
      <c r="C724" s="73"/>
      <c r="D724" s="73"/>
      <c r="E724" s="73"/>
      <c r="F724" s="73"/>
      <c r="H724" s="73"/>
    </row>
    <row r="725" spans="1:8" ht="15.75" customHeight="1">
      <c r="A725" s="73"/>
      <c r="B725" s="73"/>
      <c r="C725" s="73"/>
      <c r="D725" s="73"/>
      <c r="E725" s="73"/>
      <c r="F725" s="73"/>
      <c r="H725" s="73"/>
    </row>
    <row r="726" spans="1:8" ht="15.75" customHeight="1">
      <c r="A726" s="73"/>
      <c r="B726" s="73"/>
      <c r="C726" s="73"/>
      <c r="D726" s="73"/>
      <c r="E726" s="73"/>
      <c r="F726" s="73"/>
      <c r="H726" s="73"/>
    </row>
    <row r="727" spans="1:8" ht="15.75" customHeight="1">
      <c r="A727" s="73"/>
      <c r="B727" s="73"/>
      <c r="C727" s="73"/>
      <c r="D727" s="73"/>
      <c r="E727" s="73"/>
      <c r="F727" s="73"/>
      <c r="H727" s="73"/>
    </row>
    <row r="728" spans="1:8" ht="15.75" customHeight="1">
      <c r="A728" s="73"/>
      <c r="B728" s="73"/>
      <c r="C728" s="73"/>
      <c r="D728" s="73"/>
      <c r="E728" s="73"/>
      <c r="F728" s="73"/>
      <c r="H728" s="73"/>
    </row>
    <row r="729" spans="1:8" ht="15.75" customHeight="1">
      <c r="A729" s="73"/>
      <c r="B729" s="73"/>
      <c r="C729" s="73"/>
      <c r="D729" s="73"/>
      <c r="E729" s="73"/>
      <c r="F729" s="73"/>
      <c r="H729" s="73"/>
    </row>
    <row r="730" spans="1:8" ht="15.75" customHeight="1">
      <c r="A730" s="73"/>
      <c r="B730" s="73"/>
      <c r="C730" s="73"/>
      <c r="D730" s="73"/>
      <c r="E730" s="73"/>
      <c r="F730" s="73"/>
      <c r="H730" s="73"/>
    </row>
    <row r="731" spans="1:8" ht="15.75" customHeight="1">
      <c r="A731" s="73"/>
      <c r="B731" s="73"/>
      <c r="C731" s="73"/>
      <c r="D731" s="73"/>
      <c r="E731" s="73"/>
      <c r="F731" s="73"/>
      <c r="H731" s="73"/>
    </row>
    <row r="732" spans="1:8" ht="15.75" customHeight="1">
      <c r="A732" s="73"/>
      <c r="B732" s="73"/>
      <c r="C732" s="73"/>
      <c r="D732" s="73"/>
      <c r="E732" s="73"/>
      <c r="F732" s="73"/>
      <c r="H732" s="73"/>
    </row>
    <row r="733" spans="1:8" ht="15.75" customHeight="1">
      <c r="A733" s="73"/>
      <c r="B733" s="73"/>
      <c r="C733" s="73"/>
      <c r="D733" s="73"/>
      <c r="E733" s="73"/>
      <c r="F733" s="73"/>
      <c r="H733" s="73"/>
    </row>
    <row r="734" spans="1:8" ht="15.75" customHeight="1">
      <c r="A734" s="73"/>
      <c r="B734" s="73"/>
      <c r="C734" s="73"/>
      <c r="D734" s="73"/>
      <c r="E734" s="73"/>
      <c r="F734" s="73"/>
      <c r="H734" s="73"/>
    </row>
    <row r="735" spans="1:8" ht="15.75" customHeight="1">
      <c r="A735" s="73"/>
      <c r="B735" s="73"/>
      <c r="C735" s="73"/>
      <c r="D735" s="73"/>
      <c r="E735" s="73"/>
      <c r="F735" s="73"/>
      <c r="H735" s="73"/>
    </row>
    <row r="736" spans="1:8" ht="15.75" customHeight="1">
      <c r="A736" s="73"/>
      <c r="B736" s="73"/>
      <c r="C736" s="73"/>
      <c r="D736" s="73"/>
      <c r="E736" s="73"/>
      <c r="F736" s="73"/>
      <c r="H736" s="73"/>
    </row>
    <row r="737" spans="1:8" ht="15.75" customHeight="1">
      <c r="A737" s="73"/>
      <c r="B737" s="73"/>
      <c r="C737" s="73"/>
      <c r="D737" s="73"/>
      <c r="E737" s="73"/>
      <c r="F737" s="73"/>
      <c r="H737" s="73"/>
    </row>
    <row r="738" spans="1:8" ht="15.75" customHeight="1">
      <c r="A738" s="73"/>
      <c r="B738" s="73"/>
      <c r="C738" s="73"/>
      <c r="D738" s="73"/>
      <c r="E738" s="73"/>
      <c r="F738" s="73"/>
      <c r="H738" s="73"/>
    </row>
    <row r="739" spans="1:8" ht="15.75" customHeight="1">
      <c r="A739" s="73"/>
      <c r="B739" s="73"/>
      <c r="C739" s="73"/>
      <c r="D739" s="73"/>
      <c r="E739" s="73"/>
      <c r="F739" s="73"/>
      <c r="H739" s="73"/>
    </row>
    <row r="740" spans="1:8" ht="15.75" customHeight="1">
      <c r="A740" s="73"/>
      <c r="B740" s="73"/>
      <c r="C740" s="73"/>
      <c r="D740" s="73"/>
      <c r="E740" s="73"/>
      <c r="F740" s="73"/>
      <c r="H740" s="73"/>
    </row>
    <row r="741" spans="1:8" ht="15.75" customHeight="1">
      <c r="A741" s="73"/>
      <c r="B741" s="73"/>
      <c r="C741" s="73"/>
      <c r="D741" s="73"/>
      <c r="E741" s="73"/>
      <c r="F741" s="73"/>
      <c r="H741" s="73"/>
    </row>
    <row r="742" spans="1:8" ht="15.75" customHeight="1">
      <c r="A742" s="73"/>
      <c r="B742" s="73"/>
      <c r="C742" s="73"/>
      <c r="D742" s="73"/>
      <c r="E742" s="73"/>
      <c r="F742" s="73"/>
      <c r="H742" s="73"/>
    </row>
    <row r="743" spans="1:8" ht="15.75" customHeight="1">
      <c r="A743" s="73"/>
      <c r="B743" s="73"/>
      <c r="C743" s="73"/>
      <c r="D743" s="73"/>
      <c r="E743" s="73"/>
      <c r="F743" s="73"/>
      <c r="H743" s="73"/>
    </row>
    <row r="744" spans="1:8" ht="15.75" customHeight="1">
      <c r="A744" s="73"/>
      <c r="B744" s="73"/>
      <c r="C744" s="73"/>
      <c r="D744" s="73"/>
      <c r="E744" s="73"/>
      <c r="F744" s="73"/>
      <c r="H744" s="73"/>
    </row>
    <row r="745" spans="1:8" ht="15.75" customHeight="1">
      <c r="A745" s="73"/>
      <c r="B745" s="73"/>
      <c r="C745" s="73"/>
      <c r="D745" s="73"/>
      <c r="E745" s="73"/>
      <c r="F745" s="73"/>
      <c r="H745" s="73"/>
    </row>
    <row r="746" spans="1:8" ht="15.75" customHeight="1">
      <c r="A746" s="73"/>
      <c r="B746" s="73"/>
      <c r="C746" s="73"/>
      <c r="D746" s="73"/>
      <c r="E746" s="73"/>
      <c r="F746" s="73"/>
      <c r="H746" s="73"/>
    </row>
    <row r="747" spans="1:8" ht="15.75" customHeight="1">
      <c r="A747" s="73"/>
      <c r="B747" s="73"/>
      <c r="C747" s="73"/>
      <c r="D747" s="73"/>
      <c r="E747" s="73"/>
      <c r="F747" s="73"/>
      <c r="H747" s="73"/>
    </row>
    <row r="748" spans="1:8" ht="15.75" customHeight="1">
      <c r="A748" s="73"/>
      <c r="B748" s="73"/>
      <c r="C748" s="73"/>
      <c r="D748" s="73"/>
      <c r="E748" s="73"/>
      <c r="F748" s="73"/>
      <c r="H748" s="73"/>
    </row>
    <row r="749" spans="1:8" ht="15.75" customHeight="1">
      <c r="A749" s="73"/>
      <c r="B749" s="73"/>
      <c r="C749" s="73"/>
      <c r="D749" s="73"/>
      <c r="E749" s="73"/>
      <c r="F749" s="73"/>
      <c r="H749" s="73"/>
    </row>
    <row r="750" spans="1:8" ht="15.75" customHeight="1">
      <c r="A750" s="73"/>
      <c r="B750" s="73"/>
      <c r="C750" s="73"/>
      <c r="D750" s="73"/>
      <c r="E750" s="73"/>
      <c r="F750" s="73"/>
      <c r="H750" s="73"/>
    </row>
    <row r="751" spans="1:8" ht="15.75" customHeight="1">
      <c r="A751" s="73"/>
      <c r="B751" s="73"/>
      <c r="C751" s="73"/>
      <c r="D751" s="73"/>
      <c r="E751" s="73"/>
      <c r="F751" s="73"/>
      <c r="H751" s="73"/>
    </row>
    <row r="752" spans="1:8" ht="15.75" customHeight="1">
      <c r="A752" s="73"/>
      <c r="B752" s="73"/>
      <c r="C752" s="73"/>
      <c r="D752" s="73"/>
      <c r="E752" s="73"/>
      <c r="F752" s="73"/>
      <c r="H752" s="73"/>
    </row>
    <row r="753" spans="1:8" ht="15.75" customHeight="1">
      <c r="A753" s="73"/>
      <c r="B753" s="73"/>
      <c r="C753" s="73"/>
      <c r="D753" s="73"/>
      <c r="E753" s="73"/>
      <c r="F753" s="73"/>
      <c r="H753" s="73"/>
    </row>
    <row r="754" spans="1:8" ht="15.75" customHeight="1">
      <c r="A754" s="73"/>
      <c r="B754" s="73"/>
      <c r="C754" s="73"/>
      <c r="D754" s="73"/>
      <c r="E754" s="73"/>
      <c r="F754" s="73"/>
      <c r="H754" s="73"/>
    </row>
    <row r="755" spans="1:8" ht="15.75" customHeight="1">
      <c r="A755" s="73"/>
      <c r="B755" s="73"/>
      <c r="C755" s="73"/>
      <c r="D755" s="73"/>
      <c r="E755" s="73"/>
      <c r="F755" s="73"/>
      <c r="H755" s="73"/>
    </row>
    <row r="756" spans="1:8" ht="15.75" customHeight="1">
      <c r="A756" s="73"/>
      <c r="B756" s="73"/>
      <c r="C756" s="73"/>
      <c r="D756" s="73"/>
      <c r="E756" s="73"/>
      <c r="F756" s="73"/>
      <c r="H756" s="73"/>
    </row>
    <row r="757" spans="1:8" ht="15.75" customHeight="1">
      <c r="A757" s="73"/>
      <c r="B757" s="73"/>
      <c r="C757" s="73"/>
      <c r="D757" s="73"/>
      <c r="E757" s="73"/>
      <c r="F757" s="73"/>
      <c r="H757" s="73"/>
    </row>
    <row r="758" spans="1:8" ht="15.75" customHeight="1">
      <c r="A758" s="73"/>
      <c r="B758" s="73"/>
      <c r="C758" s="73"/>
      <c r="D758" s="73"/>
      <c r="E758" s="73"/>
      <c r="F758" s="73"/>
      <c r="H758" s="73"/>
    </row>
    <row r="759" spans="1:8" ht="15.75" customHeight="1">
      <c r="A759" s="73"/>
      <c r="B759" s="73"/>
      <c r="C759" s="73"/>
      <c r="D759" s="73"/>
      <c r="E759" s="73"/>
      <c r="F759" s="73"/>
      <c r="H759" s="73"/>
    </row>
    <row r="760" spans="1:8" ht="15.75" customHeight="1">
      <c r="A760" s="73"/>
      <c r="B760" s="73"/>
      <c r="C760" s="73"/>
      <c r="D760" s="73"/>
      <c r="E760" s="73"/>
      <c r="F760" s="73"/>
      <c r="H760" s="73"/>
    </row>
    <row r="761" spans="1:8" ht="15.75" customHeight="1">
      <c r="A761" s="73"/>
      <c r="B761" s="73"/>
      <c r="C761" s="73"/>
      <c r="D761" s="73"/>
      <c r="E761" s="73"/>
      <c r="F761" s="73"/>
      <c r="H761" s="73"/>
    </row>
    <row r="762" spans="1:8" ht="15.75" customHeight="1">
      <c r="A762" s="73"/>
      <c r="B762" s="73"/>
      <c r="C762" s="73"/>
      <c r="D762" s="73"/>
      <c r="E762" s="73"/>
      <c r="F762" s="73"/>
      <c r="H762" s="73"/>
    </row>
    <row r="763" spans="1:8" ht="15.75" customHeight="1">
      <c r="A763" s="73"/>
      <c r="B763" s="73"/>
      <c r="C763" s="73"/>
      <c r="D763" s="73"/>
      <c r="E763" s="73"/>
      <c r="F763" s="73"/>
      <c r="H763" s="73"/>
    </row>
    <row r="764" spans="1:8" ht="15.75" customHeight="1">
      <c r="A764" s="73"/>
      <c r="B764" s="73"/>
      <c r="C764" s="73"/>
      <c r="D764" s="73"/>
      <c r="E764" s="73"/>
      <c r="F764" s="73"/>
      <c r="H764" s="73"/>
    </row>
    <row r="765" spans="1:8" ht="15.75" customHeight="1">
      <c r="A765" s="73"/>
      <c r="B765" s="73"/>
      <c r="C765" s="73"/>
      <c r="D765" s="73"/>
      <c r="E765" s="73"/>
      <c r="F765" s="73"/>
      <c r="H765" s="73"/>
    </row>
    <row r="766" spans="1:8" ht="15.75" customHeight="1">
      <c r="A766" s="73"/>
      <c r="B766" s="73"/>
      <c r="C766" s="73"/>
      <c r="D766" s="73"/>
      <c r="E766" s="73"/>
      <c r="F766" s="73"/>
      <c r="H766" s="73"/>
    </row>
    <row r="767" spans="1:8" ht="15.75" customHeight="1">
      <c r="A767" s="73"/>
      <c r="B767" s="73"/>
      <c r="C767" s="73"/>
      <c r="D767" s="73"/>
      <c r="E767" s="73"/>
      <c r="F767" s="73"/>
      <c r="H767" s="73"/>
    </row>
    <row r="768" spans="1:8" ht="15.75" customHeight="1">
      <c r="A768" s="73"/>
      <c r="B768" s="73"/>
      <c r="C768" s="73"/>
      <c r="D768" s="73"/>
      <c r="E768" s="73"/>
      <c r="F768" s="73"/>
      <c r="H768" s="73"/>
    </row>
    <row r="769" spans="1:8" ht="15.75" customHeight="1">
      <c r="A769" s="73"/>
      <c r="B769" s="73"/>
      <c r="C769" s="73"/>
      <c r="D769" s="73"/>
      <c r="E769" s="73"/>
      <c r="F769" s="73"/>
      <c r="H769" s="73"/>
    </row>
    <row r="770" spans="1:8" ht="15.75" customHeight="1">
      <c r="A770" s="73"/>
      <c r="B770" s="73"/>
      <c r="C770" s="73"/>
      <c r="D770" s="73"/>
      <c r="E770" s="73"/>
      <c r="F770" s="73"/>
      <c r="H770" s="73"/>
    </row>
    <row r="771" spans="1:8" ht="15.75" customHeight="1">
      <c r="A771" s="73"/>
      <c r="B771" s="73"/>
      <c r="C771" s="73"/>
      <c r="D771" s="73"/>
      <c r="E771" s="73"/>
      <c r="F771" s="73"/>
      <c r="H771" s="73"/>
    </row>
    <row r="772" spans="1:8" ht="15.75" customHeight="1">
      <c r="A772" s="73"/>
      <c r="B772" s="73"/>
      <c r="C772" s="73"/>
      <c r="D772" s="73"/>
      <c r="E772" s="73"/>
      <c r="F772" s="73"/>
      <c r="H772" s="73"/>
    </row>
    <row r="773" spans="1:8" ht="15.75" customHeight="1">
      <c r="A773" s="73"/>
      <c r="B773" s="73"/>
      <c r="C773" s="73"/>
      <c r="D773" s="73"/>
      <c r="E773" s="73"/>
      <c r="F773" s="73"/>
      <c r="H773" s="73"/>
    </row>
    <row r="774" spans="1:8" ht="15.75" customHeight="1">
      <c r="A774" s="73"/>
      <c r="B774" s="73"/>
      <c r="C774" s="73"/>
      <c r="D774" s="73"/>
      <c r="E774" s="73"/>
      <c r="F774" s="73"/>
      <c r="H774" s="73"/>
    </row>
    <row r="775" spans="1:8" ht="15.75" customHeight="1">
      <c r="A775" s="73"/>
      <c r="B775" s="73"/>
      <c r="C775" s="73"/>
      <c r="D775" s="73"/>
      <c r="E775" s="73"/>
      <c r="F775" s="73"/>
      <c r="H775" s="73"/>
    </row>
    <row r="776" spans="1:8" ht="15.75" customHeight="1">
      <c r="A776" s="73"/>
      <c r="B776" s="73"/>
      <c r="C776" s="73"/>
      <c r="D776" s="73"/>
      <c r="E776" s="73"/>
      <c r="F776" s="73"/>
      <c r="H776" s="73"/>
    </row>
    <row r="777" spans="1:8" ht="15.75" customHeight="1">
      <c r="A777" s="73"/>
      <c r="B777" s="73"/>
      <c r="C777" s="73"/>
      <c r="D777" s="73"/>
      <c r="E777" s="73"/>
      <c r="F777" s="73"/>
      <c r="H777" s="73"/>
    </row>
    <row r="778" spans="1:8" ht="15.75" customHeight="1">
      <c r="A778" s="73"/>
      <c r="B778" s="73"/>
      <c r="C778" s="73"/>
      <c r="D778" s="73"/>
      <c r="E778" s="73"/>
      <c r="F778" s="73"/>
      <c r="H778" s="73"/>
    </row>
    <row r="779" spans="1:8" ht="15.75" customHeight="1">
      <c r="A779" s="73"/>
      <c r="B779" s="73"/>
      <c r="C779" s="73"/>
      <c r="D779" s="73"/>
      <c r="E779" s="73"/>
      <c r="F779" s="73"/>
      <c r="H779" s="73"/>
    </row>
    <row r="780" spans="1:8" ht="15.75" customHeight="1">
      <c r="A780" s="73"/>
      <c r="B780" s="73"/>
      <c r="C780" s="73"/>
      <c r="D780" s="73"/>
      <c r="E780" s="73"/>
      <c r="F780" s="73"/>
      <c r="H780" s="73"/>
    </row>
    <row r="781" spans="1:8" ht="15.75" customHeight="1">
      <c r="A781" s="73"/>
      <c r="B781" s="73"/>
      <c r="C781" s="73"/>
      <c r="D781" s="73"/>
      <c r="E781" s="73"/>
      <c r="F781" s="73"/>
      <c r="H781" s="73"/>
    </row>
    <row r="782" spans="1:8" ht="15.75" customHeight="1">
      <c r="A782" s="73"/>
      <c r="B782" s="73"/>
      <c r="C782" s="73"/>
      <c r="D782" s="73"/>
      <c r="E782" s="73"/>
      <c r="F782" s="73"/>
      <c r="H782" s="73"/>
    </row>
    <row r="783" spans="1:8" ht="15.75" customHeight="1">
      <c r="A783" s="73"/>
      <c r="B783" s="73"/>
      <c r="C783" s="73"/>
      <c r="D783" s="73"/>
      <c r="E783" s="73"/>
      <c r="F783" s="73"/>
      <c r="H783" s="73"/>
    </row>
    <row r="784" spans="1:8" ht="15.75" customHeight="1">
      <c r="A784" s="73"/>
      <c r="B784" s="73"/>
      <c r="C784" s="73"/>
      <c r="D784" s="73"/>
      <c r="E784" s="73"/>
      <c r="F784" s="73"/>
      <c r="H784" s="73"/>
    </row>
    <row r="785" spans="1:8" ht="15.75" customHeight="1">
      <c r="A785" s="73"/>
      <c r="B785" s="73"/>
      <c r="C785" s="73"/>
      <c r="D785" s="73"/>
      <c r="E785" s="73"/>
      <c r="F785" s="73"/>
      <c r="H785" s="73"/>
    </row>
    <row r="786" spans="1:8" ht="15.75" customHeight="1">
      <c r="A786" s="73"/>
      <c r="B786" s="73"/>
      <c r="C786" s="73"/>
      <c r="D786" s="73"/>
      <c r="E786" s="73"/>
      <c r="F786" s="73"/>
      <c r="H786" s="73"/>
    </row>
    <row r="787" spans="1:8" ht="15.75" customHeight="1">
      <c r="A787" s="73"/>
      <c r="B787" s="73"/>
      <c r="C787" s="73"/>
      <c r="D787" s="73"/>
      <c r="E787" s="73"/>
      <c r="F787" s="73"/>
      <c r="H787" s="73"/>
    </row>
    <row r="788" spans="1:8" ht="15.75" customHeight="1">
      <c r="A788" s="73"/>
      <c r="B788" s="73"/>
      <c r="C788" s="73"/>
      <c r="D788" s="73"/>
      <c r="E788" s="73"/>
      <c r="F788" s="73"/>
      <c r="H788" s="73"/>
    </row>
    <row r="789" spans="1:8" ht="15.75" customHeight="1">
      <c r="A789" s="73"/>
      <c r="B789" s="73"/>
      <c r="C789" s="73"/>
      <c r="D789" s="73"/>
      <c r="E789" s="73"/>
      <c r="F789" s="73"/>
      <c r="H789" s="73"/>
    </row>
    <row r="790" spans="1:8" ht="15.75" customHeight="1">
      <c r="A790" s="73"/>
      <c r="B790" s="73"/>
      <c r="C790" s="73"/>
      <c r="D790" s="73"/>
      <c r="E790" s="73"/>
      <c r="F790" s="73"/>
      <c r="H790" s="73"/>
    </row>
    <row r="791" spans="1:8" ht="15.75" customHeight="1">
      <c r="A791" s="73"/>
      <c r="B791" s="73"/>
      <c r="C791" s="73"/>
      <c r="D791" s="73"/>
      <c r="E791" s="73"/>
      <c r="F791" s="73"/>
      <c r="H791" s="73"/>
    </row>
    <row r="792" spans="1:8" ht="15.75" customHeight="1">
      <c r="A792" s="73"/>
      <c r="B792" s="73"/>
      <c r="C792" s="73"/>
      <c r="D792" s="73"/>
      <c r="E792" s="73"/>
      <c r="F792" s="73"/>
      <c r="H792" s="73"/>
    </row>
    <row r="793" spans="1:8" ht="15.75" customHeight="1">
      <c r="A793" s="73"/>
      <c r="B793" s="73"/>
      <c r="C793" s="73"/>
      <c r="D793" s="73"/>
      <c r="E793" s="73"/>
      <c r="F793" s="73"/>
      <c r="H793" s="73"/>
    </row>
    <row r="794" spans="1:8" ht="15.75" customHeight="1">
      <c r="A794" s="73"/>
      <c r="B794" s="73"/>
      <c r="C794" s="73"/>
      <c r="D794" s="73"/>
      <c r="E794" s="73"/>
      <c r="F794" s="73"/>
      <c r="H794" s="73"/>
    </row>
    <row r="795" spans="1:8" ht="15.75" customHeight="1">
      <c r="A795" s="73"/>
      <c r="B795" s="73"/>
      <c r="C795" s="73"/>
      <c r="D795" s="73"/>
      <c r="E795" s="73"/>
      <c r="F795" s="73"/>
      <c r="H795" s="73"/>
    </row>
    <row r="796" spans="1:8" ht="15.75" customHeight="1">
      <c r="A796" s="73"/>
      <c r="B796" s="73"/>
      <c r="C796" s="73"/>
      <c r="D796" s="73"/>
      <c r="E796" s="73"/>
      <c r="F796" s="73"/>
      <c r="H796" s="73"/>
    </row>
    <row r="797" spans="1:8" ht="15.75" customHeight="1">
      <c r="A797" s="73"/>
      <c r="B797" s="73"/>
      <c r="C797" s="73"/>
      <c r="D797" s="73"/>
      <c r="E797" s="73"/>
      <c r="F797" s="73"/>
      <c r="H797" s="73"/>
    </row>
    <row r="798" spans="1:8" ht="15.75" customHeight="1">
      <c r="A798" s="73"/>
      <c r="B798" s="73"/>
      <c r="C798" s="73"/>
      <c r="D798" s="73"/>
      <c r="E798" s="73"/>
      <c r="F798" s="73"/>
      <c r="H798" s="73"/>
    </row>
    <row r="799" spans="1:8" ht="15.75" customHeight="1">
      <c r="A799" s="73"/>
      <c r="B799" s="73"/>
      <c r="C799" s="73"/>
      <c r="D799" s="73"/>
      <c r="E799" s="73"/>
      <c r="F799" s="73"/>
      <c r="H799" s="73"/>
    </row>
    <row r="800" spans="1:8" ht="15.75" customHeight="1">
      <c r="A800" s="73"/>
      <c r="B800" s="73"/>
      <c r="C800" s="73"/>
      <c r="D800" s="73"/>
      <c r="E800" s="73"/>
      <c r="F800" s="73"/>
      <c r="H800" s="73"/>
    </row>
    <row r="801" spans="1:8" ht="15.75" customHeight="1">
      <c r="A801" s="73"/>
      <c r="B801" s="73"/>
      <c r="C801" s="73"/>
      <c r="D801" s="73"/>
      <c r="E801" s="73"/>
      <c r="F801" s="73"/>
      <c r="H801" s="73"/>
    </row>
    <row r="802" spans="1:8" ht="15.75" customHeight="1">
      <c r="A802" s="73"/>
      <c r="B802" s="73"/>
      <c r="C802" s="73"/>
      <c r="D802" s="73"/>
      <c r="E802" s="73"/>
      <c r="F802" s="73"/>
      <c r="H802" s="73"/>
    </row>
    <row r="803" spans="1:8" ht="15.75" customHeight="1">
      <c r="A803" s="73"/>
      <c r="B803" s="73"/>
      <c r="C803" s="73"/>
      <c r="D803" s="73"/>
      <c r="E803" s="73"/>
      <c r="F803" s="73"/>
      <c r="H803" s="73"/>
    </row>
    <row r="804" spans="1:8" ht="15.75" customHeight="1">
      <c r="A804" s="73"/>
      <c r="B804" s="73"/>
      <c r="C804" s="73"/>
      <c r="D804" s="73"/>
      <c r="E804" s="73"/>
      <c r="F804" s="73"/>
      <c r="H804" s="73"/>
    </row>
    <row r="805" spans="1:8" ht="15.75" customHeight="1">
      <c r="A805" s="73"/>
      <c r="B805" s="73"/>
      <c r="C805" s="73"/>
      <c r="D805" s="73"/>
      <c r="E805" s="73"/>
      <c r="F805" s="73"/>
      <c r="H805" s="73"/>
    </row>
    <row r="806" spans="1:8" ht="15.75" customHeight="1">
      <c r="A806" s="73"/>
      <c r="B806" s="73"/>
      <c r="C806" s="73"/>
      <c r="D806" s="73"/>
      <c r="E806" s="73"/>
      <c r="F806" s="73"/>
      <c r="H806" s="73"/>
    </row>
    <row r="807" spans="1:8" ht="15.75" customHeight="1">
      <c r="A807" s="73"/>
      <c r="B807" s="73"/>
      <c r="C807" s="73"/>
      <c r="D807" s="73"/>
      <c r="E807" s="73"/>
      <c r="F807" s="73"/>
      <c r="H807" s="73"/>
    </row>
    <row r="808" spans="1:8" ht="15.75" customHeight="1">
      <c r="A808" s="73"/>
      <c r="B808" s="73"/>
      <c r="C808" s="73"/>
      <c r="D808" s="73"/>
      <c r="E808" s="73"/>
      <c r="F808" s="73"/>
      <c r="H808" s="73"/>
    </row>
    <row r="809" spans="1:8" ht="15.75" customHeight="1">
      <c r="A809" s="73"/>
      <c r="B809" s="73"/>
      <c r="C809" s="73"/>
      <c r="D809" s="73"/>
      <c r="E809" s="73"/>
      <c r="F809" s="73"/>
      <c r="H809" s="73"/>
    </row>
    <row r="810" spans="1:8" ht="15.75" customHeight="1">
      <c r="A810" s="73"/>
      <c r="B810" s="73"/>
      <c r="C810" s="73"/>
      <c r="D810" s="73"/>
      <c r="E810" s="73"/>
      <c r="F810" s="73"/>
      <c r="H810" s="73"/>
    </row>
    <row r="811" spans="1:8" ht="15.75" customHeight="1">
      <c r="A811" s="73"/>
      <c r="B811" s="73"/>
      <c r="C811" s="73"/>
      <c r="D811" s="73"/>
      <c r="E811" s="73"/>
      <c r="F811" s="73"/>
      <c r="H811" s="73"/>
    </row>
    <row r="812" spans="1:8" ht="15.75" customHeight="1">
      <c r="A812" s="73"/>
      <c r="B812" s="73"/>
      <c r="C812" s="73"/>
      <c r="D812" s="73"/>
      <c r="E812" s="73"/>
      <c r="F812" s="73"/>
      <c r="H812" s="73"/>
    </row>
    <row r="813" spans="1:8" ht="15.75" customHeight="1">
      <c r="A813" s="73"/>
      <c r="B813" s="73"/>
      <c r="C813" s="73"/>
      <c r="D813" s="73"/>
      <c r="E813" s="73"/>
      <c r="F813" s="73"/>
      <c r="H813" s="73"/>
    </row>
    <row r="814" spans="1:8" ht="15.75" customHeight="1">
      <c r="A814" s="73"/>
      <c r="B814" s="73"/>
      <c r="C814" s="73"/>
      <c r="D814" s="73"/>
      <c r="E814" s="73"/>
      <c r="F814" s="73"/>
      <c r="H814" s="73"/>
    </row>
    <row r="815" spans="1:8" ht="15.75" customHeight="1">
      <c r="A815" s="73"/>
      <c r="B815" s="73"/>
      <c r="C815" s="73"/>
      <c r="D815" s="73"/>
      <c r="E815" s="73"/>
      <c r="F815" s="73"/>
      <c r="H815" s="73"/>
    </row>
    <row r="816" spans="1:8" ht="15.75" customHeight="1">
      <c r="A816" s="73"/>
      <c r="B816" s="73"/>
      <c r="C816" s="73"/>
      <c r="D816" s="73"/>
      <c r="E816" s="73"/>
      <c r="F816" s="73"/>
      <c r="H816" s="73"/>
    </row>
    <row r="817" spans="1:8" ht="15.75" customHeight="1">
      <c r="A817" s="73"/>
      <c r="B817" s="73"/>
      <c r="C817" s="73"/>
      <c r="D817" s="73"/>
      <c r="E817" s="73"/>
      <c r="F817" s="73"/>
      <c r="H817" s="73"/>
    </row>
    <row r="818" spans="1:8" ht="15.75" customHeight="1">
      <c r="A818" s="73"/>
      <c r="B818" s="73"/>
      <c r="C818" s="73"/>
      <c r="D818" s="73"/>
      <c r="E818" s="73"/>
      <c r="F818" s="73"/>
      <c r="H818" s="73"/>
    </row>
    <row r="819" spans="1:8" ht="15.75" customHeight="1">
      <c r="A819" s="73"/>
      <c r="B819" s="73"/>
      <c r="C819" s="73"/>
      <c r="D819" s="73"/>
      <c r="E819" s="73"/>
      <c r="F819" s="73"/>
      <c r="H819" s="73"/>
    </row>
    <row r="820" spans="1:8" ht="15.75" customHeight="1">
      <c r="A820" s="73"/>
      <c r="B820" s="73"/>
      <c r="C820" s="73"/>
      <c r="D820" s="73"/>
      <c r="E820" s="73"/>
      <c r="F820" s="73"/>
      <c r="H820" s="73"/>
    </row>
    <row r="821" spans="1:8" ht="15.75" customHeight="1">
      <c r="A821" s="73"/>
      <c r="B821" s="73"/>
      <c r="C821" s="73"/>
      <c r="D821" s="73"/>
      <c r="E821" s="73"/>
      <c r="F821" s="73"/>
      <c r="H821" s="73"/>
    </row>
    <row r="822" spans="1:8" ht="15.75" customHeight="1">
      <c r="A822" s="73"/>
      <c r="B822" s="73"/>
      <c r="C822" s="73"/>
      <c r="D822" s="73"/>
      <c r="E822" s="73"/>
      <c r="F822" s="73"/>
      <c r="H822" s="73"/>
    </row>
    <row r="823" spans="1:8" ht="15.75" customHeight="1">
      <c r="A823" s="73"/>
      <c r="B823" s="73"/>
      <c r="C823" s="73"/>
      <c r="D823" s="73"/>
      <c r="E823" s="73"/>
      <c r="F823" s="73"/>
      <c r="H823" s="73"/>
    </row>
    <row r="824" spans="1:8" ht="15.75" customHeight="1">
      <c r="A824" s="73"/>
      <c r="B824" s="73"/>
      <c r="C824" s="73"/>
      <c r="D824" s="73"/>
      <c r="E824" s="73"/>
      <c r="F824" s="73"/>
      <c r="H824" s="73"/>
    </row>
    <row r="825" spans="1:8" ht="15.75" customHeight="1">
      <c r="A825" s="73"/>
      <c r="B825" s="73"/>
      <c r="C825" s="73"/>
      <c r="D825" s="73"/>
      <c r="E825" s="73"/>
      <c r="F825" s="73"/>
      <c r="H825" s="73"/>
    </row>
    <row r="826" spans="1:8" ht="15.75" customHeight="1">
      <c r="A826" s="73"/>
      <c r="B826" s="73"/>
      <c r="C826" s="73"/>
      <c r="D826" s="73"/>
      <c r="E826" s="73"/>
      <c r="F826" s="73"/>
      <c r="H826" s="73"/>
    </row>
    <row r="827" spans="1:8" ht="15.75" customHeight="1">
      <c r="A827" s="73"/>
      <c r="B827" s="73"/>
      <c r="C827" s="73"/>
      <c r="D827" s="73"/>
      <c r="E827" s="73"/>
      <c r="F827" s="73"/>
      <c r="H827" s="73"/>
    </row>
    <row r="828" spans="1:8" ht="15.75" customHeight="1">
      <c r="A828" s="73"/>
      <c r="B828" s="73"/>
      <c r="C828" s="73"/>
      <c r="D828" s="73"/>
      <c r="E828" s="73"/>
      <c r="F828" s="73"/>
      <c r="H828" s="73"/>
    </row>
    <row r="829" spans="1:8" ht="15.75" customHeight="1">
      <c r="A829" s="73"/>
      <c r="B829" s="73"/>
      <c r="C829" s="73"/>
      <c r="D829" s="73"/>
      <c r="E829" s="73"/>
      <c r="F829" s="73"/>
      <c r="H829" s="73"/>
    </row>
    <row r="830" spans="1:8" ht="15.75" customHeight="1">
      <c r="A830" s="73"/>
      <c r="B830" s="73"/>
      <c r="C830" s="73"/>
      <c r="D830" s="73"/>
      <c r="E830" s="73"/>
      <c r="F830" s="73"/>
      <c r="H830" s="73"/>
    </row>
    <row r="831" spans="1:8" ht="15.75" customHeight="1">
      <c r="A831" s="73"/>
      <c r="B831" s="73"/>
      <c r="C831" s="73"/>
      <c r="D831" s="73"/>
      <c r="E831" s="73"/>
      <c r="F831" s="73"/>
      <c r="H831" s="73"/>
    </row>
    <row r="832" spans="1:8" ht="15.75" customHeight="1">
      <c r="A832" s="73"/>
      <c r="B832" s="73"/>
      <c r="C832" s="73"/>
      <c r="D832" s="73"/>
      <c r="E832" s="73"/>
      <c r="F832" s="73"/>
      <c r="H832" s="73"/>
    </row>
    <row r="833" spans="1:8" ht="15.75" customHeight="1">
      <c r="A833" s="73"/>
      <c r="B833" s="73"/>
      <c r="C833" s="73"/>
      <c r="D833" s="73"/>
      <c r="E833" s="73"/>
      <c r="F833" s="73"/>
      <c r="H833" s="73"/>
    </row>
    <row r="834" spans="1:8" ht="15.75" customHeight="1">
      <c r="A834" s="73"/>
      <c r="B834" s="73"/>
      <c r="C834" s="73"/>
      <c r="D834" s="73"/>
      <c r="E834" s="73"/>
      <c r="F834" s="73"/>
      <c r="H834" s="73"/>
    </row>
    <row r="835" spans="1:8" ht="15.75" customHeight="1">
      <c r="A835" s="73"/>
      <c r="B835" s="73"/>
      <c r="C835" s="73"/>
      <c r="D835" s="73"/>
      <c r="E835" s="73"/>
      <c r="F835" s="73"/>
      <c r="H835" s="73"/>
    </row>
    <row r="836" spans="1:8" ht="15.75" customHeight="1">
      <c r="A836" s="73"/>
      <c r="B836" s="73"/>
      <c r="C836" s="73"/>
      <c r="D836" s="73"/>
      <c r="E836" s="73"/>
      <c r="F836" s="73"/>
      <c r="H836" s="73"/>
    </row>
    <row r="837" spans="1:8" ht="15.75" customHeight="1">
      <c r="A837" s="73"/>
      <c r="B837" s="73"/>
      <c r="C837" s="73"/>
      <c r="D837" s="73"/>
      <c r="E837" s="73"/>
      <c r="F837" s="73"/>
      <c r="H837" s="73"/>
    </row>
    <row r="838" spans="1:8" ht="15.75" customHeight="1">
      <c r="A838" s="73"/>
      <c r="B838" s="73"/>
      <c r="C838" s="73"/>
      <c r="D838" s="73"/>
      <c r="E838" s="73"/>
      <c r="F838" s="73"/>
      <c r="H838" s="73"/>
    </row>
    <row r="839" spans="1:8" ht="15.75" customHeight="1">
      <c r="A839" s="73"/>
      <c r="B839" s="73"/>
      <c r="C839" s="73"/>
      <c r="D839" s="73"/>
      <c r="E839" s="73"/>
      <c r="F839" s="73"/>
      <c r="H839" s="73"/>
    </row>
    <row r="840" spans="1:8" ht="15.75" customHeight="1">
      <c r="A840" s="73"/>
      <c r="B840" s="73"/>
      <c r="C840" s="73"/>
      <c r="D840" s="73"/>
      <c r="E840" s="73"/>
      <c r="F840" s="73"/>
      <c r="H840" s="73"/>
    </row>
    <row r="841" spans="1:8" ht="15.75" customHeight="1">
      <c r="A841" s="73"/>
      <c r="B841" s="73"/>
      <c r="C841" s="73"/>
      <c r="D841" s="73"/>
      <c r="E841" s="73"/>
      <c r="F841" s="73"/>
      <c r="H841" s="73"/>
    </row>
    <row r="842" spans="1:8" ht="15.75" customHeight="1">
      <c r="A842" s="73"/>
      <c r="B842" s="73"/>
      <c r="C842" s="73"/>
      <c r="D842" s="73"/>
      <c r="E842" s="73"/>
      <c r="F842" s="73"/>
      <c r="H842" s="73"/>
    </row>
    <row r="843" spans="1:8" ht="15.75" customHeight="1">
      <c r="A843" s="73"/>
      <c r="B843" s="73"/>
      <c r="C843" s="73"/>
      <c r="D843" s="73"/>
      <c r="E843" s="73"/>
      <c r="F843" s="73"/>
      <c r="H843" s="73"/>
    </row>
    <row r="844" spans="1:8" ht="15.75" customHeight="1">
      <c r="A844" s="73"/>
      <c r="B844" s="73"/>
      <c r="C844" s="73"/>
      <c r="D844" s="73"/>
      <c r="E844" s="73"/>
      <c r="F844" s="73"/>
      <c r="H844" s="73"/>
    </row>
    <row r="845" spans="1:8" ht="15.75" customHeight="1">
      <c r="A845" s="73"/>
      <c r="B845" s="73"/>
      <c r="C845" s="73"/>
      <c r="D845" s="73"/>
      <c r="E845" s="73"/>
      <c r="F845" s="73"/>
      <c r="H845" s="73"/>
    </row>
    <row r="846" spans="1:8" ht="15.75" customHeight="1">
      <c r="A846" s="73"/>
      <c r="B846" s="73"/>
      <c r="C846" s="73"/>
      <c r="D846" s="73"/>
      <c r="E846" s="73"/>
      <c r="F846" s="73"/>
      <c r="H846" s="73"/>
    </row>
    <row r="847" spans="1:8" ht="15.75" customHeight="1">
      <c r="A847" s="73"/>
      <c r="B847" s="73"/>
      <c r="C847" s="73"/>
      <c r="D847" s="73"/>
      <c r="E847" s="73"/>
      <c r="F847" s="73"/>
      <c r="H847" s="73"/>
    </row>
    <row r="848" spans="1:8" ht="15.75" customHeight="1">
      <c r="A848" s="73"/>
      <c r="B848" s="73"/>
      <c r="C848" s="73"/>
      <c r="D848" s="73"/>
      <c r="E848" s="73"/>
      <c r="F848" s="73"/>
      <c r="H848" s="73"/>
    </row>
    <row r="849" spans="1:8" ht="15.75" customHeight="1">
      <c r="A849" s="73"/>
      <c r="B849" s="73"/>
      <c r="C849" s="73"/>
      <c r="D849" s="73"/>
      <c r="E849" s="73"/>
      <c r="F849" s="73"/>
      <c r="H849" s="73"/>
    </row>
    <row r="850" spans="1:8" ht="15.75" customHeight="1">
      <c r="A850" s="73"/>
      <c r="B850" s="73"/>
      <c r="C850" s="73"/>
      <c r="D850" s="73"/>
      <c r="E850" s="73"/>
      <c r="F850" s="73"/>
      <c r="H850" s="73"/>
    </row>
    <row r="851" spans="1:8" ht="15.75" customHeight="1">
      <c r="A851" s="73"/>
      <c r="B851" s="73"/>
      <c r="C851" s="73"/>
      <c r="D851" s="73"/>
      <c r="E851" s="73"/>
      <c r="F851" s="73"/>
      <c r="H851" s="73"/>
    </row>
    <row r="852" spans="1:8" ht="15.75" customHeight="1">
      <c r="A852" s="73"/>
      <c r="B852" s="73"/>
      <c r="C852" s="73"/>
      <c r="D852" s="73"/>
      <c r="E852" s="73"/>
      <c r="F852" s="73"/>
      <c r="H852" s="73"/>
    </row>
    <row r="853" spans="1:8" ht="15.75" customHeight="1">
      <c r="A853" s="73"/>
      <c r="B853" s="73"/>
      <c r="C853" s="73"/>
      <c r="D853" s="73"/>
      <c r="E853" s="73"/>
      <c r="F853" s="73"/>
      <c r="H853" s="73"/>
    </row>
    <row r="854" spans="1:8" ht="15.75" customHeight="1">
      <c r="A854" s="73"/>
      <c r="B854" s="73"/>
      <c r="C854" s="73"/>
      <c r="D854" s="73"/>
      <c r="E854" s="73"/>
      <c r="F854" s="73"/>
      <c r="H854" s="73"/>
    </row>
    <row r="855" spans="1:8" ht="15.75" customHeight="1">
      <c r="A855" s="73"/>
      <c r="B855" s="73"/>
      <c r="C855" s="73"/>
      <c r="D855" s="73"/>
      <c r="E855" s="73"/>
      <c r="F855" s="73"/>
      <c r="H855" s="73"/>
    </row>
    <row r="856" spans="1:8" ht="15.75" customHeight="1">
      <c r="A856" s="73"/>
      <c r="B856" s="73"/>
      <c r="C856" s="73"/>
      <c r="D856" s="73"/>
      <c r="E856" s="73"/>
      <c r="F856" s="73"/>
      <c r="H856" s="73"/>
    </row>
    <row r="857" spans="1:8" ht="15.75" customHeight="1">
      <c r="A857" s="73"/>
      <c r="B857" s="73"/>
      <c r="C857" s="73"/>
      <c r="D857" s="73"/>
      <c r="E857" s="73"/>
      <c r="F857" s="73"/>
      <c r="H857" s="73"/>
    </row>
    <row r="858" spans="1:8" ht="15.75" customHeight="1">
      <c r="A858" s="73"/>
      <c r="B858" s="73"/>
      <c r="C858" s="73"/>
      <c r="D858" s="73"/>
      <c r="E858" s="73"/>
      <c r="F858" s="73"/>
      <c r="H858" s="73"/>
    </row>
    <row r="859" spans="1:8" ht="15.75" customHeight="1">
      <c r="A859" s="73"/>
      <c r="B859" s="73"/>
      <c r="C859" s="73"/>
      <c r="D859" s="73"/>
      <c r="E859" s="73"/>
      <c r="F859" s="73"/>
      <c r="H859" s="73"/>
    </row>
    <row r="860" spans="1:8" ht="15.75" customHeight="1">
      <c r="A860" s="73"/>
      <c r="B860" s="73"/>
      <c r="C860" s="73"/>
      <c r="D860" s="73"/>
      <c r="E860" s="73"/>
      <c r="F860" s="73"/>
      <c r="H860" s="73"/>
    </row>
    <row r="861" spans="1:8" ht="15.75" customHeight="1">
      <c r="A861" s="73"/>
      <c r="B861" s="73"/>
      <c r="C861" s="73"/>
      <c r="D861" s="73"/>
      <c r="E861" s="73"/>
      <c r="F861" s="73"/>
      <c r="H861" s="73"/>
    </row>
    <row r="862" spans="1:8" ht="15.75" customHeight="1">
      <c r="A862" s="73"/>
      <c r="B862" s="73"/>
      <c r="C862" s="73"/>
      <c r="D862" s="73"/>
      <c r="E862" s="73"/>
      <c r="F862" s="73"/>
      <c r="H862" s="73"/>
    </row>
    <row r="863" spans="1:8" ht="15.75" customHeight="1">
      <c r="A863" s="73"/>
      <c r="B863" s="73"/>
      <c r="C863" s="73"/>
      <c r="D863" s="73"/>
      <c r="E863" s="73"/>
      <c r="F863" s="73"/>
      <c r="H863" s="73"/>
    </row>
    <row r="864" spans="1:8" ht="15.75" customHeight="1">
      <c r="A864" s="73"/>
      <c r="B864" s="73"/>
      <c r="C864" s="73"/>
      <c r="D864" s="73"/>
      <c r="E864" s="73"/>
      <c r="F864" s="73"/>
      <c r="H864" s="73"/>
    </row>
    <row r="865" spans="1:8" ht="15.75" customHeight="1">
      <c r="A865" s="73"/>
      <c r="B865" s="73"/>
      <c r="C865" s="73"/>
      <c r="D865" s="73"/>
      <c r="E865" s="73"/>
      <c r="F865" s="73"/>
      <c r="H865" s="73"/>
    </row>
    <row r="866" spans="1:8" ht="15.75" customHeight="1">
      <c r="A866" s="73"/>
      <c r="B866" s="73"/>
      <c r="C866" s="73"/>
      <c r="D866" s="73"/>
      <c r="E866" s="73"/>
      <c r="F866" s="73"/>
      <c r="H866" s="73"/>
    </row>
    <row r="867" spans="1:8" ht="15.75" customHeight="1">
      <c r="A867" s="73"/>
      <c r="B867" s="73"/>
      <c r="C867" s="73"/>
      <c r="D867" s="73"/>
      <c r="E867" s="73"/>
      <c r="F867" s="73"/>
      <c r="H867" s="73"/>
    </row>
    <row r="868" spans="1:8" ht="15.75" customHeight="1">
      <c r="A868" s="73"/>
      <c r="B868" s="73"/>
      <c r="C868" s="73"/>
      <c r="D868" s="73"/>
      <c r="E868" s="73"/>
      <c r="F868" s="73"/>
      <c r="H868" s="73"/>
    </row>
    <row r="869" spans="1:8" ht="15.75" customHeight="1">
      <c r="A869" s="73"/>
      <c r="B869" s="73"/>
      <c r="C869" s="73"/>
      <c r="D869" s="73"/>
      <c r="E869" s="73"/>
      <c r="F869" s="73"/>
      <c r="H869" s="73"/>
    </row>
    <row r="870" spans="1:8" ht="15.75" customHeight="1">
      <c r="A870" s="73"/>
      <c r="B870" s="73"/>
      <c r="C870" s="73"/>
      <c r="D870" s="73"/>
      <c r="E870" s="73"/>
      <c r="F870" s="73"/>
      <c r="H870" s="73"/>
    </row>
    <row r="871" spans="1:8" ht="15.75" customHeight="1">
      <c r="A871" s="73"/>
      <c r="B871" s="73"/>
      <c r="C871" s="73"/>
      <c r="D871" s="73"/>
      <c r="E871" s="73"/>
      <c r="F871" s="73"/>
      <c r="H871" s="73"/>
    </row>
    <row r="872" spans="1:8" ht="15.75" customHeight="1">
      <c r="A872" s="73"/>
      <c r="B872" s="73"/>
      <c r="C872" s="73"/>
      <c r="D872" s="73"/>
      <c r="E872" s="73"/>
      <c r="F872" s="73"/>
      <c r="H872" s="73"/>
    </row>
    <row r="873" spans="1:8" ht="15.75" customHeight="1">
      <c r="A873" s="73"/>
      <c r="B873" s="73"/>
      <c r="C873" s="73"/>
      <c r="D873" s="73"/>
      <c r="E873" s="73"/>
      <c r="F873" s="73"/>
      <c r="H873" s="73"/>
    </row>
    <row r="874" spans="1:8" ht="15.75" customHeight="1">
      <c r="A874" s="73"/>
      <c r="B874" s="73"/>
      <c r="C874" s="73"/>
      <c r="D874" s="73"/>
      <c r="E874" s="73"/>
      <c r="F874" s="73"/>
      <c r="H874" s="73"/>
    </row>
    <row r="875" spans="1:8" ht="15.75" customHeight="1">
      <c r="A875" s="73"/>
      <c r="B875" s="73"/>
      <c r="C875" s="73"/>
      <c r="D875" s="73"/>
      <c r="E875" s="73"/>
      <c r="F875" s="73"/>
      <c r="H875" s="73"/>
    </row>
    <row r="876" spans="1:8" ht="15.75" customHeight="1">
      <c r="A876" s="73"/>
      <c r="B876" s="73"/>
      <c r="C876" s="73"/>
      <c r="D876" s="73"/>
      <c r="E876" s="73"/>
      <c r="F876" s="73"/>
      <c r="H876" s="73"/>
    </row>
    <row r="877" spans="1:8" ht="15.75" customHeight="1">
      <c r="A877" s="73"/>
      <c r="B877" s="73"/>
      <c r="C877" s="73"/>
      <c r="D877" s="73"/>
      <c r="E877" s="73"/>
      <c r="F877" s="73"/>
      <c r="H877" s="73"/>
    </row>
    <row r="878" spans="1:8" ht="15.75" customHeight="1">
      <c r="A878" s="73"/>
      <c r="B878" s="73"/>
      <c r="C878" s="73"/>
      <c r="D878" s="73"/>
      <c r="E878" s="73"/>
      <c r="F878" s="73"/>
      <c r="H878" s="73"/>
    </row>
    <row r="879" spans="1:8" ht="15.75" customHeight="1">
      <c r="A879" s="73"/>
      <c r="B879" s="73"/>
      <c r="C879" s="73"/>
      <c r="D879" s="73"/>
      <c r="E879" s="73"/>
      <c r="F879" s="73"/>
      <c r="H879" s="73"/>
    </row>
    <row r="880" spans="1:8" ht="15.75" customHeight="1">
      <c r="A880" s="73"/>
      <c r="B880" s="73"/>
      <c r="C880" s="73"/>
      <c r="D880" s="73"/>
      <c r="E880" s="73"/>
      <c r="F880" s="73"/>
      <c r="H880" s="73"/>
    </row>
    <row r="881" spans="1:8" ht="15.75" customHeight="1">
      <c r="A881" s="73"/>
      <c r="B881" s="73"/>
      <c r="C881" s="73"/>
      <c r="D881" s="73"/>
      <c r="E881" s="73"/>
      <c r="F881" s="73"/>
      <c r="H881" s="73"/>
    </row>
    <row r="882" spans="1:8" ht="15.75" customHeight="1">
      <c r="A882" s="73"/>
      <c r="B882" s="73"/>
      <c r="C882" s="73"/>
      <c r="D882" s="73"/>
      <c r="E882" s="73"/>
      <c r="F882" s="73"/>
      <c r="H882" s="73"/>
    </row>
    <row r="883" spans="1:8" ht="15.75" customHeight="1">
      <c r="A883" s="73"/>
      <c r="B883" s="73"/>
      <c r="C883" s="73"/>
      <c r="D883" s="73"/>
      <c r="E883" s="73"/>
      <c r="F883" s="73"/>
      <c r="H883" s="73"/>
    </row>
    <row r="884" spans="1:8" ht="15.75" customHeight="1">
      <c r="A884" s="73"/>
      <c r="B884" s="73"/>
      <c r="C884" s="73"/>
      <c r="D884" s="73"/>
      <c r="E884" s="73"/>
      <c r="F884" s="73"/>
      <c r="H884" s="73"/>
    </row>
    <row r="885" spans="1:8" ht="15.75" customHeight="1">
      <c r="A885" s="73"/>
      <c r="B885" s="73"/>
      <c r="C885" s="73"/>
      <c r="D885" s="73"/>
      <c r="E885" s="73"/>
      <c r="F885" s="73"/>
      <c r="H885" s="73"/>
    </row>
    <row r="886" spans="1:8" ht="15.75" customHeight="1">
      <c r="A886" s="73"/>
      <c r="B886" s="73"/>
      <c r="C886" s="73"/>
      <c r="D886" s="73"/>
      <c r="E886" s="73"/>
      <c r="F886" s="73"/>
      <c r="H886" s="73"/>
    </row>
    <row r="887" spans="1:8" ht="15.75" customHeight="1">
      <c r="A887" s="73"/>
      <c r="B887" s="73"/>
      <c r="C887" s="73"/>
      <c r="D887" s="73"/>
      <c r="E887" s="73"/>
      <c r="F887" s="73"/>
      <c r="H887" s="73"/>
    </row>
    <row r="888" spans="1:8" ht="15.75" customHeight="1">
      <c r="A888" s="73"/>
      <c r="B888" s="73"/>
      <c r="C888" s="73"/>
      <c r="D888" s="73"/>
      <c r="E888" s="73"/>
      <c r="F888" s="73"/>
      <c r="H888" s="73"/>
    </row>
    <row r="889" spans="1:8" ht="15.75" customHeight="1">
      <c r="A889" s="73"/>
      <c r="B889" s="73"/>
      <c r="C889" s="73"/>
      <c r="D889" s="73"/>
      <c r="E889" s="73"/>
      <c r="F889" s="73"/>
      <c r="H889" s="73"/>
    </row>
    <row r="890" spans="1:8" ht="15.75" customHeight="1">
      <c r="A890" s="73"/>
      <c r="B890" s="73"/>
      <c r="C890" s="73"/>
      <c r="D890" s="73"/>
      <c r="E890" s="73"/>
      <c r="F890" s="73"/>
      <c r="H890" s="73"/>
    </row>
    <row r="891" spans="1:8" ht="15.75" customHeight="1">
      <c r="A891" s="73"/>
      <c r="B891" s="73"/>
      <c r="C891" s="73"/>
      <c r="D891" s="73"/>
      <c r="E891" s="73"/>
      <c r="F891" s="73"/>
      <c r="H891" s="73"/>
    </row>
    <row r="892" spans="1:8" ht="15.75" customHeight="1">
      <c r="A892" s="73"/>
      <c r="B892" s="73"/>
      <c r="C892" s="73"/>
      <c r="D892" s="73"/>
      <c r="E892" s="73"/>
      <c r="F892" s="73"/>
      <c r="H892" s="73"/>
    </row>
    <row r="893" spans="1:8" ht="15.75" customHeight="1">
      <c r="A893" s="73"/>
      <c r="B893" s="73"/>
      <c r="C893" s="73"/>
      <c r="D893" s="73"/>
      <c r="E893" s="73"/>
      <c r="F893" s="73"/>
      <c r="H893" s="73"/>
    </row>
    <row r="894" spans="1:8" ht="15.75" customHeight="1">
      <c r="A894" s="73"/>
      <c r="B894" s="73"/>
      <c r="C894" s="73"/>
      <c r="D894" s="73"/>
      <c r="E894" s="73"/>
      <c r="F894" s="73"/>
      <c r="H894" s="73"/>
    </row>
    <row r="895" spans="1:8" ht="15.75" customHeight="1">
      <c r="A895" s="73"/>
      <c r="B895" s="73"/>
      <c r="C895" s="73"/>
      <c r="D895" s="73"/>
      <c r="E895" s="73"/>
      <c r="F895" s="73"/>
      <c r="H895" s="73"/>
    </row>
    <row r="896" spans="1:8" ht="15.75" customHeight="1">
      <c r="A896" s="73"/>
      <c r="B896" s="73"/>
      <c r="C896" s="73"/>
      <c r="D896" s="73"/>
      <c r="E896" s="73"/>
      <c r="F896" s="73"/>
      <c r="H896" s="73"/>
    </row>
    <row r="897" spans="1:8" ht="15.75" customHeight="1">
      <c r="A897" s="73"/>
      <c r="B897" s="73"/>
      <c r="C897" s="73"/>
      <c r="D897" s="73"/>
      <c r="E897" s="73"/>
      <c r="F897" s="73"/>
      <c r="H897" s="73"/>
    </row>
    <row r="898" spans="1:8" ht="15.75" customHeight="1">
      <c r="A898" s="73"/>
      <c r="B898" s="73"/>
      <c r="C898" s="73"/>
      <c r="D898" s="73"/>
      <c r="E898" s="73"/>
      <c r="F898" s="73"/>
      <c r="H898" s="73"/>
    </row>
    <row r="899" spans="1:8" ht="15.75" customHeight="1">
      <c r="A899" s="73"/>
      <c r="B899" s="73"/>
      <c r="C899" s="73"/>
      <c r="D899" s="73"/>
      <c r="E899" s="73"/>
      <c r="F899" s="73"/>
      <c r="H899" s="73"/>
    </row>
    <row r="900" spans="1:8" ht="15.75" customHeight="1">
      <c r="A900" s="73"/>
      <c r="B900" s="73"/>
      <c r="C900" s="73"/>
      <c r="D900" s="73"/>
      <c r="E900" s="73"/>
      <c r="F900" s="73"/>
      <c r="H900" s="73"/>
    </row>
    <row r="901" spans="1:8" ht="15.75" customHeight="1">
      <c r="A901" s="73"/>
      <c r="B901" s="73"/>
      <c r="C901" s="73"/>
      <c r="D901" s="73"/>
      <c r="E901" s="73"/>
      <c r="F901" s="73"/>
      <c r="H901" s="73"/>
    </row>
    <row r="902" spans="1:8" ht="15.75" customHeight="1">
      <c r="A902" s="73"/>
      <c r="B902" s="73"/>
      <c r="C902" s="73"/>
      <c r="D902" s="73"/>
      <c r="E902" s="73"/>
      <c r="F902" s="73"/>
      <c r="H902" s="73"/>
    </row>
    <row r="903" spans="1:8" ht="15.75" customHeight="1">
      <c r="A903" s="73"/>
      <c r="B903" s="73"/>
      <c r="C903" s="73"/>
      <c r="D903" s="73"/>
      <c r="E903" s="73"/>
      <c r="F903" s="73"/>
      <c r="H903" s="73"/>
    </row>
    <row r="904" spans="1:8" ht="15.75" customHeight="1">
      <c r="A904" s="73"/>
      <c r="B904" s="73"/>
      <c r="C904" s="73"/>
      <c r="D904" s="73"/>
      <c r="E904" s="73"/>
      <c r="F904" s="73"/>
      <c r="H904" s="73"/>
    </row>
    <row r="905" spans="1:8" ht="15.75" customHeight="1">
      <c r="A905" s="73"/>
      <c r="B905" s="73"/>
      <c r="C905" s="73"/>
      <c r="D905" s="73"/>
      <c r="E905" s="73"/>
      <c r="F905" s="73"/>
      <c r="H905" s="73"/>
    </row>
    <row r="906" spans="1:8" ht="15.75" customHeight="1">
      <c r="A906" s="73"/>
      <c r="B906" s="73"/>
      <c r="C906" s="73"/>
      <c r="D906" s="73"/>
      <c r="E906" s="73"/>
      <c r="F906" s="73"/>
      <c r="H906" s="73"/>
    </row>
    <row r="907" spans="1:8" ht="15.75" customHeight="1">
      <c r="A907" s="73"/>
      <c r="B907" s="73"/>
      <c r="C907" s="73"/>
      <c r="D907" s="73"/>
      <c r="E907" s="73"/>
      <c r="F907" s="73"/>
      <c r="H907" s="73"/>
    </row>
    <row r="908" spans="1:8" ht="15.75" customHeight="1">
      <c r="A908" s="73"/>
      <c r="B908" s="73"/>
      <c r="C908" s="73"/>
      <c r="D908" s="73"/>
      <c r="E908" s="73"/>
      <c r="F908" s="73"/>
      <c r="H908" s="73"/>
    </row>
    <row r="909" spans="1:8" ht="15.75" customHeight="1">
      <c r="A909" s="73"/>
      <c r="B909" s="73"/>
      <c r="C909" s="73"/>
      <c r="D909" s="73"/>
      <c r="E909" s="73"/>
      <c r="F909" s="73"/>
      <c r="H909" s="73"/>
    </row>
    <row r="910" spans="1:8" ht="15.75" customHeight="1">
      <c r="A910" s="73"/>
      <c r="B910" s="73"/>
      <c r="C910" s="73"/>
      <c r="D910" s="73"/>
      <c r="E910" s="73"/>
      <c r="F910" s="73"/>
      <c r="H910" s="73"/>
    </row>
    <row r="911" spans="1:8" ht="15.75" customHeight="1">
      <c r="A911" s="73"/>
      <c r="B911" s="73"/>
      <c r="C911" s="73"/>
      <c r="D911" s="73"/>
      <c r="E911" s="73"/>
      <c r="F911" s="73"/>
      <c r="H911" s="73"/>
    </row>
    <row r="912" spans="1:8" ht="15.75" customHeight="1">
      <c r="A912" s="73"/>
      <c r="B912" s="73"/>
      <c r="C912" s="73"/>
      <c r="D912" s="73"/>
      <c r="E912" s="73"/>
      <c r="F912" s="73"/>
      <c r="H912" s="73"/>
    </row>
    <row r="913" spans="1:8" ht="15.75" customHeight="1">
      <c r="A913" s="73"/>
      <c r="B913" s="73"/>
      <c r="C913" s="73"/>
      <c r="D913" s="73"/>
      <c r="E913" s="73"/>
      <c r="F913" s="73"/>
      <c r="H913" s="73"/>
    </row>
    <row r="914" spans="1:8" ht="15.75" customHeight="1">
      <c r="A914" s="73"/>
      <c r="B914" s="73"/>
      <c r="C914" s="73"/>
      <c r="D914" s="73"/>
      <c r="E914" s="73"/>
      <c r="F914" s="73"/>
      <c r="H914" s="73"/>
    </row>
    <row r="915" spans="1:8" ht="15.75" customHeight="1">
      <c r="A915" s="73"/>
      <c r="B915" s="73"/>
      <c r="C915" s="73"/>
      <c r="D915" s="73"/>
      <c r="E915" s="73"/>
      <c r="F915" s="73"/>
      <c r="H915" s="73"/>
    </row>
    <row r="916" spans="1:8" ht="15.75" customHeight="1">
      <c r="A916" s="73"/>
      <c r="B916" s="73"/>
      <c r="C916" s="73"/>
      <c r="D916" s="73"/>
      <c r="E916" s="73"/>
      <c r="F916" s="73"/>
      <c r="H916" s="73"/>
    </row>
    <row r="917" spans="1:8" ht="15.75" customHeight="1">
      <c r="A917" s="73"/>
      <c r="B917" s="73"/>
      <c r="C917" s="73"/>
      <c r="D917" s="73"/>
      <c r="E917" s="73"/>
      <c r="F917" s="73"/>
      <c r="H917" s="73"/>
    </row>
    <row r="918" spans="1:8" ht="15.75" customHeight="1">
      <c r="A918" s="73"/>
      <c r="B918" s="73"/>
      <c r="C918" s="73"/>
      <c r="D918" s="73"/>
      <c r="E918" s="73"/>
      <c r="F918" s="73"/>
      <c r="H918" s="73"/>
    </row>
    <row r="919" spans="1:8" ht="15.75" customHeight="1">
      <c r="A919" s="73"/>
      <c r="B919" s="73"/>
      <c r="C919" s="73"/>
      <c r="D919" s="73"/>
      <c r="E919" s="73"/>
      <c r="F919" s="73"/>
      <c r="H919" s="73"/>
    </row>
    <row r="920" spans="1:8" ht="15.75" customHeight="1">
      <c r="A920" s="73"/>
      <c r="B920" s="73"/>
      <c r="C920" s="73"/>
      <c r="D920" s="73"/>
      <c r="E920" s="73"/>
      <c r="F920" s="73"/>
      <c r="H920" s="73"/>
    </row>
    <row r="921" spans="1:8" ht="15.75" customHeight="1">
      <c r="A921" s="73"/>
      <c r="B921" s="73"/>
      <c r="C921" s="73"/>
      <c r="D921" s="73"/>
      <c r="E921" s="73"/>
      <c r="F921" s="73"/>
      <c r="H921" s="73"/>
    </row>
    <row r="922" spans="1:8" ht="15.75" customHeight="1">
      <c r="A922" s="73"/>
      <c r="B922" s="73"/>
      <c r="C922" s="73"/>
      <c r="D922" s="73"/>
      <c r="E922" s="73"/>
      <c r="F922" s="73"/>
      <c r="H922" s="73"/>
    </row>
    <row r="923" spans="1:8" ht="15.75" customHeight="1">
      <c r="A923" s="73"/>
      <c r="B923" s="73"/>
      <c r="C923" s="73"/>
      <c r="D923" s="73"/>
      <c r="E923" s="73"/>
      <c r="F923" s="73"/>
      <c r="H923" s="73"/>
    </row>
    <row r="924" spans="1:8" ht="15.75" customHeight="1">
      <c r="A924" s="73"/>
      <c r="B924" s="73"/>
      <c r="C924" s="73"/>
      <c r="D924" s="73"/>
      <c r="E924" s="73"/>
      <c r="F924" s="73"/>
      <c r="H924" s="73"/>
    </row>
    <row r="925" spans="1:8" ht="15.75" customHeight="1">
      <c r="A925" s="73"/>
      <c r="B925" s="73"/>
      <c r="C925" s="73"/>
      <c r="D925" s="73"/>
      <c r="E925" s="73"/>
      <c r="F925" s="73"/>
      <c r="H925" s="73"/>
    </row>
    <row r="926" spans="1:8" ht="15.75" customHeight="1">
      <c r="A926" s="73"/>
      <c r="B926" s="73"/>
      <c r="C926" s="73"/>
      <c r="D926" s="73"/>
      <c r="E926" s="73"/>
      <c r="F926" s="73"/>
      <c r="H926" s="73"/>
    </row>
    <row r="927" spans="1:8" ht="15.75" customHeight="1">
      <c r="A927" s="73"/>
      <c r="B927" s="73"/>
      <c r="C927" s="73"/>
      <c r="D927" s="73"/>
      <c r="E927" s="73"/>
      <c r="F927" s="73"/>
      <c r="H927" s="73"/>
    </row>
    <row r="928" spans="1:8" ht="15.75" customHeight="1">
      <c r="A928" s="73"/>
      <c r="B928" s="73"/>
      <c r="C928" s="73"/>
      <c r="D928" s="73"/>
      <c r="E928" s="73"/>
      <c r="F928" s="73"/>
      <c r="H928" s="73"/>
    </row>
    <row r="929" spans="1:8" ht="15.75" customHeight="1">
      <c r="A929" s="73"/>
      <c r="B929" s="73"/>
      <c r="C929" s="73"/>
      <c r="D929" s="73"/>
      <c r="E929" s="73"/>
      <c r="F929" s="73"/>
      <c r="H929" s="73"/>
    </row>
    <row r="930" spans="1:8" ht="15.75" customHeight="1">
      <c r="A930" s="73"/>
      <c r="B930" s="73"/>
      <c r="C930" s="73"/>
      <c r="D930" s="73"/>
      <c r="E930" s="73"/>
      <c r="F930" s="73"/>
      <c r="H930" s="73"/>
    </row>
    <row r="931" spans="1:8" ht="15.75" customHeight="1">
      <c r="A931" s="73"/>
      <c r="B931" s="73"/>
      <c r="C931" s="73"/>
      <c r="D931" s="73"/>
      <c r="E931" s="73"/>
      <c r="F931" s="73"/>
      <c r="H931" s="73"/>
    </row>
    <row r="932" spans="1:8" ht="15.75" customHeight="1">
      <c r="A932" s="73"/>
      <c r="B932" s="73"/>
      <c r="C932" s="73"/>
      <c r="D932" s="73"/>
      <c r="E932" s="73"/>
      <c r="F932" s="73"/>
      <c r="H932" s="73"/>
    </row>
    <row r="933" spans="1:8" ht="15.75" customHeight="1">
      <c r="A933" s="73"/>
      <c r="B933" s="73"/>
      <c r="C933" s="73"/>
      <c r="D933" s="73"/>
      <c r="E933" s="73"/>
      <c r="F933" s="73"/>
      <c r="H933" s="73"/>
    </row>
    <row r="934" spans="1:8" ht="15.75" customHeight="1">
      <c r="A934" s="73"/>
      <c r="B934" s="73"/>
      <c r="C934" s="73"/>
      <c r="D934" s="73"/>
      <c r="E934" s="73"/>
      <c r="F934" s="73"/>
      <c r="H934" s="73"/>
    </row>
    <row r="935" spans="1:8" ht="15.75" customHeight="1">
      <c r="A935" s="73"/>
      <c r="B935" s="73"/>
      <c r="C935" s="73"/>
      <c r="D935" s="73"/>
      <c r="E935" s="73"/>
      <c r="F935" s="73"/>
      <c r="H935" s="73"/>
    </row>
    <row r="936" spans="1:8" ht="15.75" customHeight="1">
      <c r="A936" s="73"/>
      <c r="B936" s="73"/>
      <c r="C936" s="73"/>
      <c r="D936" s="73"/>
      <c r="E936" s="73"/>
      <c r="F936" s="73"/>
      <c r="H936" s="73"/>
    </row>
    <row r="937" spans="1:8" ht="15.75" customHeight="1">
      <c r="A937" s="73"/>
      <c r="B937" s="73"/>
      <c r="C937" s="73"/>
      <c r="D937" s="73"/>
      <c r="E937" s="73"/>
      <c r="F937" s="73"/>
      <c r="H937" s="73"/>
    </row>
    <row r="938" spans="1:8" ht="15.75" customHeight="1">
      <c r="A938" s="73"/>
      <c r="B938" s="73"/>
      <c r="C938" s="73"/>
      <c r="D938" s="73"/>
      <c r="E938" s="73"/>
      <c r="F938" s="73"/>
      <c r="H938" s="73"/>
    </row>
    <row r="939" spans="1:8" ht="15.75" customHeight="1">
      <c r="A939" s="73"/>
      <c r="B939" s="73"/>
      <c r="C939" s="73"/>
      <c r="D939" s="73"/>
      <c r="E939" s="73"/>
      <c r="F939" s="73"/>
      <c r="H939" s="73"/>
    </row>
    <row r="940" spans="1:8" ht="15.75" customHeight="1">
      <c r="A940" s="73"/>
      <c r="B940" s="73"/>
      <c r="C940" s="73"/>
      <c r="D940" s="73"/>
      <c r="E940" s="73"/>
      <c r="F940" s="73"/>
      <c r="H940" s="73"/>
    </row>
    <row r="941" spans="1:8" ht="15.75" customHeight="1">
      <c r="A941" s="73"/>
      <c r="B941" s="73"/>
      <c r="C941" s="73"/>
      <c r="D941" s="73"/>
      <c r="E941" s="73"/>
      <c r="F941" s="73"/>
      <c r="H941" s="73"/>
    </row>
    <row r="942" spans="1:8" ht="15.75" customHeight="1">
      <c r="A942" s="73"/>
      <c r="B942" s="73"/>
      <c r="C942" s="73"/>
      <c r="D942" s="73"/>
      <c r="E942" s="73"/>
      <c r="F942" s="73"/>
      <c r="H942" s="73"/>
    </row>
    <row r="943" spans="1:8" ht="15.75" customHeight="1">
      <c r="A943" s="73"/>
      <c r="B943" s="73"/>
      <c r="C943" s="73"/>
      <c r="D943" s="73"/>
      <c r="E943" s="73"/>
      <c r="F943" s="73"/>
      <c r="H943" s="73"/>
    </row>
    <row r="944" spans="1:8" ht="15.75" customHeight="1">
      <c r="A944" s="73"/>
      <c r="B944" s="73"/>
      <c r="C944" s="73"/>
      <c r="D944" s="73"/>
      <c r="E944" s="73"/>
      <c r="F944" s="73"/>
      <c r="H944" s="73"/>
    </row>
    <row r="945" spans="1:8" ht="15.75" customHeight="1">
      <c r="A945" s="73"/>
      <c r="B945" s="73"/>
      <c r="C945" s="73"/>
      <c r="D945" s="73"/>
      <c r="E945" s="73"/>
      <c r="F945" s="73"/>
      <c r="H945" s="73"/>
    </row>
    <row r="946" spans="1:8" ht="15.75" customHeight="1">
      <c r="A946" s="73"/>
      <c r="B946" s="73"/>
      <c r="C946" s="73"/>
      <c r="D946" s="73"/>
      <c r="E946" s="73"/>
      <c r="F946" s="73"/>
      <c r="H946" s="73"/>
    </row>
    <row r="947" spans="1:8" ht="15.75" customHeight="1">
      <c r="A947" s="73"/>
      <c r="B947" s="73"/>
      <c r="C947" s="73"/>
      <c r="D947" s="73"/>
      <c r="E947" s="73"/>
      <c r="F947" s="73"/>
      <c r="H947" s="73"/>
    </row>
    <row r="948" spans="1:8" ht="15.75" customHeight="1">
      <c r="A948" s="73"/>
      <c r="B948" s="73"/>
      <c r="C948" s="73"/>
      <c r="D948" s="73"/>
      <c r="E948" s="73"/>
      <c r="F948" s="73"/>
      <c r="H948" s="73"/>
    </row>
    <row r="949" spans="1:8" ht="15.75" customHeight="1">
      <c r="A949" s="73"/>
      <c r="B949" s="73"/>
      <c r="C949" s="73"/>
      <c r="D949" s="73"/>
      <c r="E949" s="73"/>
      <c r="F949" s="73"/>
      <c r="H949" s="73"/>
    </row>
    <row r="950" spans="1:8" ht="15.75" customHeight="1">
      <c r="A950" s="73"/>
      <c r="B950" s="73"/>
      <c r="C950" s="73"/>
      <c r="D950" s="73"/>
      <c r="E950" s="73"/>
      <c r="F950" s="73"/>
      <c r="H950" s="73"/>
    </row>
    <row r="951" spans="1:8" ht="15.75" customHeight="1">
      <c r="A951" s="73"/>
      <c r="B951" s="73"/>
      <c r="C951" s="73"/>
      <c r="D951" s="73"/>
      <c r="E951" s="73"/>
      <c r="F951" s="73"/>
      <c r="H951" s="73"/>
    </row>
    <row r="952" spans="1:8" ht="15.75" customHeight="1">
      <c r="A952" s="73"/>
      <c r="B952" s="73"/>
      <c r="C952" s="73"/>
      <c r="D952" s="73"/>
      <c r="E952" s="73"/>
      <c r="F952" s="73"/>
      <c r="H952" s="73"/>
    </row>
    <row r="953" spans="1:8" ht="15.75" customHeight="1">
      <c r="A953" s="73"/>
      <c r="B953" s="73"/>
      <c r="C953" s="73"/>
      <c r="D953" s="73"/>
      <c r="E953" s="73"/>
      <c r="F953" s="73"/>
      <c r="H953" s="73"/>
    </row>
    <row r="954" spans="1:8" ht="15.75" customHeight="1">
      <c r="A954" s="73"/>
      <c r="B954" s="73"/>
      <c r="C954" s="73"/>
      <c r="D954" s="73"/>
      <c r="E954" s="73"/>
      <c r="F954" s="73"/>
      <c r="H954" s="73"/>
    </row>
    <row r="955" spans="1:8" ht="15.75" customHeight="1">
      <c r="A955" s="73"/>
      <c r="B955" s="73"/>
      <c r="C955" s="73"/>
      <c r="D955" s="73"/>
      <c r="E955" s="73"/>
      <c r="F955" s="73"/>
      <c r="H955" s="73"/>
    </row>
    <row r="956" spans="1:8" ht="15.75" customHeight="1">
      <c r="A956" s="73"/>
      <c r="B956" s="73"/>
      <c r="C956" s="73"/>
      <c r="D956" s="73"/>
      <c r="E956" s="73"/>
      <c r="F956" s="73"/>
      <c r="H956" s="73"/>
    </row>
    <row r="957" spans="1:8" ht="15.75" customHeight="1">
      <c r="A957" s="73"/>
      <c r="B957" s="73"/>
      <c r="C957" s="73"/>
      <c r="D957" s="73"/>
      <c r="E957" s="73"/>
      <c r="F957" s="73"/>
      <c r="H957" s="73"/>
    </row>
    <row r="958" spans="1:8" ht="15.75" customHeight="1">
      <c r="A958" s="73"/>
      <c r="B958" s="73"/>
      <c r="C958" s="73"/>
      <c r="D958" s="73"/>
      <c r="E958" s="73"/>
      <c r="F958" s="73"/>
      <c r="H958" s="73"/>
    </row>
    <row r="959" spans="1:8" ht="15.75" customHeight="1">
      <c r="A959" s="73"/>
      <c r="B959" s="73"/>
      <c r="C959" s="73"/>
      <c r="D959" s="73"/>
      <c r="E959" s="73"/>
      <c r="F959" s="73"/>
      <c r="H959" s="73"/>
    </row>
    <row r="960" spans="1:8" ht="15.75" customHeight="1">
      <c r="A960" s="73"/>
      <c r="B960" s="73"/>
      <c r="C960" s="73"/>
      <c r="D960" s="73"/>
      <c r="E960" s="73"/>
      <c r="F960" s="73"/>
      <c r="H960" s="73"/>
    </row>
    <row r="961" spans="1:8" ht="15.75" customHeight="1">
      <c r="A961" s="73"/>
      <c r="B961" s="73"/>
      <c r="C961" s="73"/>
      <c r="D961" s="73"/>
      <c r="E961" s="73"/>
      <c r="F961" s="73"/>
      <c r="H961" s="73"/>
    </row>
    <row r="962" spans="1:8" ht="15.75" customHeight="1">
      <c r="A962" s="73"/>
      <c r="B962" s="73"/>
      <c r="C962" s="73"/>
      <c r="D962" s="73"/>
      <c r="E962" s="73"/>
      <c r="F962" s="73"/>
      <c r="H962" s="73"/>
    </row>
    <row r="963" spans="1:8" ht="15.75" customHeight="1">
      <c r="A963" s="73"/>
      <c r="B963" s="73"/>
      <c r="C963" s="73"/>
      <c r="D963" s="73"/>
      <c r="E963" s="73"/>
      <c r="F963" s="73"/>
      <c r="H963" s="73"/>
    </row>
    <row r="964" spans="1:8" ht="15.75" customHeight="1">
      <c r="A964" s="73"/>
      <c r="B964" s="73"/>
      <c r="C964" s="73"/>
      <c r="D964" s="73"/>
      <c r="E964" s="73"/>
      <c r="F964" s="73"/>
      <c r="H964" s="73"/>
    </row>
    <row r="965" spans="1:8" ht="15.75" customHeight="1">
      <c r="A965" s="73"/>
      <c r="B965" s="73"/>
      <c r="C965" s="73"/>
      <c r="D965" s="73"/>
      <c r="E965" s="73"/>
      <c r="F965" s="73"/>
      <c r="H965" s="73"/>
    </row>
    <row r="966" spans="1:8" ht="15.75" customHeight="1">
      <c r="A966" s="73"/>
      <c r="B966" s="73"/>
      <c r="C966" s="73"/>
      <c r="D966" s="73"/>
      <c r="E966" s="73"/>
      <c r="F966" s="73"/>
      <c r="H966" s="73"/>
    </row>
    <row r="967" spans="1:8" ht="15.75" customHeight="1">
      <c r="A967" s="73"/>
      <c r="B967" s="73"/>
      <c r="C967" s="73"/>
      <c r="D967" s="73"/>
      <c r="E967" s="73"/>
      <c r="F967" s="73"/>
      <c r="H967" s="73"/>
    </row>
    <row r="968" spans="1:8" ht="15.75" customHeight="1">
      <c r="A968" s="73"/>
      <c r="B968" s="73"/>
      <c r="C968" s="73"/>
      <c r="D968" s="73"/>
      <c r="E968" s="73"/>
      <c r="F968" s="73"/>
      <c r="H968" s="73"/>
    </row>
    <row r="969" spans="1:8" ht="15.75" customHeight="1">
      <c r="A969" s="73"/>
      <c r="B969" s="73"/>
      <c r="C969" s="73"/>
      <c r="D969" s="73"/>
      <c r="E969" s="73"/>
      <c r="F969" s="73"/>
      <c r="H969" s="73"/>
    </row>
    <row r="970" spans="1:8" ht="15.75" customHeight="1">
      <c r="A970" s="73"/>
      <c r="B970" s="73"/>
      <c r="C970" s="73"/>
      <c r="D970" s="73"/>
      <c r="E970" s="73"/>
      <c r="F970" s="73"/>
      <c r="H970" s="73"/>
    </row>
    <row r="971" spans="1:8" ht="15.75" customHeight="1">
      <c r="A971" s="73"/>
      <c r="B971" s="73"/>
      <c r="C971" s="73"/>
      <c r="D971" s="73"/>
      <c r="E971" s="73"/>
      <c r="F971" s="73"/>
      <c r="H971" s="73"/>
    </row>
    <row r="972" spans="1:8" ht="15.75" customHeight="1">
      <c r="A972" s="73"/>
      <c r="B972" s="73"/>
      <c r="C972" s="73"/>
      <c r="D972" s="73"/>
      <c r="E972" s="73"/>
      <c r="F972" s="73"/>
      <c r="H972" s="73"/>
    </row>
    <row r="973" spans="1:8" ht="15.75" customHeight="1">
      <c r="A973" s="73"/>
      <c r="B973" s="73"/>
      <c r="C973" s="73"/>
      <c r="D973" s="73"/>
      <c r="E973" s="73"/>
      <c r="F973" s="73"/>
      <c r="H973" s="73"/>
    </row>
    <row r="974" spans="1:8" ht="15.75" customHeight="1">
      <c r="A974" s="73"/>
      <c r="B974" s="73"/>
      <c r="C974" s="73"/>
      <c r="D974" s="73"/>
      <c r="E974" s="73"/>
      <c r="F974" s="73"/>
      <c r="H974" s="73"/>
    </row>
    <row r="975" spans="1:8" ht="15.75" customHeight="1">
      <c r="A975" s="73"/>
      <c r="B975" s="73"/>
      <c r="C975" s="73"/>
      <c r="D975" s="73"/>
      <c r="E975" s="73"/>
      <c r="F975" s="73"/>
      <c r="H975" s="73"/>
    </row>
    <row r="976" spans="1:8" ht="15.75" customHeight="1">
      <c r="A976" s="73"/>
      <c r="B976" s="73"/>
      <c r="C976" s="73"/>
      <c r="D976" s="73"/>
      <c r="E976" s="73"/>
      <c r="F976" s="73"/>
      <c r="H976" s="73"/>
    </row>
    <row r="977" spans="1:8" ht="15.75" customHeight="1">
      <c r="A977" s="73"/>
      <c r="B977" s="73"/>
      <c r="C977" s="73"/>
      <c r="D977" s="73"/>
      <c r="E977" s="73"/>
      <c r="F977" s="73"/>
      <c r="H977" s="73"/>
    </row>
    <row r="978" spans="1:8" ht="15.75" customHeight="1">
      <c r="A978" s="73"/>
      <c r="B978" s="73"/>
      <c r="C978" s="73"/>
      <c r="D978" s="73"/>
      <c r="E978" s="73"/>
      <c r="F978" s="73"/>
      <c r="H978" s="73"/>
    </row>
    <row r="979" spans="1:8" ht="15.75" customHeight="1">
      <c r="A979" s="73"/>
      <c r="B979" s="73"/>
      <c r="C979" s="73"/>
      <c r="D979" s="73"/>
      <c r="E979" s="73"/>
      <c r="F979" s="73"/>
      <c r="H979" s="73"/>
    </row>
    <row r="980" spans="1:8" ht="15.75" customHeight="1">
      <c r="A980" s="73"/>
      <c r="B980" s="73"/>
      <c r="C980" s="73"/>
      <c r="D980" s="73"/>
      <c r="E980" s="73"/>
      <c r="F980" s="73"/>
      <c r="H980" s="73"/>
    </row>
    <row r="981" spans="1:8" ht="15.75" customHeight="1">
      <c r="A981" s="73"/>
      <c r="B981" s="73"/>
      <c r="C981" s="73"/>
      <c r="D981" s="73"/>
      <c r="E981" s="73"/>
      <c r="F981" s="73"/>
      <c r="H981" s="73"/>
    </row>
    <row r="982" spans="1:8" ht="15.75" customHeight="1">
      <c r="A982" s="73"/>
      <c r="B982" s="73"/>
      <c r="C982" s="73"/>
      <c r="D982" s="73"/>
      <c r="E982" s="73"/>
      <c r="F982" s="73"/>
      <c r="H982" s="73"/>
    </row>
    <row r="983" spans="1:8" ht="15.75" customHeight="1">
      <c r="A983" s="73"/>
      <c r="B983" s="73"/>
      <c r="C983" s="73"/>
      <c r="D983" s="73"/>
      <c r="E983" s="73"/>
      <c r="F983" s="73"/>
      <c r="H983" s="73"/>
    </row>
    <row r="984" spans="1:8" ht="15.75" customHeight="1">
      <c r="A984" s="73"/>
      <c r="B984" s="73"/>
      <c r="C984" s="73"/>
      <c r="D984" s="73"/>
      <c r="E984" s="73"/>
      <c r="F984" s="73"/>
      <c r="H984" s="73"/>
    </row>
    <row r="985" spans="1:8" ht="15.75" customHeight="1">
      <c r="A985" s="73"/>
      <c r="B985" s="73"/>
      <c r="C985" s="73"/>
      <c r="D985" s="73"/>
      <c r="E985" s="73"/>
      <c r="F985" s="73"/>
      <c r="H985" s="73"/>
    </row>
    <row r="986" spans="1:8" ht="15.75" customHeight="1">
      <c r="A986" s="73"/>
      <c r="B986" s="73"/>
      <c r="C986" s="73"/>
      <c r="D986" s="73"/>
      <c r="E986" s="73"/>
      <c r="F986" s="73"/>
      <c r="H986" s="73"/>
    </row>
    <row r="987" spans="1:8" ht="15.75" customHeight="1">
      <c r="A987" s="73"/>
      <c r="B987" s="73"/>
      <c r="C987" s="73"/>
      <c r="D987" s="73"/>
      <c r="E987" s="73"/>
      <c r="F987" s="73"/>
      <c r="H987" s="73"/>
    </row>
  </sheetData>
  <mergeCells count="21">
    <mergeCell ref="A25:H29"/>
    <mergeCell ref="A1:B2"/>
    <mergeCell ref="C1:C2"/>
    <mergeCell ref="D1:D2"/>
    <mergeCell ref="E1:H2"/>
    <mergeCell ref="A3:B3"/>
    <mergeCell ref="C3:C4"/>
    <mergeCell ref="A5:A10"/>
    <mergeCell ref="G22:G24"/>
    <mergeCell ref="H22:H24"/>
    <mergeCell ref="D3:D4"/>
    <mergeCell ref="G5:G8"/>
    <mergeCell ref="A11:A13"/>
    <mergeCell ref="A14:A16"/>
    <mergeCell ref="A17:A21"/>
    <mergeCell ref="A22:A24"/>
    <mergeCell ref="G3:G4"/>
    <mergeCell ref="H3:H4"/>
    <mergeCell ref="G9:G13"/>
    <mergeCell ref="G14:G16"/>
    <mergeCell ref="G17:G21"/>
  </mergeCells>
  <phoneticPr fontId="30" type="noConversion"/>
  <pageMargins left="0.25" right="0.25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132.28515625" customWidth="1"/>
    <col min="3" max="3" width="21" customWidth="1"/>
    <col min="4" max="4" width="21.7109375" customWidth="1"/>
    <col min="5" max="5" width="19.28515625" customWidth="1"/>
    <col min="6" max="6" width="21.140625" customWidth="1"/>
    <col min="7" max="7" width="21.5703125" customWidth="1"/>
    <col min="9" max="9" width="49.7109375" customWidth="1"/>
  </cols>
  <sheetData>
    <row r="1" spans="1:26" ht="16.5" customHeight="1">
      <c r="A1" s="625" t="s">
        <v>93</v>
      </c>
      <c r="B1" s="611"/>
      <c r="C1" s="644" t="s">
        <v>94</v>
      </c>
      <c r="D1" s="647" t="s">
        <v>95</v>
      </c>
      <c r="E1" s="649" t="s">
        <v>96</v>
      </c>
      <c r="F1" s="629"/>
      <c r="G1" s="611"/>
      <c r="H1" s="611"/>
      <c r="I1" s="6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73"/>
    </row>
    <row r="2" spans="1:26" ht="16.5" customHeight="1">
      <c r="A2" s="608"/>
      <c r="B2" s="613"/>
      <c r="C2" s="606"/>
      <c r="D2" s="648"/>
      <c r="E2" s="606"/>
      <c r="F2" s="630"/>
      <c r="G2" s="631"/>
      <c r="H2" s="631"/>
      <c r="I2" s="6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73"/>
    </row>
    <row r="3" spans="1:26" ht="16.5" customHeight="1">
      <c r="A3" s="633"/>
      <c r="B3" s="634"/>
      <c r="C3" s="651"/>
      <c r="D3" s="650"/>
      <c r="E3" s="600"/>
      <c r="F3" s="3" t="s">
        <v>4</v>
      </c>
      <c r="G3" s="4" t="s">
        <v>5</v>
      </c>
      <c r="H3" s="617" t="s">
        <v>6</v>
      </c>
      <c r="I3" s="619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73"/>
    </row>
    <row r="4" spans="1:26" ht="16.5" customHeight="1">
      <c r="A4" s="5" t="s">
        <v>8</v>
      </c>
      <c r="B4" s="41" t="s">
        <v>9</v>
      </c>
      <c r="C4" s="618"/>
      <c r="D4" s="636"/>
      <c r="E4" s="601"/>
      <c r="F4" s="7" t="s">
        <v>10</v>
      </c>
      <c r="G4" s="7" t="s">
        <v>11</v>
      </c>
      <c r="H4" s="618"/>
      <c r="I4" s="60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73"/>
    </row>
    <row r="5" spans="1:26" ht="16.5" customHeight="1">
      <c r="A5" s="637" t="s">
        <v>97</v>
      </c>
      <c r="B5" s="57" t="s">
        <v>98</v>
      </c>
      <c r="C5" s="91">
        <v>84000</v>
      </c>
      <c r="D5" s="102">
        <v>117000</v>
      </c>
      <c r="E5" s="75">
        <v>59000</v>
      </c>
      <c r="F5" s="76"/>
      <c r="G5" s="76"/>
      <c r="H5" s="642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73"/>
    </row>
    <row r="6" spans="1:26" ht="16.5" customHeight="1">
      <c r="A6" s="638"/>
      <c r="B6" s="61" t="s">
        <v>99</v>
      </c>
      <c r="C6" s="93">
        <v>188000</v>
      </c>
      <c r="D6" s="79">
        <v>217000</v>
      </c>
      <c r="E6" s="78">
        <v>109000</v>
      </c>
      <c r="F6" s="76"/>
      <c r="G6" s="76"/>
      <c r="H6" s="603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73"/>
    </row>
    <row r="7" spans="1:26" ht="16.5" customHeight="1">
      <c r="A7" s="638"/>
      <c r="B7" s="61" t="s">
        <v>100</v>
      </c>
      <c r="C7" s="93">
        <v>250000</v>
      </c>
      <c r="D7" s="79">
        <v>397000</v>
      </c>
      <c r="E7" s="78">
        <v>199000</v>
      </c>
      <c r="F7" s="50"/>
      <c r="G7" s="72"/>
      <c r="H7" s="603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73"/>
    </row>
    <row r="8" spans="1:26" ht="16.5" customHeight="1">
      <c r="A8" s="638"/>
      <c r="B8" s="61" t="s">
        <v>101</v>
      </c>
      <c r="C8" s="93">
        <v>259000</v>
      </c>
      <c r="D8" s="79">
        <v>417000</v>
      </c>
      <c r="E8" s="78">
        <v>209000</v>
      </c>
      <c r="F8" s="72"/>
      <c r="G8" s="72"/>
      <c r="H8" s="621"/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73"/>
    </row>
    <row r="9" spans="1:26" ht="16.5" customHeight="1">
      <c r="A9" s="638"/>
      <c r="B9" s="88" t="s">
        <v>102</v>
      </c>
      <c r="C9" s="39">
        <v>416000</v>
      </c>
      <c r="D9" s="79">
        <v>677000</v>
      </c>
      <c r="E9" s="78">
        <v>339000</v>
      </c>
      <c r="F9" s="72"/>
      <c r="G9" s="50"/>
      <c r="H9" s="641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73"/>
    </row>
    <row r="10" spans="1:26" ht="16.5" customHeight="1">
      <c r="A10" s="639"/>
      <c r="B10" s="88" t="s">
        <v>103</v>
      </c>
      <c r="C10" s="103">
        <v>990000</v>
      </c>
      <c r="D10" s="81">
        <v>1299000</v>
      </c>
      <c r="E10" s="82">
        <v>650000</v>
      </c>
      <c r="F10" s="50"/>
      <c r="G10" s="72"/>
      <c r="H10" s="603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73"/>
    </row>
    <row r="11" spans="1:26" ht="16.5" customHeight="1">
      <c r="A11" s="609" t="s">
        <v>104</v>
      </c>
      <c r="B11" s="86" t="s">
        <v>105</v>
      </c>
      <c r="C11" s="39">
        <v>119000</v>
      </c>
      <c r="D11" s="102">
        <f t="shared" ref="D11:D49" si="0">E11*2-1000</f>
        <v>197000</v>
      </c>
      <c r="E11" s="39">
        <v>99000</v>
      </c>
      <c r="F11" s="83"/>
      <c r="G11" s="72"/>
      <c r="H11" s="603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73"/>
    </row>
    <row r="12" spans="1:26" ht="16.5" customHeight="1">
      <c r="A12" s="608"/>
      <c r="B12" s="61" t="s">
        <v>16</v>
      </c>
      <c r="C12" s="39">
        <v>240000</v>
      </c>
      <c r="D12" s="79">
        <f t="shared" si="0"/>
        <v>397000</v>
      </c>
      <c r="E12" s="39">
        <v>199000</v>
      </c>
      <c r="F12" s="84"/>
      <c r="G12" s="72"/>
      <c r="H12" s="603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73"/>
    </row>
    <row r="13" spans="1:26" ht="16.5" customHeight="1">
      <c r="A13" s="608"/>
      <c r="B13" s="61" t="s">
        <v>106</v>
      </c>
      <c r="C13" s="39">
        <v>890000</v>
      </c>
      <c r="D13" s="79">
        <f t="shared" si="0"/>
        <v>1599000</v>
      </c>
      <c r="E13" s="39">
        <v>800000</v>
      </c>
      <c r="F13" s="85"/>
      <c r="G13" s="72"/>
      <c r="H13" s="603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73"/>
    </row>
    <row r="14" spans="1:26" ht="16.5" customHeight="1">
      <c r="A14" s="608"/>
      <c r="B14" s="88" t="s">
        <v>107</v>
      </c>
      <c r="C14" s="39">
        <v>1789000</v>
      </c>
      <c r="D14" s="79">
        <f t="shared" si="0"/>
        <v>3199000</v>
      </c>
      <c r="E14" s="39">
        <v>1600000</v>
      </c>
      <c r="F14" s="85"/>
      <c r="G14" s="72"/>
      <c r="H14" s="603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73"/>
    </row>
    <row r="15" spans="1:26" ht="16.5" customHeight="1">
      <c r="A15" s="608"/>
      <c r="B15" s="51" t="s">
        <v>108</v>
      </c>
      <c r="C15" s="39">
        <v>2400000</v>
      </c>
      <c r="D15" s="81">
        <f t="shared" si="0"/>
        <v>4399000</v>
      </c>
      <c r="E15" s="39">
        <v>2200000</v>
      </c>
      <c r="F15" s="104"/>
      <c r="G15" s="50"/>
      <c r="H15" s="621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73"/>
    </row>
    <row r="16" spans="1:26" ht="16.5" customHeight="1">
      <c r="A16" s="604" t="s">
        <v>109</v>
      </c>
      <c r="B16" s="11" t="s">
        <v>110</v>
      </c>
      <c r="C16" s="87"/>
      <c r="D16" s="102">
        <f t="shared" si="0"/>
        <v>1157000</v>
      </c>
      <c r="E16" s="87">
        <v>579000</v>
      </c>
      <c r="F16" s="84"/>
      <c r="G16" s="72"/>
      <c r="H16" s="641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73"/>
    </row>
    <row r="17" spans="1:26" ht="16.5" customHeight="1">
      <c r="A17" s="605"/>
      <c r="B17" s="88" t="s">
        <v>111</v>
      </c>
      <c r="C17" s="39">
        <v>750000</v>
      </c>
      <c r="D17" s="79">
        <f t="shared" si="0"/>
        <v>1299000</v>
      </c>
      <c r="E17" s="39">
        <v>650000</v>
      </c>
      <c r="F17" s="84"/>
      <c r="G17" s="50"/>
      <c r="H17" s="603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73"/>
    </row>
    <row r="18" spans="1:26" ht="16.5" customHeight="1">
      <c r="A18" s="606"/>
      <c r="B18" s="11" t="s">
        <v>112</v>
      </c>
      <c r="C18" s="39">
        <v>799000</v>
      </c>
      <c r="D18" s="81">
        <f t="shared" si="0"/>
        <v>1357000</v>
      </c>
      <c r="E18" s="39">
        <v>679000</v>
      </c>
      <c r="F18" s="84"/>
      <c r="G18" s="72"/>
      <c r="H18" s="601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73"/>
    </row>
    <row r="19" spans="1:26" ht="16.5" customHeight="1">
      <c r="A19" s="607" t="s">
        <v>27</v>
      </c>
      <c r="B19" s="57" t="s">
        <v>113</v>
      </c>
      <c r="C19" s="91">
        <v>129000</v>
      </c>
      <c r="D19" s="102">
        <f t="shared" si="0"/>
        <v>157000</v>
      </c>
      <c r="E19" s="91">
        <v>79000</v>
      </c>
      <c r="F19" s="92"/>
      <c r="G19" s="60"/>
      <c r="H19" s="642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73"/>
    </row>
    <row r="20" spans="1:26" ht="16.5" customHeight="1">
      <c r="A20" s="608"/>
      <c r="B20" s="61" t="s">
        <v>114</v>
      </c>
      <c r="C20" s="93">
        <v>129000</v>
      </c>
      <c r="D20" s="79">
        <f t="shared" si="0"/>
        <v>197000</v>
      </c>
      <c r="E20" s="93">
        <v>99000</v>
      </c>
      <c r="F20" s="92"/>
      <c r="G20" s="60"/>
      <c r="H20" s="603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73"/>
    </row>
    <row r="21" spans="1:26" ht="16.5" customHeight="1">
      <c r="A21" s="608"/>
      <c r="B21" s="61" t="s">
        <v>115</v>
      </c>
      <c r="C21" s="93">
        <v>359000</v>
      </c>
      <c r="D21" s="79">
        <f t="shared" si="0"/>
        <v>597000</v>
      </c>
      <c r="E21" s="93">
        <v>299000</v>
      </c>
      <c r="F21" s="92"/>
      <c r="G21" s="60"/>
      <c r="H21" s="603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73"/>
    </row>
    <row r="22" spans="1:26" ht="16.5" customHeight="1">
      <c r="A22" s="608"/>
      <c r="B22" s="61" t="s">
        <v>116</v>
      </c>
      <c r="C22" s="93">
        <v>398000</v>
      </c>
      <c r="D22" s="79">
        <f t="shared" si="0"/>
        <v>597000</v>
      </c>
      <c r="E22" s="93">
        <v>299000</v>
      </c>
      <c r="F22" s="92"/>
      <c r="G22" s="60"/>
      <c r="H22" s="603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73"/>
    </row>
    <row r="23" spans="1:26" ht="16.5" customHeight="1">
      <c r="A23" s="608"/>
      <c r="B23" s="56" t="s">
        <v>117</v>
      </c>
      <c r="C23" s="93">
        <v>400000</v>
      </c>
      <c r="D23" s="81">
        <f t="shared" si="0"/>
        <v>677000</v>
      </c>
      <c r="E23" s="93">
        <v>339000</v>
      </c>
      <c r="F23" s="92"/>
      <c r="G23" s="66"/>
      <c r="H23" s="601"/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73"/>
    </row>
    <row r="24" spans="1:26" ht="16.5" customHeight="1">
      <c r="A24" s="604" t="s">
        <v>118</v>
      </c>
      <c r="B24" s="57" t="s">
        <v>64</v>
      </c>
      <c r="C24" s="105">
        <v>109000</v>
      </c>
      <c r="D24" s="102">
        <f t="shared" si="0"/>
        <v>157000</v>
      </c>
      <c r="E24" s="98">
        <v>79000</v>
      </c>
      <c r="F24" s="99"/>
      <c r="G24" s="69"/>
      <c r="H24" s="643"/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73"/>
    </row>
    <row r="25" spans="1:26" ht="16.5" customHeight="1">
      <c r="A25" s="605"/>
      <c r="B25" s="61" t="s">
        <v>66</v>
      </c>
      <c r="C25" s="68">
        <v>149000</v>
      </c>
      <c r="D25" s="79">
        <f t="shared" si="0"/>
        <v>237000</v>
      </c>
      <c r="E25" s="100">
        <v>119000</v>
      </c>
      <c r="F25" s="99"/>
      <c r="G25" s="69"/>
      <c r="H25" s="603"/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73"/>
    </row>
    <row r="26" spans="1:26" ht="16.5" customHeight="1">
      <c r="A26" s="606"/>
      <c r="B26" s="56" t="s">
        <v>65</v>
      </c>
      <c r="C26" s="106">
        <v>159000</v>
      </c>
      <c r="D26" s="81">
        <f t="shared" si="0"/>
        <v>217000</v>
      </c>
      <c r="E26" s="101">
        <v>109000</v>
      </c>
      <c r="F26" s="84"/>
      <c r="G26" s="72"/>
      <c r="H26" s="621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73"/>
    </row>
    <row r="27" spans="1:26" ht="16.5" customHeight="1">
      <c r="A27" s="609" t="s">
        <v>119</v>
      </c>
      <c r="B27" s="107" t="s">
        <v>120</v>
      </c>
      <c r="C27" s="39">
        <v>200000</v>
      </c>
      <c r="D27" s="102">
        <f t="shared" si="0"/>
        <v>299000</v>
      </c>
      <c r="E27" s="108">
        <v>150000</v>
      </c>
      <c r="F27" s="84"/>
      <c r="G27" s="72"/>
      <c r="H27" s="646"/>
      <c r="I27" s="10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73"/>
    </row>
    <row r="28" spans="1:26" ht="16.5" customHeight="1">
      <c r="A28" s="610"/>
      <c r="B28" s="107" t="s">
        <v>121</v>
      </c>
      <c r="C28" s="39">
        <v>550000</v>
      </c>
      <c r="D28" s="81">
        <f t="shared" si="0"/>
        <v>799000</v>
      </c>
      <c r="E28" s="108">
        <v>400000</v>
      </c>
      <c r="F28" s="84"/>
      <c r="G28" s="72"/>
      <c r="H28" s="621"/>
      <c r="I28" s="10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73"/>
    </row>
    <row r="29" spans="1:26" ht="16.5" customHeight="1">
      <c r="A29" s="609" t="s">
        <v>122</v>
      </c>
      <c r="B29" s="110" t="s">
        <v>123</v>
      </c>
      <c r="C29" s="87">
        <v>600000</v>
      </c>
      <c r="D29" s="102">
        <f t="shared" si="0"/>
        <v>1099000</v>
      </c>
      <c r="E29" s="111">
        <v>550000</v>
      </c>
      <c r="F29" s="84"/>
      <c r="G29" s="72"/>
      <c r="H29" s="646"/>
      <c r="I29" s="10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73"/>
    </row>
    <row r="30" spans="1:26" ht="16.5" customHeight="1">
      <c r="A30" s="610"/>
      <c r="B30" s="107" t="s">
        <v>124</v>
      </c>
      <c r="C30" s="39">
        <v>1700000</v>
      </c>
      <c r="D30" s="81">
        <f t="shared" si="0"/>
        <v>2999000</v>
      </c>
      <c r="E30" s="108">
        <v>1500000</v>
      </c>
      <c r="F30" s="84"/>
      <c r="G30" s="72"/>
      <c r="H30" s="621"/>
      <c r="I30" s="10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73"/>
    </row>
    <row r="31" spans="1:26" ht="16.5" customHeight="1">
      <c r="A31" s="609" t="s">
        <v>125</v>
      </c>
      <c r="B31" s="112" t="s">
        <v>126</v>
      </c>
      <c r="C31" s="113"/>
      <c r="D31" s="102">
        <f t="shared" si="0"/>
        <v>1199000</v>
      </c>
      <c r="E31" s="111">
        <v>600000</v>
      </c>
      <c r="F31" s="84"/>
      <c r="G31" s="50"/>
      <c r="H31" s="646"/>
      <c r="I31" s="10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73"/>
    </row>
    <row r="32" spans="1:26" ht="16.5" customHeight="1">
      <c r="A32" s="608"/>
      <c r="B32" s="114" t="s">
        <v>127</v>
      </c>
      <c r="C32" s="115"/>
      <c r="D32" s="79">
        <f t="shared" si="0"/>
        <v>1799000</v>
      </c>
      <c r="E32" s="108">
        <v>900000</v>
      </c>
      <c r="F32" s="84"/>
      <c r="G32" s="72"/>
      <c r="H32" s="603"/>
      <c r="I32" s="10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73"/>
    </row>
    <row r="33" spans="1:26" ht="16.5" customHeight="1">
      <c r="A33" s="608"/>
      <c r="B33" s="114" t="s">
        <v>128</v>
      </c>
      <c r="C33" s="115"/>
      <c r="D33" s="79">
        <f t="shared" si="0"/>
        <v>2199000</v>
      </c>
      <c r="E33" s="108">
        <v>1100000</v>
      </c>
      <c r="F33" s="84"/>
      <c r="G33" s="72"/>
      <c r="H33" s="603"/>
      <c r="I33" s="10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73"/>
    </row>
    <row r="34" spans="1:26" ht="16.5" customHeight="1">
      <c r="A34" s="608"/>
      <c r="B34" s="114" t="s">
        <v>129</v>
      </c>
      <c r="C34" s="115"/>
      <c r="D34" s="79">
        <f t="shared" si="0"/>
        <v>899000</v>
      </c>
      <c r="E34" s="108">
        <v>450000</v>
      </c>
      <c r="F34" s="84"/>
      <c r="G34" s="72"/>
      <c r="H34" s="603"/>
      <c r="I34" s="10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73"/>
    </row>
    <row r="35" spans="1:26" ht="16.5" customHeight="1">
      <c r="A35" s="608"/>
      <c r="B35" s="114" t="s">
        <v>130</v>
      </c>
      <c r="C35" s="115"/>
      <c r="D35" s="79">
        <f t="shared" si="0"/>
        <v>1599000</v>
      </c>
      <c r="E35" s="108">
        <v>800000</v>
      </c>
      <c r="F35" s="84"/>
      <c r="G35" s="72"/>
      <c r="H35" s="603"/>
      <c r="I35" s="10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73"/>
    </row>
    <row r="36" spans="1:26" ht="16.5" customHeight="1">
      <c r="A36" s="608"/>
      <c r="B36" s="114" t="s">
        <v>131</v>
      </c>
      <c r="C36" s="115"/>
      <c r="D36" s="79">
        <f t="shared" si="0"/>
        <v>2199000</v>
      </c>
      <c r="E36" s="108">
        <v>1100000</v>
      </c>
      <c r="F36" s="92"/>
      <c r="G36" s="60"/>
      <c r="H36" s="603"/>
      <c r="I36" s="10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73"/>
    </row>
    <row r="37" spans="1:26" ht="16.5" customHeight="1">
      <c r="A37" s="608"/>
      <c r="B37" s="114" t="s">
        <v>132</v>
      </c>
      <c r="C37" s="115"/>
      <c r="D37" s="79">
        <f t="shared" si="0"/>
        <v>1799000</v>
      </c>
      <c r="E37" s="108">
        <v>900000</v>
      </c>
      <c r="F37" s="92"/>
      <c r="G37" s="60"/>
      <c r="H37" s="603"/>
      <c r="I37" s="10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73"/>
    </row>
    <row r="38" spans="1:26" ht="16.5" customHeight="1">
      <c r="A38" s="608"/>
      <c r="B38" s="90" t="s">
        <v>133</v>
      </c>
      <c r="C38" s="115"/>
      <c r="D38" s="79">
        <f t="shared" si="0"/>
        <v>3399000</v>
      </c>
      <c r="E38" s="108">
        <v>1700000</v>
      </c>
      <c r="F38" s="92"/>
      <c r="G38" s="60"/>
      <c r="H38" s="603"/>
      <c r="I38" s="10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73"/>
    </row>
    <row r="39" spans="1:26" ht="16.5" customHeight="1">
      <c r="A39" s="608"/>
      <c r="B39" s="90" t="s">
        <v>134</v>
      </c>
      <c r="C39" s="115"/>
      <c r="D39" s="79">
        <f t="shared" si="0"/>
        <v>1599000</v>
      </c>
      <c r="E39" s="108">
        <v>800000</v>
      </c>
      <c r="F39" s="92"/>
      <c r="G39" s="60"/>
      <c r="H39" s="603"/>
      <c r="I39" s="10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73"/>
    </row>
    <row r="40" spans="1:26" ht="16.5" customHeight="1">
      <c r="A40" s="608"/>
      <c r="B40" s="90" t="s">
        <v>135</v>
      </c>
      <c r="C40" s="115"/>
      <c r="D40" s="79">
        <f t="shared" si="0"/>
        <v>2999000</v>
      </c>
      <c r="E40" s="108">
        <v>1500000</v>
      </c>
      <c r="F40" s="92"/>
      <c r="G40" s="60"/>
      <c r="H40" s="603"/>
      <c r="I40" s="10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73"/>
    </row>
    <row r="41" spans="1:26" ht="16.5" customHeight="1">
      <c r="A41" s="608"/>
      <c r="B41" s="90" t="s">
        <v>136</v>
      </c>
      <c r="C41" s="115"/>
      <c r="D41" s="79">
        <f t="shared" si="0"/>
        <v>1399000</v>
      </c>
      <c r="E41" s="108">
        <v>700000</v>
      </c>
      <c r="F41" s="92"/>
      <c r="G41" s="60"/>
      <c r="H41" s="603"/>
      <c r="I41" s="10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73"/>
    </row>
    <row r="42" spans="1:26" ht="16.5" customHeight="1">
      <c r="A42" s="608"/>
      <c r="B42" s="90" t="s">
        <v>137</v>
      </c>
      <c r="C42" s="115"/>
      <c r="D42" s="79">
        <f t="shared" si="0"/>
        <v>1799000</v>
      </c>
      <c r="E42" s="108">
        <v>900000</v>
      </c>
      <c r="F42" s="92"/>
      <c r="G42" s="60"/>
      <c r="H42" s="603"/>
      <c r="I42" s="10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73"/>
    </row>
    <row r="43" spans="1:26" ht="16.5" customHeight="1">
      <c r="A43" s="608"/>
      <c r="B43" s="90" t="s">
        <v>138</v>
      </c>
      <c r="C43" s="115"/>
      <c r="D43" s="79">
        <f t="shared" si="0"/>
        <v>499000</v>
      </c>
      <c r="E43" s="108">
        <v>250000</v>
      </c>
      <c r="F43" s="99"/>
      <c r="G43" s="69"/>
      <c r="H43" s="603"/>
      <c r="I43" s="10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73"/>
    </row>
    <row r="44" spans="1:26" ht="16.5" customHeight="1">
      <c r="A44" s="608"/>
      <c r="B44" s="90" t="s">
        <v>139</v>
      </c>
      <c r="C44" s="115"/>
      <c r="D44" s="79">
        <f t="shared" si="0"/>
        <v>399000</v>
      </c>
      <c r="E44" s="108">
        <v>200000</v>
      </c>
      <c r="F44" s="99"/>
      <c r="G44" s="69"/>
      <c r="H44" s="603"/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73"/>
    </row>
    <row r="45" spans="1:26" ht="16.5" customHeight="1">
      <c r="A45" s="608"/>
      <c r="B45" s="90" t="s">
        <v>140</v>
      </c>
      <c r="C45" s="115"/>
      <c r="D45" s="79">
        <f t="shared" si="0"/>
        <v>299000</v>
      </c>
      <c r="E45" s="108">
        <v>150000</v>
      </c>
      <c r="F45" s="84"/>
      <c r="G45" s="72"/>
      <c r="H45" s="603"/>
      <c r="I45" s="1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73"/>
    </row>
    <row r="46" spans="1:26" ht="16.5" customHeight="1">
      <c r="A46" s="608"/>
      <c r="B46" s="90" t="s">
        <v>141</v>
      </c>
      <c r="C46" s="115"/>
      <c r="D46" s="79">
        <f t="shared" si="0"/>
        <v>199000</v>
      </c>
      <c r="E46" s="108">
        <v>100000</v>
      </c>
      <c r="F46" s="92"/>
      <c r="G46" s="60"/>
      <c r="H46" s="603"/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73"/>
    </row>
    <row r="47" spans="1:26" ht="16.5" customHeight="1">
      <c r="A47" s="608"/>
      <c r="B47" s="90" t="s">
        <v>142</v>
      </c>
      <c r="C47" s="115"/>
      <c r="D47" s="79">
        <f t="shared" si="0"/>
        <v>319000</v>
      </c>
      <c r="E47" s="108">
        <v>160000</v>
      </c>
      <c r="F47" s="92"/>
      <c r="G47" s="60"/>
      <c r="H47" s="603"/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73"/>
    </row>
    <row r="48" spans="1:26" ht="16.5" customHeight="1">
      <c r="A48" s="608"/>
      <c r="B48" s="90" t="s">
        <v>143</v>
      </c>
      <c r="C48" s="115"/>
      <c r="D48" s="79">
        <f t="shared" si="0"/>
        <v>359000</v>
      </c>
      <c r="E48" s="108">
        <v>180000</v>
      </c>
      <c r="F48" s="99"/>
      <c r="G48" s="69"/>
      <c r="H48" s="603"/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73"/>
    </row>
    <row r="49" spans="1:26" ht="15.75" customHeight="1">
      <c r="A49" s="610"/>
      <c r="B49" s="94" t="s">
        <v>144</v>
      </c>
      <c r="C49" s="116"/>
      <c r="D49" s="81">
        <f t="shared" si="0"/>
        <v>799000</v>
      </c>
      <c r="E49" s="117">
        <v>400000</v>
      </c>
      <c r="F49" s="99"/>
      <c r="G49" s="69"/>
      <c r="H49" s="601"/>
      <c r="I49" s="11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73"/>
    </row>
    <row r="50" spans="1:26" ht="16.5" customHeight="1">
      <c r="A50" s="652" t="s">
        <v>145</v>
      </c>
      <c r="B50" s="611"/>
      <c r="C50" s="611"/>
      <c r="D50" s="611"/>
      <c r="E50" s="611"/>
      <c r="F50" s="611"/>
      <c r="G50" s="611"/>
      <c r="H50" s="611"/>
      <c r="I50" s="61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73"/>
    </row>
    <row r="51" spans="1:26" ht="16.5" customHeight="1">
      <c r="A51" s="608"/>
      <c r="B51" s="613"/>
      <c r="C51" s="613"/>
      <c r="D51" s="613"/>
      <c r="E51" s="613"/>
      <c r="F51" s="613"/>
      <c r="G51" s="613"/>
      <c r="H51" s="613"/>
      <c r="I51" s="61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73"/>
    </row>
    <row r="52" spans="1:26" ht="16.5" customHeight="1">
      <c r="A52" s="608"/>
      <c r="B52" s="613"/>
      <c r="C52" s="613"/>
      <c r="D52" s="613"/>
      <c r="E52" s="613"/>
      <c r="F52" s="613"/>
      <c r="G52" s="613"/>
      <c r="H52" s="613"/>
      <c r="I52" s="61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73"/>
    </row>
    <row r="53" spans="1:26" ht="16.5" customHeight="1">
      <c r="A53" s="608"/>
      <c r="B53" s="613"/>
      <c r="C53" s="613"/>
      <c r="D53" s="613"/>
      <c r="E53" s="613"/>
      <c r="F53" s="613"/>
      <c r="G53" s="613"/>
      <c r="H53" s="613"/>
      <c r="I53" s="61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73"/>
    </row>
    <row r="54" spans="1:26" ht="16.5" customHeight="1">
      <c r="A54" s="610"/>
      <c r="B54" s="615"/>
      <c r="C54" s="615"/>
      <c r="D54" s="615"/>
      <c r="E54" s="615"/>
      <c r="F54" s="615"/>
      <c r="G54" s="615"/>
      <c r="H54" s="615"/>
      <c r="I54" s="61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73"/>
    </row>
    <row r="55" spans="1:26" ht="16.5" customHeight="1">
      <c r="A55" s="1"/>
      <c r="B55" s="1"/>
      <c r="C55" s="35"/>
      <c r="D55" s="35"/>
      <c r="E55" s="35"/>
      <c r="F55" s="36"/>
      <c r="G55" s="37"/>
      <c r="H55" s="37"/>
      <c r="I55" s="3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73"/>
    </row>
    <row r="56" spans="1:26" ht="16.5" customHeight="1">
      <c r="A56" s="1"/>
      <c r="B56" s="1"/>
      <c r="C56" s="38"/>
      <c r="D56" s="38"/>
      <c r="E56" s="3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73"/>
    </row>
    <row r="57" spans="1:26" ht="16.5" customHeight="1">
      <c r="A57" s="1"/>
      <c r="B57" s="1"/>
      <c r="C57" s="38"/>
      <c r="D57" s="38"/>
      <c r="E57" s="3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73"/>
    </row>
    <row r="58" spans="1:26" ht="16.5" customHeight="1">
      <c r="A58" s="1"/>
      <c r="B58" s="1"/>
      <c r="C58" s="35"/>
      <c r="D58" s="35"/>
      <c r="E58" s="35"/>
      <c r="F58" s="36"/>
      <c r="G58" s="37"/>
      <c r="H58" s="37"/>
      <c r="I58" s="3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73"/>
    </row>
    <row r="59" spans="1:26" ht="16.5" customHeight="1">
      <c r="A59" s="1"/>
      <c r="B59" s="1"/>
      <c r="C59" s="35"/>
      <c r="D59" s="35"/>
      <c r="E59" s="35"/>
      <c r="F59" s="36"/>
      <c r="G59" s="37"/>
      <c r="H59" s="37"/>
      <c r="I59" s="3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73"/>
    </row>
    <row r="60" spans="1:26" ht="16.5" customHeight="1">
      <c r="A60" s="1"/>
      <c r="B60" s="1"/>
      <c r="C60" s="35"/>
      <c r="D60" s="35"/>
      <c r="E60" s="35"/>
      <c r="F60" s="36"/>
      <c r="G60" s="37"/>
      <c r="H60" s="37"/>
      <c r="I60" s="3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73"/>
    </row>
    <row r="61" spans="1:26" ht="16.5" customHeight="1">
      <c r="A61" s="1"/>
      <c r="B61" s="1"/>
      <c r="C61" s="35"/>
      <c r="D61" s="35"/>
      <c r="E61" s="35"/>
      <c r="F61" s="36"/>
      <c r="G61" s="37"/>
      <c r="H61" s="37"/>
      <c r="I61" s="3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73"/>
    </row>
    <row r="62" spans="1:26" ht="16.5" customHeight="1">
      <c r="A62" s="1"/>
      <c r="B62" s="1"/>
      <c r="C62" s="35"/>
      <c r="D62" s="35"/>
      <c r="E62" s="35"/>
      <c r="F62" s="36"/>
      <c r="G62" s="37"/>
      <c r="H62" s="37"/>
      <c r="I62" s="3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73"/>
    </row>
    <row r="63" spans="1:26" ht="16.5" customHeight="1">
      <c r="A63" s="1"/>
      <c r="B63" s="1"/>
      <c r="C63" s="35"/>
      <c r="D63" s="35"/>
      <c r="E63" s="35"/>
      <c r="F63" s="36"/>
      <c r="G63" s="37"/>
      <c r="H63" s="37"/>
      <c r="I63" s="3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73"/>
    </row>
    <row r="64" spans="1:26" ht="16.5" customHeight="1">
      <c r="A64" s="1"/>
      <c r="B64" s="1"/>
      <c r="C64" s="35"/>
      <c r="D64" s="35"/>
      <c r="E64" s="35"/>
      <c r="F64" s="36"/>
      <c r="G64" s="37"/>
      <c r="H64" s="37"/>
      <c r="I64" s="3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73"/>
    </row>
    <row r="65" spans="1:26" ht="16.5" customHeight="1">
      <c r="A65" s="1"/>
      <c r="B65" s="1"/>
      <c r="C65" s="35"/>
      <c r="D65" s="35"/>
      <c r="E65" s="35"/>
      <c r="F65" s="36"/>
      <c r="G65" s="37"/>
      <c r="H65" s="37"/>
      <c r="I65" s="3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73"/>
    </row>
    <row r="66" spans="1:26" ht="16.5" customHeight="1">
      <c r="A66" s="1"/>
      <c r="B66" s="1"/>
      <c r="C66" s="35"/>
      <c r="D66" s="35"/>
      <c r="E66" s="35"/>
      <c r="F66" s="36"/>
      <c r="G66" s="37"/>
      <c r="H66" s="37"/>
      <c r="I66" s="3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73"/>
    </row>
    <row r="67" spans="1:26" ht="16.5" customHeight="1">
      <c r="A67" s="1"/>
      <c r="B67" s="1"/>
      <c r="C67" s="35"/>
      <c r="D67" s="35"/>
      <c r="E67" s="35"/>
      <c r="F67" s="36"/>
      <c r="G67" s="37"/>
      <c r="H67" s="37"/>
      <c r="I67" s="3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73"/>
    </row>
    <row r="68" spans="1:26" ht="16.5" customHeight="1">
      <c r="A68" s="1"/>
      <c r="B68" s="1"/>
      <c r="C68" s="35"/>
      <c r="D68" s="35"/>
      <c r="E68" s="35"/>
      <c r="F68" s="36"/>
      <c r="G68" s="37"/>
      <c r="H68" s="37"/>
      <c r="I68" s="3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73"/>
    </row>
    <row r="69" spans="1:26" ht="16.5" customHeight="1">
      <c r="A69" s="1"/>
      <c r="B69" s="1"/>
      <c r="C69" s="35"/>
      <c r="D69" s="35"/>
      <c r="E69" s="35"/>
      <c r="F69" s="36"/>
      <c r="G69" s="37"/>
      <c r="H69" s="37"/>
      <c r="I69" s="3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73"/>
    </row>
    <row r="70" spans="1:26" ht="16.5" customHeight="1">
      <c r="A70" s="1"/>
      <c r="B70" s="1"/>
      <c r="C70" s="35"/>
      <c r="D70" s="35"/>
      <c r="E70" s="35"/>
      <c r="F70" s="36"/>
      <c r="G70" s="37"/>
      <c r="H70" s="37"/>
      <c r="I70" s="3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73"/>
    </row>
    <row r="71" spans="1:26" ht="16.5" customHeight="1">
      <c r="A71" s="1"/>
      <c r="B71" s="1"/>
      <c r="C71" s="35"/>
      <c r="D71" s="35"/>
      <c r="E71" s="35"/>
      <c r="F71" s="36"/>
      <c r="G71" s="37"/>
      <c r="H71" s="37"/>
      <c r="I71" s="3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73"/>
    </row>
    <row r="72" spans="1:26" ht="16.5" customHeight="1">
      <c r="A72" s="1"/>
      <c r="B72" s="1"/>
      <c r="C72" s="35"/>
      <c r="D72" s="35"/>
      <c r="E72" s="35"/>
      <c r="F72" s="36"/>
      <c r="G72" s="37"/>
      <c r="H72" s="37"/>
      <c r="I72" s="3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73"/>
    </row>
    <row r="73" spans="1:26" ht="16.5" customHeight="1">
      <c r="A73" s="1"/>
      <c r="B73" s="1"/>
      <c r="C73" s="35"/>
      <c r="D73" s="35"/>
      <c r="E73" s="35"/>
      <c r="F73" s="36"/>
      <c r="G73" s="37"/>
      <c r="H73" s="37"/>
      <c r="I73" s="3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73"/>
    </row>
    <row r="74" spans="1:26" ht="16.5" customHeight="1">
      <c r="A74" s="1"/>
      <c r="B74" s="1"/>
      <c r="C74" s="35"/>
      <c r="D74" s="35"/>
      <c r="E74" s="35"/>
      <c r="F74" s="36"/>
      <c r="G74" s="37"/>
      <c r="H74" s="37"/>
      <c r="I74" s="3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73"/>
    </row>
    <row r="75" spans="1:26" ht="16.5" customHeight="1">
      <c r="A75" s="1"/>
      <c r="B75" s="1"/>
      <c r="C75" s="35"/>
      <c r="D75" s="35"/>
      <c r="E75" s="35"/>
      <c r="F75" s="36"/>
      <c r="G75" s="37"/>
      <c r="H75" s="37"/>
      <c r="I75" s="3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73"/>
    </row>
    <row r="76" spans="1:26" ht="16.5" customHeight="1">
      <c r="A76" s="1"/>
      <c r="B76" s="1"/>
      <c r="C76" s="35"/>
      <c r="D76" s="35"/>
      <c r="E76" s="35"/>
      <c r="F76" s="36"/>
      <c r="G76" s="37"/>
      <c r="H76" s="37"/>
      <c r="I76" s="3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73"/>
    </row>
    <row r="77" spans="1:26" ht="16.5" customHeight="1">
      <c r="A77" s="1"/>
      <c r="B77" s="1"/>
      <c r="C77" s="35"/>
      <c r="D77" s="35"/>
      <c r="E77" s="35"/>
      <c r="F77" s="36"/>
      <c r="G77" s="37"/>
      <c r="H77" s="37"/>
      <c r="I77" s="3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73"/>
    </row>
    <row r="78" spans="1:26" ht="16.5" customHeight="1">
      <c r="A78" s="1"/>
      <c r="B78" s="1"/>
      <c r="C78" s="35"/>
      <c r="D78" s="35"/>
      <c r="E78" s="35"/>
      <c r="F78" s="36"/>
      <c r="G78" s="37"/>
      <c r="H78" s="37"/>
      <c r="I78" s="3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73"/>
    </row>
    <row r="79" spans="1:26" ht="16.5" customHeight="1">
      <c r="A79" s="1"/>
      <c r="B79" s="1"/>
      <c r="C79" s="35"/>
      <c r="D79" s="35"/>
      <c r="E79" s="35"/>
      <c r="F79" s="36"/>
      <c r="G79" s="37"/>
      <c r="H79" s="37"/>
      <c r="I79" s="3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73"/>
    </row>
    <row r="80" spans="1:26" ht="16.5" customHeight="1">
      <c r="A80" s="1"/>
      <c r="B80" s="1"/>
      <c r="C80" s="35"/>
      <c r="D80" s="35"/>
      <c r="E80" s="35"/>
      <c r="F80" s="36"/>
      <c r="G80" s="37"/>
      <c r="H80" s="37"/>
      <c r="I80" s="3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73"/>
    </row>
    <row r="81" spans="1:26" ht="16.5" customHeight="1">
      <c r="A81" s="1"/>
      <c r="B81" s="1"/>
      <c r="C81" s="35"/>
      <c r="D81" s="35"/>
      <c r="E81" s="35"/>
      <c r="F81" s="36"/>
      <c r="G81" s="37"/>
      <c r="H81" s="37"/>
      <c r="I81" s="3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73"/>
    </row>
    <row r="82" spans="1:26" ht="16.5" customHeight="1">
      <c r="A82" s="1"/>
      <c r="B82" s="1"/>
      <c r="C82" s="35"/>
      <c r="D82" s="35"/>
      <c r="E82" s="35"/>
      <c r="F82" s="36"/>
      <c r="G82" s="37"/>
      <c r="H82" s="37"/>
      <c r="I82" s="3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73"/>
    </row>
    <row r="83" spans="1:26" ht="16.5" customHeight="1">
      <c r="A83" s="1"/>
      <c r="B83" s="1"/>
      <c r="C83" s="35"/>
      <c r="D83" s="35"/>
      <c r="E83" s="35"/>
      <c r="F83" s="36"/>
      <c r="G83" s="37"/>
      <c r="H83" s="37"/>
      <c r="I83" s="3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73"/>
    </row>
    <row r="84" spans="1:26" ht="16.5" customHeight="1">
      <c r="A84" s="1"/>
      <c r="B84" s="1"/>
      <c r="C84" s="35"/>
      <c r="D84" s="35"/>
      <c r="E84" s="35"/>
      <c r="F84" s="36"/>
      <c r="G84" s="37"/>
      <c r="H84" s="37"/>
      <c r="I84" s="3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73"/>
    </row>
    <row r="85" spans="1:26" ht="16.5" customHeight="1">
      <c r="A85" s="1"/>
      <c r="B85" s="1"/>
      <c r="C85" s="35"/>
      <c r="D85" s="35"/>
      <c r="E85" s="35"/>
      <c r="F85" s="36"/>
      <c r="G85" s="37"/>
      <c r="H85" s="37"/>
      <c r="I85" s="3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73"/>
    </row>
    <row r="86" spans="1:26" ht="16.5" customHeight="1">
      <c r="A86" s="1"/>
      <c r="B86" s="1"/>
      <c r="C86" s="35"/>
      <c r="D86" s="35"/>
      <c r="E86" s="35"/>
      <c r="F86" s="36"/>
      <c r="G86" s="37"/>
      <c r="H86" s="37"/>
      <c r="I86" s="3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73"/>
    </row>
    <row r="87" spans="1:26" ht="16.5" customHeight="1">
      <c r="A87" s="1"/>
      <c r="B87" s="1"/>
      <c r="C87" s="35"/>
      <c r="D87" s="35"/>
      <c r="E87" s="35"/>
      <c r="F87" s="36"/>
      <c r="G87" s="37"/>
      <c r="H87" s="37"/>
      <c r="I87" s="3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73"/>
    </row>
    <row r="88" spans="1:26" ht="16.5" customHeight="1">
      <c r="A88" s="1"/>
      <c r="B88" s="1"/>
      <c r="C88" s="35"/>
      <c r="D88" s="35"/>
      <c r="E88" s="35"/>
      <c r="F88" s="36"/>
      <c r="G88" s="37"/>
      <c r="H88" s="37"/>
      <c r="I88" s="3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73"/>
    </row>
    <row r="89" spans="1:26" ht="16.5" customHeight="1">
      <c r="A89" s="1"/>
      <c r="B89" s="1"/>
      <c r="C89" s="35"/>
      <c r="D89" s="35"/>
      <c r="E89" s="35"/>
      <c r="F89" s="36"/>
      <c r="G89" s="37"/>
      <c r="H89" s="37"/>
      <c r="I89" s="3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73"/>
    </row>
    <row r="90" spans="1:26" ht="16.5" customHeight="1">
      <c r="A90" s="1"/>
      <c r="B90" s="1"/>
      <c r="C90" s="35"/>
      <c r="D90" s="35"/>
      <c r="E90" s="35"/>
      <c r="F90" s="36"/>
      <c r="G90" s="37"/>
      <c r="H90" s="37"/>
      <c r="I90" s="3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73"/>
    </row>
    <row r="91" spans="1:26" ht="16.5" customHeight="1">
      <c r="A91" s="1"/>
      <c r="B91" s="1"/>
      <c r="C91" s="35"/>
      <c r="D91" s="35"/>
      <c r="E91" s="35"/>
      <c r="F91" s="36"/>
      <c r="G91" s="37"/>
      <c r="H91" s="37"/>
      <c r="I91" s="3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73"/>
    </row>
    <row r="92" spans="1:26" ht="16.5" customHeight="1">
      <c r="A92" s="1"/>
      <c r="B92" s="1"/>
      <c r="C92" s="35"/>
      <c r="D92" s="35"/>
      <c r="E92" s="35"/>
      <c r="F92" s="36"/>
      <c r="G92" s="37"/>
      <c r="H92" s="37"/>
      <c r="I92" s="3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73"/>
    </row>
    <row r="93" spans="1:26" ht="16.5" customHeight="1">
      <c r="A93" s="1"/>
      <c r="B93" s="1"/>
      <c r="C93" s="35"/>
      <c r="D93" s="35"/>
      <c r="E93" s="35"/>
      <c r="F93" s="36"/>
      <c r="G93" s="37"/>
      <c r="H93" s="37"/>
      <c r="I93" s="3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73"/>
    </row>
    <row r="94" spans="1:26" ht="16.5" customHeight="1">
      <c r="A94" s="1"/>
      <c r="B94" s="1"/>
      <c r="C94" s="35"/>
      <c r="D94" s="35"/>
      <c r="E94" s="35"/>
      <c r="F94" s="36"/>
      <c r="G94" s="37"/>
      <c r="H94" s="37"/>
      <c r="I94" s="3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73"/>
    </row>
    <row r="95" spans="1:26" ht="16.5" customHeight="1">
      <c r="A95" s="1"/>
      <c r="B95" s="1"/>
      <c r="C95" s="35"/>
      <c r="D95" s="35"/>
      <c r="E95" s="35"/>
      <c r="F95" s="36"/>
      <c r="G95" s="37"/>
      <c r="H95" s="37"/>
      <c r="I95" s="3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73"/>
    </row>
    <row r="96" spans="1:26" ht="16.5" customHeight="1">
      <c r="A96" s="1"/>
      <c r="B96" s="1"/>
      <c r="C96" s="35"/>
      <c r="D96" s="35"/>
      <c r="E96" s="35"/>
      <c r="F96" s="36"/>
      <c r="G96" s="37"/>
      <c r="H96" s="37"/>
      <c r="I96" s="3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73"/>
    </row>
    <row r="97" spans="1:26" ht="16.5" customHeight="1">
      <c r="A97" s="1"/>
      <c r="B97" s="1"/>
      <c r="C97" s="35"/>
      <c r="D97" s="35"/>
      <c r="E97" s="35"/>
      <c r="F97" s="36"/>
      <c r="G97" s="37"/>
      <c r="H97" s="37"/>
      <c r="I97" s="3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73"/>
    </row>
    <row r="98" spans="1:26" ht="16.5" customHeight="1">
      <c r="A98" s="1"/>
      <c r="B98" s="1"/>
      <c r="C98" s="35"/>
      <c r="D98" s="35"/>
      <c r="E98" s="35"/>
      <c r="F98" s="36"/>
      <c r="G98" s="37"/>
      <c r="H98" s="37"/>
      <c r="I98" s="3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73"/>
    </row>
    <row r="99" spans="1:26" ht="16.5" customHeight="1">
      <c r="A99" s="1"/>
      <c r="B99" s="1"/>
      <c r="C99" s="35"/>
      <c r="D99" s="35"/>
      <c r="E99" s="35"/>
      <c r="F99" s="36"/>
      <c r="G99" s="37"/>
      <c r="H99" s="37"/>
      <c r="I99" s="3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73"/>
    </row>
    <row r="100" spans="1:26" ht="16.5" customHeight="1">
      <c r="A100" s="1"/>
      <c r="B100" s="1"/>
      <c r="C100" s="35"/>
      <c r="D100" s="35"/>
      <c r="E100" s="35"/>
      <c r="F100" s="36"/>
      <c r="G100" s="37"/>
      <c r="H100" s="37"/>
      <c r="I100" s="3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73"/>
    </row>
    <row r="101" spans="1:26" ht="16.5" customHeight="1">
      <c r="A101" s="1"/>
      <c r="B101" s="1"/>
      <c r="C101" s="35"/>
      <c r="D101" s="35"/>
      <c r="E101" s="35"/>
      <c r="F101" s="36"/>
      <c r="G101" s="37"/>
      <c r="H101" s="37"/>
      <c r="I101" s="3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73"/>
    </row>
    <row r="102" spans="1:26" ht="16.5" customHeight="1">
      <c r="A102" s="1"/>
      <c r="B102" s="1"/>
      <c r="C102" s="35"/>
      <c r="D102" s="35"/>
      <c r="E102" s="35"/>
      <c r="F102" s="36"/>
      <c r="G102" s="37"/>
      <c r="H102" s="37"/>
      <c r="I102" s="3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73"/>
    </row>
    <row r="103" spans="1:26" ht="16.5" customHeight="1">
      <c r="A103" s="1"/>
      <c r="B103" s="1"/>
      <c r="C103" s="35"/>
      <c r="D103" s="35"/>
      <c r="E103" s="35"/>
      <c r="F103" s="36"/>
      <c r="G103" s="37"/>
      <c r="H103" s="37"/>
      <c r="I103" s="3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73"/>
    </row>
    <row r="104" spans="1:26" ht="16.5" customHeight="1">
      <c r="A104" s="1"/>
      <c r="B104" s="1"/>
      <c r="C104" s="35"/>
      <c r="D104" s="35"/>
      <c r="E104" s="35"/>
      <c r="F104" s="36"/>
      <c r="G104" s="37"/>
      <c r="H104" s="37"/>
      <c r="I104" s="3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73"/>
    </row>
    <row r="105" spans="1:26" ht="16.5" customHeight="1">
      <c r="A105" s="1"/>
      <c r="B105" s="1"/>
      <c r="C105" s="35"/>
      <c r="D105" s="35"/>
      <c r="E105" s="35"/>
      <c r="F105" s="36"/>
      <c r="G105" s="37"/>
      <c r="H105" s="37"/>
      <c r="I105" s="3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73"/>
    </row>
    <row r="106" spans="1:26" ht="16.5" customHeight="1">
      <c r="A106" s="1"/>
      <c r="B106" s="1"/>
      <c r="C106" s="35"/>
      <c r="D106" s="35"/>
      <c r="E106" s="35"/>
      <c r="F106" s="36"/>
      <c r="G106" s="37"/>
      <c r="H106" s="37"/>
      <c r="I106" s="3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73"/>
    </row>
    <row r="107" spans="1:26" ht="16.5" customHeight="1">
      <c r="A107" s="1"/>
      <c r="B107" s="1"/>
      <c r="C107" s="35"/>
      <c r="D107" s="35"/>
      <c r="E107" s="35"/>
      <c r="F107" s="36"/>
      <c r="G107" s="37"/>
      <c r="H107" s="37"/>
      <c r="I107" s="3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73"/>
    </row>
    <row r="108" spans="1:26" ht="16.5" customHeight="1">
      <c r="A108" s="1"/>
      <c r="B108" s="1"/>
      <c r="C108" s="35"/>
      <c r="D108" s="35"/>
      <c r="E108" s="35"/>
      <c r="F108" s="36"/>
      <c r="G108" s="37"/>
      <c r="H108" s="37"/>
      <c r="I108" s="3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73"/>
    </row>
    <row r="109" spans="1:26" ht="16.5" customHeight="1">
      <c r="A109" s="1"/>
      <c r="B109" s="1"/>
      <c r="C109" s="35"/>
      <c r="D109" s="35"/>
      <c r="E109" s="35"/>
      <c r="F109" s="36"/>
      <c r="G109" s="37"/>
      <c r="H109" s="37"/>
      <c r="I109" s="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73"/>
    </row>
    <row r="110" spans="1:26" ht="16.5" customHeight="1">
      <c r="A110" s="1"/>
      <c r="B110" s="1"/>
      <c r="C110" s="35"/>
      <c r="D110" s="35"/>
      <c r="E110" s="35"/>
      <c r="F110" s="36"/>
      <c r="G110" s="37"/>
      <c r="H110" s="37"/>
      <c r="I110" s="3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73"/>
    </row>
    <row r="111" spans="1:26" ht="16.5" customHeight="1">
      <c r="A111" s="1"/>
      <c r="B111" s="1"/>
      <c r="C111" s="35"/>
      <c r="D111" s="35"/>
      <c r="E111" s="35"/>
      <c r="F111" s="36"/>
      <c r="G111" s="37"/>
      <c r="H111" s="37"/>
      <c r="I111" s="3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73"/>
    </row>
    <row r="112" spans="1:26" ht="16.5" customHeight="1">
      <c r="A112" s="1"/>
      <c r="B112" s="1"/>
      <c r="C112" s="35"/>
      <c r="D112" s="35"/>
      <c r="E112" s="35"/>
      <c r="F112" s="36"/>
      <c r="G112" s="37"/>
      <c r="H112" s="37"/>
      <c r="I112" s="3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73"/>
    </row>
    <row r="113" spans="1:26" ht="16.5" customHeight="1">
      <c r="A113" s="1"/>
      <c r="B113" s="1"/>
      <c r="C113" s="35"/>
      <c r="D113" s="35"/>
      <c r="E113" s="35"/>
      <c r="F113" s="36"/>
      <c r="G113" s="37"/>
      <c r="H113" s="37"/>
      <c r="I113" s="3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73"/>
    </row>
    <row r="114" spans="1:26" ht="16.5" customHeight="1">
      <c r="A114" s="1"/>
      <c r="B114" s="1"/>
      <c r="C114" s="35"/>
      <c r="D114" s="35"/>
      <c r="E114" s="35"/>
      <c r="F114" s="36"/>
      <c r="G114" s="37"/>
      <c r="H114" s="37"/>
      <c r="I114" s="3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73"/>
    </row>
    <row r="115" spans="1:26" ht="16.5" customHeight="1">
      <c r="A115" s="1"/>
      <c r="B115" s="1"/>
      <c r="C115" s="35"/>
      <c r="D115" s="35"/>
      <c r="E115" s="35"/>
      <c r="F115" s="36"/>
      <c r="G115" s="37"/>
      <c r="H115" s="37"/>
      <c r="I115" s="3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73"/>
    </row>
    <row r="116" spans="1:26" ht="16.5" customHeight="1">
      <c r="A116" s="1"/>
      <c r="B116" s="1"/>
      <c r="C116" s="35"/>
      <c r="D116" s="35"/>
      <c r="E116" s="35"/>
      <c r="F116" s="36"/>
      <c r="G116" s="37"/>
      <c r="H116" s="37"/>
      <c r="I116" s="3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73"/>
    </row>
    <row r="117" spans="1:26" ht="16.5" customHeight="1">
      <c r="A117" s="1"/>
      <c r="B117" s="1"/>
      <c r="C117" s="35"/>
      <c r="D117" s="35"/>
      <c r="E117" s="35"/>
      <c r="F117" s="36"/>
      <c r="G117" s="37"/>
      <c r="H117" s="37"/>
      <c r="I117" s="3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73"/>
    </row>
    <row r="118" spans="1:26" ht="16.5" customHeight="1">
      <c r="A118" s="1"/>
      <c r="B118" s="1"/>
      <c r="C118" s="35"/>
      <c r="D118" s="35"/>
      <c r="E118" s="35"/>
      <c r="F118" s="36"/>
      <c r="G118" s="37"/>
      <c r="H118" s="37"/>
      <c r="I118" s="3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73"/>
    </row>
    <row r="119" spans="1:26" ht="16.5" customHeight="1">
      <c r="A119" s="1"/>
      <c r="B119" s="1"/>
      <c r="C119" s="35"/>
      <c r="D119" s="35"/>
      <c r="E119" s="35"/>
      <c r="F119" s="36"/>
      <c r="G119" s="37"/>
      <c r="H119" s="37"/>
      <c r="I119" s="3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73"/>
    </row>
    <row r="120" spans="1:26" ht="16.5" customHeight="1">
      <c r="A120" s="1"/>
      <c r="B120" s="1"/>
      <c r="C120" s="35"/>
      <c r="D120" s="35"/>
      <c r="E120" s="35"/>
      <c r="F120" s="36"/>
      <c r="G120" s="37"/>
      <c r="H120" s="37"/>
      <c r="I120" s="3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73"/>
    </row>
    <row r="121" spans="1:26" ht="16.5" customHeight="1">
      <c r="A121" s="1"/>
      <c r="B121" s="1"/>
      <c r="C121" s="35"/>
      <c r="D121" s="35"/>
      <c r="E121" s="35"/>
      <c r="F121" s="36"/>
      <c r="G121" s="37"/>
      <c r="H121" s="37"/>
      <c r="I121" s="3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73"/>
    </row>
    <row r="122" spans="1:26" ht="15.75" customHeight="1">
      <c r="A122" s="1"/>
      <c r="B122" s="1"/>
      <c r="C122" s="35"/>
      <c r="D122" s="35"/>
      <c r="E122" s="35"/>
      <c r="F122" s="36"/>
      <c r="G122" s="37"/>
      <c r="H122" s="37"/>
      <c r="I122" s="3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73"/>
    </row>
    <row r="123" spans="1:26" ht="15.75" customHeight="1">
      <c r="A123" s="1"/>
      <c r="B123" s="1"/>
      <c r="C123" s="35"/>
      <c r="D123" s="35"/>
      <c r="E123" s="35"/>
      <c r="F123" s="36"/>
      <c r="G123" s="37"/>
      <c r="H123" s="37"/>
      <c r="I123" s="3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73"/>
    </row>
    <row r="124" spans="1:26" ht="15.75" customHeight="1">
      <c r="A124" s="1"/>
      <c r="B124" s="1"/>
      <c r="C124" s="35"/>
      <c r="D124" s="35"/>
      <c r="E124" s="35"/>
      <c r="F124" s="36"/>
      <c r="G124" s="37"/>
      <c r="H124" s="37"/>
      <c r="I124" s="3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73"/>
    </row>
    <row r="125" spans="1:26" ht="15.75" customHeight="1">
      <c r="A125" s="1"/>
      <c r="B125" s="1"/>
      <c r="C125" s="35"/>
      <c r="D125" s="35"/>
      <c r="E125" s="35"/>
      <c r="F125" s="36"/>
      <c r="G125" s="37"/>
      <c r="H125" s="37"/>
      <c r="I125" s="3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73"/>
    </row>
    <row r="126" spans="1:26" ht="15.75" customHeight="1">
      <c r="A126" s="1"/>
      <c r="B126" s="1"/>
      <c r="C126" s="35"/>
      <c r="D126" s="35"/>
      <c r="E126" s="35"/>
      <c r="F126" s="36"/>
      <c r="G126" s="37"/>
      <c r="H126" s="37"/>
      <c r="I126" s="3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73"/>
    </row>
    <row r="127" spans="1:26" ht="15.75" customHeight="1">
      <c r="A127" s="1"/>
      <c r="B127" s="1"/>
      <c r="C127" s="39"/>
      <c r="D127" s="39"/>
      <c r="E127" s="39"/>
      <c r="F127" s="37"/>
      <c r="G127" s="37"/>
      <c r="H127" s="37"/>
      <c r="I127" s="3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73"/>
    </row>
    <row r="128" spans="1:26" ht="15.75" customHeight="1">
      <c r="A128" s="1"/>
      <c r="B128" s="1"/>
      <c r="C128" s="39"/>
      <c r="D128" s="39"/>
      <c r="E128" s="39"/>
      <c r="F128" s="37"/>
      <c r="G128" s="37"/>
      <c r="H128" s="37"/>
      <c r="I128" s="3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73"/>
    </row>
    <row r="129" spans="1:26" ht="15.75" customHeight="1">
      <c r="A129" s="1"/>
      <c r="B129" s="1"/>
      <c r="C129" s="39"/>
      <c r="D129" s="39"/>
      <c r="E129" s="39"/>
      <c r="F129" s="37"/>
      <c r="G129" s="37"/>
      <c r="H129" s="37"/>
      <c r="I129" s="3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73"/>
    </row>
    <row r="130" spans="1:26" ht="15.75" customHeight="1">
      <c r="A130" s="1"/>
      <c r="B130" s="1"/>
      <c r="C130" s="39"/>
      <c r="D130" s="39"/>
      <c r="E130" s="39"/>
      <c r="F130" s="37"/>
      <c r="G130" s="37"/>
      <c r="H130" s="37"/>
      <c r="I130" s="3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73"/>
    </row>
    <row r="131" spans="1:26" ht="15.75" customHeight="1">
      <c r="A131" s="1"/>
      <c r="B131" s="1"/>
      <c r="C131" s="39"/>
      <c r="D131" s="39"/>
      <c r="E131" s="39"/>
      <c r="F131" s="37"/>
      <c r="G131" s="37"/>
      <c r="H131" s="37"/>
      <c r="I131" s="3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73"/>
    </row>
    <row r="132" spans="1:26" ht="15.75" customHeight="1">
      <c r="A132" s="1"/>
      <c r="B132" s="1"/>
      <c r="C132" s="39"/>
      <c r="D132" s="39"/>
      <c r="E132" s="39"/>
      <c r="F132" s="37"/>
      <c r="G132" s="37"/>
      <c r="H132" s="37"/>
      <c r="I132" s="3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73"/>
    </row>
    <row r="133" spans="1:26" ht="15.75" customHeight="1">
      <c r="A133" s="1"/>
      <c r="B133" s="1"/>
      <c r="C133" s="39"/>
      <c r="D133" s="39"/>
      <c r="E133" s="39"/>
      <c r="F133" s="37"/>
      <c r="G133" s="37"/>
      <c r="H133" s="37"/>
      <c r="I133" s="3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73"/>
    </row>
    <row r="134" spans="1:26" ht="15.75" customHeight="1">
      <c r="A134" s="1"/>
      <c r="B134" s="1"/>
      <c r="C134" s="39"/>
      <c r="D134" s="39"/>
      <c r="E134" s="39"/>
      <c r="F134" s="37"/>
      <c r="G134" s="37"/>
      <c r="H134" s="37"/>
      <c r="I134" s="3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73"/>
    </row>
    <row r="135" spans="1:26" ht="15.75" customHeight="1">
      <c r="A135" s="1"/>
      <c r="B135" s="1"/>
      <c r="C135" s="39"/>
      <c r="D135" s="39"/>
      <c r="E135" s="39"/>
      <c r="F135" s="37"/>
      <c r="G135" s="37"/>
      <c r="H135" s="37"/>
      <c r="I135" s="3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73"/>
    </row>
    <row r="136" spans="1:26" ht="15.75" customHeight="1">
      <c r="A136" s="1"/>
      <c r="B136" s="1"/>
      <c r="C136" s="39"/>
      <c r="D136" s="39"/>
      <c r="E136" s="39"/>
      <c r="F136" s="37"/>
      <c r="G136" s="37"/>
      <c r="H136" s="37"/>
      <c r="I136" s="3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73"/>
    </row>
    <row r="137" spans="1:26" ht="15.75" customHeight="1">
      <c r="A137" s="1"/>
      <c r="B137" s="1"/>
      <c r="C137" s="39"/>
      <c r="D137" s="39"/>
      <c r="E137" s="39"/>
      <c r="F137" s="37"/>
      <c r="G137" s="37"/>
      <c r="H137" s="37"/>
      <c r="I137" s="3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73"/>
    </row>
    <row r="138" spans="1:26" ht="15.75" customHeight="1">
      <c r="A138" s="1"/>
      <c r="B138" s="1"/>
      <c r="C138" s="39"/>
      <c r="D138" s="39"/>
      <c r="E138" s="39"/>
      <c r="F138" s="37"/>
      <c r="G138" s="37"/>
      <c r="H138" s="37"/>
      <c r="I138" s="3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73"/>
    </row>
    <row r="139" spans="1:26" ht="15.75" customHeight="1">
      <c r="A139" s="1"/>
      <c r="B139" s="1"/>
      <c r="C139" s="39"/>
      <c r="D139" s="39"/>
      <c r="E139" s="39"/>
      <c r="F139" s="37"/>
      <c r="G139" s="37"/>
      <c r="H139" s="37"/>
      <c r="I139" s="3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73"/>
    </row>
    <row r="140" spans="1:26" ht="15.75" customHeight="1">
      <c r="A140" s="1"/>
      <c r="B140" s="1"/>
      <c r="C140" s="39"/>
      <c r="D140" s="39"/>
      <c r="E140" s="39"/>
      <c r="F140" s="37"/>
      <c r="G140" s="37"/>
      <c r="H140" s="37"/>
      <c r="I140" s="3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73"/>
    </row>
    <row r="141" spans="1:26" ht="15.75" customHeight="1">
      <c r="A141" s="1"/>
      <c r="B141" s="1"/>
      <c r="C141" s="39"/>
      <c r="D141" s="39"/>
      <c r="E141" s="39"/>
      <c r="F141" s="37"/>
      <c r="G141" s="37"/>
      <c r="H141" s="37"/>
      <c r="I141" s="3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73"/>
    </row>
    <row r="142" spans="1:26" ht="15.75" customHeight="1">
      <c r="A142" s="1"/>
      <c r="B142" s="1"/>
      <c r="C142" s="39"/>
      <c r="D142" s="39"/>
      <c r="E142" s="39"/>
      <c r="F142" s="37"/>
      <c r="G142" s="37"/>
      <c r="H142" s="37"/>
      <c r="I142" s="3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73"/>
    </row>
    <row r="143" spans="1:26" ht="15.75" customHeight="1">
      <c r="A143" s="1"/>
      <c r="B143" s="1"/>
      <c r="C143" s="39"/>
      <c r="D143" s="39"/>
      <c r="E143" s="39"/>
      <c r="F143" s="37"/>
      <c r="G143" s="37"/>
      <c r="H143" s="37"/>
      <c r="I143" s="3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73"/>
    </row>
    <row r="144" spans="1:26" ht="15.75" customHeight="1">
      <c r="A144" s="1"/>
      <c r="B144" s="1"/>
      <c r="C144" s="39"/>
      <c r="D144" s="39"/>
      <c r="E144" s="39"/>
      <c r="F144" s="37"/>
      <c r="G144" s="37"/>
      <c r="H144" s="37"/>
      <c r="I144" s="3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73"/>
    </row>
    <row r="145" spans="1:26" ht="15.75" customHeight="1">
      <c r="A145" s="1"/>
      <c r="B145" s="1"/>
      <c r="C145" s="39"/>
      <c r="D145" s="39"/>
      <c r="E145" s="39"/>
      <c r="F145" s="37"/>
      <c r="G145" s="37"/>
      <c r="H145" s="37"/>
      <c r="I145" s="3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73"/>
    </row>
    <row r="146" spans="1:26" ht="15.75" customHeight="1">
      <c r="A146" s="1"/>
      <c r="B146" s="1"/>
      <c r="C146" s="39"/>
      <c r="D146" s="39"/>
      <c r="E146" s="39"/>
      <c r="F146" s="37"/>
      <c r="G146" s="37"/>
      <c r="H146" s="37"/>
      <c r="I146" s="3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73"/>
    </row>
    <row r="147" spans="1:26" ht="15.75" customHeight="1">
      <c r="A147" s="1"/>
      <c r="B147" s="1"/>
      <c r="C147" s="39"/>
      <c r="D147" s="39"/>
      <c r="E147" s="39"/>
      <c r="F147" s="37"/>
      <c r="G147" s="37"/>
      <c r="H147" s="37"/>
      <c r="I147" s="3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73"/>
    </row>
    <row r="148" spans="1:26" ht="15.75" customHeight="1">
      <c r="A148" s="1"/>
      <c r="B148" s="1"/>
      <c r="C148" s="39"/>
      <c r="D148" s="39"/>
      <c r="E148" s="39"/>
      <c r="F148" s="37"/>
      <c r="G148" s="37"/>
      <c r="H148" s="37"/>
      <c r="I148" s="3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73"/>
    </row>
    <row r="149" spans="1:26" ht="15.75" customHeight="1">
      <c r="A149" s="1"/>
      <c r="B149" s="1"/>
      <c r="C149" s="39"/>
      <c r="D149" s="39"/>
      <c r="E149" s="39"/>
      <c r="F149" s="37"/>
      <c r="G149" s="37"/>
      <c r="H149" s="37"/>
      <c r="I149" s="3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73"/>
    </row>
    <row r="150" spans="1:26" ht="15.75" customHeight="1">
      <c r="A150" s="1"/>
      <c r="B150" s="1"/>
      <c r="C150" s="39"/>
      <c r="D150" s="39"/>
      <c r="E150" s="39"/>
      <c r="F150" s="37"/>
      <c r="G150" s="37"/>
      <c r="H150" s="37"/>
      <c r="I150" s="3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73"/>
    </row>
    <row r="151" spans="1:26" ht="15.75" customHeight="1">
      <c r="A151" s="1"/>
      <c r="B151" s="1"/>
      <c r="C151" s="39"/>
      <c r="D151" s="39"/>
      <c r="E151" s="39"/>
      <c r="F151" s="37"/>
      <c r="G151" s="37"/>
      <c r="H151" s="37"/>
      <c r="I151" s="3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73"/>
    </row>
    <row r="152" spans="1:26" ht="15.75" customHeight="1">
      <c r="A152" s="1"/>
      <c r="B152" s="1"/>
      <c r="C152" s="39"/>
      <c r="D152" s="39"/>
      <c r="E152" s="39"/>
      <c r="F152" s="37"/>
      <c r="G152" s="37"/>
      <c r="H152" s="37"/>
      <c r="I152" s="3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73"/>
    </row>
    <row r="153" spans="1:26" ht="15.75" customHeight="1">
      <c r="A153" s="1"/>
      <c r="B153" s="1"/>
      <c r="C153" s="39"/>
      <c r="D153" s="39"/>
      <c r="E153" s="39"/>
      <c r="F153" s="37"/>
      <c r="G153" s="37"/>
      <c r="H153" s="37"/>
      <c r="I153" s="3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73"/>
    </row>
    <row r="154" spans="1:26" ht="15.75" customHeight="1">
      <c r="A154" s="1"/>
      <c r="B154" s="1"/>
      <c r="C154" s="39"/>
      <c r="D154" s="39"/>
      <c r="E154" s="39"/>
      <c r="F154" s="37"/>
      <c r="G154" s="37"/>
      <c r="H154" s="37"/>
      <c r="I154" s="3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73"/>
    </row>
    <row r="155" spans="1:26" ht="15.75" customHeight="1">
      <c r="A155" s="1"/>
      <c r="B155" s="1"/>
      <c r="C155" s="39"/>
      <c r="D155" s="39"/>
      <c r="E155" s="39"/>
      <c r="F155" s="37"/>
      <c r="G155" s="37"/>
      <c r="H155" s="37"/>
      <c r="I155" s="3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73"/>
    </row>
    <row r="156" spans="1:26" ht="15.75" customHeight="1">
      <c r="A156" s="1"/>
      <c r="B156" s="1"/>
      <c r="C156" s="39"/>
      <c r="D156" s="39"/>
      <c r="E156" s="39"/>
      <c r="F156" s="37"/>
      <c r="G156" s="37"/>
      <c r="H156" s="37"/>
      <c r="I156" s="3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73"/>
    </row>
    <row r="157" spans="1:26" ht="15.75" customHeight="1">
      <c r="A157" s="1"/>
      <c r="B157" s="1"/>
      <c r="C157" s="39"/>
      <c r="D157" s="39"/>
      <c r="E157" s="39"/>
      <c r="F157" s="37"/>
      <c r="G157" s="37"/>
      <c r="H157" s="37"/>
      <c r="I157" s="3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73"/>
    </row>
    <row r="158" spans="1:26" ht="15.75" customHeight="1">
      <c r="A158" s="1"/>
      <c r="B158" s="1"/>
      <c r="C158" s="39"/>
      <c r="D158" s="39"/>
      <c r="E158" s="39"/>
      <c r="F158" s="37"/>
      <c r="G158" s="37"/>
      <c r="H158" s="37"/>
      <c r="I158" s="3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73"/>
    </row>
    <row r="159" spans="1:26" ht="15.75" customHeight="1">
      <c r="A159" s="1"/>
      <c r="B159" s="1"/>
      <c r="C159" s="39"/>
      <c r="D159" s="39"/>
      <c r="E159" s="39"/>
      <c r="F159" s="37"/>
      <c r="G159" s="37"/>
      <c r="H159" s="37"/>
      <c r="I159" s="3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73"/>
    </row>
    <row r="160" spans="1:26" ht="15.75" customHeight="1">
      <c r="A160" s="1"/>
      <c r="B160" s="1"/>
      <c r="C160" s="39"/>
      <c r="D160" s="39"/>
      <c r="E160" s="39"/>
      <c r="F160" s="37"/>
      <c r="G160" s="37"/>
      <c r="H160" s="37"/>
      <c r="I160" s="3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73"/>
    </row>
    <row r="161" spans="1:26" ht="15.75" customHeight="1">
      <c r="A161" s="1"/>
      <c r="B161" s="1"/>
      <c r="C161" s="39"/>
      <c r="D161" s="39"/>
      <c r="E161" s="39"/>
      <c r="F161" s="37"/>
      <c r="G161" s="37"/>
      <c r="H161" s="37"/>
      <c r="I161" s="3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73"/>
    </row>
    <row r="162" spans="1:26" ht="15.75" customHeight="1">
      <c r="A162" s="1"/>
      <c r="B162" s="1"/>
      <c r="C162" s="39"/>
      <c r="D162" s="39"/>
      <c r="E162" s="39"/>
      <c r="F162" s="37"/>
      <c r="G162" s="37"/>
      <c r="H162" s="37"/>
      <c r="I162" s="3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73"/>
    </row>
    <row r="163" spans="1:26" ht="15.75" customHeight="1">
      <c r="A163" s="1"/>
      <c r="B163" s="1"/>
      <c r="C163" s="39"/>
      <c r="D163" s="39"/>
      <c r="E163" s="39"/>
      <c r="F163" s="37"/>
      <c r="G163" s="37"/>
      <c r="H163" s="37"/>
      <c r="I163" s="3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73"/>
    </row>
    <row r="164" spans="1:26" ht="15.75" customHeight="1">
      <c r="A164" s="1"/>
      <c r="B164" s="1"/>
      <c r="C164" s="39"/>
      <c r="D164" s="39"/>
      <c r="E164" s="39"/>
      <c r="F164" s="37"/>
      <c r="G164" s="37"/>
      <c r="H164" s="37"/>
      <c r="I164" s="3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73"/>
    </row>
    <row r="165" spans="1:26" ht="15.75" customHeight="1">
      <c r="A165" s="1"/>
      <c r="B165" s="1"/>
      <c r="C165" s="39"/>
      <c r="D165" s="39"/>
      <c r="E165" s="39"/>
      <c r="F165" s="37"/>
      <c r="G165" s="37"/>
      <c r="H165" s="37"/>
      <c r="I165" s="3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73"/>
    </row>
    <row r="166" spans="1:26" ht="15.75" customHeight="1">
      <c r="A166" s="1"/>
      <c r="B166" s="1"/>
      <c r="C166" s="39"/>
      <c r="D166" s="39"/>
      <c r="E166" s="39"/>
      <c r="F166" s="37"/>
      <c r="G166" s="37"/>
      <c r="H166" s="37"/>
      <c r="I166" s="3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73"/>
    </row>
    <row r="167" spans="1:26" ht="15.75" customHeight="1">
      <c r="A167" s="1"/>
      <c r="B167" s="1"/>
      <c r="C167" s="39"/>
      <c r="D167" s="39"/>
      <c r="E167" s="39"/>
      <c r="F167" s="37"/>
      <c r="G167" s="37"/>
      <c r="H167" s="37"/>
      <c r="I167" s="3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73"/>
    </row>
    <row r="168" spans="1:26" ht="15.75" customHeight="1">
      <c r="A168" s="1"/>
      <c r="B168" s="1"/>
      <c r="C168" s="39"/>
      <c r="D168" s="39"/>
      <c r="E168" s="39"/>
      <c r="F168" s="37"/>
      <c r="G168" s="37"/>
      <c r="H168" s="37"/>
      <c r="I168" s="3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73"/>
    </row>
    <row r="169" spans="1:26" ht="15.75" customHeight="1">
      <c r="A169" s="1"/>
      <c r="B169" s="1"/>
      <c r="C169" s="39"/>
      <c r="D169" s="39"/>
      <c r="E169" s="39"/>
      <c r="F169" s="37"/>
      <c r="G169" s="37"/>
      <c r="H169" s="37"/>
      <c r="I169" s="3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73"/>
    </row>
    <row r="170" spans="1:26" ht="15.75" customHeight="1">
      <c r="A170" s="1"/>
      <c r="B170" s="1"/>
      <c r="C170" s="39"/>
      <c r="D170" s="39"/>
      <c r="E170" s="39"/>
      <c r="F170" s="37"/>
      <c r="G170" s="37"/>
      <c r="H170" s="37"/>
      <c r="I170" s="3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73"/>
    </row>
    <row r="171" spans="1:26" ht="15.75" customHeight="1">
      <c r="A171" s="1"/>
      <c r="B171" s="1"/>
      <c r="C171" s="39"/>
      <c r="D171" s="39"/>
      <c r="E171" s="39"/>
      <c r="F171" s="37"/>
      <c r="G171" s="37"/>
      <c r="H171" s="37"/>
      <c r="I171" s="3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73"/>
    </row>
    <row r="172" spans="1:26" ht="15.75" customHeight="1">
      <c r="A172" s="1"/>
      <c r="B172" s="1"/>
      <c r="C172" s="39"/>
      <c r="D172" s="39"/>
      <c r="E172" s="39"/>
      <c r="F172" s="37"/>
      <c r="G172" s="37"/>
      <c r="H172" s="37"/>
      <c r="I172" s="3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73"/>
    </row>
    <row r="173" spans="1:26" ht="15.75" customHeight="1">
      <c r="A173" s="1"/>
      <c r="B173" s="1"/>
      <c r="C173" s="39"/>
      <c r="D173" s="39"/>
      <c r="E173" s="39"/>
      <c r="F173" s="37"/>
      <c r="G173" s="37"/>
      <c r="H173" s="37"/>
      <c r="I173" s="3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73"/>
    </row>
    <row r="174" spans="1:26" ht="15.75" customHeight="1">
      <c r="A174" s="1"/>
      <c r="B174" s="1"/>
      <c r="C174" s="39"/>
      <c r="D174" s="39"/>
      <c r="E174" s="39"/>
      <c r="F174" s="37"/>
      <c r="G174" s="37"/>
      <c r="H174" s="37"/>
      <c r="I174" s="3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73"/>
    </row>
    <row r="175" spans="1:26" ht="15.75" customHeight="1">
      <c r="A175" s="1"/>
      <c r="B175" s="1"/>
      <c r="C175" s="39"/>
      <c r="D175" s="39"/>
      <c r="E175" s="39"/>
      <c r="F175" s="37"/>
      <c r="G175" s="37"/>
      <c r="H175" s="37"/>
      <c r="I175" s="3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73"/>
    </row>
    <row r="176" spans="1:26" ht="15.75" customHeight="1">
      <c r="A176" s="1"/>
      <c r="B176" s="1"/>
      <c r="C176" s="39"/>
      <c r="D176" s="39"/>
      <c r="E176" s="39"/>
      <c r="F176" s="37"/>
      <c r="G176" s="37"/>
      <c r="H176" s="37"/>
      <c r="I176" s="3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73"/>
    </row>
    <row r="177" spans="1:26" ht="15.75" customHeight="1">
      <c r="A177" s="1"/>
      <c r="B177" s="1"/>
      <c r="C177" s="39"/>
      <c r="D177" s="39"/>
      <c r="E177" s="39"/>
      <c r="F177" s="37"/>
      <c r="G177" s="37"/>
      <c r="H177" s="37"/>
      <c r="I177" s="3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73"/>
    </row>
    <row r="178" spans="1:26" ht="15.75" customHeight="1">
      <c r="A178" s="1"/>
      <c r="B178" s="1"/>
      <c r="C178" s="39"/>
      <c r="D178" s="39"/>
      <c r="E178" s="39"/>
      <c r="F178" s="37"/>
      <c r="G178" s="37"/>
      <c r="H178" s="37"/>
      <c r="I178" s="3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73"/>
    </row>
    <row r="179" spans="1:26" ht="15.75" customHeight="1">
      <c r="A179" s="1"/>
      <c r="B179" s="1"/>
      <c r="C179" s="39"/>
      <c r="D179" s="39"/>
      <c r="E179" s="39"/>
      <c r="F179" s="37"/>
      <c r="G179" s="37"/>
      <c r="H179" s="37"/>
      <c r="I179" s="3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73"/>
    </row>
    <row r="180" spans="1:26" ht="15.75" customHeight="1">
      <c r="A180" s="1"/>
      <c r="B180" s="1"/>
      <c r="C180" s="39"/>
      <c r="D180" s="39"/>
      <c r="E180" s="39"/>
      <c r="F180" s="37"/>
      <c r="G180" s="37"/>
      <c r="H180" s="37"/>
      <c r="I180" s="3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73"/>
    </row>
    <row r="181" spans="1:26" ht="15.75" customHeight="1">
      <c r="A181" s="1"/>
      <c r="B181" s="1"/>
      <c r="C181" s="39"/>
      <c r="D181" s="39"/>
      <c r="E181" s="39"/>
      <c r="F181" s="37"/>
      <c r="G181" s="37"/>
      <c r="H181" s="37"/>
      <c r="I181" s="3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73"/>
    </row>
    <row r="182" spans="1:26" ht="15.75" customHeight="1">
      <c r="A182" s="1"/>
      <c r="B182" s="1"/>
      <c r="C182" s="39"/>
      <c r="D182" s="39"/>
      <c r="E182" s="39"/>
      <c r="F182" s="37"/>
      <c r="G182" s="37"/>
      <c r="H182" s="37"/>
      <c r="I182" s="3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73"/>
    </row>
    <row r="183" spans="1:26" ht="15.75" customHeight="1">
      <c r="A183" s="1"/>
      <c r="B183" s="1"/>
      <c r="C183" s="39"/>
      <c r="D183" s="39"/>
      <c r="E183" s="39"/>
      <c r="F183" s="37"/>
      <c r="G183" s="37"/>
      <c r="H183" s="37"/>
      <c r="I183" s="3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73"/>
    </row>
    <row r="184" spans="1:26" ht="15.75" customHeight="1">
      <c r="A184" s="1"/>
      <c r="B184" s="1"/>
      <c r="C184" s="39"/>
      <c r="D184" s="39"/>
      <c r="E184" s="39"/>
      <c r="F184" s="37"/>
      <c r="G184" s="37"/>
      <c r="H184" s="37"/>
      <c r="I184" s="3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73"/>
    </row>
    <row r="185" spans="1:26" ht="15.75" customHeight="1">
      <c r="A185" s="1"/>
      <c r="B185" s="1"/>
      <c r="C185" s="39"/>
      <c r="D185" s="39"/>
      <c r="E185" s="39"/>
      <c r="F185" s="37"/>
      <c r="G185" s="37"/>
      <c r="H185" s="37"/>
      <c r="I185" s="3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73"/>
    </row>
    <row r="186" spans="1:26" ht="15.75" customHeight="1">
      <c r="A186" s="1"/>
      <c r="B186" s="1"/>
      <c r="C186" s="39"/>
      <c r="D186" s="39"/>
      <c r="E186" s="39"/>
      <c r="F186" s="37"/>
      <c r="G186" s="37"/>
      <c r="H186" s="37"/>
      <c r="I186" s="3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73"/>
    </row>
    <row r="187" spans="1:26" ht="15.75" customHeight="1">
      <c r="A187" s="1"/>
      <c r="B187" s="1"/>
      <c r="C187" s="39"/>
      <c r="D187" s="39"/>
      <c r="E187" s="39"/>
      <c r="F187" s="37"/>
      <c r="G187" s="37"/>
      <c r="H187" s="37"/>
      <c r="I187" s="3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73"/>
    </row>
    <row r="188" spans="1:26" ht="15.75" customHeight="1">
      <c r="A188" s="1"/>
      <c r="B188" s="1"/>
      <c r="C188" s="39"/>
      <c r="D188" s="39"/>
      <c r="E188" s="39"/>
      <c r="F188" s="37"/>
      <c r="G188" s="37"/>
      <c r="H188" s="37"/>
      <c r="I188" s="3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73"/>
    </row>
    <row r="189" spans="1:26" ht="15.75" customHeight="1">
      <c r="A189" s="1"/>
      <c r="B189" s="1"/>
      <c r="C189" s="39"/>
      <c r="D189" s="39"/>
      <c r="E189" s="39"/>
      <c r="F189" s="37"/>
      <c r="G189" s="37"/>
      <c r="H189" s="37"/>
      <c r="I189" s="3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73"/>
    </row>
    <row r="190" spans="1:26" ht="15.75" customHeight="1">
      <c r="A190" s="1"/>
      <c r="B190" s="1"/>
      <c r="C190" s="39"/>
      <c r="D190" s="39"/>
      <c r="E190" s="39"/>
      <c r="F190" s="37"/>
      <c r="G190" s="37"/>
      <c r="H190" s="37"/>
      <c r="I190" s="3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73"/>
    </row>
    <row r="191" spans="1:26" ht="15.75" customHeight="1">
      <c r="A191" s="1"/>
      <c r="B191" s="1"/>
      <c r="C191" s="39"/>
      <c r="D191" s="39"/>
      <c r="E191" s="39"/>
      <c r="F191" s="37"/>
      <c r="G191" s="37"/>
      <c r="H191" s="37"/>
      <c r="I191" s="3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73"/>
    </row>
    <row r="192" spans="1:26" ht="15.75" customHeight="1">
      <c r="A192" s="1"/>
      <c r="B192" s="1"/>
      <c r="C192" s="39"/>
      <c r="D192" s="39"/>
      <c r="E192" s="39"/>
      <c r="F192" s="37"/>
      <c r="G192" s="37"/>
      <c r="H192" s="37"/>
      <c r="I192" s="3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73"/>
    </row>
    <row r="193" spans="1:26" ht="15.75" customHeight="1">
      <c r="A193" s="1"/>
      <c r="B193" s="1"/>
      <c r="C193" s="39"/>
      <c r="D193" s="39"/>
      <c r="E193" s="39"/>
      <c r="F193" s="37"/>
      <c r="G193" s="37"/>
      <c r="H193" s="37"/>
      <c r="I193" s="3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73"/>
    </row>
    <row r="194" spans="1:26" ht="15.75" customHeight="1">
      <c r="A194" s="1"/>
      <c r="B194" s="1"/>
      <c r="C194" s="39"/>
      <c r="D194" s="39"/>
      <c r="E194" s="39"/>
      <c r="F194" s="37"/>
      <c r="G194" s="37"/>
      <c r="H194" s="37"/>
      <c r="I194" s="3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73"/>
    </row>
    <row r="195" spans="1:26" ht="15.75" customHeight="1">
      <c r="A195" s="1"/>
      <c r="B195" s="1"/>
      <c r="C195" s="39"/>
      <c r="D195" s="39"/>
      <c r="E195" s="39"/>
      <c r="F195" s="37"/>
      <c r="G195" s="37"/>
      <c r="H195" s="37"/>
      <c r="I195" s="3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73"/>
    </row>
    <row r="196" spans="1:26" ht="15.75" customHeight="1">
      <c r="A196" s="1"/>
      <c r="B196" s="1"/>
      <c r="C196" s="39"/>
      <c r="D196" s="39"/>
      <c r="E196" s="39"/>
      <c r="F196" s="37"/>
      <c r="G196" s="37"/>
      <c r="H196" s="37"/>
      <c r="I196" s="3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73"/>
    </row>
    <row r="197" spans="1:26" ht="15.75" customHeight="1">
      <c r="A197" s="1"/>
      <c r="B197" s="1"/>
      <c r="C197" s="39"/>
      <c r="D197" s="39"/>
      <c r="E197" s="39"/>
      <c r="F197" s="37"/>
      <c r="G197" s="37"/>
      <c r="H197" s="37"/>
      <c r="I197" s="3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73"/>
    </row>
    <row r="198" spans="1:26" ht="15.75" customHeight="1">
      <c r="A198" s="1"/>
      <c r="B198" s="1"/>
      <c r="C198" s="39"/>
      <c r="D198" s="39"/>
      <c r="E198" s="39"/>
      <c r="F198" s="37"/>
      <c r="G198" s="37"/>
      <c r="H198" s="37"/>
      <c r="I198" s="3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73"/>
    </row>
    <row r="199" spans="1:26" ht="15.75" customHeight="1">
      <c r="A199" s="1"/>
      <c r="B199" s="1"/>
      <c r="C199" s="39"/>
      <c r="D199" s="39"/>
      <c r="E199" s="39"/>
      <c r="F199" s="37"/>
      <c r="G199" s="37"/>
      <c r="H199" s="37"/>
      <c r="I199" s="3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73"/>
    </row>
    <row r="200" spans="1:26" ht="15.75" customHeight="1">
      <c r="A200" s="1"/>
      <c r="B200" s="1"/>
      <c r="C200" s="39"/>
      <c r="D200" s="39"/>
      <c r="E200" s="39"/>
      <c r="F200" s="37"/>
      <c r="G200" s="37"/>
      <c r="H200" s="37"/>
      <c r="I200" s="3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73"/>
    </row>
    <row r="201" spans="1:26" ht="15.75" customHeight="1">
      <c r="A201" s="1"/>
      <c r="B201" s="1"/>
      <c r="C201" s="39"/>
      <c r="D201" s="39"/>
      <c r="E201" s="39"/>
      <c r="F201" s="37"/>
      <c r="G201" s="37"/>
      <c r="H201" s="37"/>
      <c r="I201" s="3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73"/>
    </row>
    <row r="202" spans="1:26" ht="15.75" customHeight="1">
      <c r="A202" s="1"/>
      <c r="B202" s="1"/>
      <c r="C202" s="39"/>
      <c r="D202" s="39"/>
      <c r="E202" s="39"/>
      <c r="F202" s="37"/>
      <c r="G202" s="37"/>
      <c r="H202" s="37"/>
      <c r="I202" s="3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73"/>
    </row>
    <row r="203" spans="1:26" ht="15.75" customHeight="1">
      <c r="A203" s="1"/>
      <c r="B203" s="1"/>
      <c r="C203" s="39"/>
      <c r="D203" s="39"/>
      <c r="E203" s="39"/>
      <c r="F203" s="37"/>
      <c r="G203" s="37"/>
      <c r="H203" s="37"/>
      <c r="I203" s="3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73"/>
    </row>
    <row r="204" spans="1:26" ht="15.75" customHeight="1">
      <c r="A204" s="1"/>
      <c r="B204" s="1"/>
      <c r="C204" s="39"/>
      <c r="D204" s="39"/>
      <c r="E204" s="39"/>
      <c r="F204" s="37"/>
      <c r="G204" s="37"/>
      <c r="H204" s="37"/>
      <c r="I204" s="3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73"/>
    </row>
    <row r="205" spans="1:26" ht="15.75" customHeight="1">
      <c r="A205" s="1"/>
      <c r="B205" s="1"/>
      <c r="C205" s="39"/>
      <c r="D205" s="39"/>
      <c r="E205" s="39"/>
      <c r="F205" s="37"/>
      <c r="G205" s="37"/>
      <c r="H205" s="37"/>
      <c r="I205" s="3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73"/>
    </row>
    <row r="206" spans="1:26" ht="15.75" customHeight="1">
      <c r="A206" s="1"/>
      <c r="B206" s="1"/>
      <c r="C206" s="39"/>
      <c r="D206" s="39"/>
      <c r="E206" s="39"/>
      <c r="F206" s="37"/>
      <c r="G206" s="37"/>
      <c r="H206" s="37"/>
      <c r="I206" s="3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73"/>
    </row>
    <row r="207" spans="1:26" ht="15.75" customHeight="1">
      <c r="A207" s="1"/>
      <c r="B207" s="1"/>
      <c r="C207" s="39"/>
      <c r="D207" s="39"/>
      <c r="E207" s="39"/>
      <c r="F207" s="37"/>
      <c r="G207" s="37"/>
      <c r="H207" s="37"/>
      <c r="I207" s="3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73"/>
    </row>
    <row r="208" spans="1:26" ht="15.75" customHeight="1">
      <c r="A208" s="1"/>
      <c r="B208" s="1"/>
      <c r="C208" s="39"/>
      <c r="D208" s="39"/>
      <c r="E208" s="39"/>
      <c r="F208" s="37"/>
      <c r="G208" s="37"/>
      <c r="H208" s="37"/>
      <c r="I208" s="3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73"/>
    </row>
    <row r="209" spans="1:26" ht="15.75" customHeight="1">
      <c r="A209" s="1"/>
      <c r="B209" s="1"/>
      <c r="C209" s="39"/>
      <c r="D209" s="39"/>
      <c r="E209" s="39"/>
      <c r="F209" s="37"/>
      <c r="G209" s="37"/>
      <c r="H209" s="37"/>
      <c r="I209" s="3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73"/>
    </row>
    <row r="210" spans="1:26" ht="15.75" customHeight="1">
      <c r="A210" s="1"/>
      <c r="B210" s="1"/>
      <c r="C210" s="39"/>
      <c r="D210" s="39"/>
      <c r="E210" s="39"/>
      <c r="F210" s="37"/>
      <c r="G210" s="37"/>
      <c r="H210" s="37"/>
      <c r="I210" s="3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73"/>
    </row>
    <row r="211" spans="1:26" ht="15.75" customHeight="1">
      <c r="A211" s="1"/>
      <c r="B211" s="1"/>
      <c r="C211" s="39"/>
      <c r="D211" s="39"/>
      <c r="E211" s="39"/>
      <c r="F211" s="37"/>
      <c r="G211" s="37"/>
      <c r="H211" s="37"/>
      <c r="I211" s="3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73"/>
    </row>
    <row r="212" spans="1:26" ht="15.75" customHeight="1">
      <c r="A212" s="1"/>
      <c r="B212" s="1"/>
      <c r="C212" s="39"/>
      <c r="D212" s="39"/>
      <c r="E212" s="39"/>
      <c r="F212" s="37"/>
      <c r="G212" s="37"/>
      <c r="H212" s="37"/>
      <c r="I212" s="3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73"/>
    </row>
    <row r="213" spans="1:26" ht="15.75" customHeight="1">
      <c r="A213" s="1"/>
      <c r="B213" s="1"/>
      <c r="C213" s="39"/>
      <c r="D213" s="39"/>
      <c r="E213" s="39"/>
      <c r="F213" s="37"/>
      <c r="G213" s="37"/>
      <c r="H213" s="37"/>
      <c r="I213" s="3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73"/>
    </row>
    <row r="214" spans="1:26" ht="15.75" customHeight="1">
      <c r="A214" s="1"/>
      <c r="B214" s="1"/>
      <c r="C214" s="39"/>
      <c r="D214" s="39"/>
      <c r="E214" s="39"/>
      <c r="F214" s="37"/>
      <c r="G214" s="37"/>
      <c r="H214" s="37"/>
      <c r="I214" s="3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73"/>
    </row>
    <row r="215" spans="1:26" ht="15.75" customHeight="1">
      <c r="A215" s="1"/>
      <c r="B215" s="1"/>
      <c r="C215" s="39"/>
      <c r="D215" s="39"/>
      <c r="E215" s="39"/>
      <c r="F215" s="37"/>
      <c r="G215" s="37"/>
      <c r="H215" s="37"/>
      <c r="I215" s="3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73"/>
    </row>
    <row r="216" spans="1:26" ht="15.75" customHeight="1">
      <c r="A216" s="1"/>
      <c r="B216" s="1"/>
      <c r="C216" s="39"/>
      <c r="D216" s="39"/>
      <c r="E216" s="39"/>
      <c r="F216" s="37"/>
      <c r="G216" s="37"/>
      <c r="H216" s="37"/>
      <c r="I216" s="3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73"/>
    </row>
    <row r="217" spans="1:26" ht="15.75" customHeight="1">
      <c r="A217" s="1"/>
      <c r="B217" s="1"/>
      <c r="C217" s="39"/>
      <c r="D217" s="39"/>
      <c r="E217" s="39"/>
      <c r="F217" s="37"/>
      <c r="G217" s="37"/>
      <c r="H217" s="37"/>
      <c r="I217" s="3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73"/>
    </row>
    <row r="218" spans="1:26" ht="15.75" customHeight="1">
      <c r="A218" s="1"/>
      <c r="B218" s="1"/>
      <c r="C218" s="39"/>
      <c r="D218" s="39"/>
      <c r="E218" s="39"/>
      <c r="F218" s="37"/>
      <c r="G218" s="37"/>
      <c r="H218" s="37"/>
      <c r="I218" s="3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73"/>
    </row>
    <row r="219" spans="1:26" ht="15.75" customHeight="1">
      <c r="A219" s="1"/>
      <c r="B219" s="1"/>
      <c r="C219" s="40"/>
      <c r="D219" s="40"/>
      <c r="E219" s="4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73"/>
    </row>
    <row r="220" spans="1:26" ht="15.75" customHeight="1">
      <c r="A220" s="1"/>
      <c r="B220" s="1"/>
      <c r="C220" s="40"/>
      <c r="D220" s="40"/>
      <c r="E220" s="4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73"/>
    </row>
    <row r="221" spans="1:26" ht="15.75" customHeight="1">
      <c r="A221" s="1"/>
      <c r="B221" s="1"/>
      <c r="C221" s="40"/>
      <c r="D221" s="40"/>
      <c r="E221" s="4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73"/>
    </row>
    <row r="222" spans="1:26" ht="15.75" customHeight="1">
      <c r="A222" s="1"/>
      <c r="B222" s="1"/>
      <c r="C222" s="40"/>
      <c r="D222" s="40"/>
      <c r="E222" s="4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73"/>
    </row>
    <row r="223" spans="1:26" ht="15.75" customHeight="1">
      <c r="A223" s="1"/>
      <c r="B223" s="1"/>
      <c r="C223" s="40"/>
      <c r="D223" s="40"/>
      <c r="E223" s="4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73"/>
    </row>
    <row r="224" spans="1:26" ht="15.75" customHeight="1">
      <c r="A224" s="1"/>
      <c r="B224" s="1"/>
      <c r="C224" s="40"/>
      <c r="D224" s="40"/>
      <c r="E224" s="4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73"/>
    </row>
    <row r="225" spans="1:26" ht="15.75" customHeight="1">
      <c r="A225" s="1"/>
      <c r="B225" s="1"/>
      <c r="C225" s="40"/>
      <c r="D225" s="40"/>
      <c r="E225" s="4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73"/>
    </row>
    <row r="226" spans="1:26" ht="15.75" customHeight="1">
      <c r="A226" s="1"/>
      <c r="B226" s="1"/>
      <c r="C226" s="40"/>
      <c r="D226" s="40"/>
      <c r="E226" s="4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73"/>
    </row>
    <row r="227" spans="1:26" ht="15.75" customHeight="1">
      <c r="A227" s="1"/>
      <c r="B227" s="1"/>
      <c r="C227" s="40"/>
      <c r="D227" s="40"/>
      <c r="E227" s="4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73"/>
    </row>
    <row r="228" spans="1:26" ht="15.75" customHeight="1">
      <c r="A228" s="1"/>
      <c r="B228" s="1"/>
      <c r="C228" s="40"/>
      <c r="D228" s="40"/>
      <c r="E228" s="4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73"/>
    </row>
    <row r="229" spans="1:26" ht="15.75" customHeight="1">
      <c r="A229" s="1"/>
      <c r="B229" s="1"/>
      <c r="C229" s="40"/>
      <c r="D229" s="40"/>
      <c r="E229" s="4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73"/>
    </row>
    <row r="230" spans="1:26" ht="15.75" customHeight="1">
      <c r="A230" s="1"/>
      <c r="B230" s="1"/>
      <c r="C230" s="40"/>
      <c r="D230" s="40"/>
      <c r="E230" s="4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73"/>
    </row>
    <row r="231" spans="1:26" ht="15.75" customHeight="1">
      <c r="A231" s="1"/>
      <c r="B231" s="1"/>
      <c r="C231" s="40"/>
      <c r="D231" s="40"/>
      <c r="E231" s="4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73"/>
    </row>
    <row r="232" spans="1:26" ht="15.75" customHeight="1">
      <c r="A232" s="1"/>
      <c r="B232" s="1"/>
      <c r="C232" s="40"/>
      <c r="D232" s="40"/>
      <c r="E232" s="4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73"/>
    </row>
    <row r="233" spans="1:26" ht="15.75" customHeight="1">
      <c r="A233" s="1"/>
      <c r="B233" s="1"/>
      <c r="C233" s="40"/>
      <c r="D233" s="40"/>
      <c r="E233" s="4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73"/>
    </row>
    <row r="234" spans="1:26" ht="15.75" customHeight="1">
      <c r="A234" s="1"/>
      <c r="B234" s="1"/>
      <c r="C234" s="40"/>
      <c r="D234" s="40"/>
      <c r="E234" s="4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73"/>
    </row>
    <row r="235" spans="1:26" ht="15.75" customHeight="1">
      <c r="A235" s="1"/>
      <c r="B235" s="1"/>
      <c r="C235" s="40"/>
      <c r="D235" s="40"/>
      <c r="E235" s="4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73"/>
    </row>
    <row r="236" spans="1:26" ht="15.75" customHeight="1">
      <c r="A236" s="1"/>
      <c r="B236" s="1"/>
      <c r="C236" s="40"/>
      <c r="D236" s="40"/>
      <c r="E236" s="4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73"/>
    </row>
    <row r="237" spans="1:26" ht="15.75" customHeight="1">
      <c r="A237" s="1"/>
      <c r="B237" s="1"/>
      <c r="C237" s="40"/>
      <c r="D237" s="40"/>
      <c r="E237" s="4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73"/>
    </row>
    <row r="238" spans="1:26" ht="15.75" customHeight="1">
      <c r="A238" s="1"/>
      <c r="B238" s="1"/>
      <c r="C238" s="40"/>
      <c r="D238" s="40"/>
      <c r="E238" s="4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73"/>
    </row>
    <row r="239" spans="1:26" ht="15.75" customHeight="1">
      <c r="A239" s="1"/>
      <c r="B239" s="1"/>
      <c r="C239" s="40"/>
      <c r="D239" s="40"/>
      <c r="E239" s="4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73"/>
    </row>
    <row r="240" spans="1:26" ht="15.75" customHeight="1">
      <c r="A240" s="1"/>
      <c r="B240" s="1"/>
      <c r="C240" s="40"/>
      <c r="D240" s="40"/>
      <c r="E240" s="4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73"/>
    </row>
    <row r="241" spans="1:26" ht="15.75" customHeight="1">
      <c r="A241" s="1"/>
      <c r="B241" s="1"/>
      <c r="C241" s="40"/>
      <c r="D241" s="40"/>
      <c r="E241" s="4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73"/>
    </row>
    <row r="242" spans="1:26" ht="15.75" customHeight="1">
      <c r="A242" s="1"/>
      <c r="B242" s="1"/>
      <c r="C242" s="40"/>
      <c r="D242" s="40"/>
      <c r="E242" s="4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73"/>
    </row>
    <row r="243" spans="1:26" ht="15.75" customHeight="1">
      <c r="A243" s="1"/>
      <c r="B243" s="1"/>
      <c r="C243" s="40"/>
      <c r="D243" s="40"/>
      <c r="E243" s="4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73"/>
    </row>
    <row r="244" spans="1:26" ht="15.75" customHeight="1">
      <c r="A244" s="1"/>
      <c r="B244" s="1"/>
      <c r="C244" s="40"/>
      <c r="D244" s="40"/>
      <c r="E244" s="4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73"/>
    </row>
    <row r="245" spans="1:26" ht="15.75" customHeight="1">
      <c r="A245" s="1"/>
      <c r="B245" s="1"/>
      <c r="C245" s="40"/>
      <c r="D245" s="40"/>
      <c r="E245" s="4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73"/>
    </row>
    <row r="246" spans="1:26" ht="15.75" customHeight="1">
      <c r="A246" s="1"/>
      <c r="B246" s="1"/>
      <c r="C246" s="40"/>
      <c r="D246" s="40"/>
      <c r="E246" s="4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73"/>
    </row>
    <row r="247" spans="1:26" ht="15.75" customHeight="1">
      <c r="A247" s="1"/>
      <c r="B247" s="1"/>
      <c r="C247" s="40"/>
      <c r="D247" s="40"/>
      <c r="E247" s="4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73"/>
    </row>
    <row r="248" spans="1:26" ht="15.75" customHeight="1">
      <c r="A248" s="1"/>
      <c r="B248" s="1"/>
      <c r="C248" s="40"/>
      <c r="D248" s="40"/>
      <c r="E248" s="4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73"/>
    </row>
    <row r="249" spans="1:26" ht="15.75" customHeight="1">
      <c r="A249" s="1"/>
      <c r="B249" s="1"/>
      <c r="C249" s="40"/>
      <c r="D249" s="40"/>
      <c r="E249" s="4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73"/>
    </row>
    <row r="250" spans="1:26" ht="15.75" customHeight="1">
      <c r="A250" s="73"/>
      <c r="B250" s="73"/>
      <c r="C250" s="73"/>
      <c r="D250" s="73"/>
      <c r="E250" s="73"/>
      <c r="F250" s="73"/>
      <c r="G250" s="73"/>
      <c r="I250" s="73"/>
    </row>
    <row r="251" spans="1:26" ht="15.75" customHeight="1">
      <c r="A251" s="73"/>
      <c r="B251" s="73"/>
      <c r="C251" s="73"/>
      <c r="D251" s="73"/>
      <c r="E251" s="73"/>
      <c r="F251" s="73"/>
      <c r="G251" s="73"/>
      <c r="I251" s="73"/>
    </row>
    <row r="252" spans="1:26" ht="15.75" customHeight="1">
      <c r="A252" s="73"/>
      <c r="B252" s="73"/>
      <c r="C252" s="73"/>
      <c r="D252" s="73"/>
      <c r="E252" s="73"/>
      <c r="F252" s="73"/>
      <c r="G252" s="73"/>
      <c r="I252" s="73"/>
    </row>
    <row r="253" spans="1:26" ht="15.75" customHeight="1">
      <c r="A253" s="73"/>
      <c r="B253" s="73"/>
      <c r="C253" s="73"/>
      <c r="D253" s="73"/>
      <c r="E253" s="73"/>
      <c r="F253" s="73"/>
      <c r="G253" s="73"/>
      <c r="I253" s="73"/>
    </row>
    <row r="254" spans="1:26" ht="15.75" customHeight="1">
      <c r="A254" s="73"/>
      <c r="B254" s="73"/>
      <c r="C254" s="73"/>
      <c r="D254" s="73"/>
      <c r="E254" s="73"/>
      <c r="F254" s="73"/>
      <c r="G254" s="73"/>
      <c r="I254" s="73"/>
    </row>
    <row r="255" spans="1:26" ht="15.75" customHeight="1">
      <c r="A255" s="73"/>
      <c r="B255" s="73"/>
      <c r="C255" s="73"/>
      <c r="D255" s="73"/>
      <c r="E255" s="73"/>
      <c r="F255" s="73"/>
      <c r="G255" s="73"/>
      <c r="I255" s="73"/>
    </row>
    <row r="256" spans="1:26" ht="15.75" customHeight="1">
      <c r="A256" s="73"/>
      <c r="B256" s="73"/>
      <c r="C256" s="73"/>
      <c r="D256" s="73"/>
      <c r="E256" s="73"/>
      <c r="F256" s="73"/>
      <c r="G256" s="73"/>
      <c r="I256" s="73"/>
    </row>
    <row r="257" spans="1:9" ht="15.75" customHeight="1">
      <c r="A257" s="73"/>
      <c r="B257" s="73"/>
      <c r="C257" s="73"/>
      <c r="D257" s="73"/>
      <c r="E257" s="73"/>
      <c r="F257" s="73"/>
      <c r="G257" s="73"/>
      <c r="I257" s="73"/>
    </row>
    <row r="258" spans="1:9" ht="15.75" customHeight="1">
      <c r="A258" s="73"/>
      <c r="B258" s="73"/>
      <c r="C258" s="73"/>
      <c r="D258" s="73"/>
      <c r="E258" s="73"/>
      <c r="F258" s="73"/>
      <c r="G258" s="73"/>
      <c r="I258" s="73"/>
    </row>
    <row r="259" spans="1:9" ht="15.75" customHeight="1">
      <c r="A259" s="73"/>
      <c r="B259" s="73"/>
      <c r="C259" s="73"/>
      <c r="D259" s="73"/>
      <c r="E259" s="73"/>
      <c r="F259" s="73"/>
      <c r="G259" s="73"/>
      <c r="I259" s="73"/>
    </row>
    <row r="260" spans="1:9" ht="15.75" customHeight="1">
      <c r="A260" s="73"/>
      <c r="B260" s="73"/>
      <c r="C260" s="73"/>
      <c r="D260" s="73"/>
      <c r="E260" s="73"/>
      <c r="F260" s="73"/>
      <c r="G260" s="73"/>
      <c r="I260" s="73"/>
    </row>
    <row r="261" spans="1:9" ht="15.75" customHeight="1">
      <c r="A261" s="73"/>
      <c r="B261" s="73"/>
      <c r="C261" s="73"/>
      <c r="D261" s="73"/>
      <c r="E261" s="73"/>
      <c r="F261" s="73"/>
      <c r="G261" s="73"/>
      <c r="I261" s="73"/>
    </row>
    <row r="262" spans="1:9" ht="15.75" customHeight="1">
      <c r="A262" s="73"/>
      <c r="B262" s="73"/>
      <c r="C262" s="73"/>
      <c r="D262" s="73"/>
      <c r="E262" s="73"/>
      <c r="F262" s="73"/>
      <c r="G262" s="73"/>
      <c r="I262" s="73"/>
    </row>
    <row r="263" spans="1:9" ht="15.75" customHeight="1">
      <c r="A263" s="73"/>
      <c r="B263" s="73"/>
      <c r="C263" s="73"/>
      <c r="D263" s="73"/>
      <c r="E263" s="73"/>
      <c r="F263" s="73"/>
      <c r="G263" s="73"/>
      <c r="I263" s="73"/>
    </row>
    <row r="264" spans="1:9" ht="15.75" customHeight="1">
      <c r="A264" s="73"/>
      <c r="B264" s="73"/>
      <c r="C264" s="73"/>
      <c r="D264" s="73"/>
      <c r="E264" s="73"/>
      <c r="F264" s="73"/>
      <c r="G264" s="73"/>
      <c r="I264" s="73"/>
    </row>
    <row r="265" spans="1:9" ht="15.75" customHeight="1">
      <c r="A265" s="73"/>
      <c r="B265" s="73"/>
      <c r="C265" s="73"/>
      <c r="D265" s="73"/>
      <c r="E265" s="73"/>
      <c r="F265" s="73"/>
      <c r="G265" s="73"/>
      <c r="I265" s="73"/>
    </row>
    <row r="266" spans="1:9" ht="15.75" customHeight="1">
      <c r="A266" s="73"/>
      <c r="B266" s="73"/>
      <c r="C266" s="73"/>
      <c r="D266" s="73"/>
      <c r="E266" s="73"/>
      <c r="F266" s="73"/>
      <c r="G266" s="73"/>
      <c r="I266" s="73"/>
    </row>
    <row r="267" spans="1:9" ht="15.75" customHeight="1">
      <c r="A267" s="73"/>
      <c r="B267" s="73"/>
      <c r="C267" s="73"/>
      <c r="D267" s="73"/>
      <c r="E267" s="73"/>
      <c r="F267" s="73"/>
      <c r="G267" s="73"/>
      <c r="I267" s="73"/>
    </row>
    <row r="268" spans="1:9" ht="15.75" customHeight="1">
      <c r="A268" s="73"/>
      <c r="B268" s="73"/>
      <c r="C268" s="73"/>
      <c r="D268" s="73"/>
      <c r="E268" s="73"/>
      <c r="F268" s="73"/>
      <c r="G268" s="73"/>
      <c r="I268" s="73"/>
    </row>
    <row r="269" spans="1:9" ht="15.75" customHeight="1">
      <c r="A269" s="73"/>
      <c r="B269" s="73"/>
      <c r="C269" s="73"/>
      <c r="D269" s="73"/>
      <c r="E269" s="73"/>
      <c r="F269" s="73"/>
      <c r="G269" s="73"/>
      <c r="I269" s="73"/>
    </row>
    <row r="270" spans="1:9" ht="15.75" customHeight="1">
      <c r="A270" s="73"/>
      <c r="B270" s="73"/>
      <c r="C270" s="73"/>
      <c r="D270" s="73"/>
      <c r="E270" s="73"/>
      <c r="F270" s="73"/>
      <c r="G270" s="73"/>
      <c r="I270" s="73"/>
    </row>
    <row r="271" spans="1:9" ht="15.75" customHeight="1">
      <c r="A271" s="73"/>
      <c r="B271" s="73"/>
      <c r="C271" s="73"/>
      <c r="D271" s="73"/>
      <c r="E271" s="73"/>
      <c r="F271" s="73"/>
      <c r="G271" s="73"/>
      <c r="I271" s="73"/>
    </row>
    <row r="272" spans="1:9" ht="15.75" customHeight="1">
      <c r="A272" s="73"/>
      <c r="B272" s="73"/>
      <c r="C272" s="73"/>
      <c r="D272" s="73"/>
      <c r="E272" s="73"/>
      <c r="F272" s="73"/>
      <c r="G272" s="73"/>
      <c r="I272" s="73"/>
    </row>
    <row r="273" spans="1:9" ht="15.75" customHeight="1">
      <c r="A273" s="73"/>
      <c r="B273" s="73"/>
      <c r="C273" s="73"/>
      <c r="D273" s="73"/>
      <c r="E273" s="73"/>
      <c r="F273" s="73"/>
      <c r="G273" s="73"/>
      <c r="I273" s="73"/>
    </row>
    <row r="274" spans="1:9" ht="15.75" customHeight="1">
      <c r="A274" s="73"/>
      <c r="B274" s="73"/>
      <c r="C274" s="73"/>
      <c r="D274" s="73"/>
      <c r="E274" s="73"/>
      <c r="F274" s="73"/>
      <c r="G274" s="73"/>
      <c r="I274" s="73"/>
    </row>
    <row r="275" spans="1:9" ht="15.75" customHeight="1">
      <c r="A275" s="73"/>
      <c r="B275" s="73"/>
      <c r="C275" s="73"/>
      <c r="D275" s="73"/>
      <c r="E275" s="73"/>
      <c r="F275" s="73"/>
      <c r="G275" s="73"/>
      <c r="I275" s="73"/>
    </row>
    <row r="276" spans="1:9" ht="15.75" customHeight="1">
      <c r="A276" s="73"/>
      <c r="B276" s="73"/>
      <c r="C276" s="73"/>
      <c r="D276" s="73"/>
      <c r="E276" s="73"/>
      <c r="F276" s="73"/>
      <c r="G276" s="73"/>
      <c r="I276" s="73"/>
    </row>
    <row r="277" spans="1:9" ht="15.75" customHeight="1">
      <c r="A277" s="73"/>
      <c r="B277" s="73"/>
      <c r="C277" s="73"/>
      <c r="D277" s="73"/>
      <c r="E277" s="73"/>
      <c r="F277" s="73"/>
      <c r="G277" s="73"/>
      <c r="I277" s="73"/>
    </row>
    <row r="278" spans="1:9" ht="15.75" customHeight="1">
      <c r="A278" s="73"/>
      <c r="B278" s="73"/>
      <c r="C278" s="73"/>
      <c r="D278" s="73"/>
      <c r="E278" s="73"/>
      <c r="F278" s="73"/>
      <c r="G278" s="73"/>
      <c r="I278" s="73"/>
    </row>
    <row r="279" spans="1:9" ht="15.75" customHeight="1">
      <c r="A279" s="73"/>
      <c r="B279" s="73"/>
      <c r="C279" s="73"/>
      <c r="D279" s="73"/>
      <c r="E279" s="73"/>
      <c r="F279" s="73"/>
      <c r="G279" s="73"/>
      <c r="I279" s="73"/>
    </row>
    <row r="280" spans="1:9" ht="15.75" customHeight="1">
      <c r="A280" s="73"/>
      <c r="B280" s="73"/>
      <c r="C280" s="73"/>
      <c r="D280" s="73"/>
      <c r="E280" s="73"/>
      <c r="F280" s="73"/>
      <c r="G280" s="73"/>
      <c r="I280" s="73"/>
    </row>
    <row r="281" spans="1:9" ht="15.75" customHeight="1">
      <c r="A281" s="73"/>
      <c r="B281" s="73"/>
      <c r="C281" s="73"/>
      <c r="D281" s="73"/>
      <c r="E281" s="73"/>
      <c r="F281" s="73"/>
      <c r="G281" s="73"/>
      <c r="I281" s="73"/>
    </row>
    <row r="282" spans="1:9" ht="15.75" customHeight="1">
      <c r="A282" s="73"/>
      <c r="B282" s="73"/>
      <c r="C282" s="73"/>
      <c r="D282" s="73"/>
      <c r="E282" s="73"/>
      <c r="F282" s="73"/>
      <c r="G282" s="73"/>
      <c r="I282" s="73"/>
    </row>
    <row r="283" spans="1:9" ht="15.75" customHeight="1">
      <c r="A283" s="73"/>
      <c r="B283" s="73"/>
      <c r="C283" s="73"/>
      <c r="D283" s="73"/>
      <c r="E283" s="73"/>
      <c r="F283" s="73"/>
      <c r="G283" s="73"/>
      <c r="I283" s="73"/>
    </row>
    <row r="284" spans="1:9" ht="15.75" customHeight="1">
      <c r="A284" s="73"/>
      <c r="B284" s="73"/>
      <c r="C284" s="73"/>
      <c r="D284" s="73"/>
      <c r="E284" s="73"/>
      <c r="F284" s="73"/>
      <c r="G284" s="73"/>
      <c r="I284" s="73"/>
    </row>
    <row r="285" spans="1:9" ht="15.75" customHeight="1">
      <c r="A285" s="73"/>
      <c r="B285" s="73"/>
      <c r="C285" s="73"/>
      <c r="D285" s="73"/>
      <c r="E285" s="73"/>
      <c r="F285" s="73"/>
      <c r="G285" s="73"/>
      <c r="I285" s="73"/>
    </row>
    <row r="286" spans="1:9" ht="15.75" customHeight="1">
      <c r="A286" s="73"/>
      <c r="B286" s="73"/>
      <c r="C286" s="73"/>
      <c r="D286" s="73"/>
      <c r="E286" s="73"/>
      <c r="F286" s="73"/>
      <c r="G286" s="73"/>
      <c r="I286" s="73"/>
    </row>
    <row r="287" spans="1:9" ht="15.75" customHeight="1">
      <c r="A287" s="73"/>
      <c r="B287" s="73"/>
      <c r="C287" s="73"/>
      <c r="D287" s="73"/>
      <c r="E287" s="73"/>
      <c r="F287" s="73"/>
      <c r="G287" s="73"/>
      <c r="I287" s="73"/>
    </row>
    <row r="288" spans="1:9" ht="15.75" customHeight="1">
      <c r="A288" s="73"/>
      <c r="B288" s="73"/>
      <c r="C288" s="73"/>
      <c r="D288" s="73"/>
      <c r="E288" s="73"/>
      <c r="F288" s="73"/>
      <c r="G288" s="73"/>
      <c r="I288" s="73"/>
    </row>
    <row r="289" spans="1:9" ht="15.75" customHeight="1">
      <c r="A289" s="73"/>
      <c r="B289" s="73"/>
      <c r="C289" s="73"/>
      <c r="D289" s="73"/>
      <c r="E289" s="73"/>
      <c r="F289" s="73"/>
      <c r="G289" s="73"/>
      <c r="I289" s="73"/>
    </row>
    <row r="290" spans="1:9" ht="15.75" customHeight="1">
      <c r="A290" s="73"/>
      <c r="B290" s="73"/>
      <c r="C290" s="73"/>
      <c r="D290" s="73"/>
      <c r="E290" s="73"/>
      <c r="F290" s="73"/>
      <c r="G290" s="73"/>
      <c r="I290" s="73"/>
    </row>
    <row r="291" spans="1:9" ht="15.75" customHeight="1">
      <c r="A291" s="73"/>
      <c r="B291" s="73"/>
      <c r="C291" s="73"/>
      <c r="D291" s="73"/>
      <c r="E291" s="73"/>
      <c r="F291" s="73"/>
      <c r="G291" s="73"/>
      <c r="I291" s="73"/>
    </row>
    <row r="292" spans="1:9" ht="15.75" customHeight="1">
      <c r="A292" s="73"/>
      <c r="B292" s="73"/>
      <c r="C292" s="73"/>
      <c r="D292" s="73"/>
      <c r="E292" s="73"/>
      <c r="F292" s="73"/>
      <c r="G292" s="73"/>
      <c r="I292" s="73"/>
    </row>
    <row r="293" spans="1:9" ht="15.75" customHeight="1">
      <c r="A293" s="73"/>
      <c r="B293" s="73"/>
      <c r="C293" s="73"/>
      <c r="D293" s="73"/>
      <c r="E293" s="73"/>
      <c r="F293" s="73"/>
      <c r="G293" s="73"/>
      <c r="I293" s="73"/>
    </row>
    <row r="294" spans="1:9" ht="15.75" customHeight="1">
      <c r="A294" s="73"/>
      <c r="B294" s="73"/>
      <c r="C294" s="73"/>
      <c r="D294" s="73"/>
      <c r="E294" s="73"/>
      <c r="F294" s="73"/>
      <c r="G294" s="73"/>
      <c r="I294" s="73"/>
    </row>
    <row r="295" spans="1:9" ht="15.75" customHeight="1">
      <c r="A295" s="73"/>
      <c r="B295" s="73"/>
      <c r="C295" s="73"/>
      <c r="D295" s="73"/>
      <c r="E295" s="73"/>
      <c r="F295" s="73"/>
      <c r="G295" s="73"/>
      <c r="I295" s="73"/>
    </row>
    <row r="296" spans="1:9" ht="15.75" customHeight="1">
      <c r="A296" s="73"/>
      <c r="B296" s="73"/>
      <c r="C296" s="73"/>
      <c r="D296" s="73"/>
      <c r="E296" s="73"/>
      <c r="F296" s="73"/>
      <c r="G296" s="73"/>
      <c r="I296" s="73"/>
    </row>
    <row r="297" spans="1:9" ht="15.75" customHeight="1">
      <c r="A297" s="73"/>
      <c r="B297" s="73"/>
      <c r="C297" s="73"/>
      <c r="D297" s="73"/>
      <c r="E297" s="73"/>
      <c r="F297" s="73"/>
      <c r="G297" s="73"/>
      <c r="I297" s="73"/>
    </row>
    <row r="298" spans="1:9" ht="15.75" customHeight="1">
      <c r="A298" s="73"/>
      <c r="B298" s="73"/>
      <c r="C298" s="73"/>
      <c r="D298" s="73"/>
      <c r="E298" s="73"/>
      <c r="F298" s="73"/>
      <c r="G298" s="73"/>
      <c r="I298" s="73"/>
    </row>
    <row r="299" spans="1:9" ht="15.75" customHeight="1">
      <c r="A299" s="73"/>
      <c r="B299" s="73"/>
      <c r="C299" s="73"/>
      <c r="D299" s="73"/>
      <c r="E299" s="73"/>
      <c r="F299" s="73"/>
      <c r="G299" s="73"/>
      <c r="I299" s="73"/>
    </row>
    <row r="300" spans="1:9" ht="15.75" customHeight="1">
      <c r="A300" s="73"/>
      <c r="B300" s="73"/>
      <c r="C300" s="73"/>
      <c r="D300" s="73"/>
      <c r="E300" s="73"/>
      <c r="F300" s="73"/>
      <c r="G300" s="73"/>
      <c r="I300" s="73"/>
    </row>
    <row r="301" spans="1:9" ht="15.75" customHeight="1">
      <c r="A301" s="73"/>
      <c r="B301" s="73"/>
      <c r="C301" s="73"/>
      <c r="D301" s="73"/>
      <c r="E301" s="73"/>
      <c r="F301" s="73"/>
      <c r="G301" s="73"/>
      <c r="I301" s="73"/>
    </row>
    <row r="302" spans="1:9" ht="15.75" customHeight="1">
      <c r="A302" s="73"/>
      <c r="B302" s="73"/>
      <c r="C302" s="73"/>
      <c r="D302" s="73"/>
      <c r="E302" s="73"/>
      <c r="F302" s="73"/>
      <c r="G302" s="73"/>
      <c r="I302" s="73"/>
    </row>
    <row r="303" spans="1:9" ht="15.75" customHeight="1">
      <c r="A303" s="73"/>
      <c r="B303" s="73"/>
      <c r="C303" s="73"/>
      <c r="D303" s="73"/>
      <c r="E303" s="73"/>
      <c r="F303" s="73"/>
      <c r="G303" s="73"/>
      <c r="I303" s="73"/>
    </row>
    <row r="304" spans="1:9" ht="15.75" customHeight="1">
      <c r="A304" s="73"/>
      <c r="B304" s="73"/>
      <c r="C304" s="73"/>
      <c r="D304" s="73"/>
      <c r="E304" s="73"/>
      <c r="F304" s="73"/>
      <c r="G304" s="73"/>
      <c r="I304" s="73"/>
    </row>
    <row r="305" spans="1:9" ht="15.75" customHeight="1">
      <c r="A305" s="73"/>
      <c r="B305" s="73"/>
      <c r="C305" s="73"/>
      <c r="D305" s="73"/>
      <c r="E305" s="73"/>
      <c r="F305" s="73"/>
      <c r="G305" s="73"/>
      <c r="I305" s="73"/>
    </row>
    <row r="306" spans="1:9" ht="15.75" customHeight="1">
      <c r="A306" s="73"/>
      <c r="B306" s="73"/>
      <c r="C306" s="73"/>
      <c r="D306" s="73"/>
      <c r="E306" s="73"/>
      <c r="F306" s="73"/>
      <c r="G306" s="73"/>
      <c r="I306" s="73"/>
    </row>
    <row r="307" spans="1:9" ht="15.75" customHeight="1">
      <c r="A307" s="73"/>
      <c r="B307" s="73"/>
      <c r="C307" s="73"/>
      <c r="D307" s="73"/>
      <c r="E307" s="73"/>
      <c r="F307" s="73"/>
      <c r="G307" s="73"/>
      <c r="I307" s="73"/>
    </row>
    <row r="308" spans="1:9" ht="15.75" customHeight="1">
      <c r="A308" s="73"/>
      <c r="B308" s="73"/>
      <c r="C308" s="73"/>
      <c r="D308" s="73"/>
      <c r="E308" s="73"/>
      <c r="F308" s="73"/>
      <c r="G308" s="73"/>
      <c r="I308" s="73"/>
    </row>
    <row r="309" spans="1:9" ht="15.75" customHeight="1">
      <c r="A309" s="73"/>
      <c r="B309" s="73"/>
      <c r="C309" s="73"/>
      <c r="D309" s="73"/>
      <c r="E309" s="73"/>
      <c r="F309" s="73"/>
      <c r="G309" s="73"/>
      <c r="I309" s="73"/>
    </row>
    <row r="310" spans="1:9" ht="15.75" customHeight="1">
      <c r="A310" s="73"/>
      <c r="B310" s="73"/>
      <c r="C310" s="73"/>
      <c r="D310" s="73"/>
      <c r="E310" s="73"/>
      <c r="F310" s="73"/>
      <c r="G310" s="73"/>
      <c r="I310" s="73"/>
    </row>
    <row r="311" spans="1:9" ht="15.75" customHeight="1">
      <c r="A311" s="73"/>
      <c r="B311" s="73"/>
      <c r="C311" s="73"/>
      <c r="D311" s="73"/>
      <c r="E311" s="73"/>
      <c r="F311" s="73"/>
      <c r="G311" s="73"/>
      <c r="I311" s="73"/>
    </row>
    <row r="312" spans="1:9" ht="15.75" customHeight="1">
      <c r="A312" s="73"/>
      <c r="B312" s="73"/>
      <c r="C312" s="73"/>
      <c r="D312" s="73"/>
      <c r="E312" s="73"/>
      <c r="F312" s="73"/>
      <c r="G312" s="73"/>
      <c r="I312" s="73"/>
    </row>
    <row r="313" spans="1:9" ht="15.75" customHeight="1">
      <c r="A313" s="73"/>
      <c r="B313" s="73"/>
      <c r="C313" s="73"/>
      <c r="D313" s="73"/>
      <c r="E313" s="73"/>
      <c r="F313" s="73"/>
      <c r="G313" s="73"/>
      <c r="I313" s="73"/>
    </row>
    <row r="314" spans="1:9" ht="15.75" customHeight="1">
      <c r="A314" s="73"/>
      <c r="B314" s="73"/>
      <c r="C314" s="73"/>
      <c r="D314" s="73"/>
      <c r="E314" s="73"/>
      <c r="F314" s="73"/>
      <c r="G314" s="73"/>
      <c r="I314" s="73"/>
    </row>
    <row r="315" spans="1:9" ht="15.75" customHeight="1">
      <c r="A315" s="73"/>
      <c r="B315" s="73"/>
      <c r="C315" s="73"/>
      <c r="D315" s="73"/>
      <c r="E315" s="73"/>
      <c r="F315" s="73"/>
      <c r="G315" s="73"/>
      <c r="I315" s="73"/>
    </row>
    <row r="316" spans="1:9" ht="15.75" customHeight="1">
      <c r="A316" s="73"/>
      <c r="B316" s="73"/>
      <c r="C316" s="73"/>
      <c r="D316" s="73"/>
      <c r="E316" s="73"/>
      <c r="F316" s="73"/>
      <c r="G316" s="73"/>
      <c r="I316" s="73"/>
    </row>
    <row r="317" spans="1:9" ht="15.75" customHeight="1">
      <c r="A317" s="73"/>
      <c r="B317" s="73"/>
      <c r="C317" s="73"/>
      <c r="D317" s="73"/>
      <c r="E317" s="73"/>
      <c r="F317" s="73"/>
      <c r="G317" s="73"/>
      <c r="I317" s="73"/>
    </row>
    <row r="318" spans="1:9" ht="15.75" customHeight="1">
      <c r="A318" s="73"/>
      <c r="B318" s="73"/>
      <c r="C318" s="73"/>
      <c r="D318" s="73"/>
      <c r="E318" s="73"/>
      <c r="F318" s="73"/>
      <c r="G318" s="73"/>
      <c r="I318" s="73"/>
    </row>
    <row r="319" spans="1:9" ht="15.75" customHeight="1">
      <c r="A319" s="73"/>
      <c r="B319" s="73"/>
      <c r="C319" s="73"/>
      <c r="D319" s="73"/>
      <c r="E319" s="73"/>
      <c r="F319" s="73"/>
      <c r="G319" s="73"/>
      <c r="I319" s="73"/>
    </row>
    <row r="320" spans="1:9" ht="15.75" customHeight="1">
      <c r="A320" s="73"/>
      <c r="B320" s="73"/>
      <c r="C320" s="73"/>
      <c r="D320" s="73"/>
      <c r="E320" s="73"/>
      <c r="F320" s="73"/>
      <c r="G320" s="73"/>
      <c r="I320" s="73"/>
    </row>
    <row r="321" spans="1:9" ht="15.75" customHeight="1">
      <c r="A321" s="73"/>
      <c r="B321" s="73"/>
      <c r="C321" s="73"/>
      <c r="D321" s="73"/>
      <c r="E321" s="73"/>
      <c r="F321" s="73"/>
      <c r="G321" s="73"/>
      <c r="I321" s="73"/>
    </row>
    <row r="322" spans="1:9" ht="15.75" customHeight="1">
      <c r="A322" s="73"/>
      <c r="B322" s="73"/>
      <c r="C322" s="73"/>
      <c r="D322" s="73"/>
      <c r="E322" s="73"/>
      <c r="F322" s="73"/>
      <c r="G322" s="73"/>
      <c r="I322" s="73"/>
    </row>
    <row r="323" spans="1:9" ht="15.75" customHeight="1">
      <c r="A323" s="73"/>
      <c r="B323" s="73"/>
      <c r="C323" s="73"/>
      <c r="D323" s="73"/>
      <c r="E323" s="73"/>
      <c r="F323" s="73"/>
      <c r="G323" s="73"/>
      <c r="I323" s="73"/>
    </row>
    <row r="324" spans="1:9" ht="15.75" customHeight="1">
      <c r="A324" s="73"/>
      <c r="B324" s="73"/>
      <c r="C324" s="73"/>
      <c r="D324" s="73"/>
      <c r="E324" s="73"/>
      <c r="F324" s="73"/>
      <c r="G324" s="73"/>
      <c r="I324" s="73"/>
    </row>
    <row r="325" spans="1:9" ht="15.75" customHeight="1">
      <c r="A325" s="73"/>
      <c r="B325" s="73"/>
      <c r="C325" s="73"/>
      <c r="D325" s="73"/>
      <c r="E325" s="73"/>
      <c r="F325" s="73"/>
      <c r="G325" s="73"/>
      <c r="I325" s="73"/>
    </row>
    <row r="326" spans="1:9" ht="15.75" customHeight="1">
      <c r="A326" s="73"/>
      <c r="B326" s="73"/>
      <c r="C326" s="73"/>
      <c r="D326" s="73"/>
      <c r="E326" s="73"/>
      <c r="F326" s="73"/>
      <c r="G326" s="73"/>
      <c r="I326" s="73"/>
    </row>
    <row r="327" spans="1:9" ht="15.75" customHeight="1">
      <c r="A327" s="73"/>
      <c r="B327" s="73"/>
      <c r="C327" s="73"/>
      <c r="D327" s="73"/>
      <c r="E327" s="73"/>
      <c r="F327" s="73"/>
      <c r="G327" s="73"/>
      <c r="I327" s="73"/>
    </row>
    <row r="328" spans="1:9" ht="15.75" customHeight="1">
      <c r="A328" s="73"/>
      <c r="B328" s="73"/>
      <c r="C328" s="73"/>
      <c r="D328" s="73"/>
      <c r="E328" s="73"/>
      <c r="F328" s="73"/>
      <c r="G328" s="73"/>
      <c r="I328" s="73"/>
    </row>
    <row r="329" spans="1:9" ht="15.75" customHeight="1">
      <c r="A329" s="73"/>
      <c r="B329" s="73"/>
      <c r="C329" s="73"/>
      <c r="D329" s="73"/>
      <c r="E329" s="73"/>
      <c r="F329" s="73"/>
      <c r="G329" s="73"/>
      <c r="I329" s="73"/>
    </row>
    <row r="330" spans="1:9" ht="15.75" customHeight="1">
      <c r="A330" s="73"/>
      <c r="B330" s="73"/>
      <c r="C330" s="73"/>
      <c r="D330" s="73"/>
      <c r="E330" s="73"/>
      <c r="F330" s="73"/>
      <c r="G330" s="73"/>
      <c r="I330" s="73"/>
    </row>
    <row r="331" spans="1:9" ht="15.75" customHeight="1">
      <c r="A331" s="73"/>
      <c r="B331" s="73"/>
      <c r="C331" s="73"/>
      <c r="D331" s="73"/>
      <c r="E331" s="73"/>
      <c r="F331" s="73"/>
      <c r="G331" s="73"/>
      <c r="I331" s="73"/>
    </row>
    <row r="332" spans="1:9" ht="15.75" customHeight="1">
      <c r="A332" s="73"/>
      <c r="B332" s="73"/>
      <c r="C332" s="73"/>
      <c r="D332" s="73"/>
      <c r="E332" s="73"/>
      <c r="F332" s="73"/>
      <c r="G332" s="73"/>
      <c r="I332" s="73"/>
    </row>
    <row r="333" spans="1:9" ht="15.75" customHeight="1">
      <c r="A333" s="73"/>
      <c r="B333" s="73"/>
      <c r="C333" s="73"/>
      <c r="D333" s="73"/>
      <c r="E333" s="73"/>
      <c r="F333" s="73"/>
      <c r="G333" s="73"/>
      <c r="I333" s="73"/>
    </row>
    <row r="334" spans="1:9" ht="15.75" customHeight="1">
      <c r="A334" s="73"/>
      <c r="B334" s="73"/>
      <c r="C334" s="73"/>
      <c r="D334" s="73"/>
      <c r="E334" s="73"/>
      <c r="F334" s="73"/>
      <c r="G334" s="73"/>
      <c r="I334" s="73"/>
    </row>
    <row r="335" spans="1:9" ht="15.75" customHeight="1">
      <c r="A335" s="73"/>
      <c r="B335" s="73"/>
      <c r="C335" s="73"/>
      <c r="D335" s="73"/>
      <c r="E335" s="73"/>
      <c r="F335" s="73"/>
      <c r="G335" s="73"/>
      <c r="I335" s="73"/>
    </row>
    <row r="336" spans="1:9" ht="15.75" customHeight="1">
      <c r="A336" s="73"/>
      <c r="B336" s="73"/>
      <c r="C336" s="73"/>
      <c r="D336" s="73"/>
      <c r="E336" s="73"/>
      <c r="F336" s="73"/>
      <c r="G336" s="73"/>
      <c r="I336" s="73"/>
    </row>
    <row r="337" spans="1:9" ht="15.75" customHeight="1">
      <c r="A337" s="73"/>
      <c r="B337" s="73"/>
      <c r="C337" s="73"/>
      <c r="D337" s="73"/>
      <c r="E337" s="73"/>
      <c r="F337" s="73"/>
      <c r="G337" s="73"/>
      <c r="I337" s="73"/>
    </row>
    <row r="338" spans="1:9" ht="15.75" customHeight="1">
      <c r="A338" s="73"/>
      <c r="B338" s="73"/>
      <c r="C338" s="73"/>
      <c r="D338" s="73"/>
      <c r="E338" s="73"/>
      <c r="F338" s="73"/>
      <c r="G338" s="73"/>
      <c r="I338" s="73"/>
    </row>
    <row r="339" spans="1:9" ht="15.75" customHeight="1">
      <c r="A339" s="73"/>
      <c r="B339" s="73"/>
      <c r="C339" s="73"/>
      <c r="D339" s="73"/>
      <c r="E339" s="73"/>
      <c r="F339" s="73"/>
      <c r="G339" s="73"/>
      <c r="I339" s="73"/>
    </row>
    <row r="340" spans="1:9" ht="15.75" customHeight="1">
      <c r="A340" s="73"/>
      <c r="B340" s="73"/>
      <c r="C340" s="73"/>
      <c r="D340" s="73"/>
      <c r="E340" s="73"/>
      <c r="F340" s="73"/>
      <c r="G340" s="73"/>
      <c r="I340" s="73"/>
    </row>
    <row r="341" spans="1:9" ht="15.75" customHeight="1">
      <c r="A341" s="73"/>
      <c r="B341" s="73"/>
      <c r="C341" s="73"/>
      <c r="D341" s="73"/>
      <c r="E341" s="73"/>
      <c r="F341" s="73"/>
      <c r="G341" s="73"/>
      <c r="I341" s="73"/>
    </row>
    <row r="342" spans="1:9" ht="15.75" customHeight="1">
      <c r="A342" s="73"/>
      <c r="B342" s="73"/>
      <c r="C342" s="73"/>
      <c r="D342" s="73"/>
      <c r="E342" s="73"/>
      <c r="F342" s="73"/>
      <c r="G342" s="73"/>
      <c r="I342" s="73"/>
    </row>
    <row r="343" spans="1:9" ht="15.75" customHeight="1">
      <c r="A343" s="73"/>
      <c r="B343" s="73"/>
      <c r="C343" s="73"/>
      <c r="D343" s="73"/>
      <c r="E343" s="73"/>
      <c r="F343" s="73"/>
      <c r="G343" s="73"/>
      <c r="I343" s="73"/>
    </row>
    <row r="344" spans="1:9" ht="15.75" customHeight="1">
      <c r="A344" s="73"/>
      <c r="B344" s="73"/>
      <c r="C344" s="73"/>
      <c r="D344" s="73"/>
      <c r="E344" s="73"/>
      <c r="F344" s="73"/>
      <c r="G344" s="73"/>
      <c r="I344" s="73"/>
    </row>
    <row r="345" spans="1:9" ht="15.75" customHeight="1">
      <c r="A345" s="73"/>
      <c r="B345" s="73"/>
      <c r="C345" s="73"/>
      <c r="D345" s="73"/>
      <c r="E345" s="73"/>
      <c r="F345" s="73"/>
      <c r="G345" s="73"/>
      <c r="I345" s="73"/>
    </row>
    <row r="346" spans="1:9" ht="15.75" customHeight="1">
      <c r="A346" s="73"/>
      <c r="B346" s="73"/>
      <c r="C346" s="73"/>
      <c r="D346" s="73"/>
      <c r="E346" s="73"/>
      <c r="F346" s="73"/>
      <c r="G346" s="73"/>
      <c r="I346" s="73"/>
    </row>
    <row r="347" spans="1:9" ht="15.75" customHeight="1">
      <c r="A347" s="73"/>
      <c r="B347" s="73"/>
      <c r="C347" s="73"/>
      <c r="D347" s="73"/>
      <c r="E347" s="73"/>
      <c r="F347" s="73"/>
      <c r="G347" s="73"/>
      <c r="I347" s="73"/>
    </row>
    <row r="348" spans="1:9" ht="15.75" customHeight="1">
      <c r="A348" s="73"/>
      <c r="B348" s="73"/>
      <c r="C348" s="73"/>
      <c r="D348" s="73"/>
      <c r="E348" s="73"/>
      <c r="F348" s="73"/>
      <c r="G348" s="73"/>
      <c r="I348" s="73"/>
    </row>
    <row r="349" spans="1:9" ht="15.75" customHeight="1">
      <c r="A349" s="73"/>
      <c r="B349" s="73"/>
      <c r="C349" s="73"/>
      <c r="D349" s="73"/>
      <c r="E349" s="73"/>
      <c r="F349" s="73"/>
      <c r="G349" s="73"/>
      <c r="I349" s="73"/>
    </row>
    <row r="350" spans="1:9" ht="15.75" customHeight="1">
      <c r="A350" s="73"/>
      <c r="B350" s="73"/>
      <c r="C350" s="73"/>
      <c r="D350" s="73"/>
      <c r="E350" s="73"/>
      <c r="F350" s="73"/>
      <c r="G350" s="73"/>
      <c r="I350" s="73"/>
    </row>
    <row r="351" spans="1:9" ht="15.75" customHeight="1">
      <c r="A351" s="73"/>
      <c r="B351" s="73"/>
      <c r="C351" s="73"/>
      <c r="D351" s="73"/>
      <c r="E351" s="73"/>
      <c r="F351" s="73"/>
      <c r="G351" s="73"/>
      <c r="I351" s="73"/>
    </row>
    <row r="352" spans="1:9" ht="15.75" customHeight="1">
      <c r="A352" s="73"/>
      <c r="B352" s="73"/>
      <c r="C352" s="73"/>
      <c r="D352" s="73"/>
      <c r="E352" s="73"/>
      <c r="F352" s="73"/>
      <c r="G352" s="73"/>
      <c r="I352" s="73"/>
    </row>
    <row r="353" spans="1:9" ht="15.75" customHeight="1">
      <c r="A353" s="73"/>
      <c r="B353" s="73"/>
      <c r="C353" s="73"/>
      <c r="D353" s="73"/>
      <c r="E353" s="73"/>
      <c r="F353" s="73"/>
      <c r="G353" s="73"/>
      <c r="I353" s="73"/>
    </row>
    <row r="354" spans="1:9" ht="15.75" customHeight="1">
      <c r="A354" s="73"/>
      <c r="B354" s="73"/>
      <c r="C354" s="73"/>
      <c r="D354" s="73"/>
      <c r="E354" s="73"/>
      <c r="F354" s="73"/>
      <c r="G354" s="73"/>
      <c r="I354" s="73"/>
    </row>
    <row r="355" spans="1:9" ht="15.75" customHeight="1">
      <c r="A355" s="73"/>
      <c r="B355" s="73"/>
      <c r="C355" s="73"/>
      <c r="D355" s="73"/>
      <c r="E355" s="73"/>
      <c r="F355" s="73"/>
      <c r="G355" s="73"/>
      <c r="I355" s="73"/>
    </row>
    <row r="356" spans="1:9" ht="15.75" customHeight="1">
      <c r="A356" s="73"/>
      <c r="B356" s="73"/>
      <c r="C356" s="73"/>
      <c r="D356" s="73"/>
      <c r="E356" s="73"/>
      <c r="F356" s="73"/>
      <c r="G356" s="73"/>
      <c r="I356" s="73"/>
    </row>
    <row r="357" spans="1:9" ht="15.75" customHeight="1">
      <c r="A357" s="73"/>
      <c r="B357" s="73"/>
      <c r="C357" s="73"/>
      <c r="D357" s="73"/>
      <c r="E357" s="73"/>
      <c r="F357" s="73"/>
      <c r="G357" s="73"/>
      <c r="I357" s="73"/>
    </row>
    <row r="358" spans="1:9" ht="15.75" customHeight="1">
      <c r="A358" s="73"/>
      <c r="B358" s="73"/>
      <c r="C358" s="73"/>
      <c r="D358" s="73"/>
      <c r="E358" s="73"/>
      <c r="F358" s="73"/>
      <c r="G358" s="73"/>
      <c r="I358" s="73"/>
    </row>
    <row r="359" spans="1:9" ht="15.75" customHeight="1">
      <c r="A359" s="73"/>
      <c r="B359" s="73"/>
      <c r="C359" s="73"/>
      <c r="D359" s="73"/>
      <c r="E359" s="73"/>
      <c r="F359" s="73"/>
      <c r="G359" s="73"/>
      <c r="I359" s="73"/>
    </row>
    <row r="360" spans="1:9" ht="15.75" customHeight="1">
      <c r="A360" s="73"/>
      <c r="B360" s="73"/>
      <c r="C360" s="73"/>
      <c r="D360" s="73"/>
      <c r="E360" s="73"/>
      <c r="F360" s="73"/>
      <c r="G360" s="73"/>
      <c r="I360" s="73"/>
    </row>
    <row r="361" spans="1:9" ht="15.75" customHeight="1">
      <c r="A361" s="73"/>
      <c r="B361" s="73"/>
      <c r="C361" s="73"/>
      <c r="D361" s="73"/>
      <c r="E361" s="73"/>
      <c r="F361" s="73"/>
      <c r="G361" s="73"/>
      <c r="I361" s="73"/>
    </row>
    <row r="362" spans="1:9" ht="15.75" customHeight="1">
      <c r="A362" s="73"/>
      <c r="B362" s="73"/>
      <c r="C362" s="73"/>
      <c r="D362" s="73"/>
      <c r="E362" s="73"/>
      <c r="F362" s="73"/>
      <c r="G362" s="73"/>
      <c r="I362" s="73"/>
    </row>
    <row r="363" spans="1:9" ht="15.75" customHeight="1">
      <c r="A363" s="73"/>
      <c r="B363" s="73"/>
      <c r="C363" s="73"/>
      <c r="D363" s="73"/>
      <c r="E363" s="73"/>
      <c r="F363" s="73"/>
      <c r="G363" s="73"/>
      <c r="I363" s="73"/>
    </row>
    <row r="364" spans="1:9" ht="15.75" customHeight="1">
      <c r="A364" s="73"/>
      <c r="B364" s="73"/>
      <c r="C364" s="73"/>
      <c r="D364" s="73"/>
      <c r="E364" s="73"/>
      <c r="F364" s="73"/>
      <c r="G364" s="73"/>
      <c r="I364" s="73"/>
    </row>
    <row r="365" spans="1:9" ht="15.75" customHeight="1">
      <c r="A365" s="73"/>
      <c r="B365" s="73"/>
      <c r="C365" s="73"/>
      <c r="D365" s="73"/>
      <c r="E365" s="73"/>
      <c r="F365" s="73"/>
      <c r="G365" s="73"/>
      <c r="I365" s="73"/>
    </row>
    <row r="366" spans="1:9" ht="15.75" customHeight="1">
      <c r="A366" s="73"/>
      <c r="B366" s="73"/>
      <c r="C366" s="73"/>
      <c r="D366" s="73"/>
      <c r="E366" s="73"/>
      <c r="F366" s="73"/>
      <c r="G366" s="73"/>
      <c r="I366" s="73"/>
    </row>
    <row r="367" spans="1:9" ht="15.75" customHeight="1">
      <c r="A367" s="73"/>
      <c r="B367" s="73"/>
      <c r="C367" s="73"/>
      <c r="D367" s="73"/>
      <c r="E367" s="73"/>
      <c r="F367" s="73"/>
      <c r="G367" s="73"/>
      <c r="I367" s="73"/>
    </row>
    <row r="368" spans="1:9" ht="15.75" customHeight="1">
      <c r="A368" s="73"/>
      <c r="B368" s="73"/>
      <c r="C368" s="73"/>
      <c r="D368" s="73"/>
      <c r="E368" s="73"/>
      <c r="F368" s="73"/>
      <c r="G368" s="73"/>
      <c r="I368" s="73"/>
    </row>
    <row r="369" spans="1:9" ht="15.75" customHeight="1">
      <c r="A369" s="73"/>
      <c r="B369" s="73"/>
      <c r="C369" s="73"/>
      <c r="D369" s="73"/>
      <c r="E369" s="73"/>
      <c r="F369" s="73"/>
      <c r="G369" s="73"/>
      <c r="I369" s="73"/>
    </row>
    <row r="370" spans="1:9" ht="15.75" customHeight="1">
      <c r="A370" s="73"/>
      <c r="B370" s="73"/>
      <c r="C370" s="73"/>
      <c r="D370" s="73"/>
      <c r="E370" s="73"/>
      <c r="F370" s="73"/>
      <c r="G370" s="73"/>
      <c r="I370" s="73"/>
    </row>
    <row r="371" spans="1:9" ht="15.75" customHeight="1">
      <c r="A371" s="73"/>
      <c r="B371" s="73"/>
      <c r="C371" s="73"/>
      <c r="D371" s="73"/>
      <c r="E371" s="73"/>
      <c r="F371" s="73"/>
      <c r="G371" s="73"/>
      <c r="I371" s="73"/>
    </row>
    <row r="372" spans="1:9" ht="15.75" customHeight="1">
      <c r="A372" s="73"/>
      <c r="B372" s="73"/>
      <c r="C372" s="73"/>
      <c r="D372" s="73"/>
      <c r="E372" s="73"/>
      <c r="F372" s="73"/>
      <c r="G372" s="73"/>
      <c r="I372" s="73"/>
    </row>
    <row r="373" spans="1:9" ht="15.75" customHeight="1">
      <c r="A373" s="73"/>
      <c r="B373" s="73"/>
      <c r="C373" s="73"/>
      <c r="D373" s="73"/>
      <c r="E373" s="73"/>
      <c r="F373" s="73"/>
      <c r="G373" s="73"/>
      <c r="I373" s="73"/>
    </row>
    <row r="374" spans="1:9" ht="15.75" customHeight="1">
      <c r="A374" s="73"/>
      <c r="B374" s="73"/>
      <c r="C374" s="73"/>
      <c r="D374" s="73"/>
      <c r="E374" s="73"/>
      <c r="F374" s="73"/>
      <c r="G374" s="73"/>
      <c r="I374" s="73"/>
    </row>
    <row r="375" spans="1:9" ht="15.75" customHeight="1">
      <c r="A375" s="73"/>
      <c r="B375" s="73"/>
      <c r="C375" s="73"/>
      <c r="D375" s="73"/>
      <c r="E375" s="73"/>
      <c r="F375" s="73"/>
      <c r="G375" s="73"/>
      <c r="I375" s="73"/>
    </row>
    <row r="376" spans="1:9" ht="15.75" customHeight="1">
      <c r="A376" s="73"/>
      <c r="B376" s="73"/>
      <c r="C376" s="73"/>
      <c r="D376" s="73"/>
      <c r="E376" s="73"/>
      <c r="F376" s="73"/>
      <c r="G376" s="73"/>
      <c r="I376" s="73"/>
    </row>
    <row r="377" spans="1:9" ht="15.75" customHeight="1">
      <c r="A377" s="73"/>
      <c r="B377" s="73"/>
      <c r="C377" s="73"/>
      <c r="D377" s="73"/>
      <c r="E377" s="73"/>
      <c r="F377" s="73"/>
      <c r="G377" s="73"/>
      <c r="I377" s="73"/>
    </row>
    <row r="378" spans="1:9" ht="15.75" customHeight="1">
      <c r="A378" s="73"/>
      <c r="B378" s="73"/>
      <c r="C378" s="73"/>
      <c r="D378" s="73"/>
      <c r="E378" s="73"/>
      <c r="F378" s="73"/>
      <c r="G378" s="73"/>
      <c r="I378" s="73"/>
    </row>
    <row r="379" spans="1:9" ht="15.75" customHeight="1">
      <c r="A379" s="73"/>
      <c r="B379" s="73"/>
      <c r="C379" s="73"/>
      <c r="D379" s="73"/>
      <c r="E379" s="73"/>
      <c r="F379" s="73"/>
      <c r="G379" s="73"/>
      <c r="I379" s="73"/>
    </row>
    <row r="380" spans="1:9" ht="15.75" customHeight="1">
      <c r="A380" s="73"/>
      <c r="B380" s="73"/>
      <c r="C380" s="73"/>
      <c r="D380" s="73"/>
      <c r="E380" s="73"/>
      <c r="F380" s="73"/>
      <c r="G380" s="73"/>
      <c r="I380" s="73"/>
    </row>
    <row r="381" spans="1:9" ht="15.75" customHeight="1">
      <c r="A381" s="73"/>
      <c r="B381" s="73"/>
      <c r="C381" s="73"/>
      <c r="D381" s="73"/>
      <c r="E381" s="73"/>
      <c r="F381" s="73"/>
      <c r="G381" s="73"/>
      <c r="I381" s="73"/>
    </row>
    <row r="382" spans="1:9" ht="15.75" customHeight="1">
      <c r="A382" s="73"/>
      <c r="B382" s="73"/>
      <c r="C382" s="73"/>
      <c r="D382" s="73"/>
      <c r="E382" s="73"/>
      <c r="F382" s="73"/>
      <c r="G382" s="73"/>
      <c r="I382" s="73"/>
    </row>
    <row r="383" spans="1:9" ht="15.75" customHeight="1">
      <c r="A383" s="73"/>
      <c r="B383" s="73"/>
      <c r="C383" s="73"/>
      <c r="D383" s="73"/>
      <c r="E383" s="73"/>
      <c r="F383" s="73"/>
      <c r="G383" s="73"/>
      <c r="I383" s="73"/>
    </row>
    <row r="384" spans="1:9" ht="15.75" customHeight="1">
      <c r="A384" s="73"/>
      <c r="B384" s="73"/>
      <c r="C384" s="73"/>
      <c r="D384" s="73"/>
      <c r="E384" s="73"/>
      <c r="F384" s="73"/>
      <c r="G384" s="73"/>
      <c r="I384" s="73"/>
    </row>
    <row r="385" spans="1:9" ht="15.75" customHeight="1">
      <c r="A385" s="73"/>
      <c r="B385" s="73"/>
      <c r="C385" s="73"/>
      <c r="D385" s="73"/>
      <c r="E385" s="73"/>
      <c r="F385" s="73"/>
      <c r="G385" s="73"/>
      <c r="I385" s="73"/>
    </row>
    <row r="386" spans="1:9" ht="15.75" customHeight="1">
      <c r="A386" s="73"/>
      <c r="B386" s="73"/>
      <c r="C386" s="73"/>
      <c r="D386" s="73"/>
      <c r="E386" s="73"/>
      <c r="F386" s="73"/>
      <c r="G386" s="73"/>
      <c r="I386" s="73"/>
    </row>
    <row r="387" spans="1:9" ht="15.75" customHeight="1">
      <c r="A387" s="73"/>
      <c r="B387" s="73"/>
      <c r="C387" s="73"/>
      <c r="D387" s="73"/>
      <c r="E387" s="73"/>
      <c r="F387" s="73"/>
      <c r="G387" s="73"/>
      <c r="I387" s="73"/>
    </row>
    <row r="388" spans="1:9" ht="15.75" customHeight="1">
      <c r="A388" s="73"/>
      <c r="B388" s="73"/>
      <c r="C388" s="73"/>
      <c r="D388" s="73"/>
      <c r="E388" s="73"/>
      <c r="F388" s="73"/>
      <c r="G388" s="73"/>
      <c r="I388" s="73"/>
    </row>
    <row r="389" spans="1:9" ht="15.75" customHeight="1">
      <c r="A389" s="73"/>
      <c r="B389" s="73"/>
      <c r="C389" s="73"/>
      <c r="D389" s="73"/>
      <c r="E389" s="73"/>
      <c r="F389" s="73"/>
      <c r="G389" s="73"/>
      <c r="I389" s="73"/>
    </row>
    <row r="390" spans="1:9" ht="15.75" customHeight="1">
      <c r="A390" s="73"/>
      <c r="B390" s="73"/>
      <c r="C390" s="73"/>
      <c r="D390" s="73"/>
      <c r="E390" s="73"/>
      <c r="F390" s="73"/>
      <c r="G390" s="73"/>
      <c r="I390" s="73"/>
    </row>
    <row r="391" spans="1:9" ht="15.75" customHeight="1">
      <c r="A391" s="73"/>
      <c r="B391" s="73"/>
      <c r="C391" s="73"/>
      <c r="D391" s="73"/>
      <c r="E391" s="73"/>
      <c r="F391" s="73"/>
      <c r="G391" s="73"/>
      <c r="I391" s="73"/>
    </row>
    <row r="392" spans="1:9" ht="15.75" customHeight="1">
      <c r="A392" s="73"/>
      <c r="B392" s="73"/>
      <c r="C392" s="73"/>
      <c r="D392" s="73"/>
      <c r="E392" s="73"/>
      <c r="F392" s="73"/>
      <c r="G392" s="73"/>
      <c r="I392" s="73"/>
    </row>
    <row r="393" spans="1:9" ht="15.75" customHeight="1">
      <c r="A393" s="73"/>
      <c r="B393" s="73"/>
      <c r="C393" s="73"/>
      <c r="D393" s="73"/>
      <c r="E393" s="73"/>
      <c r="F393" s="73"/>
      <c r="G393" s="73"/>
      <c r="I393" s="73"/>
    </row>
    <row r="394" spans="1:9" ht="15.75" customHeight="1">
      <c r="A394" s="73"/>
      <c r="B394" s="73"/>
      <c r="C394" s="73"/>
      <c r="D394" s="73"/>
      <c r="E394" s="73"/>
      <c r="F394" s="73"/>
      <c r="G394" s="73"/>
      <c r="I394" s="73"/>
    </row>
    <row r="395" spans="1:9" ht="15.75" customHeight="1">
      <c r="A395" s="73"/>
      <c r="B395" s="73"/>
      <c r="C395" s="73"/>
      <c r="D395" s="73"/>
      <c r="E395" s="73"/>
      <c r="F395" s="73"/>
      <c r="G395" s="73"/>
      <c r="I395" s="73"/>
    </row>
    <row r="396" spans="1:9" ht="15.75" customHeight="1">
      <c r="A396" s="73"/>
      <c r="B396" s="73"/>
      <c r="C396" s="73"/>
      <c r="D396" s="73"/>
      <c r="E396" s="73"/>
      <c r="F396" s="73"/>
      <c r="G396" s="73"/>
      <c r="I396" s="73"/>
    </row>
    <row r="397" spans="1:9" ht="15.75" customHeight="1">
      <c r="A397" s="73"/>
      <c r="B397" s="73"/>
      <c r="C397" s="73"/>
      <c r="D397" s="73"/>
      <c r="E397" s="73"/>
      <c r="F397" s="73"/>
      <c r="G397" s="73"/>
      <c r="I397" s="73"/>
    </row>
    <row r="398" spans="1:9" ht="15.75" customHeight="1">
      <c r="A398" s="73"/>
      <c r="B398" s="73"/>
      <c r="C398" s="73"/>
      <c r="D398" s="73"/>
      <c r="E398" s="73"/>
      <c r="F398" s="73"/>
      <c r="G398" s="73"/>
      <c r="I398" s="73"/>
    </row>
    <row r="399" spans="1:9" ht="15.75" customHeight="1">
      <c r="A399" s="73"/>
      <c r="B399" s="73"/>
      <c r="C399" s="73"/>
      <c r="D399" s="73"/>
      <c r="E399" s="73"/>
      <c r="F399" s="73"/>
      <c r="G399" s="73"/>
      <c r="I399" s="73"/>
    </row>
    <row r="400" spans="1:9" ht="15.75" customHeight="1">
      <c r="A400" s="73"/>
      <c r="B400" s="73"/>
      <c r="C400" s="73"/>
      <c r="D400" s="73"/>
      <c r="E400" s="73"/>
      <c r="F400" s="73"/>
      <c r="G400" s="73"/>
      <c r="I400" s="73"/>
    </row>
    <row r="401" spans="1:9" ht="15.75" customHeight="1">
      <c r="A401" s="73"/>
      <c r="B401" s="73"/>
      <c r="C401" s="73"/>
      <c r="D401" s="73"/>
      <c r="E401" s="73"/>
      <c r="F401" s="73"/>
      <c r="G401" s="73"/>
      <c r="I401" s="73"/>
    </row>
    <row r="402" spans="1:9" ht="15.75" customHeight="1">
      <c r="A402" s="73"/>
      <c r="B402" s="73"/>
      <c r="C402" s="73"/>
      <c r="D402" s="73"/>
      <c r="E402" s="73"/>
      <c r="F402" s="73"/>
      <c r="G402" s="73"/>
      <c r="I402" s="73"/>
    </row>
    <row r="403" spans="1:9" ht="15.75" customHeight="1">
      <c r="A403" s="73"/>
      <c r="B403" s="73"/>
      <c r="C403" s="73"/>
      <c r="D403" s="73"/>
      <c r="E403" s="73"/>
      <c r="F403" s="73"/>
      <c r="G403" s="73"/>
      <c r="I403" s="73"/>
    </row>
    <row r="404" spans="1:9" ht="15.75" customHeight="1">
      <c r="A404" s="73"/>
      <c r="B404" s="73"/>
      <c r="C404" s="73"/>
      <c r="D404" s="73"/>
      <c r="E404" s="73"/>
      <c r="F404" s="73"/>
      <c r="G404" s="73"/>
      <c r="I404" s="73"/>
    </row>
    <row r="405" spans="1:9" ht="15.75" customHeight="1">
      <c r="A405" s="73"/>
      <c r="B405" s="73"/>
      <c r="C405" s="73"/>
      <c r="D405" s="73"/>
      <c r="E405" s="73"/>
      <c r="F405" s="73"/>
      <c r="G405" s="73"/>
      <c r="I405" s="73"/>
    </row>
    <row r="406" spans="1:9" ht="15.75" customHeight="1">
      <c r="A406" s="73"/>
      <c r="B406" s="73"/>
      <c r="C406" s="73"/>
      <c r="D406" s="73"/>
      <c r="E406" s="73"/>
      <c r="F406" s="73"/>
      <c r="G406" s="73"/>
      <c r="I406" s="73"/>
    </row>
    <row r="407" spans="1:9" ht="15.75" customHeight="1">
      <c r="A407" s="73"/>
      <c r="B407" s="73"/>
      <c r="C407" s="73"/>
      <c r="D407" s="73"/>
      <c r="E407" s="73"/>
      <c r="F407" s="73"/>
      <c r="G407" s="73"/>
      <c r="I407" s="73"/>
    </row>
    <row r="408" spans="1:9" ht="15.75" customHeight="1">
      <c r="A408" s="73"/>
      <c r="B408" s="73"/>
      <c r="C408" s="73"/>
      <c r="D408" s="73"/>
      <c r="E408" s="73"/>
      <c r="F408" s="73"/>
      <c r="G408" s="73"/>
      <c r="I408" s="73"/>
    </row>
    <row r="409" spans="1:9" ht="15.75" customHeight="1">
      <c r="A409" s="73"/>
      <c r="B409" s="73"/>
      <c r="C409" s="73"/>
      <c r="D409" s="73"/>
      <c r="E409" s="73"/>
      <c r="F409" s="73"/>
      <c r="G409" s="73"/>
      <c r="I409" s="73"/>
    </row>
    <row r="410" spans="1:9" ht="15.75" customHeight="1">
      <c r="A410" s="73"/>
      <c r="B410" s="73"/>
      <c r="C410" s="73"/>
      <c r="D410" s="73"/>
      <c r="E410" s="73"/>
      <c r="F410" s="73"/>
      <c r="G410" s="73"/>
      <c r="I410" s="73"/>
    </row>
    <row r="411" spans="1:9" ht="15.75" customHeight="1">
      <c r="A411" s="73"/>
      <c r="B411" s="73"/>
      <c r="C411" s="73"/>
      <c r="D411" s="73"/>
      <c r="E411" s="73"/>
      <c r="F411" s="73"/>
      <c r="G411" s="73"/>
      <c r="I411" s="73"/>
    </row>
    <row r="412" spans="1:9" ht="15.75" customHeight="1">
      <c r="A412" s="73"/>
      <c r="B412" s="73"/>
      <c r="C412" s="73"/>
      <c r="D412" s="73"/>
      <c r="E412" s="73"/>
      <c r="F412" s="73"/>
      <c r="G412" s="73"/>
      <c r="I412" s="73"/>
    </row>
    <row r="413" spans="1:9" ht="15.75" customHeight="1">
      <c r="A413" s="73"/>
      <c r="B413" s="73"/>
      <c r="C413" s="73"/>
      <c r="D413" s="73"/>
      <c r="E413" s="73"/>
      <c r="F413" s="73"/>
      <c r="G413" s="73"/>
      <c r="I413" s="73"/>
    </row>
    <row r="414" spans="1:9" ht="15.75" customHeight="1">
      <c r="A414" s="73"/>
      <c r="B414" s="73"/>
      <c r="C414" s="73"/>
      <c r="D414" s="73"/>
      <c r="E414" s="73"/>
      <c r="F414" s="73"/>
      <c r="G414" s="73"/>
      <c r="I414" s="73"/>
    </row>
    <row r="415" spans="1:9" ht="15.75" customHeight="1">
      <c r="A415" s="73"/>
      <c r="B415" s="73"/>
      <c r="C415" s="73"/>
      <c r="D415" s="73"/>
      <c r="E415" s="73"/>
      <c r="F415" s="73"/>
      <c r="G415" s="73"/>
      <c r="I415" s="73"/>
    </row>
    <row r="416" spans="1:9" ht="15.75" customHeight="1">
      <c r="A416" s="73"/>
      <c r="B416" s="73"/>
      <c r="C416" s="73"/>
      <c r="D416" s="73"/>
      <c r="E416" s="73"/>
      <c r="F416" s="73"/>
      <c r="G416" s="73"/>
      <c r="I416" s="73"/>
    </row>
    <row r="417" spans="1:9" ht="15.75" customHeight="1">
      <c r="A417" s="73"/>
      <c r="B417" s="73"/>
      <c r="C417" s="73"/>
      <c r="D417" s="73"/>
      <c r="E417" s="73"/>
      <c r="F417" s="73"/>
      <c r="G417" s="73"/>
      <c r="I417" s="73"/>
    </row>
    <row r="418" spans="1:9" ht="15.75" customHeight="1">
      <c r="A418" s="73"/>
      <c r="B418" s="73"/>
      <c r="C418" s="73"/>
      <c r="D418" s="73"/>
      <c r="E418" s="73"/>
      <c r="F418" s="73"/>
      <c r="G418" s="73"/>
      <c r="I418" s="73"/>
    </row>
    <row r="419" spans="1:9" ht="15.75" customHeight="1">
      <c r="A419" s="73"/>
      <c r="B419" s="73"/>
      <c r="C419" s="73"/>
      <c r="D419" s="73"/>
      <c r="E419" s="73"/>
      <c r="F419" s="73"/>
      <c r="G419" s="73"/>
      <c r="I419" s="73"/>
    </row>
    <row r="420" spans="1:9" ht="15.75" customHeight="1">
      <c r="A420" s="73"/>
      <c r="B420" s="73"/>
      <c r="C420" s="73"/>
      <c r="D420" s="73"/>
      <c r="E420" s="73"/>
      <c r="F420" s="73"/>
      <c r="G420" s="73"/>
      <c r="I420" s="73"/>
    </row>
    <row r="421" spans="1:9" ht="15.75" customHeight="1">
      <c r="A421" s="73"/>
      <c r="B421" s="73"/>
      <c r="C421" s="73"/>
      <c r="D421" s="73"/>
      <c r="E421" s="73"/>
      <c r="F421" s="73"/>
      <c r="G421" s="73"/>
      <c r="I421" s="73"/>
    </row>
    <row r="422" spans="1:9" ht="15.75" customHeight="1">
      <c r="A422" s="73"/>
      <c r="B422" s="73"/>
      <c r="C422" s="73"/>
      <c r="D422" s="73"/>
      <c r="E422" s="73"/>
      <c r="F422" s="73"/>
      <c r="G422" s="73"/>
      <c r="I422" s="73"/>
    </row>
    <row r="423" spans="1:9" ht="15.75" customHeight="1">
      <c r="A423" s="73"/>
      <c r="B423" s="73"/>
      <c r="C423" s="73"/>
      <c r="D423" s="73"/>
      <c r="E423" s="73"/>
      <c r="F423" s="73"/>
      <c r="G423" s="73"/>
      <c r="I423" s="73"/>
    </row>
    <row r="424" spans="1:9" ht="15.75" customHeight="1">
      <c r="A424" s="73"/>
      <c r="B424" s="73"/>
      <c r="C424" s="73"/>
      <c r="D424" s="73"/>
      <c r="E424" s="73"/>
      <c r="F424" s="73"/>
      <c r="G424" s="73"/>
      <c r="I424" s="73"/>
    </row>
    <row r="425" spans="1:9" ht="15.75" customHeight="1">
      <c r="A425" s="73"/>
      <c r="B425" s="73"/>
      <c r="C425" s="73"/>
      <c r="D425" s="73"/>
      <c r="E425" s="73"/>
      <c r="F425" s="73"/>
      <c r="G425" s="73"/>
      <c r="I425" s="73"/>
    </row>
    <row r="426" spans="1:9" ht="15.75" customHeight="1">
      <c r="A426" s="73"/>
      <c r="B426" s="73"/>
      <c r="C426" s="73"/>
      <c r="D426" s="73"/>
      <c r="E426" s="73"/>
      <c r="F426" s="73"/>
      <c r="G426" s="73"/>
      <c r="I426" s="73"/>
    </row>
    <row r="427" spans="1:9" ht="15.75" customHeight="1">
      <c r="A427" s="73"/>
      <c r="B427" s="73"/>
      <c r="C427" s="73"/>
      <c r="D427" s="73"/>
      <c r="E427" s="73"/>
      <c r="F427" s="73"/>
      <c r="G427" s="73"/>
      <c r="I427" s="73"/>
    </row>
    <row r="428" spans="1:9" ht="15.75" customHeight="1">
      <c r="A428" s="73"/>
      <c r="B428" s="73"/>
      <c r="C428" s="73"/>
      <c r="D428" s="73"/>
      <c r="E428" s="73"/>
      <c r="F428" s="73"/>
      <c r="G428" s="73"/>
      <c r="I428" s="73"/>
    </row>
    <row r="429" spans="1:9" ht="15.75" customHeight="1">
      <c r="A429" s="73"/>
      <c r="B429" s="73"/>
      <c r="C429" s="73"/>
      <c r="D429" s="73"/>
      <c r="E429" s="73"/>
      <c r="F429" s="73"/>
      <c r="G429" s="73"/>
      <c r="I429" s="73"/>
    </row>
    <row r="430" spans="1:9" ht="15.75" customHeight="1">
      <c r="A430" s="73"/>
      <c r="B430" s="73"/>
      <c r="C430" s="73"/>
      <c r="D430" s="73"/>
      <c r="E430" s="73"/>
      <c r="F430" s="73"/>
      <c r="G430" s="73"/>
      <c r="I430" s="73"/>
    </row>
    <row r="431" spans="1:9" ht="15.75" customHeight="1">
      <c r="A431" s="73"/>
      <c r="B431" s="73"/>
      <c r="C431" s="73"/>
      <c r="D431" s="73"/>
      <c r="E431" s="73"/>
      <c r="F431" s="73"/>
      <c r="G431" s="73"/>
      <c r="I431" s="73"/>
    </row>
    <row r="432" spans="1:9" ht="15.75" customHeight="1">
      <c r="A432" s="73"/>
      <c r="B432" s="73"/>
      <c r="C432" s="73"/>
      <c r="D432" s="73"/>
      <c r="E432" s="73"/>
      <c r="F432" s="73"/>
      <c r="G432" s="73"/>
      <c r="I432" s="73"/>
    </row>
    <row r="433" spans="1:9" ht="15.75" customHeight="1">
      <c r="A433" s="73"/>
      <c r="B433" s="73"/>
      <c r="C433" s="73"/>
      <c r="D433" s="73"/>
      <c r="E433" s="73"/>
      <c r="F433" s="73"/>
      <c r="G433" s="73"/>
      <c r="I433" s="73"/>
    </row>
    <row r="434" spans="1:9" ht="15.75" customHeight="1">
      <c r="A434" s="73"/>
      <c r="B434" s="73"/>
      <c r="C434" s="73"/>
      <c r="D434" s="73"/>
      <c r="E434" s="73"/>
      <c r="F434" s="73"/>
      <c r="G434" s="73"/>
      <c r="I434" s="73"/>
    </row>
    <row r="435" spans="1:9" ht="15.75" customHeight="1">
      <c r="A435" s="73"/>
      <c r="B435" s="73"/>
      <c r="C435" s="73"/>
      <c r="D435" s="73"/>
      <c r="E435" s="73"/>
      <c r="F435" s="73"/>
      <c r="G435" s="73"/>
      <c r="I435" s="73"/>
    </row>
    <row r="436" spans="1:9" ht="15.75" customHeight="1">
      <c r="A436" s="73"/>
      <c r="B436" s="73"/>
      <c r="C436" s="73"/>
      <c r="D436" s="73"/>
      <c r="E436" s="73"/>
      <c r="F436" s="73"/>
      <c r="G436" s="73"/>
      <c r="I436" s="73"/>
    </row>
    <row r="437" spans="1:9" ht="15.75" customHeight="1">
      <c r="A437" s="73"/>
      <c r="B437" s="73"/>
      <c r="C437" s="73"/>
      <c r="D437" s="73"/>
      <c r="E437" s="73"/>
      <c r="F437" s="73"/>
      <c r="G437" s="73"/>
      <c r="I437" s="73"/>
    </row>
    <row r="438" spans="1:9" ht="15.75" customHeight="1">
      <c r="A438" s="73"/>
      <c r="B438" s="73"/>
      <c r="C438" s="73"/>
      <c r="D438" s="73"/>
      <c r="E438" s="73"/>
      <c r="F438" s="73"/>
      <c r="G438" s="73"/>
      <c r="I438" s="73"/>
    </row>
    <row r="439" spans="1:9" ht="15.75" customHeight="1">
      <c r="A439" s="73"/>
      <c r="B439" s="73"/>
      <c r="C439" s="73"/>
      <c r="D439" s="73"/>
      <c r="E439" s="73"/>
      <c r="F439" s="73"/>
      <c r="G439" s="73"/>
      <c r="I439" s="73"/>
    </row>
    <row r="440" spans="1:9" ht="15.75" customHeight="1">
      <c r="A440" s="73"/>
      <c r="B440" s="73"/>
      <c r="C440" s="73"/>
      <c r="D440" s="73"/>
      <c r="E440" s="73"/>
      <c r="F440" s="73"/>
      <c r="G440" s="73"/>
      <c r="I440" s="73"/>
    </row>
    <row r="441" spans="1:9" ht="15.75" customHeight="1">
      <c r="A441" s="73"/>
      <c r="B441" s="73"/>
      <c r="C441" s="73"/>
      <c r="D441" s="73"/>
      <c r="E441" s="73"/>
      <c r="F441" s="73"/>
      <c r="G441" s="73"/>
      <c r="I441" s="73"/>
    </row>
    <row r="442" spans="1:9" ht="15.75" customHeight="1">
      <c r="A442" s="73"/>
      <c r="B442" s="73"/>
      <c r="C442" s="73"/>
      <c r="D442" s="73"/>
      <c r="E442" s="73"/>
      <c r="F442" s="73"/>
      <c r="G442" s="73"/>
      <c r="I442" s="73"/>
    </row>
    <row r="443" spans="1:9" ht="15.75" customHeight="1">
      <c r="A443" s="73"/>
      <c r="B443" s="73"/>
      <c r="C443" s="73"/>
      <c r="D443" s="73"/>
      <c r="E443" s="73"/>
      <c r="F443" s="73"/>
      <c r="G443" s="73"/>
      <c r="I443" s="73"/>
    </row>
    <row r="444" spans="1:9" ht="15.75" customHeight="1">
      <c r="A444" s="73"/>
      <c r="B444" s="73"/>
      <c r="C444" s="73"/>
      <c r="D444" s="73"/>
      <c r="E444" s="73"/>
      <c r="F444" s="73"/>
      <c r="G444" s="73"/>
      <c r="I444" s="73"/>
    </row>
    <row r="445" spans="1:9" ht="15.75" customHeight="1">
      <c r="A445" s="73"/>
      <c r="B445" s="73"/>
      <c r="C445" s="73"/>
      <c r="D445" s="73"/>
      <c r="E445" s="73"/>
      <c r="F445" s="73"/>
      <c r="G445" s="73"/>
      <c r="I445" s="73"/>
    </row>
    <row r="446" spans="1:9" ht="15.75" customHeight="1">
      <c r="A446" s="73"/>
      <c r="B446" s="73"/>
      <c r="C446" s="73"/>
      <c r="D446" s="73"/>
      <c r="E446" s="73"/>
      <c r="F446" s="73"/>
      <c r="G446" s="73"/>
      <c r="I446" s="73"/>
    </row>
    <row r="447" spans="1:9" ht="15.75" customHeight="1">
      <c r="A447" s="73"/>
      <c r="B447" s="73"/>
      <c r="C447" s="73"/>
      <c r="D447" s="73"/>
      <c r="E447" s="73"/>
      <c r="F447" s="73"/>
      <c r="G447" s="73"/>
      <c r="I447" s="73"/>
    </row>
    <row r="448" spans="1:9" ht="15.75" customHeight="1">
      <c r="A448" s="73"/>
      <c r="B448" s="73"/>
      <c r="C448" s="73"/>
      <c r="D448" s="73"/>
      <c r="E448" s="73"/>
      <c r="F448" s="73"/>
      <c r="G448" s="73"/>
      <c r="I448" s="73"/>
    </row>
    <row r="449" spans="1:9" ht="15.75" customHeight="1">
      <c r="A449" s="73"/>
      <c r="B449" s="73"/>
      <c r="C449" s="73"/>
      <c r="D449" s="73"/>
      <c r="E449" s="73"/>
      <c r="F449" s="73"/>
      <c r="G449" s="73"/>
      <c r="I449" s="73"/>
    </row>
    <row r="450" spans="1:9" ht="15.75" customHeight="1">
      <c r="A450" s="73"/>
      <c r="B450" s="73"/>
      <c r="C450" s="73"/>
      <c r="D450" s="73"/>
      <c r="E450" s="73"/>
      <c r="F450" s="73"/>
      <c r="G450" s="73"/>
      <c r="I450" s="73"/>
    </row>
    <row r="451" spans="1:9" ht="15.75" customHeight="1">
      <c r="A451" s="73"/>
      <c r="B451" s="73"/>
      <c r="C451" s="73"/>
      <c r="D451" s="73"/>
      <c r="E451" s="73"/>
      <c r="F451" s="73"/>
      <c r="G451" s="73"/>
      <c r="I451" s="73"/>
    </row>
    <row r="452" spans="1:9" ht="15.75" customHeight="1">
      <c r="A452" s="73"/>
      <c r="B452" s="73"/>
      <c r="C452" s="73"/>
      <c r="D452" s="73"/>
      <c r="E452" s="73"/>
      <c r="F452" s="73"/>
      <c r="G452" s="73"/>
      <c r="I452" s="73"/>
    </row>
    <row r="453" spans="1:9" ht="15.75" customHeight="1">
      <c r="A453" s="73"/>
      <c r="B453" s="73"/>
      <c r="C453" s="73"/>
      <c r="D453" s="73"/>
      <c r="E453" s="73"/>
      <c r="F453" s="73"/>
      <c r="G453" s="73"/>
      <c r="I453" s="73"/>
    </row>
    <row r="454" spans="1:9" ht="15.75" customHeight="1">
      <c r="A454" s="73"/>
      <c r="B454" s="73"/>
      <c r="C454" s="73"/>
      <c r="D454" s="73"/>
      <c r="E454" s="73"/>
      <c r="F454" s="73"/>
      <c r="G454" s="73"/>
      <c r="I454" s="73"/>
    </row>
    <row r="455" spans="1:9" ht="15.75" customHeight="1">
      <c r="A455" s="73"/>
      <c r="B455" s="73"/>
      <c r="C455" s="73"/>
      <c r="D455" s="73"/>
      <c r="E455" s="73"/>
      <c r="F455" s="73"/>
      <c r="G455" s="73"/>
      <c r="I455" s="73"/>
    </row>
    <row r="456" spans="1:9" ht="15.75" customHeight="1">
      <c r="A456" s="73"/>
      <c r="B456" s="73"/>
      <c r="C456" s="73"/>
      <c r="D456" s="73"/>
      <c r="E456" s="73"/>
      <c r="F456" s="73"/>
      <c r="G456" s="73"/>
      <c r="I456" s="73"/>
    </row>
    <row r="457" spans="1:9" ht="15.75" customHeight="1">
      <c r="A457" s="73"/>
      <c r="B457" s="73"/>
      <c r="C457" s="73"/>
      <c r="D457" s="73"/>
      <c r="E457" s="73"/>
      <c r="F457" s="73"/>
      <c r="G457" s="73"/>
      <c r="I457" s="73"/>
    </row>
    <row r="458" spans="1:9" ht="15.75" customHeight="1">
      <c r="A458" s="73"/>
      <c r="B458" s="73"/>
      <c r="C458" s="73"/>
      <c r="D458" s="73"/>
      <c r="E458" s="73"/>
      <c r="F458" s="73"/>
      <c r="G458" s="73"/>
      <c r="I458" s="73"/>
    </row>
    <row r="459" spans="1:9" ht="15.75" customHeight="1">
      <c r="A459" s="73"/>
      <c r="B459" s="73"/>
      <c r="C459" s="73"/>
      <c r="D459" s="73"/>
      <c r="E459" s="73"/>
      <c r="F459" s="73"/>
      <c r="G459" s="73"/>
      <c r="I459" s="73"/>
    </row>
    <row r="460" spans="1:9" ht="15.75" customHeight="1">
      <c r="A460" s="73"/>
      <c r="B460" s="73"/>
      <c r="C460" s="73"/>
      <c r="D460" s="73"/>
      <c r="E460" s="73"/>
      <c r="F460" s="73"/>
      <c r="G460" s="73"/>
      <c r="I460" s="73"/>
    </row>
    <row r="461" spans="1:9" ht="15.75" customHeight="1">
      <c r="A461" s="73"/>
      <c r="B461" s="73"/>
      <c r="C461" s="73"/>
      <c r="D461" s="73"/>
      <c r="E461" s="73"/>
      <c r="F461" s="73"/>
      <c r="G461" s="73"/>
      <c r="I461" s="73"/>
    </row>
    <row r="462" spans="1:9" ht="15.75" customHeight="1">
      <c r="A462" s="73"/>
      <c r="B462" s="73"/>
      <c r="C462" s="73"/>
      <c r="D462" s="73"/>
      <c r="E462" s="73"/>
      <c r="F462" s="73"/>
      <c r="G462" s="73"/>
      <c r="I462" s="73"/>
    </row>
    <row r="463" spans="1:9" ht="15.75" customHeight="1">
      <c r="A463" s="73"/>
      <c r="B463" s="73"/>
      <c r="C463" s="73"/>
      <c r="D463" s="73"/>
      <c r="E463" s="73"/>
      <c r="F463" s="73"/>
      <c r="G463" s="73"/>
      <c r="I463" s="73"/>
    </row>
    <row r="464" spans="1:9" ht="15.75" customHeight="1">
      <c r="A464" s="73"/>
      <c r="B464" s="73"/>
      <c r="C464" s="73"/>
      <c r="D464" s="73"/>
      <c r="E464" s="73"/>
      <c r="F464" s="73"/>
      <c r="G464" s="73"/>
      <c r="I464" s="73"/>
    </row>
    <row r="465" spans="1:9" ht="15.75" customHeight="1">
      <c r="A465" s="73"/>
      <c r="B465" s="73"/>
      <c r="C465" s="73"/>
      <c r="D465" s="73"/>
      <c r="E465" s="73"/>
      <c r="F465" s="73"/>
      <c r="G465" s="73"/>
      <c r="I465" s="73"/>
    </row>
    <row r="466" spans="1:9" ht="15.75" customHeight="1">
      <c r="A466" s="73"/>
      <c r="B466" s="73"/>
      <c r="C466" s="73"/>
      <c r="D466" s="73"/>
      <c r="E466" s="73"/>
      <c r="F466" s="73"/>
      <c r="G466" s="73"/>
      <c r="I466" s="73"/>
    </row>
    <row r="467" spans="1:9" ht="15.75" customHeight="1">
      <c r="A467" s="73"/>
      <c r="B467" s="73"/>
      <c r="C467" s="73"/>
      <c r="D467" s="73"/>
      <c r="E467" s="73"/>
      <c r="F467" s="73"/>
      <c r="G467" s="73"/>
      <c r="I467" s="73"/>
    </row>
    <row r="468" spans="1:9" ht="15.75" customHeight="1">
      <c r="A468" s="73"/>
      <c r="B468" s="73"/>
      <c r="C468" s="73"/>
      <c r="D468" s="73"/>
      <c r="E468" s="73"/>
      <c r="F468" s="73"/>
      <c r="G468" s="73"/>
      <c r="I468" s="73"/>
    </row>
    <row r="469" spans="1:9" ht="15.75" customHeight="1">
      <c r="A469" s="73"/>
      <c r="B469" s="73"/>
      <c r="C469" s="73"/>
      <c r="D469" s="73"/>
      <c r="E469" s="73"/>
      <c r="F469" s="73"/>
      <c r="G469" s="73"/>
      <c r="I469" s="73"/>
    </row>
    <row r="470" spans="1:9" ht="15.75" customHeight="1">
      <c r="A470" s="73"/>
      <c r="B470" s="73"/>
      <c r="C470" s="73"/>
      <c r="D470" s="73"/>
      <c r="E470" s="73"/>
      <c r="F470" s="73"/>
      <c r="G470" s="73"/>
      <c r="I470" s="73"/>
    </row>
    <row r="471" spans="1:9" ht="15.75" customHeight="1">
      <c r="A471" s="73"/>
      <c r="B471" s="73"/>
      <c r="C471" s="73"/>
      <c r="D471" s="73"/>
      <c r="E471" s="73"/>
      <c r="F471" s="73"/>
      <c r="G471" s="73"/>
      <c r="I471" s="73"/>
    </row>
    <row r="472" spans="1:9" ht="15.75" customHeight="1">
      <c r="A472" s="73"/>
      <c r="B472" s="73"/>
      <c r="C472" s="73"/>
      <c r="D472" s="73"/>
      <c r="E472" s="73"/>
      <c r="F472" s="73"/>
      <c r="G472" s="73"/>
      <c r="I472" s="73"/>
    </row>
    <row r="473" spans="1:9" ht="15.75" customHeight="1">
      <c r="A473" s="73"/>
      <c r="B473" s="73"/>
      <c r="C473" s="73"/>
      <c r="D473" s="73"/>
      <c r="E473" s="73"/>
      <c r="F473" s="73"/>
      <c r="G473" s="73"/>
      <c r="I473" s="73"/>
    </row>
    <row r="474" spans="1:9" ht="15.75" customHeight="1">
      <c r="A474" s="73"/>
      <c r="B474" s="73"/>
      <c r="C474" s="73"/>
      <c r="D474" s="73"/>
      <c r="E474" s="73"/>
      <c r="F474" s="73"/>
      <c r="G474" s="73"/>
      <c r="I474" s="73"/>
    </row>
    <row r="475" spans="1:9" ht="15.75" customHeight="1">
      <c r="A475" s="73"/>
      <c r="B475" s="73"/>
      <c r="C475" s="73"/>
      <c r="D475" s="73"/>
      <c r="E475" s="73"/>
      <c r="F475" s="73"/>
      <c r="G475" s="73"/>
      <c r="I475" s="73"/>
    </row>
    <row r="476" spans="1:9" ht="15.75" customHeight="1">
      <c r="A476" s="73"/>
      <c r="B476" s="73"/>
      <c r="C476" s="73"/>
      <c r="D476" s="73"/>
      <c r="E476" s="73"/>
      <c r="F476" s="73"/>
      <c r="G476" s="73"/>
      <c r="I476" s="73"/>
    </row>
    <row r="477" spans="1:9" ht="15.75" customHeight="1">
      <c r="A477" s="73"/>
      <c r="B477" s="73"/>
      <c r="C477" s="73"/>
      <c r="D477" s="73"/>
      <c r="E477" s="73"/>
      <c r="F477" s="73"/>
      <c r="G477" s="73"/>
      <c r="I477" s="73"/>
    </row>
    <row r="478" spans="1:9" ht="15.75" customHeight="1">
      <c r="A478" s="73"/>
      <c r="B478" s="73"/>
      <c r="C478" s="73"/>
      <c r="D478" s="73"/>
      <c r="E478" s="73"/>
      <c r="F478" s="73"/>
      <c r="G478" s="73"/>
      <c r="I478" s="73"/>
    </row>
    <row r="479" spans="1:9" ht="15.75" customHeight="1">
      <c r="A479" s="73"/>
      <c r="B479" s="73"/>
      <c r="C479" s="73"/>
      <c r="D479" s="73"/>
      <c r="E479" s="73"/>
      <c r="F479" s="73"/>
      <c r="G479" s="73"/>
      <c r="I479" s="73"/>
    </row>
    <row r="480" spans="1:9" ht="15.75" customHeight="1">
      <c r="A480" s="73"/>
      <c r="B480" s="73"/>
      <c r="C480" s="73"/>
      <c r="D480" s="73"/>
      <c r="E480" s="73"/>
      <c r="F480" s="73"/>
      <c r="G480" s="73"/>
      <c r="I480" s="73"/>
    </row>
    <row r="481" spans="1:9" ht="15.75" customHeight="1">
      <c r="A481" s="73"/>
      <c r="B481" s="73"/>
      <c r="C481" s="73"/>
      <c r="D481" s="73"/>
      <c r="E481" s="73"/>
      <c r="F481" s="73"/>
      <c r="G481" s="73"/>
      <c r="I481" s="73"/>
    </row>
    <row r="482" spans="1:9" ht="15.75" customHeight="1">
      <c r="A482" s="73"/>
      <c r="B482" s="73"/>
      <c r="C482" s="73"/>
      <c r="D482" s="73"/>
      <c r="E482" s="73"/>
      <c r="F482" s="73"/>
      <c r="G482" s="73"/>
      <c r="I482" s="73"/>
    </row>
    <row r="483" spans="1:9" ht="15.75" customHeight="1">
      <c r="A483" s="73"/>
      <c r="B483" s="73"/>
      <c r="C483" s="73"/>
      <c r="D483" s="73"/>
      <c r="E483" s="73"/>
      <c r="F483" s="73"/>
      <c r="G483" s="73"/>
      <c r="I483" s="73"/>
    </row>
    <row r="484" spans="1:9" ht="15.75" customHeight="1">
      <c r="A484" s="73"/>
      <c r="B484" s="73"/>
      <c r="C484" s="73"/>
      <c r="D484" s="73"/>
      <c r="E484" s="73"/>
      <c r="F484" s="73"/>
      <c r="G484" s="73"/>
      <c r="I484" s="73"/>
    </row>
    <row r="485" spans="1:9" ht="15.75" customHeight="1">
      <c r="A485" s="73"/>
      <c r="B485" s="73"/>
      <c r="C485" s="73"/>
      <c r="D485" s="73"/>
      <c r="E485" s="73"/>
      <c r="F485" s="73"/>
      <c r="G485" s="73"/>
      <c r="I485" s="73"/>
    </row>
    <row r="486" spans="1:9" ht="15.75" customHeight="1">
      <c r="A486" s="73"/>
      <c r="B486" s="73"/>
      <c r="C486" s="73"/>
      <c r="D486" s="73"/>
      <c r="E486" s="73"/>
      <c r="F486" s="73"/>
      <c r="G486" s="73"/>
      <c r="I486" s="73"/>
    </row>
    <row r="487" spans="1:9" ht="15.75" customHeight="1">
      <c r="A487" s="73"/>
      <c r="B487" s="73"/>
      <c r="C487" s="73"/>
      <c r="D487" s="73"/>
      <c r="E487" s="73"/>
      <c r="F487" s="73"/>
      <c r="G487" s="73"/>
      <c r="I487" s="73"/>
    </row>
    <row r="488" spans="1:9" ht="15.75" customHeight="1">
      <c r="A488" s="73"/>
      <c r="B488" s="73"/>
      <c r="C488" s="73"/>
      <c r="D488" s="73"/>
      <c r="E488" s="73"/>
      <c r="F488" s="73"/>
      <c r="G488" s="73"/>
      <c r="I488" s="73"/>
    </row>
    <row r="489" spans="1:9" ht="15.75" customHeight="1">
      <c r="A489" s="73"/>
      <c r="B489" s="73"/>
      <c r="C489" s="73"/>
      <c r="D489" s="73"/>
      <c r="E489" s="73"/>
      <c r="F489" s="73"/>
      <c r="G489" s="73"/>
      <c r="I489" s="73"/>
    </row>
    <row r="490" spans="1:9" ht="15.75" customHeight="1">
      <c r="A490" s="73"/>
      <c r="B490" s="73"/>
      <c r="C490" s="73"/>
      <c r="D490" s="73"/>
      <c r="E490" s="73"/>
      <c r="F490" s="73"/>
      <c r="G490" s="73"/>
      <c r="I490" s="73"/>
    </row>
    <row r="491" spans="1:9" ht="15.75" customHeight="1">
      <c r="A491" s="73"/>
      <c r="B491" s="73"/>
      <c r="C491" s="73"/>
      <c r="D491" s="73"/>
      <c r="E491" s="73"/>
      <c r="F491" s="73"/>
      <c r="G491" s="73"/>
      <c r="I491" s="73"/>
    </row>
    <row r="492" spans="1:9" ht="15.75" customHeight="1">
      <c r="A492" s="73"/>
      <c r="B492" s="73"/>
      <c r="C492" s="73"/>
      <c r="D492" s="73"/>
      <c r="E492" s="73"/>
      <c r="F492" s="73"/>
      <c r="G492" s="73"/>
      <c r="I492" s="73"/>
    </row>
    <row r="493" spans="1:9" ht="15.75" customHeight="1">
      <c r="A493" s="73"/>
      <c r="B493" s="73"/>
      <c r="C493" s="73"/>
      <c r="D493" s="73"/>
      <c r="E493" s="73"/>
      <c r="F493" s="73"/>
      <c r="G493" s="73"/>
      <c r="I493" s="73"/>
    </row>
    <row r="494" spans="1:9" ht="15.75" customHeight="1">
      <c r="A494" s="73"/>
      <c r="B494" s="73"/>
      <c r="C494" s="73"/>
      <c r="D494" s="73"/>
      <c r="E494" s="73"/>
      <c r="F494" s="73"/>
      <c r="G494" s="73"/>
      <c r="I494" s="73"/>
    </row>
    <row r="495" spans="1:9" ht="15.75" customHeight="1">
      <c r="A495" s="73"/>
      <c r="B495" s="73"/>
      <c r="C495" s="73"/>
      <c r="D495" s="73"/>
      <c r="E495" s="73"/>
      <c r="F495" s="73"/>
      <c r="G495" s="73"/>
      <c r="I495" s="73"/>
    </row>
    <row r="496" spans="1:9" ht="15.75" customHeight="1">
      <c r="A496" s="73"/>
      <c r="B496" s="73"/>
      <c r="C496" s="73"/>
      <c r="D496" s="73"/>
      <c r="E496" s="73"/>
      <c r="F496" s="73"/>
      <c r="G496" s="73"/>
      <c r="I496" s="73"/>
    </row>
    <row r="497" spans="1:9" ht="15.75" customHeight="1">
      <c r="A497" s="73"/>
      <c r="B497" s="73"/>
      <c r="C497" s="73"/>
      <c r="D497" s="73"/>
      <c r="E497" s="73"/>
      <c r="F497" s="73"/>
      <c r="G497" s="73"/>
      <c r="I497" s="73"/>
    </row>
    <row r="498" spans="1:9" ht="15.75" customHeight="1">
      <c r="A498" s="73"/>
      <c r="B498" s="73"/>
      <c r="C498" s="73"/>
      <c r="D498" s="73"/>
      <c r="E498" s="73"/>
      <c r="F498" s="73"/>
      <c r="G498" s="73"/>
      <c r="I498" s="73"/>
    </row>
    <row r="499" spans="1:9" ht="15.75" customHeight="1">
      <c r="A499" s="73"/>
      <c r="B499" s="73"/>
      <c r="C499" s="73"/>
      <c r="D499" s="73"/>
      <c r="E499" s="73"/>
      <c r="F499" s="73"/>
      <c r="G499" s="73"/>
      <c r="I499" s="73"/>
    </row>
    <row r="500" spans="1:9" ht="15.75" customHeight="1">
      <c r="A500" s="73"/>
      <c r="B500" s="73"/>
      <c r="C500" s="73"/>
      <c r="D500" s="73"/>
      <c r="E500" s="73"/>
      <c r="F500" s="73"/>
      <c r="G500" s="73"/>
      <c r="I500" s="73"/>
    </row>
    <row r="501" spans="1:9" ht="15.75" customHeight="1">
      <c r="A501" s="73"/>
      <c r="B501" s="73"/>
      <c r="C501" s="73"/>
      <c r="D501" s="73"/>
      <c r="E501" s="73"/>
      <c r="F501" s="73"/>
      <c r="G501" s="73"/>
      <c r="I501" s="73"/>
    </row>
    <row r="502" spans="1:9" ht="15.75" customHeight="1">
      <c r="A502" s="73"/>
      <c r="B502" s="73"/>
      <c r="C502" s="73"/>
      <c r="D502" s="73"/>
      <c r="E502" s="73"/>
      <c r="F502" s="73"/>
      <c r="G502" s="73"/>
      <c r="I502" s="73"/>
    </row>
    <row r="503" spans="1:9" ht="15.75" customHeight="1">
      <c r="A503" s="73"/>
      <c r="B503" s="73"/>
      <c r="C503" s="73"/>
      <c r="D503" s="73"/>
      <c r="E503" s="73"/>
      <c r="F503" s="73"/>
      <c r="G503" s="73"/>
      <c r="I503" s="73"/>
    </row>
    <row r="504" spans="1:9" ht="15.75" customHeight="1">
      <c r="A504" s="73"/>
      <c r="B504" s="73"/>
      <c r="C504" s="73"/>
      <c r="D504" s="73"/>
      <c r="E504" s="73"/>
      <c r="F504" s="73"/>
      <c r="G504" s="73"/>
      <c r="I504" s="73"/>
    </row>
    <row r="505" spans="1:9" ht="15.75" customHeight="1">
      <c r="A505" s="73"/>
      <c r="B505" s="73"/>
      <c r="C505" s="73"/>
      <c r="D505" s="73"/>
      <c r="E505" s="73"/>
      <c r="F505" s="73"/>
      <c r="G505" s="73"/>
      <c r="I505" s="73"/>
    </row>
    <row r="506" spans="1:9" ht="15.75" customHeight="1">
      <c r="A506" s="73"/>
      <c r="B506" s="73"/>
      <c r="C506" s="73"/>
      <c r="D506" s="73"/>
      <c r="E506" s="73"/>
      <c r="F506" s="73"/>
      <c r="G506" s="73"/>
      <c r="I506" s="73"/>
    </row>
    <row r="507" spans="1:9" ht="15.75" customHeight="1">
      <c r="A507" s="73"/>
      <c r="B507" s="73"/>
      <c r="C507" s="73"/>
      <c r="D507" s="73"/>
      <c r="E507" s="73"/>
      <c r="F507" s="73"/>
      <c r="G507" s="73"/>
      <c r="I507" s="73"/>
    </row>
    <row r="508" spans="1:9" ht="15.75" customHeight="1">
      <c r="A508" s="73"/>
      <c r="B508" s="73"/>
      <c r="C508" s="73"/>
      <c r="D508" s="73"/>
      <c r="E508" s="73"/>
      <c r="F508" s="73"/>
      <c r="G508" s="73"/>
      <c r="I508" s="73"/>
    </row>
    <row r="509" spans="1:9" ht="15.75" customHeight="1">
      <c r="A509" s="73"/>
      <c r="B509" s="73"/>
      <c r="C509" s="73"/>
      <c r="D509" s="73"/>
      <c r="E509" s="73"/>
      <c r="F509" s="73"/>
      <c r="G509" s="73"/>
      <c r="I509" s="73"/>
    </row>
    <row r="510" spans="1:9" ht="15.75" customHeight="1">
      <c r="A510" s="73"/>
      <c r="B510" s="73"/>
      <c r="C510" s="73"/>
      <c r="D510" s="73"/>
      <c r="E510" s="73"/>
      <c r="F510" s="73"/>
      <c r="G510" s="73"/>
      <c r="I510" s="73"/>
    </row>
    <row r="511" spans="1:9" ht="15.75" customHeight="1">
      <c r="A511" s="73"/>
      <c r="B511" s="73"/>
      <c r="C511" s="73"/>
      <c r="D511" s="73"/>
      <c r="E511" s="73"/>
      <c r="F511" s="73"/>
      <c r="G511" s="73"/>
      <c r="I511" s="73"/>
    </row>
    <row r="512" spans="1:9" ht="15.75" customHeight="1">
      <c r="A512" s="73"/>
      <c r="B512" s="73"/>
      <c r="C512" s="73"/>
      <c r="D512" s="73"/>
      <c r="E512" s="73"/>
      <c r="F512" s="73"/>
      <c r="G512" s="73"/>
      <c r="I512" s="73"/>
    </row>
    <row r="513" spans="1:9" ht="15.75" customHeight="1">
      <c r="A513" s="73"/>
      <c r="B513" s="73"/>
      <c r="C513" s="73"/>
      <c r="D513" s="73"/>
      <c r="E513" s="73"/>
      <c r="F513" s="73"/>
      <c r="G513" s="73"/>
      <c r="I513" s="73"/>
    </row>
    <row r="514" spans="1:9" ht="15.75" customHeight="1">
      <c r="A514" s="73"/>
      <c r="B514" s="73"/>
      <c r="C514" s="73"/>
      <c r="D514" s="73"/>
      <c r="E514" s="73"/>
      <c r="F514" s="73"/>
      <c r="G514" s="73"/>
      <c r="I514" s="73"/>
    </row>
    <row r="515" spans="1:9" ht="15.75" customHeight="1">
      <c r="A515" s="73"/>
      <c r="B515" s="73"/>
      <c r="C515" s="73"/>
      <c r="D515" s="73"/>
      <c r="E515" s="73"/>
      <c r="F515" s="73"/>
      <c r="G515" s="73"/>
      <c r="I515" s="73"/>
    </row>
    <row r="516" spans="1:9" ht="15.75" customHeight="1">
      <c r="A516" s="73"/>
      <c r="B516" s="73"/>
      <c r="C516" s="73"/>
      <c r="D516" s="73"/>
      <c r="E516" s="73"/>
      <c r="F516" s="73"/>
      <c r="G516" s="73"/>
      <c r="I516" s="73"/>
    </row>
    <row r="517" spans="1:9" ht="15.75" customHeight="1">
      <c r="A517" s="73"/>
      <c r="B517" s="73"/>
      <c r="C517" s="73"/>
      <c r="D517" s="73"/>
      <c r="E517" s="73"/>
      <c r="F517" s="73"/>
      <c r="G517" s="73"/>
      <c r="I517" s="73"/>
    </row>
    <row r="518" spans="1:9" ht="15.75" customHeight="1">
      <c r="A518" s="73"/>
      <c r="B518" s="73"/>
      <c r="C518" s="73"/>
      <c r="D518" s="73"/>
      <c r="E518" s="73"/>
      <c r="F518" s="73"/>
      <c r="G518" s="73"/>
      <c r="I518" s="73"/>
    </row>
    <row r="519" spans="1:9" ht="15.75" customHeight="1">
      <c r="A519" s="73"/>
      <c r="B519" s="73"/>
      <c r="C519" s="73"/>
      <c r="D519" s="73"/>
      <c r="E519" s="73"/>
      <c r="F519" s="73"/>
      <c r="G519" s="73"/>
      <c r="I519" s="73"/>
    </row>
    <row r="520" spans="1:9" ht="15.75" customHeight="1">
      <c r="A520" s="73"/>
      <c r="B520" s="73"/>
      <c r="C520" s="73"/>
      <c r="D520" s="73"/>
      <c r="E520" s="73"/>
      <c r="F520" s="73"/>
      <c r="G520" s="73"/>
      <c r="I520" s="73"/>
    </row>
    <row r="521" spans="1:9" ht="15.75" customHeight="1">
      <c r="A521" s="73"/>
      <c r="B521" s="73"/>
      <c r="C521" s="73"/>
      <c r="D521" s="73"/>
      <c r="E521" s="73"/>
      <c r="F521" s="73"/>
      <c r="G521" s="73"/>
      <c r="I521" s="73"/>
    </row>
    <row r="522" spans="1:9" ht="15.75" customHeight="1">
      <c r="A522" s="73"/>
      <c r="B522" s="73"/>
      <c r="C522" s="73"/>
      <c r="D522" s="73"/>
      <c r="E522" s="73"/>
      <c r="F522" s="73"/>
      <c r="G522" s="73"/>
      <c r="I522" s="73"/>
    </row>
    <row r="523" spans="1:9" ht="15.75" customHeight="1">
      <c r="A523" s="73"/>
      <c r="B523" s="73"/>
      <c r="C523" s="73"/>
      <c r="D523" s="73"/>
      <c r="E523" s="73"/>
      <c r="F523" s="73"/>
      <c r="G523" s="73"/>
      <c r="I523" s="73"/>
    </row>
    <row r="524" spans="1:9" ht="15.75" customHeight="1">
      <c r="A524" s="73"/>
      <c r="B524" s="73"/>
      <c r="C524" s="73"/>
      <c r="D524" s="73"/>
      <c r="E524" s="73"/>
      <c r="F524" s="73"/>
      <c r="G524" s="73"/>
      <c r="I524" s="73"/>
    </row>
    <row r="525" spans="1:9" ht="15.75" customHeight="1">
      <c r="A525" s="73"/>
      <c r="B525" s="73"/>
      <c r="C525" s="73"/>
      <c r="D525" s="73"/>
      <c r="E525" s="73"/>
      <c r="F525" s="73"/>
      <c r="G525" s="73"/>
      <c r="I525" s="73"/>
    </row>
    <row r="526" spans="1:9" ht="15.75" customHeight="1">
      <c r="A526" s="73"/>
      <c r="B526" s="73"/>
      <c r="C526" s="73"/>
      <c r="D526" s="73"/>
      <c r="E526" s="73"/>
      <c r="F526" s="73"/>
      <c r="G526" s="73"/>
      <c r="I526" s="73"/>
    </row>
    <row r="527" spans="1:9" ht="15.75" customHeight="1">
      <c r="A527" s="73"/>
      <c r="B527" s="73"/>
      <c r="C527" s="73"/>
      <c r="D527" s="73"/>
      <c r="E527" s="73"/>
      <c r="F527" s="73"/>
      <c r="G527" s="73"/>
      <c r="I527" s="73"/>
    </row>
    <row r="528" spans="1:9" ht="15.75" customHeight="1">
      <c r="A528" s="73"/>
      <c r="B528" s="73"/>
      <c r="C528" s="73"/>
      <c r="D528" s="73"/>
      <c r="E528" s="73"/>
      <c r="F528" s="73"/>
      <c r="G528" s="73"/>
      <c r="I528" s="73"/>
    </row>
    <row r="529" spans="1:9" ht="15.75" customHeight="1">
      <c r="A529" s="73"/>
      <c r="B529" s="73"/>
      <c r="C529" s="73"/>
      <c r="D529" s="73"/>
      <c r="E529" s="73"/>
      <c r="F529" s="73"/>
      <c r="G529" s="73"/>
      <c r="I529" s="73"/>
    </row>
    <row r="530" spans="1:9" ht="15.75" customHeight="1">
      <c r="A530" s="73"/>
      <c r="B530" s="73"/>
      <c r="C530" s="73"/>
      <c r="D530" s="73"/>
      <c r="E530" s="73"/>
      <c r="F530" s="73"/>
      <c r="G530" s="73"/>
      <c r="I530" s="73"/>
    </row>
    <row r="531" spans="1:9" ht="15.75" customHeight="1">
      <c r="A531" s="73"/>
      <c r="B531" s="73"/>
      <c r="C531" s="73"/>
      <c r="D531" s="73"/>
      <c r="E531" s="73"/>
      <c r="F531" s="73"/>
      <c r="G531" s="73"/>
      <c r="I531" s="73"/>
    </row>
    <row r="532" spans="1:9" ht="15.75" customHeight="1">
      <c r="A532" s="73"/>
      <c r="B532" s="73"/>
      <c r="C532" s="73"/>
      <c r="D532" s="73"/>
      <c r="E532" s="73"/>
      <c r="F532" s="73"/>
      <c r="G532" s="73"/>
      <c r="I532" s="73"/>
    </row>
    <row r="533" spans="1:9" ht="15.75" customHeight="1">
      <c r="A533" s="73"/>
      <c r="B533" s="73"/>
      <c r="C533" s="73"/>
      <c r="D533" s="73"/>
      <c r="E533" s="73"/>
      <c r="F533" s="73"/>
      <c r="G533" s="73"/>
      <c r="I533" s="73"/>
    </row>
    <row r="534" spans="1:9" ht="15.75" customHeight="1">
      <c r="A534" s="73"/>
      <c r="B534" s="73"/>
      <c r="C534" s="73"/>
      <c r="D534" s="73"/>
      <c r="E534" s="73"/>
      <c r="F534" s="73"/>
      <c r="G534" s="73"/>
      <c r="I534" s="73"/>
    </row>
    <row r="535" spans="1:9" ht="15.75" customHeight="1">
      <c r="A535" s="73"/>
      <c r="B535" s="73"/>
      <c r="C535" s="73"/>
      <c r="D535" s="73"/>
      <c r="E535" s="73"/>
      <c r="F535" s="73"/>
      <c r="G535" s="73"/>
      <c r="I535" s="73"/>
    </row>
    <row r="536" spans="1:9" ht="15.75" customHeight="1">
      <c r="A536" s="73"/>
      <c r="B536" s="73"/>
      <c r="C536" s="73"/>
      <c r="D536" s="73"/>
      <c r="E536" s="73"/>
      <c r="F536" s="73"/>
      <c r="G536" s="73"/>
      <c r="I536" s="73"/>
    </row>
    <row r="537" spans="1:9" ht="15.75" customHeight="1">
      <c r="A537" s="73"/>
      <c r="B537" s="73"/>
      <c r="C537" s="73"/>
      <c r="D537" s="73"/>
      <c r="E537" s="73"/>
      <c r="F537" s="73"/>
      <c r="G537" s="73"/>
      <c r="I537" s="73"/>
    </row>
    <row r="538" spans="1:9" ht="15.75" customHeight="1">
      <c r="A538" s="73"/>
      <c r="B538" s="73"/>
      <c r="C538" s="73"/>
      <c r="D538" s="73"/>
      <c r="E538" s="73"/>
      <c r="F538" s="73"/>
      <c r="G538" s="73"/>
      <c r="I538" s="73"/>
    </row>
    <row r="539" spans="1:9" ht="15.75" customHeight="1">
      <c r="A539" s="73"/>
      <c r="B539" s="73"/>
      <c r="C539" s="73"/>
      <c r="D539" s="73"/>
      <c r="E539" s="73"/>
      <c r="F539" s="73"/>
      <c r="G539" s="73"/>
      <c r="I539" s="73"/>
    </row>
    <row r="540" spans="1:9" ht="15.75" customHeight="1">
      <c r="A540" s="73"/>
      <c r="B540" s="73"/>
      <c r="C540" s="73"/>
      <c r="D540" s="73"/>
      <c r="E540" s="73"/>
      <c r="F540" s="73"/>
      <c r="G540" s="73"/>
      <c r="I540" s="73"/>
    </row>
    <row r="541" spans="1:9" ht="15.75" customHeight="1">
      <c r="A541" s="73"/>
      <c r="B541" s="73"/>
      <c r="C541" s="73"/>
      <c r="D541" s="73"/>
      <c r="E541" s="73"/>
      <c r="F541" s="73"/>
      <c r="G541" s="73"/>
      <c r="I541" s="73"/>
    </row>
    <row r="542" spans="1:9" ht="15.75" customHeight="1">
      <c r="A542" s="73"/>
      <c r="B542" s="73"/>
      <c r="C542" s="73"/>
      <c r="D542" s="73"/>
      <c r="E542" s="73"/>
      <c r="F542" s="73"/>
      <c r="G542" s="73"/>
      <c r="I542" s="73"/>
    </row>
    <row r="543" spans="1:9" ht="15.75" customHeight="1">
      <c r="A543" s="73"/>
      <c r="B543" s="73"/>
      <c r="C543" s="73"/>
      <c r="D543" s="73"/>
      <c r="E543" s="73"/>
      <c r="F543" s="73"/>
      <c r="G543" s="73"/>
      <c r="I543" s="73"/>
    </row>
    <row r="544" spans="1:9" ht="15.75" customHeight="1">
      <c r="A544" s="73"/>
      <c r="B544" s="73"/>
      <c r="C544" s="73"/>
      <c r="D544" s="73"/>
      <c r="E544" s="73"/>
      <c r="F544" s="73"/>
      <c r="G544" s="73"/>
      <c r="I544" s="73"/>
    </row>
    <row r="545" spans="1:9" ht="15.75" customHeight="1">
      <c r="A545" s="73"/>
      <c r="B545" s="73"/>
      <c r="C545" s="73"/>
      <c r="D545" s="73"/>
      <c r="E545" s="73"/>
      <c r="F545" s="73"/>
      <c r="G545" s="73"/>
      <c r="I545" s="73"/>
    </row>
    <row r="546" spans="1:9" ht="15.75" customHeight="1">
      <c r="A546" s="73"/>
      <c r="B546" s="73"/>
      <c r="C546" s="73"/>
      <c r="D546" s="73"/>
      <c r="E546" s="73"/>
      <c r="F546" s="73"/>
      <c r="G546" s="73"/>
      <c r="I546" s="73"/>
    </row>
    <row r="547" spans="1:9" ht="15.75" customHeight="1">
      <c r="A547" s="73"/>
      <c r="B547" s="73"/>
      <c r="C547" s="73"/>
      <c r="D547" s="73"/>
      <c r="E547" s="73"/>
      <c r="F547" s="73"/>
      <c r="G547" s="73"/>
      <c r="I547" s="73"/>
    </row>
    <row r="548" spans="1:9" ht="15.75" customHeight="1">
      <c r="A548" s="73"/>
      <c r="B548" s="73"/>
      <c r="C548" s="73"/>
      <c r="D548" s="73"/>
      <c r="E548" s="73"/>
      <c r="F548" s="73"/>
      <c r="G548" s="73"/>
      <c r="I548" s="73"/>
    </row>
    <row r="549" spans="1:9" ht="15.75" customHeight="1">
      <c r="A549" s="73"/>
      <c r="B549" s="73"/>
      <c r="C549" s="73"/>
      <c r="D549" s="73"/>
      <c r="E549" s="73"/>
      <c r="F549" s="73"/>
      <c r="G549" s="73"/>
      <c r="I549" s="73"/>
    </row>
    <row r="550" spans="1:9" ht="15.75" customHeight="1">
      <c r="A550" s="73"/>
      <c r="B550" s="73"/>
      <c r="C550" s="73"/>
      <c r="D550" s="73"/>
      <c r="E550" s="73"/>
      <c r="F550" s="73"/>
      <c r="G550" s="73"/>
      <c r="I550" s="73"/>
    </row>
    <row r="551" spans="1:9" ht="15.75" customHeight="1">
      <c r="A551" s="73"/>
      <c r="B551" s="73"/>
      <c r="C551" s="73"/>
      <c r="D551" s="73"/>
      <c r="E551" s="73"/>
      <c r="F551" s="73"/>
      <c r="G551" s="73"/>
      <c r="I551" s="73"/>
    </row>
    <row r="552" spans="1:9" ht="15.75" customHeight="1">
      <c r="A552" s="73"/>
      <c r="B552" s="73"/>
      <c r="C552" s="73"/>
      <c r="D552" s="73"/>
      <c r="E552" s="73"/>
      <c r="F552" s="73"/>
      <c r="G552" s="73"/>
      <c r="I552" s="73"/>
    </row>
    <row r="553" spans="1:9" ht="15.75" customHeight="1">
      <c r="A553" s="73"/>
      <c r="B553" s="73"/>
      <c r="C553" s="73"/>
      <c r="D553" s="73"/>
      <c r="E553" s="73"/>
      <c r="F553" s="73"/>
      <c r="G553" s="73"/>
      <c r="I553" s="73"/>
    </row>
    <row r="554" spans="1:9" ht="15.75" customHeight="1">
      <c r="A554" s="73"/>
      <c r="B554" s="73"/>
      <c r="C554" s="73"/>
      <c r="D554" s="73"/>
      <c r="E554" s="73"/>
      <c r="F554" s="73"/>
      <c r="G554" s="73"/>
      <c r="I554" s="73"/>
    </row>
    <row r="555" spans="1:9" ht="15.75" customHeight="1">
      <c r="A555" s="73"/>
      <c r="B555" s="73"/>
      <c r="C555" s="73"/>
      <c r="D555" s="73"/>
      <c r="E555" s="73"/>
      <c r="F555" s="73"/>
      <c r="G555" s="73"/>
      <c r="I555" s="73"/>
    </row>
    <row r="556" spans="1:9" ht="15.75" customHeight="1">
      <c r="A556" s="73"/>
      <c r="B556" s="73"/>
      <c r="C556" s="73"/>
      <c r="D556" s="73"/>
      <c r="E556" s="73"/>
      <c r="F556" s="73"/>
      <c r="G556" s="73"/>
      <c r="I556" s="73"/>
    </row>
    <row r="557" spans="1:9" ht="15.75" customHeight="1">
      <c r="A557" s="73"/>
      <c r="B557" s="73"/>
      <c r="C557" s="73"/>
      <c r="D557" s="73"/>
      <c r="E557" s="73"/>
      <c r="F557" s="73"/>
      <c r="G557" s="73"/>
      <c r="I557" s="73"/>
    </row>
    <row r="558" spans="1:9" ht="15.75" customHeight="1">
      <c r="A558" s="73"/>
      <c r="B558" s="73"/>
      <c r="C558" s="73"/>
      <c r="D558" s="73"/>
      <c r="E558" s="73"/>
      <c r="F558" s="73"/>
      <c r="G558" s="73"/>
      <c r="I558" s="73"/>
    </row>
    <row r="559" spans="1:9" ht="15.75" customHeight="1">
      <c r="A559" s="73"/>
      <c r="B559" s="73"/>
      <c r="C559" s="73"/>
      <c r="D559" s="73"/>
      <c r="E559" s="73"/>
      <c r="F559" s="73"/>
      <c r="G559" s="73"/>
      <c r="I559" s="73"/>
    </row>
    <row r="560" spans="1:9" ht="15.75" customHeight="1">
      <c r="A560" s="73"/>
      <c r="B560" s="73"/>
      <c r="C560" s="73"/>
      <c r="D560" s="73"/>
      <c r="E560" s="73"/>
      <c r="F560" s="73"/>
      <c r="G560" s="73"/>
      <c r="I560" s="73"/>
    </row>
    <row r="561" spans="1:9" ht="15.75" customHeight="1">
      <c r="A561" s="73"/>
      <c r="B561" s="73"/>
      <c r="C561" s="73"/>
      <c r="D561" s="73"/>
      <c r="E561" s="73"/>
      <c r="F561" s="73"/>
      <c r="G561" s="73"/>
      <c r="I561" s="73"/>
    </row>
    <row r="562" spans="1:9" ht="15.75" customHeight="1">
      <c r="A562" s="73"/>
      <c r="B562" s="73"/>
      <c r="C562" s="73"/>
      <c r="D562" s="73"/>
      <c r="E562" s="73"/>
      <c r="F562" s="73"/>
      <c r="G562" s="73"/>
      <c r="I562" s="73"/>
    </row>
    <row r="563" spans="1:9" ht="15.75" customHeight="1">
      <c r="A563" s="73"/>
      <c r="B563" s="73"/>
      <c r="C563" s="73"/>
      <c r="D563" s="73"/>
      <c r="E563" s="73"/>
      <c r="F563" s="73"/>
      <c r="G563" s="73"/>
      <c r="I563" s="73"/>
    </row>
    <row r="564" spans="1:9" ht="15.75" customHeight="1">
      <c r="A564" s="73"/>
      <c r="B564" s="73"/>
      <c r="C564" s="73"/>
      <c r="D564" s="73"/>
      <c r="E564" s="73"/>
      <c r="F564" s="73"/>
      <c r="G564" s="73"/>
      <c r="I564" s="73"/>
    </row>
    <row r="565" spans="1:9" ht="15.75" customHeight="1">
      <c r="A565" s="73"/>
      <c r="B565" s="73"/>
      <c r="C565" s="73"/>
      <c r="D565" s="73"/>
      <c r="E565" s="73"/>
      <c r="F565" s="73"/>
      <c r="G565" s="73"/>
      <c r="I565" s="73"/>
    </row>
    <row r="566" spans="1:9" ht="15.75" customHeight="1">
      <c r="A566" s="73"/>
      <c r="B566" s="73"/>
      <c r="C566" s="73"/>
      <c r="D566" s="73"/>
      <c r="E566" s="73"/>
      <c r="F566" s="73"/>
      <c r="G566" s="73"/>
      <c r="I566" s="73"/>
    </row>
    <row r="567" spans="1:9" ht="15.75" customHeight="1">
      <c r="A567" s="73"/>
      <c r="B567" s="73"/>
      <c r="C567" s="73"/>
      <c r="D567" s="73"/>
      <c r="E567" s="73"/>
      <c r="F567" s="73"/>
      <c r="G567" s="73"/>
      <c r="I567" s="73"/>
    </row>
    <row r="568" spans="1:9" ht="15.75" customHeight="1">
      <c r="A568" s="73"/>
      <c r="B568" s="73"/>
      <c r="C568" s="73"/>
      <c r="D568" s="73"/>
      <c r="E568" s="73"/>
      <c r="F568" s="73"/>
      <c r="G568" s="73"/>
      <c r="I568" s="73"/>
    </row>
    <row r="569" spans="1:9" ht="15.75" customHeight="1">
      <c r="A569" s="73"/>
      <c r="B569" s="73"/>
      <c r="C569" s="73"/>
      <c r="D569" s="73"/>
      <c r="E569" s="73"/>
      <c r="F569" s="73"/>
      <c r="G569" s="73"/>
      <c r="I569" s="73"/>
    </row>
    <row r="570" spans="1:9" ht="15.75" customHeight="1">
      <c r="A570" s="73"/>
      <c r="B570" s="73"/>
      <c r="C570" s="73"/>
      <c r="D570" s="73"/>
      <c r="E570" s="73"/>
      <c r="F570" s="73"/>
      <c r="G570" s="73"/>
      <c r="I570" s="73"/>
    </row>
    <row r="571" spans="1:9" ht="15.75" customHeight="1">
      <c r="A571" s="73"/>
      <c r="B571" s="73"/>
      <c r="C571" s="73"/>
      <c r="D571" s="73"/>
      <c r="E571" s="73"/>
      <c r="F571" s="73"/>
      <c r="G571" s="73"/>
      <c r="I571" s="73"/>
    </row>
    <row r="572" spans="1:9" ht="15.75" customHeight="1">
      <c r="A572" s="73"/>
      <c r="B572" s="73"/>
      <c r="C572" s="73"/>
      <c r="D572" s="73"/>
      <c r="E572" s="73"/>
      <c r="F572" s="73"/>
      <c r="G572" s="73"/>
      <c r="I572" s="73"/>
    </row>
    <row r="573" spans="1:9" ht="15.75" customHeight="1">
      <c r="A573" s="73"/>
      <c r="B573" s="73"/>
      <c r="C573" s="73"/>
      <c r="D573" s="73"/>
      <c r="E573" s="73"/>
      <c r="F573" s="73"/>
      <c r="G573" s="73"/>
      <c r="I573" s="73"/>
    </row>
    <row r="574" spans="1:9" ht="15.75" customHeight="1">
      <c r="A574" s="73"/>
      <c r="B574" s="73"/>
      <c r="C574" s="73"/>
      <c r="D574" s="73"/>
      <c r="E574" s="73"/>
      <c r="F574" s="73"/>
      <c r="G574" s="73"/>
      <c r="I574" s="73"/>
    </row>
    <row r="575" spans="1:9" ht="15.75" customHeight="1">
      <c r="A575" s="73"/>
      <c r="B575" s="73"/>
      <c r="C575" s="73"/>
      <c r="D575" s="73"/>
      <c r="E575" s="73"/>
      <c r="F575" s="73"/>
      <c r="G575" s="73"/>
      <c r="I575" s="73"/>
    </row>
    <row r="576" spans="1:9" ht="15.75" customHeight="1">
      <c r="A576" s="73"/>
      <c r="B576" s="73"/>
      <c r="C576" s="73"/>
      <c r="D576" s="73"/>
      <c r="E576" s="73"/>
      <c r="F576" s="73"/>
      <c r="G576" s="73"/>
      <c r="I576" s="73"/>
    </row>
    <row r="577" spans="1:9" ht="15.75" customHeight="1">
      <c r="A577" s="73"/>
      <c r="B577" s="73"/>
      <c r="C577" s="73"/>
      <c r="D577" s="73"/>
      <c r="E577" s="73"/>
      <c r="F577" s="73"/>
      <c r="G577" s="73"/>
      <c r="I577" s="73"/>
    </row>
    <row r="578" spans="1:9" ht="15.75" customHeight="1">
      <c r="A578" s="73"/>
      <c r="B578" s="73"/>
      <c r="C578" s="73"/>
      <c r="D578" s="73"/>
      <c r="E578" s="73"/>
      <c r="F578" s="73"/>
      <c r="G578" s="73"/>
      <c r="I578" s="73"/>
    </row>
    <row r="579" spans="1:9" ht="15.75" customHeight="1">
      <c r="A579" s="73"/>
      <c r="B579" s="73"/>
      <c r="C579" s="73"/>
      <c r="D579" s="73"/>
      <c r="E579" s="73"/>
      <c r="F579" s="73"/>
      <c r="G579" s="73"/>
      <c r="I579" s="73"/>
    </row>
    <row r="580" spans="1:9" ht="15.75" customHeight="1">
      <c r="A580" s="73"/>
      <c r="B580" s="73"/>
      <c r="C580" s="73"/>
      <c r="D580" s="73"/>
      <c r="E580" s="73"/>
      <c r="F580" s="73"/>
      <c r="G580" s="73"/>
      <c r="I580" s="73"/>
    </row>
    <row r="581" spans="1:9" ht="15.75" customHeight="1">
      <c r="A581" s="73"/>
      <c r="B581" s="73"/>
      <c r="C581" s="73"/>
      <c r="D581" s="73"/>
      <c r="E581" s="73"/>
      <c r="F581" s="73"/>
      <c r="G581" s="73"/>
      <c r="I581" s="73"/>
    </row>
    <row r="582" spans="1:9" ht="15.75" customHeight="1">
      <c r="A582" s="73"/>
      <c r="B582" s="73"/>
      <c r="C582" s="73"/>
      <c r="D582" s="73"/>
      <c r="E582" s="73"/>
      <c r="F582" s="73"/>
      <c r="G582" s="73"/>
      <c r="I582" s="73"/>
    </row>
    <row r="583" spans="1:9" ht="15.75" customHeight="1">
      <c r="A583" s="73"/>
      <c r="B583" s="73"/>
      <c r="C583" s="73"/>
      <c r="D583" s="73"/>
      <c r="E583" s="73"/>
      <c r="F583" s="73"/>
      <c r="G583" s="73"/>
      <c r="I583" s="73"/>
    </row>
    <row r="584" spans="1:9" ht="15.75" customHeight="1">
      <c r="A584" s="73"/>
      <c r="B584" s="73"/>
      <c r="C584" s="73"/>
      <c r="D584" s="73"/>
      <c r="E584" s="73"/>
      <c r="F584" s="73"/>
      <c r="G584" s="73"/>
      <c r="I584" s="73"/>
    </row>
    <row r="585" spans="1:9" ht="15.75" customHeight="1">
      <c r="A585" s="73"/>
      <c r="B585" s="73"/>
      <c r="C585" s="73"/>
      <c r="D585" s="73"/>
      <c r="E585" s="73"/>
      <c r="F585" s="73"/>
      <c r="G585" s="73"/>
      <c r="I585" s="73"/>
    </row>
    <row r="586" spans="1:9" ht="15.75" customHeight="1">
      <c r="A586" s="73"/>
      <c r="B586" s="73"/>
      <c r="C586" s="73"/>
      <c r="D586" s="73"/>
      <c r="E586" s="73"/>
      <c r="F586" s="73"/>
      <c r="G586" s="73"/>
      <c r="I586" s="73"/>
    </row>
    <row r="587" spans="1:9" ht="15.75" customHeight="1">
      <c r="A587" s="73"/>
      <c r="B587" s="73"/>
      <c r="C587" s="73"/>
      <c r="D587" s="73"/>
      <c r="E587" s="73"/>
      <c r="F587" s="73"/>
      <c r="G587" s="73"/>
      <c r="I587" s="73"/>
    </row>
    <row r="588" spans="1:9" ht="15.75" customHeight="1">
      <c r="A588" s="73"/>
      <c r="B588" s="73"/>
      <c r="C588" s="73"/>
      <c r="D588" s="73"/>
      <c r="E588" s="73"/>
      <c r="F588" s="73"/>
      <c r="G588" s="73"/>
      <c r="I588" s="73"/>
    </row>
    <row r="589" spans="1:9" ht="15.75" customHeight="1">
      <c r="A589" s="73"/>
      <c r="B589" s="73"/>
      <c r="C589" s="73"/>
      <c r="D589" s="73"/>
      <c r="E589" s="73"/>
      <c r="F589" s="73"/>
      <c r="G589" s="73"/>
      <c r="I589" s="73"/>
    </row>
    <row r="590" spans="1:9" ht="15.75" customHeight="1">
      <c r="A590" s="73"/>
      <c r="B590" s="73"/>
      <c r="C590" s="73"/>
      <c r="D590" s="73"/>
      <c r="E590" s="73"/>
      <c r="F590" s="73"/>
      <c r="G590" s="73"/>
      <c r="I590" s="73"/>
    </row>
    <row r="591" spans="1:9" ht="15.75" customHeight="1">
      <c r="A591" s="73"/>
      <c r="B591" s="73"/>
      <c r="C591" s="73"/>
      <c r="D591" s="73"/>
      <c r="E591" s="73"/>
      <c r="F591" s="73"/>
      <c r="G591" s="73"/>
      <c r="I591" s="73"/>
    </row>
    <row r="592" spans="1:9" ht="15.75" customHeight="1">
      <c r="A592" s="73"/>
      <c r="B592" s="73"/>
      <c r="C592" s="73"/>
      <c r="D592" s="73"/>
      <c r="E592" s="73"/>
      <c r="F592" s="73"/>
      <c r="G592" s="73"/>
      <c r="I592" s="73"/>
    </row>
    <row r="593" spans="1:9" ht="15.75" customHeight="1">
      <c r="A593" s="73"/>
      <c r="B593" s="73"/>
      <c r="C593" s="73"/>
      <c r="D593" s="73"/>
      <c r="E593" s="73"/>
      <c r="F593" s="73"/>
      <c r="G593" s="73"/>
      <c r="I593" s="73"/>
    </row>
    <row r="594" spans="1:9" ht="15.75" customHeight="1">
      <c r="A594" s="73"/>
      <c r="B594" s="73"/>
      <c r="C594" s="73"/>
      <c r="D594" s="73"/>
      <c r="E594" s="73"/>
      <c r="F594" s="73"/>
      <c r="G594" s="73"/>
      <c r="I594" s="73"/>
    </row>
    <row r="595" spans="1:9" ht="15.75" customHeight="1">
      <c r="A595" s="73"/>
      <c r="B595" s="73"/>
      <c r="C595" s="73"/>
      <c r="D595" s="73"/>
      <c r="E595" s="73"/>
      <c r="F595" s="73"/>
      <c r="G595" s="73"/>
      <c r="I595" s="73"/>
    </row>
    <row r="596" spans="1:9" ht="15.75" customHeight="1">
      <c r="A596" s="73"/>
      <c r="B596" s="73"/>
      <c r="C596" s="73"/>
      <c r="D596" s="73"/>
      <c r="E596" s="73"/>
      <c r="F596" s="73"/>
      <c r="G596" s="73"/>
      <c r="I596" s="73"/>
    </row>
    <row r="597" spans="1:9" ht="15.75" customHeight="1">
      <c r="A597" s="73"/>
      <c r="B597" s="73"/>
      <c r="C597" s="73"/>
      <c r="D597" s="73"/>
      <c r="E597" s="73"/>
      <c r="F597" s="73"/>
      <c r="G597" s="73"/>
      <c r="I597" s="73"/>
    </row>
    <row r="598" spans="1:9" ht="15.75" customHeight="1">
      <c r="A598" s="73"/>
      <c r="B598" s="73"/>
      <c r="C598" s="73"/>
      <c r="D598" s="73"/>
      <c r="E598" s="73"/>
      <c r="F598" s="73"/>
      <c r="G598" s="73"/>
      <c r="I598" s="73"/>
    </row>
    <row r="599" spans="1:9" ht="15.75" customHeight="1">
      <c r="A599" s="73"/>
      <c r="B599" s="73"/>
      <c r="C599" s="73"/>
      <c r="D599" s="73"/>
      <c r="E599" s="73"/>
      <c r="F599" s="73"/>
      <c r="G599" s="73"/>
      <c r="I599" s="73"/>
    </row>
    <row r="600" spans="1:9" ht="15.75" customHeight="1">
      <c r="A600" s="73"/>
      <c r="B600" s="73"/>
      <c r="C600" s="73"/>
      <c r="D600" s="73"/>
      <c r="E600" s="73"/>
      <c r="F600" s="73"/>
      <c r="G600" s="73"/>
      <c r="I600" s="73"/>
    </row>
    <row r="601" spans="1:9" ht="15.75" customHeight="1">
      <c r="A601" s="73"/>
      <c r="B601" s="73"/>
      <c r="C601" s="73"/>
      <c r="D601" s="73"/>
      <c r="E601" s="73"/>
      <c r="F601" s="73"/>
      <c r="G601" s="73"/>
      <c r="I601" s="73"/>
    </row>
    <row r="602" spans="1:9" ht="15.75" customHeight="1">
      <c r="A602" s="73"/>
      <c r="B602" s="73"/>
      <c r="C602" s="73"/>
      <c r="D602" s="73"/>
      <c r="E602" s="73"/>
      <c r="F602" s="73"/>
      <c r="G602" s="73"/>
      <c r="I602" s="73"/>
    </row>
    <row r="603" spans="1:9" ht="15.75" customHeight="1">
      <c r="A603" s="73"/>
      <c r="B603" s="73"/>
      <c r="C603" s="73"/>
      <c r="D603" s="73"/>
      <c r="E603" s="73"/>
      <c r="F603" s="73"/>
      <c r="G603" s="73"/>
      <c r="I603" s="73"/>
    </row>
    <row r="604" spans="1:9" ht="15.75" customHeight="1">
      <c r="A604" s="73"/>
      <c r="B604" s="73"/>
      <c r="C604" s="73"/>
      <c r="D604" s="73"/>
      <c r="E604" s="73"/>
      <c r="F604" s="73"/>
      <c r="G604" s="73"/>
      <c r="I604" s="73"/>
    </row>
    <row r="605" spans="1:9" ht="15.75" customHeight="1">
      <c r="A605" s="73"/>
      <c r="B605" s="73"/>
      <c r="C605" s="73"/>
      <c r="D605" s="73"/>
      <c r="E605" s="73"/>
      <c r="F605" s="73"/>
      <c r="G605" s="73"/>
      <c r="I605" s="73"/>
    </row>
    <row r="606" spans="1:9" ht="15.75" customHeight="1">
      <c r="A606" s="73"/>
      <c r="B606" s="73"/>
      <c r="C606" s="73"/>
      <c r="D606" s="73"/>
      <c r="E606" s="73"/>
      <c r="F606" s="73"/>
      <c r="G606" s="73"/>
      <c r="I606" s="73"/>
    </row>
    <row r="607" spans="1:9" ht="15.75" customHeight="1">
      <c r="A607" s="73"/>
      <c r="B607" s="73"/>
      <c r="C607" s="73"/>
      <c r="D607" s="73"/>
      <c r="E607" s="73"/>
      <c r="F607" s="73"/>
      <c r="G607" s="73"/>
      <c r="I607" s="73"/>
    </row>
    <row r="608" spans="1:9" ht="15.75" customHeight="1">
      <c r="A608" s="73"/>
      <c r="B608" s="73"/>
      <c r="C608" s="73"/>
      <c r="D608" s="73"/>
      <c r="E608" s="73"/>
      <c r="F608" s="73"/>
      <c r="G608" s="73"/>
      <c r="I608" s="73"/>
    </row>
    <row r="609" spans="1:9" ht="15.75" customHeight="1">
      <c r="A609" s="73"/>
      <c r="B609" s="73"/>
      <c r="C609" s="73"/>
      <c r="D609" s="73"/>
      <c r="E609" s="73"/>
      <c r="F609" s="73"/>
      <c r="G609" s="73"/>
      <c r="I609" s="73"/>
    </row>
    <row r="610" spans="1:9" ht="15.75" customHeight="1">
      <c r="A610" s="73"/>
      <c r="B610" s="73"/>
      <c r="C610" s="73"/>
      <c r="D610" s="73"/>
      <c r="E610" s="73"/>
      <c r="F610" s="73"/>
      <c r="G610" s="73"/>
      <c r="I610" s="73"/>
    </row>
    <row r="611" spans="1:9" ht="15.75" customHeight="1">
      <c r="A611" s="73"/>
      <c r="B611" s="73"/>
      <c r="C611" s="73"/>
      <c r="D611" s="73"/>
      <c r="E611" s="73"/>
      <c r="F611" s="73"/>
      <c r="G611" s="73"/>
      <c r="I611" s="73"/>
    </row>
    <row r="612" spans="1:9" ht="15.75" customHeight="1">
      <c r="A612" s="73"/>
      <c r="B612" s="73"/>
      <c r="C612" s="73"/>
      <c r="D612" s="73"/>
      <c r="E612" s="73"/>
      <c r="F612" s="73"/>
      <c r="G612" s="73"/>
      <c r="I612" s="73"/>
    </row>
    <row r="613" spans="1:9" ht="15.75" customHeight="1">
      <c r="A613" s="73"/>
      <c r="B613" s="73"/>
      <c r="C613" s="73"/>
      <c r="D613" s="73"/>
      <c r="E613" s="73"/>
      <c r="F613" s="73"/>
      <c r="G613" s="73"/>
      <c r="I613" s="73"/>
    </row>
    <row r="614" spans="1:9" ht="15.75" customHeight="1">
      <c r="A614" s="73"/>
      <c r="B614" s="73"/>
      <c r="C614" s="73"/>
      <c r="D614" s="73"/>
      <c r="E614" s="73"/>
      <c r="F614" s="73"/>
      <c r="G614" s="73"/>
      <c r="I614" s="73"/>
    </row>
    <row r="615" spans="1:9" ht="15.75" customHeight="1">
      <c r="A615" s="73"/>
      <c r="B615" s="73"/>
      <c r="C615" s="73"/>
      <c r="D615" s="73"/>
      <c r="E615" s="73"/>
      <c r="F615" s="73"/>
      <c r="G615" s="73"/>
      <c r="I615" s="73"/>
    </row>
    <row r="616" spans="1:9" ht="15.75" customHeight="1">
      <c r="A616" s="73"/>
      <c r="B616" s="73"/>
      <c r="C616" s="73"/>
      <c r="D616" s="73"/>
      <c r="E616" s="73"/>
      <c r="F616" s="73"/>
      <c r="G616" s="73"/>
      <c r="I616" s="73"/>
    </row>
    <row r="617" spans="1:9" ht="15.75" customHeight="1">
      <c r="A617" s="73"/>
      <c r="B617" s="73"/>
      <c r="C617" s="73"/>
      <c r="D617" s="73"/>
      <c r="E617" s="73"/>
      <c r="F617" s="73"/>
      <c r="G617" s="73"/>
      <c r="I617" s="73"/>
    </row>
    <row r="618" spans="1:9" ht="15.75" customHeight="1">
      <c r="A618" s="73"/>
      <c r="B618" s="73"/>
      <c r="C618" s="73"/>
      <c r="D618" s="73"/>
      <c r="E618" s="73"/>
      <c r="F618" s="73"/>
      <c r="G618" s="73"/>
      <c r="I618" s="73"/>
    </row>
    <row r="619" spans="1:9" ht="15.75" customHeight="1">
      <c r="A619" s="73"/>
      <c r="B619" s="73"/>
      <c r="C619" s="73"/>
      <c r="D619" s="73"/>
      <c r="E619" s="73"/>
      <c r="F619" s="73"/>
      <c r="G619" s="73"/>
      <c r="I619" s="73"/>
    </row>
    <row r="620" spans="1:9" ht="15.75" customHeight="1">
      <c r="A620" s="73"/>
      <c r="B620" s="73"/>
      <c r="C620" s="73"/>
      <c r="D620" s="73"/>
      <c r="E620" s="73"/>
      <c r="F620" s="73"/>
      <c r="G620" s="73"/>
      <c r="I620" s="73"/>
    </row>
    <row r="621" spans="1:9" ht="15.75" customHeight="1">
      <c r="A621" s="73"/>
      <c r="B621" s="73"/>
      <c r="C621" s="73"/>
      <c r="D621" s="73"/>
      <c r="E621" s="73"/>
      <c r="F621" s="73"/>
      <c r="G621" s="73"/>
      <c r="I621" s="73"/>
    </row>
    <row r="622" spans="1:9" ht="15.75" customHeight="1">
      <c r="A622" s="73"/>
      <c r="B622" s="73"/>
      <c r="C622" s="73"/>
      <c r="D622" s="73"/>
      <c r="E622" s="73"/>
      <c r="F622" s="73"/>
      <c r="G622" s="73"/>
      <c r="I622" s="73"/>
    </row>
    <row r="623" spans="1:9" ht="15.75" customHeight="1">
      <c r="A623" s="73"/>
      <c r="B623" s="73"/>
      <c r="C623" s="73"/>
      <c r="D623" s="73"/>
      <c r="E623" s="73"/>
      <c r="F623" s="73"/>
      <c r="G623" s="73"/>
      <c r="I623" s="73"/>
    </row>
    <row r="624" spans="1:9" ht="15.75" customHeight="1">
      <c r="A624" s="73"/>
      <c r="B624" s="73"/>
      <c r="C624" s="73"/>
      <c r="D624" s="73"/>
      <c r="E624" s="73"/>
      <c r="F624" s="73"/>
      <c r="G624" s="73"/>
      <c r="I624" s="73"/>
    </row>
    <row r="625" spans="1:9" ht="15.75" customHeight="1">
      <c r="A625" s="73"/>
      <c r="B625" s="73"/>
      <c r="C625" s="73"/>
      <c r="D625" s="73"/>
      <c r="E625" s="73"/>
      <c r="F625" s="73"/>
      <c r="G625" s="73"/>
      <c r="I625" s="73"/>
    </row>
    <row r="626" spans="1:9" ht="15.75" customHeight="1">
      <c r="A626" s="73"/>
      <c r="B626" s="73"/>
      <c r="C626" s="73"/>
      <c r="D626" s="73"/>
      <c r="E626" s="73"/>
      <c r="F626" s="73"/>
      <c r="G626" s="73"/>
      <c r="I626" s="73"/>
    </row>
    <row r="627" spans="1:9" ht="15.75" customHeight="1">
      <c r="A627" s="73"/>
      <c r="B627" s="73"/>
      <c r="C627" s="73"/>
      <c r="D627" s="73"/>
      <c r="E627" s="73"/>
      <c r="F627" s="73"/>
      <c r="G627" s="73"/>
      <c r="I627" s="73"/>
    </row>
    <row r="628" spans="1:9" ht="15.75" customHeight="1">
      <c r="A628" s="73"/>
      <c r="B628" s="73"/>
      <c r="C628" s="73"/>
      <c r="D628" s="73"/>
      <c r="E628" s="73"/>
      <c r="F628" s="73"/>
      <c r="G628" s="73"/>
      <c r="I628" s="73"/>
    </row>
    <row r="629" spans="1:9" ht="15.75" customHeight="1">
      <c r="A629" s="73"/>
      <c r="B629" s="73"/>
      <c r="C629" s="73"/>
      <c r="D629" s="73"/>
      <c r="E629" s="73"/>
      <c r="F629" s="73"/>
      <c r="G629" s="73"/>
      <c r="I629" s="73"/>
    </row>
    <row r="630" spans="1:9" ht="15.75" customHeight="1">
      <c r="A630" s="73"/>
      <c r="B630" s="73"/>
      <c r="C630" s="73"/>
      <c r="D630" s="73"/>
      <c r="E630" s="73"/>
      <c r="F630" s="73"/>
      <c r="G630" s="73"/>
      <c r="I630" s="73"/>
    </row>
    <row r="631" spans="1:9" ht="15.75" customHeight="1">
      <c r="A631" s="73"/>
      <c r="B631" s="73"/>
      <c r="C631" s="73"/>
      <c r="D631" s="73"/>
      <c r="E631" s="73"/>
      <c r="F631" s="73"/>
      <c r="G631" s="73"/>
      <c r="I631" s="73"/>
    </row>
    <row r="632" spans="1:9" ht="15.75" customHeight="1">
      <c r="A632" s="73"/>
      <c r="B632" s="73"/>
      <c r="C632" s="73"/>
      <c r="D632" s="73"/>
      <c r="E632" s="73"/>
      <c r="F632" s="73"/>
      <c r="G632" s="73"/>
      <c r="I632" s="73"/>
    </row>
    <row r="633" spans="1:9" ht="15.75" customHeight="1">
      <c r="A633" s="73"/>
      <c r="B633" s="73"/>
      <c r="C633" s="73"/>
      <c r="D633" s="73"/>
      <c r="E633" s="73"/>
      <c r="F633" s="73"/>
      <c r="G633" s="73"/>
      <c r="I633" s="73"/>
    </row>
    <row r="634" spans="1:9" ht="15.75" customHeight="1">
      <c r="A634" s="73"/>
      <c r="B634" s="73"/>
      <c r="C634" s="73"/>
      <c r="D634" s="73"/>
      <c r="E634" s="73"/>
      <c r="F634" s="73"/>
      <c r="G634" s="73"/>
      <c r="I634" s="73"/>
    </row>
    <row r="635" spans="1:9" ht="15.75" customHeight="1">
      <c r="A635" s="73"/>
      <c r="B635" s="73"/>
      <c r="C635" s="73"/>
      <c r="D635" s="73"/>
      <c r="E635" s="73"/>
      <c r="F635" s="73"/>
      <c r="G635" s="73"/>
      <c r="I635" s="73"/>
    </row>
    <row r="636" spans="1:9" ht="15.75" customHeight="1">
      <c r="A636" s="73"/>
      <c r="B636" s="73"/>
      <c r="C636" s="73"/>
      <c r="D636" s="73"/>
      <c r="E636" s="73"/>
      <c r="F636" s="73"/>
      <c r="G636" s="73"/>
      <c r="I636" s="73"/>
    </row>
    <row r="637" spans="1:9" ht="15.75" customHeight="1">
      <c r="A637" s="73"/>
      <c r="B637" s="73"/>
      <c r="C637" s="73"/>
      <c r="D637" s="73"/>
      <c r="E637" s="73"/>
      <c r="F637" s="73"/>
      <c r="G637" s="73"/>
      <c r="I637" s="73"/>
    </row>
    <row r="638" spans="1:9" ht="15.75" customHeight="1">
      <c r="A638" s="73"/>
      <c r="B638" s="73"/>
      <c r="C638" s="73"/>
      <c r="D638" s="73"/>
      <c r="E638" s="73"/>
      <c r="F638" s="73"/>
      <c r="G638" s="73"/>
      <c r="I638" s="73"/>
    </row>
    <row r="639" spans="1:9" ht="15.75" customHeight="1">
      <c r="A639" s="73"/>
      <c r="B639" s="73"/>
      <c r="C639" s="73"/>
      <c r="D639" s="73"/>
      <c r="E639" s="73"/>
      <c r="F639" s="73"/>
      <c r="G639" s="73"/>
      <c r="I639" s="73"/>
    </row>
    <row r="640" spans="1:9" ht="15.75" customHeight="1">
      <c r="A640" s="73"/>
      <c r="B640" s="73"/>
      <c r="C640" s="73"/>
      <c r="D640" s="73"/>
      <c r="E640" s="73"/>
      <c r="F640" s="73"/>
      <c r="G640" s="73"/>
      <c r="I640" s="73"/>
    </row>
    <row r="641" spans="1:9" ht="15.75" customHeight="1">
      <c r="A641" s="73"/>
      <c r="B641" s="73"/>
      <c r="C641" s="73"/>
      <c r="D641" s="73"/>
      <c r="E641" s="73"/>
      <c r="F641" s="73"/>
      <c r="G641" s="73"/>
      <c r="I641" s="73"/>
    </row>
    <row r="642" spans="1:9" ht="15.75" customHeight="1">
      <c r="A642" s="73"/>
      <c r="B642" s="73"/>
      <c r="C642" s="73"/>
      <c r="D642" s="73"/>
      <c r="E642" s="73"/>
      <c r="F642" s="73"/>
      <c r="G642" s="73"/>
      <c r="I642" s="73"/>
    </row>
    <row r="643" spans="1:9" ht="15.75" customHeight="1">
      <c r="A643" s="73"/>
      <c r="B643" s="73"/>
      <c r="C643" s="73"/>
      <c r="D643" s="73"/>
      <c r="E643" s="73"/>
      <c r="F643" s="73"/>
      <c r="G643" s="73"/>
      <c r="I643" s="73"/>
    </row>
    <row r="644" spans="1:9" ht="15.75" customHeight="1">
      <c r="A644" s="73"/>
      <c r="B644" s="73"/>
      <c r="C644" s="73"/>
      <c r="D644" s="73"/>
      <c r="E644" s="73"/>
      <c r="F644" s="73"/>
      <c r="G644" s="73"/>
      <c r="I644" s="73"/>
    </row>
    <row r="645" spans="1:9" ht="15.75" customHeight="1">
      <c r="A645" s="73"/>
      <c r="B645" s="73"/>
      <c r="C645" s="73"/>
      <c r="D645" s="73"/>
      <c r="E645" s="73"/>
      <c r="F645" s="73"/>
      <c r="G645" s="73"/>
      <c r="I645" s="73"/>
    </row>
    <row r="646" spans="1:9" ht="15.75" customHeight="1">
      <c r="A646" s="73"/>
      <c r="B646" s="73"/>
      <c r="C646" s="73"/>
      <c r="D646" s="73"/>
      <c r="E646" s="73"/>
      <c r="F646" s="73"/>
      <c r="G646" s="73"/>
      <c r="I646" s="73"/>
    </row>
    <row r="647" spans="1:9" ht="15.75" customHeight="1">
      <c r="A647" s="73"/>
      <c r="B647" s="73"/>
      <c r="C647" s="73"/>
      <c r="D647" s="73"/>
      <c r="E647" s="73"/>
      <c r="F647" s="73"/>
      <c r="G647" s="73"/>
      <c r="I647" s="73"/>
    </row>
    <row r="648" spans="1:9" ht="15.75" customHeight="1">
      <c r="A648" s="73"/>
      <c r="B648" s="73"/>
      <c r="C648" s="73"/>
      <c r="D648" s="73"/>
      <c r="E648" s="73"/>
      <c r="F648" s="73"/>
      <c r="G648" s="73"/>
      <c r="I648" s="73"/>
    </row>
    <row r="649" spans="1:9" ht="15.75" customHeight="1">
      <c r="A649" s="73"/>
      <c r="B649" s="73"/>
      <c r="C649" s="73"/>
      <c r="D649" s="73"/>
      <c r="E649" s="73"/>
      <c r="F649" s="73"/>
      <c r="G649" s="73"/>
      <c r="I649" s="73"/>
    </row>
    <row r="650" spans="1:9" ht="15.75" customHeight="1">
      <c r="A650" s="73"/>
      <c r="B650" s="73"/>
      <c r="C650" s="73"/>
      <c r="D650" s="73"/>
      <c r="E650" s="73"/>
      <c r="F650" s="73"/>
      <c r="G650" s="73"/>
      <c r="I650" s="73"/>
    </row>
    <row r="651" spans="1:9" ht="15.75" customHeight="1">
      <c r="A651" s="73"/>
      <c r="B651" s="73"/>
      <c r="C651" s="73"/>
      <c r="D651" s="73"/>
      <c r="E651" s="73"/>
      <c r="F651" s="73"/>
      <c r="G651" s="73"/>
      <c r="I651" s="73"/>
    </row>
    <row r="652" spans="1:9" ht="15.75" customHeight="1">
      <c r="A652" s="73"/>
      <c r="B652" s="73"/>
      <c r="C652" s="73"/>
      <c r="D652" s="73"/>
      <c r="E652" s="73"/>
      <c r="F652" s="73"/>
      <c r="G652" s="73"/>
      <c r="I652" s="73"/>
    </row>
    <row r="653" spans="1:9" ht="15.75" customHeight="1">
      <c r="A653" s="73"/>
      <c r="B653" s="73"/>
      <c r="C653" s="73"/>
      <c r="D653" s="73"/>
      <c r="E653" s="73"/>
      <c r="F653" s="73"/>
      <c r="G653" s="73"/>
      <c r="I653" s="73"/>
    </row>
    <row r="654" spans="1:9" ht="15.75" customHeight="1">
      <c r="A654" s="73"/>
      <c r="B654" s="73"/>
      <c r="C654" s="73"/>
      <c r="D654" s="73"/>
      <c r="E654" s="73"/>
      <c r="F654" s="73"/>
      <c r="G654" s="73"/>
      <c r="I654" s="73"/>
    </row>
    <row r="655" spans="1:9" ht="15.75" customHeight="1">
      <c r="A655" s="73"/>
      <c r="B655" s="73"/>
      <c r="C655" s="73"/>
      <c r="D655" s="73"/>
      <c r="E655" s="73"/>
      <c r="F655" s="73"/>
      <c r="G655" s="73"/>
      <c r="I655" s="73"/>
    </row>
    <row r="656" spans="1:9" ht="15.75" customHeight="1">
      <c r="A656" s="73"/>
      <c r="B656" s="73"/>
      <c r="C656" s="73"/>
      <c r="D656" s="73"/>
      <c r="E656" s="73"/>
      <c r="F656" s="73"/>
      <c r="G656" s="73"/>
      <c r="I656" s="73"/>
    </row>
    <row r="657" spans="1:9" ht="15.75" customHeight="1">
      <c r="A657" s="73"/>
      <c r="B657" s="73"/>
      <c r="C657" s="73"/>
      <c r="D657" s="73"/>
      <c r="E657" s="73"/>
      <c r="F657" s="73"/>
      <c r="G657" s="73"/>
      <c r="I657" s="73"/>
    </row>
    <row r="658" spans="1:9" ht="15.75" customHeight="1">
      <c r="A658" s="73"/>
      <c r="B658" s="73"/>
      <c r="C658" s="73"/>
      <c r="D658" s="73"/>
      <c r="E658" s="73"/>
      <c r="F658" s="73"/>
      <c r="G658" s="73"/>
      <c r="I658" s="73"/>
    </row>
    <row r="659" spans="1:9" ht="15.75" customHeight="1">
      <c r="A659" s="73"/>
      <c r="B659" s="73"/>
      <c r="C659" s="73"/>
      <c r="D659" s="73"/>
      <c r="E659" s="73"/>
      <c r="F659" s="73"/>
      <c r="G659" s="73"/>
      <c r="I659" s="73"/>
    </row>
    <row r="660" spans="1:9" ht="15.75" customHeight="1">
      <c r="A660" s="73"/>
      <c r="B660" s="73"/>
      <c r="C660" s="73"/>
      <c r="D660" s="73"/>
      <c r="E660" s="73"/>
      <c r="F660" s="73"/>
      <c r="G660" s="73"/>
      <c r="I660" s="73"/>
    </row>
    <row r="661" spans="1:9" ht="15.75" customHeight="1">
      <c r="A661" s="73"/>
      <c r="B661" s="73"/>
      <c r="C661" s="73"/>
      <c r="D661" s="73"/>
      <c r="E661" s="73"/>
      <c r="F661" s="73"/>
      <c r="G661" s="73"/>
      <c r="I661" s="73"/>
    </row>
    <row r="662" spans="1:9" ht="15.75" customHeight="1">
      <c r="A662" s="73"/>
      <c r="B662" s="73"/>
      <c r="C662" s="73"/>
      <c r="D662" s="73"/>
      <c r="E662" s="73"/>
      <c r="F662" s="73"/>
      <c r="G662" s="73"/>
      <c r="I662" s="73"/>
    </row>
    <row r="663" spans="1:9" ht="15.75" customHeight="1">
      <c r="A663" s="73"/>
      <c r="B663" s="73"/>
      <c r="C663" s="73"/>
      <c r="D663" s="73"/>
      <c r="E663" s="73"/>
      <c r="F663" s="73"/>
      <c r="G663" s="73"/>
      <c r="I663" s="73"/>
    </row>
    <row r="664" spans="1:9" ht="15.75" customHeight="1">
      <c r="A664" s="73"/>
      <c r="B664" s="73"/>
      <c r="C664" s="73"/>
      <c r="D664" s="73"/>
      <c r="E664" s="73"/>
      <c r="F664" s="73"/>
      <c r="G664" s="73"/>
      <c r="I664" s="73"/>
    </row>
    <row r="665" spans="1:9" ht="15.75" customHeight="1">
      <c r="A665" s="73"/>
      <c r="B665" s="73"/>
      <c r="C665" s="73"/>
      <c r="D665" s="73"/>
      <c r="E665" s="73"/>
      <c r="F665" s="73"/>
      <c r="G665" s="73"/>
      <c r="I665" s="73"/>
    </row>
    <row r="666" spans="1:9" ht="15.75" customHeight="1">
      <c r="A666" s="73"/>
      <c r="B666" s="73"/>
      <c r="C666" s="73"/>
      <c r="D666" s="73"/>
      <c r="E666" s="73"/>
      <c r="F666" s="73"/>
      <c r="G666" s="73"/>
      <c r="I666" s="73"/>
    </row>
    <row r="667" spans="1:9" ht="15.75" customHeight="1">
      <c r="A667" s="73"/>
      <c r="B667" s="73"/>
      <c r="C667" s="73"/>
      <c r="D667" s="73"/>
      <c r="E667" s="73"/>
      <c r="F667" s="73"/>
      <c r="G667" s="73"/>
      <c r="I667" s="73"/>
    </row>
    <row r="668" spans="1:9" ht="15.75" customHeight="1">
      <c r="A668" s="73"/>
      <c r="B668" s="73"/>
      <c r="C668" s="73"/>
      <c r="D668" s="73"/>
      <c r="E668" s="73"/>
      <c r="F668" s="73"/>
      <c r="G668" s="73"/>
      <c r="I668" s="73"/>
    </row>
    <row r="669" spans="1:9" ht="15.75" customHeight="1">
      <c r="A669" s="73"/>
      <c r="B669" s="73"/>
      <c r="C669" s="73"/>
      <c r="D669" s="73"/>
      <c r="E669" s="73"/>
      <c r="F669" s="73"/>
      <c r="G669" s="73"/>
      <c r="I669" s="73"/>
    </row>
    <row r="670" spans="1:9" ht="15.75" customHeight="1">
      <c r="A670" s="73"/>
      <c r="B670" s="73"/>
      <c r="C670" s="73"/>
      <c r="D670" s="73"/>
      <c r="E670" s="73"/>
      <c r="F670" s="73"/>
      <c r="G670" s="73"/>
      <c r="I670" s="73"/>
    </row>
    <row r="671" spans="1:9" ht="15.75" customHeight="1">
      <c r="A671" s="73"/>
      <c r="B671" s="73"/>
      <c r="C671" s="73"/>
      <c r="D671" s="73"/>
      <c r="E671" s="73"/>
      <c r="F671" s="73"/>
      <c r="G671" s="73"/>
      <c r="I671" s="73"/>
    </row>
    <row r="672" spans="1:9" ht="15.75" customHeight="1">
      <c r="A672" s="73"/>
      <c r="B672" s="73"/>
      <c r="C672" s="73"/>
      <c r="D672" s="73"/>
      <c r="E672" s="73"/>
      <c r="F672" s="73"/>
      <c r="G672" s="73"/>
      <c r="I672" s="73"/>
    </row>
    <row r="673" spans="1:9" ht="15.75" customHeight="1">
      <c r="A673" s="73"/>
      <c r="B673" s="73"/>
      <c r="C673" s="73"/>
      <c r="D673" s="73"/>
      <c r="E673" s="73"/>
      <c r="F673" s="73"/>
      <c r="G673" s="73"/>
      <c r="I673" s="73"/>
    </row>
    <row r="674" spans="1:9" ht="15.75" customHeight="1">
      <c r="A674" s="73"/>
      <c r="B674" s="73"/>
      <c r="C674" s="73"/>
      <c r="D674" s="73"/>
      <c r="E674" s="73"/>
      <c r="F674" s="73"/>
      <c r="G674" s="73"/>
      <c r="I674" s="73"/>
    </row>
    <row r="675" spans="1:9" ht="15.75" customHeight="1">
      <c r="A675" s="73"/>
      <c r="B675" s="73"/>
      <c r="C675" s="73"/>
      <c r="D675" s="73"/>
      <c r="E675" s="73"/>
      <c r="F675" s="73"/>
      <c r="G675" s="73"/>
      <c r="I675" s="73"/>
    </row>
    <row r="676" spans="1:9" ht="15.75" customHeight="1">
      <c r="A676" s="73"/>
      <c r="B676" s="73"/>
      <c r="C676" s="73"/>
      <c r="D676" s="73"/>
      <c r="E676" s="73"/>
      <c r="F676" s="73"/>
      <c r="G676" s="73"/>
      <c r="I676" s="73"/>
    </row>
    <row r="677" spans="1:9" ht="15.75" customHeight="1">
      <c r="A677" s="73"/>
      <c r="B677" s="73"/>
      <c r="C677" s="73"/>
      <c r="D677" s="73"/>
      <c r="E677" s="73"/>
      <c r="F677" s="73"/>
      <c r="G677" s="73"/>
      <c r="I677" s="73"/>
    </row>
    <row r="678" spans="1:9" ht="15.75" customHeight="1">
      <c r="A678" s="73"/>
      <c r="B678" s="73"/>
      <c r="C678" s="73"/>
      <c r="D678" s="73"/>
      <c r="E678" s="73"/>
      <c r="F678" s="73"/>
      <c r="G678" s="73"/>
      <c r="I678" s="73"/>
    </row>
    <row r="679" spans="1:9" ht="15.75" customHeight="1">
      <c r="A679" s="73"/>
      <c r="B679" s="73"/>
      <c r="C679" s="73"/>
      <c r="D679" s="73"/>
      <c r="E679" s="73"/>
      <c r="F679" s="73"/>
      <c r="G679" s="73"/>
      <c r="I679" s="73"/>
    </row>
    <row r="680" spans="1:9" ht="15.75" customHeight="1">
      <c r="A680" s="73"/>
      <c r="B680" s="73"/>
      <c r="C680" s="73"/>
      <c r="D680" s="73"/>
      <c r="E680" s="73"/>
      <c r="F680" s="73"/>
      <c r="G680" s="73"/>
      <c r="I680" s="73"/>
    </row>
    <row r="681" spans="1:9" ht="15.75" customHeight="1">
      <c r="A681" s="73"/>
      <c r="B681" s="73"/>
      <c r="C681" s="73"/>
      <c r="D681" s="73"/>
      <c r="E681" s="73"/>
      <c r="F681" s="73"/>
      <c r="G681" s="73"/>
      <c r="I681" s="73"/>
    </row>
    <row r="682" spans="1:9" ht="15.75" customHeight="1">
      <c r="A682" s="73"/>
      <c r="B682" s="73"/>
      <c r="C682" s="73"/>
      <c r="D682" s="73"/>
      <c r="E682" s="73"/>
      <c r="F682" s="73"/>
      <c r="G682" s="73"/>
      <c r="I682" s="73"/>
    </row>
    <row r="683" spans="1:9" ht="15.75" customHeight="1">
      <c r="A683" s="73"/>
      <c r="B683" s="73"/>
      <c r="C683" s="73"/>
      <c r="D683" s="73"/>
      <c r="E683" s="73"/>
      <c r="F683" s="73"/>
      <c r="G683" s="73"/>
      <c r="I683" s="73"/>
    </row>
    <row r="684" spans="1:9" ht="15.75" customHeight="1">
      <c r="A684" s="73"/>
      <c r="B684" s="73"/>
      <c r="C684" s="73"/>
      <c r="D684" s="73"/>
      <c r="E684" s="73"/>
      <c r="F684" s="73"/>
      <c r="G684" s="73"/>
      <c r="I684" s="73"/>
    </row>
    <row r="685" spans="1:9" ht="15.75" customHeight="1">
      <c r="A685" s="73"/>
      <c r="B685" s="73"/>
      <c r="C685" s="73"/>
      <c r="D685" s="73"/>
      <c r="E685" s="73"/>
      <c r="F685" s="73"/>
      <c r="G685" s="73"/>
      <c r="I685" s="73"/>
    </row>
    <row r="686" spans="1:9" ht="15.75" customHeight="1">
      <c r="A686" s="73"/>
      <c r="B686" s="73"/>
      <c r="C686" s="73"/>
      <c r="D686" s="73"/>
      <c r="E686" s="73"/>
      <c r="F686" s="73"/>
      <c r="G686" s="73"/>
      <c r="I686" s="73"/>
    </row>
    <row r="687" spans="1:9" ht="15.75" customHeight="1">
      <c r="A687" s="73"/>
      <c r="B687" s="73"/>
      <c r="C687" s="73"/>
      <c r="D687" s="73"/>
      <c r="E687" s="73"/>
      <c r="F687" s="73"/>
      <c r="G687" s="73"/>
      <c r="I687" s="73"/>
    </row>
    <row r="688" spans="1:9" ht="15.75" customHeight="1">
      <c r="A688" s="73"/>
      <c r="B688" s="73"/>
      <c r="C688" s="73"/>
      <c r="D688" s="73"/>
      <c r="E688" s="73"/>
      <c r="F688" s="73"/>
      <c r="G688" s="73"/>
      <c r="I688" s="73"/>
    </row>
    <row r="689" spans="1:9" ht="15.75" customHeight="1">
      <c r="A689" s="73"/>
      <c r="B689" s="73"/>
      <c r="C689" s="73"/>
      <c r="D689" s="73"/>
      <c r="E689" s="73"/>
      <c r="F689" s="73"/>
      <c r="G689" s="73"/>
      <c r="I689" s="73"/>
    </row>
    <row r="690" spans="1:9" ht="15.75" customHeight="1">
      <c r="A690" s="73"/>
      <c r="B690" s="73"/>
      <c r="C690" s="73"/>
      <c r="D690" s="73"/>
      <c r="E690" s="73"/>
      <c r="F690" s="73"/>
      <c r="G690" s="73"/>
      <c r="I690" s="73"/>
    </row>
    <row r="691" spans="1:9" ht="15.75" customHeight="1">
      <c r="A691" s="73"/>
      <c r="B691" s="73"/>
      <c r="C691" s="73"/>
      <c r="D691" s="73"/>
      <c r="E691" s="73"/>
      <c r="F691" s="73"/>
      <c r="G691" s="73"/>
      <c r="I691" s="73"/>
    </row>
    <row r="692" spans="1:9" ht="15.75" customHeight="1">
      <c r="A692" s="73"/>
      <c r="B692" s="73"/>
      <c r="C692" s="73"/>
      <c r="D692" s="73"/>
      <c r="E692" s="73"/>
      <c r="F692" s="73"/>
      <c r="G692" s="73"/>
      <c r="I692" s="73"/>
    </row>
    <row r="693" spans="1:9" ht="15.75" customHeight="1">
      <c r="A693" s="73"/>
      <c r="B693" s="73"/>
      <c r="C693" s="73"/>
      <c r="D693" s="73"/>
      <c r="E693" s="73"/>
      <c r="F693" s="73"/>
      <c r="G693" s="73"/>
      <c r="I693" s="73"/>
    </row>
    <row r="694" spans="1:9" ht="15.75" customHeight="1">
      <c r="A694" s="73"/>
      <c r="B694" s="73"/>
      <c r="C694" s="73"/>
      <c r="D694" s="73"/>
      <c r="E694" s="73"/>
      <c r="F694" s="73"/>
      <c r="G694" s="73"/>
      <c r="I694" s="73"/>
    </row>
    <row r="695" spans="1:9" ht="15.75" customHeight="1">
      <c r="A695" s="73"/>
      <c r="B695" s="73"/>
      <c r="C695" s="73"/>
      <c r="D695" s="73"/>
      <c r="E695" s="73"/>
      <c r="F695" s="73"/>
      <c r="G695" s="73"/>
      <c r="I695" s="73"/>
    </row>
    <row r="696" spans="1:9" ht="15.75" customHeight="1">
      <c r="A696" s="73"/>
      <c r="B696" s="73"/>
      <c r="C696" s="73"/>
      <c r="D696" s="73"/>
      <c r="E696" s="73"/>
      <c r="F696" s="73"/>
      <c r="G696" s="73"/>
      <c r="I696" s="73"/>
    </row>
    <row r="697" spans="1:9" ht="15.75" customHeight="1">
      <c r="A697" s="73"/>
      <c r="B697" s="73"/>
      <c r="C697" s="73"/>
      <c r="D697" s="73"/>
      <c r="E697" s="73"/>
      <c r="F697" s="73"/>
      <c r="G697" s="73"/>
      <c r="I697" s="73"/>
    </row>
    <row r="698" spans="1:9" ht="15.75" customHeight="1">
      <c r="A698" s="73"/>
      <c r="B698" s="73"/>
      <c r="C698" s="73"/>
      <c r="D698" s="73"/>
      <c r="E698" s="73"/>
      <c r="F698" s="73"/>
      <c r="G698" s="73"/>
      <c r="I698" s="73"/>
    </row>
    <row r="699" spans="1:9" ht="15.75" customHeight="1">
      <c r="A699" s="73"/>
      <c r="B699" s="73"/>
      <c r="C699" s="73"/>
      <c r="D699" s="73"/>
      <c r="E699" s="73"/>
      <c r="F699" s="73"/>
      <c r="G699" s="73"/>
      <c r="I699" s="73"/>
    </row>
    <row r="700" spans="1:9" ht="15.75" customHeight="1">
      <c r="A700" s="73"/>
      <c r="B700" s="73"/>
      <c r="C700" s="73"/>
      <c r="D700" s="73"/>
      <c r="E700" s="73"/>
      <c r="F700" s="73"/>
      <c r="G700" s="73"/>
      <c r="I700" s="73"/>
    </row>
    <row r="701" spans="1:9" ht="15.75" customHeight="1">
      <c r="A701" s="73"/>
      <c r="B701" s="73"/>
      <c r="C701" s="73"/>
      <c r="D701" s="73"/>
      <c r="E701" s="73"/>
      <c r="F701" s="73"/>
      <c r="G701" s="73"/>
      <c r="I701" s="73"/>
    </row>
    <row r="702" spans="1:9" ht="15.75" customHeight="1">
      <c r="A702" s="73"/>
      <c r="B702" s="73"/>
      <c r="C702" s="73"/>
      <c r="D702" s="73"/>
      <c r="E702" s="73"/>
      <c r="F702" s="73"/>
      <c r="G702" s="73"/>
      <c r="I702" s="73"/>
    </row>
    <row r="703" spans="1:9" ht="15.75" customHeight="1">
      <c r="A703" s="73"/>
      <c r="B703" s="73"/>
      <c r="C703" s="73"/>
      <c r="D703" s="73"/>
      <c r="E703" s="73"/>
      <c r="F703" s="73"/>
      <c r="G703" s="73"/>
      <c r="I703" s="73"/>
    </row>
    <row r="704" spans="1:9" ht="15.75" customHeight="1">
      <c r="A704" s="73"/>
      <c r="B704" s="73"/>
      <c r="C704" s="73"/>
      <c r="D704" s="73"/>
      <c r="E704" s="73"/>
      <c r="F704" s="73"/>
      <c r="G704" s="73"/>
      <c r="I704" s="73"/>
    </row>
    <row r="705" spans="1:9" ht="15.75" customHeight="1">
      <c r="A705" s="73"/>
      <c r="B705" s="73"/>
      <c r="C705" s="73"/>
      <c r="D705" s="73"/>
      <c r="E705" s="73"/>
      <c r="F705" s="73"/>
      <c r="G705" s="73"/>
      <c r="I705" s="73"/>
    </row>
    <row r="706" spans="1:9" ht="15.75" customHeight="1">
      <c r="A706" s="73"/>
      <c r="B706" s="73"/>
      <c r="C706" s="73"/>
      <c r="D706" s="73"/>
      <c r="E706" s="73"/>
      <c r="F706" s="73"/>
      <c r="G706" s="73"/>
      <c r="I706" s="73"/>
    </row>
    <row r="707" spans="1:9" ht="15.75" customHeight="1">
      <c r="A707" s="73"/>
      <c r="B707" s="73"/>
      <c r="C707" s="73"/>
      <c r="D707" s="73"/>
      <c r="E707" s="73"/>
      <c r="F707" s="73"/>
      <c r="G707" s="73"/>
      <c r="I707" s="73"/>
    </row>
    <row r="708" spans="1:9" ht="15.75" customHeight="1">
      <c r="A708" s="73"/>
      <c r="B708" s="73"/>
      <c r="C708" s="73"/>
      <c r="D708" s="73"/>
      <c r="E708" s="73"/>
      <c r="F708" s="73"/>
      <c r="G708" s="73"/>
      <c r="I708" s="73"/>
    </row>
    <row r="709" spans="1:9" ht="15.75" customHeight="1">
      <c r="A709" s="73"/>
      <c r="B709" s="73"/>
      <c r="C709" s="73"/>
      <c r="D709" s="73"/>
      <c r="E709" s="73"/>
      <c r="F709" s="73"/>
      <c r="G709" s="73"/>
      <c r="I709" s="73"/>
    </row>
    <row r="710" spans="1:9" ht="15.75" customHeight="1">
      <c r="A710" s="73"/>
      <c r="B710" s="73"/>
      <c r="C710" s="73"/>
      <c r="D710" s="73"/>
      <c r="E710" s="73"/>
      <c r="F710" s="73"/>
      <c r="G710" s="73"/>
      <c r="I710" s="73"/>
    </row>
    <row r="711" spans="1:9" ht="15.75" customHeight="1">
      <c r="A711" s="73"/>
      <c r="B711" s="73"/>
      <c r="C711" s="73"/>
      <c r="D711" s="73"/>
      <c r="E711" s="73"/>
      <c r="F711" s="73"/>
      <c r="G711" s="73"/>
      <c r="I711" s="73"/>
    </row>
    <row r="712" spans="1:9" ht="15.75" customHeight="1">
      <c r="A712" s="73"/>
      <c r="B712" s="73"/>
      <c r="C712" s="73"/>
      <c r="D712" s="73"/>
      <c r="E712" s="73"/>
      <c r="F712" s="73"/>
      <c r="G712" s="73"/>
      <c r="I712" s="73"/>
    </row>
    <row r="713" spans="1:9" ht="15.75" customHeight="1">
      <c r="A713" s="73"/>
      <c r="B713" s="73"/>
      <c r="C713" s="73"/>
      <c r="D713" s="73"/>
      <c r="E713" s="73"/>
      <c r="F713" s="73"/>
      <c r="G713" s="73"/>
      <c r="I713" s="73"/>
    </row>
    <row r="714" spans="1:9" ht="15.75" customHeight="1">
      <c r="A714" s="73"/>
      <c r="B714" s="73"/>
      <c r="C714" s="73"/>
      <c r="D714" s="73"/>
      <c r="E714" s="73"/>
      <c r="F714" s="73"/>
      <c r="G714" s="73"/>
      <c r="I714" s="73"/>
    </row>
    <row r="715" spans="1:9" ht="15.75" customHeight="1">
      <c r="A715" s="73"/>
      <c r="B715" s="73"/>
      <c r="C715" s="73"/>
      <c r="D715" s="73"/>
      <c r="E715" s="73"/>
      <c r="F715" s="73"/>
      <c r="G715" s="73"/>
      <c r="I715" s="73"/>
    </row>
    <row r="716" spans="1:9" ht="15.75" customHeight="1">
      <c r="A716" s="73"/>
      <c r="B716" s="73"/>
      <c r="C716" s="73"/>
      <c r="D716" s="73"/>
      <c r="E716" s="73"/>
      <c r="F716" s="73"/>
      <c r="G716" s="73"/>
      <c r="I716" s="73"/>
    </row>
    <row r="717" spans="1:9" ht="15.75" customHeight="1">
      <c r="A717" s="73"/>
      <c r="B717" s="73"/>
      <c r="C717" s="73"/>
      <c r="D717" s="73"/>
      <c r="E717" s="73"/>
      <c r="F717" s="73"/>
      <c r="G717" s="73"/>
      <c r="I717" s="73"/>
    </row>
    <row r="718" spans="1:9" ht="15.75" customHeight="1">
      <c r="A718" s="73"/>
      <c r="B718" s="73"/>
      <c r="C718" s="73"/>
      <c r="D718" s="73"/>
      <c r="E718" s="73"/>
      <c r="F718" s="73"/>
      <c r="G718" s="73"/>
      <c r="I718" s="73"/>
    </row>
    <row r="719" spans="1:9" ht="15.75" customHeight="1">
      <c r="A719" s="73"/>
      <c r="B719" s="73"/>
      <c r="C719" s="73"/>
      <c r="D719" s="73"/>
      <c r="E719" s="73"/>
      <c r="F719" s="73"/>
      <c r="G719" s="73"/>
      <c r="I719" s="73"/>
    </row>
    <row r="720" spans="1:9" ht="15.75" customHeight="1">
      <c r="A720" s="73"/>
      <c r="B720" s="73"/>
      <c r="C720" s="73"/>
      <c r="D720" s="73"/>
      <c r="E720" s="73"/>
      <c r="F720" s="73"/>
      <c r="G720" s="73"/>
      <c r="I720" s="73"/>
    </row>
    <row r="721" spans="1:9" ht="15.75" customHeight="1">
      <c r="A721" s="73"/>
      <c r="B721" s="73"/>
      <c r="C721" s="73"/>
      <c r="D721" s="73"/>
      <c r="E721" s="73"/>
      <c r="F721" s="73"/>
      <c r="G721" s="73"/>
      <c r="I721" s="73"/>
    </row>
    <row r="722" spans="1:9" ht="15.75" customHeight="1">
      <c r="A722" s="73"/>
      <c r="B722" s="73"/>
      <c r="C722" s="73"/>
      <c r="D722" s="73"/>
      <c r="E722" s="73"/>
      <c r="F722" s="73"/>
      <c r="G722" s="73"/>
      <c r="I722" s="73"/>
    </row>
    <row r="723" spans="1:9" ht="15.75" customHeight="1">
      <c r="A723" s="73"/>
      <c r="B723" s="73"/>
      <c r="C723" s="73"/>
      <c r="D723" s="73"/>
      <c r="E723" s="73"/>
      <c r="F723" s="73"/>
      <c r="G723" s="73"/>
      <c r="I723" s="73"/>
    </row>
    <row r="724" spans="1:9" ht="15.75" customHeight="1">
      <c r="A724" s="73"/>
      <c r="B724" s="73"/>
      <c r="C724" s="73"/>
      <c r="D724" s="73"/>
      <c r="E724" s="73"/>
      <c r="F724" s="73"/>
      <c r="G724" s="73"/>
      <c r="I724" s="73"/>
    </row>
    <row r="725" spans="1:9" ht="15.75" customHeight="1">
      <c r="A725" s="73"/>
      <c r="B725" s="73"/>
      <c r="C725" s="73"/>
      <c r="D725" s="73"/>
      <c r="E725" s="73"/>
      <c r="F725" s="73"/>
      <c r="G725" s="73"/>
      <c r="I725" s="73"/>
    </row>
    <row r="726" spans="1:9" ht="15.75" customHeight="1">
      <c r="A726" s="73"/>
      <c r="B726" s="73"/>
      <c r="C726" s="73"/>
      <c r="D726" s="73"/>
      <c r="E726" s="73"/>
      <c r="F726" s="73"/>
      <c r="G726" s="73"/>
      <c r="I726" s="73"/>
    </row>
    <row r="727" spans="1:9" ht="15.75" customHeight="1">
      <c r="A727" s="73"/>
      <c r="B727" s="73"/>
      <c r="C727" s="73"/>
      <c r="D727" s="73"/>
      <c r="E727" s="73"/>
      <c r="F727" s="73"/>
      <c r="G727" s="73"/>
      <c r="I727" s="73"/>
    </row>
    <row r="728" spans="1:9" ht="15.75" customHeight="1">
      <c r="A728" s="73"/>
      <c r="B728" s="73"/>
      <c r="C728" s="73"/>
      <c r="D728" s="73"/>
      <c r="E728" s="73"/>
      <c r="F728" s="73"/>
      <c r="G728" s="73"/>
      <c r="I728" s="73"/>
    </row>
    <row r="729" spans="1:9" ht="15.75" customHeight="1">
      <c r="A729" s="73"/>
      <c r="B729" s="73"/>
      <c r="C729" s="73"/>
      <c r="D729" s="73"/>
      <c r="E729" s="73"/>
      <c r="F729" s="73"/>
      <c r="G729" s="73"/>
      <c r="I729" s="73"/>
    </row>
    <row r="730" spans="1:9" ht="15.75" customHeight="1">
      <c r="A730" s="73"/>
      <c r="B730" s="73"/>
      <c r="C730" s="73"/>
      <c r="D730" s="73"/>
      <c r="E730" s="73"/>
      <c r="F730" s="73"/>
      <c r="G730" s="73"/>
      <c r="I730" s="73"/>
    </row>
    <row r="731" spans="1:9" ht="15.75" customHeight="1">
      <c r="A731" s="73"/>
      <c r="B731" s="73"/>
      <c r="C731" s="73"/>
      <c r="D731" s="73"/>
      <c r="E731" s="73"/>
      <c r="F731" s="73"/>
      <c r="G731" s="73"/>
      <c r="I731" s="73"/>
    </row>
    <row r="732" spans="1:9" ht="15.75" customHeight="1">
      <c r="A732" s="73"/>
      <c r="B732" s="73"/>
      <c r="C732" s="73"/>
      <c r="D732" s="73"/>
      <c r="E732" s="73"/>
      <c r="F732" s="73"/>
      <c r="G732" s="73"/>
      <c r="I732" s="73"/>
    </row>
    <row r="733" spans="1:9" ht="15.75" customHeight="1">
      <c r="A733" s="73"/>
      <c r="B733" s="73"/>
      <c r="C733" s="73"/>
      <c r="D733" s="73"/>
      <c r="E733" s="73"/>
      <c r="F733" s="73"/>
      <c r="G733" s="73"/>
      <c r="I733" s="73"/>
    </row>
    <row r="734" spans="1:9" ht="15.75" customHeight="1">
      <c r="A734" s="73"/>
      <c r="B734" s="73"/>
      <c r="C734" s="73"/>
      <c r="D734" s="73"/>
      <c r="E734" s="73"/>
      <c r="F734" s="73"/>
      <c r="G734" s="73"/>
      <c r="I734" s="73"/>
    </row>
    <row r="735" spans="1:9" ht="15.75" customHeight="1">
      <c r="A735" s="73"/>
      <c r="B735" s="73"/>
      <c r="C735" s="73"/>
      <c r="D735" s="73"/>
      <c r="E735" s="73"/>
      <c r="F735" s="73"/>
      <c r="G735" s="73"/>
      <c r="I735" s="73"/>
    </row>
    <row r="736" spans="1:9" ht="15.75" customHeight="1">
      <c r="A736" s="73"/>
      <c r="B736" s="73"/>
      <c r="C736" s="73"/>
      <c r="D736" s="73"/>
      <c r="E736" s="73"/>
      <c r="F736" s="73"/>
      <c r="G736" s="73"/>
      <c r="I736" s="73"/>
    </row>
    <row r="737" spans="1:9" ht="15.75" customHeight="1">
      <c r="A737" s="73"/>
      <c r="B737" s="73"/>
      <c r="C737" s="73"/>
      <c r="D737" s="73"/>
      <c r="E737" s="73"/>
      <c r="F737" s="73"/>
      <c r="G737" s="73"/>
      <c r="I737" s="73"/>
    </row>
    <row r="738" spans="1:9" ht="15.75" customHeight="1">
      <c r="A738" s="73"/>
      <c r="B738" s="73"/>
      <c r="C738" s="73"/>
      <c r="D738" s="73"/>
      <c r="E738" s="73"/>
      <c r="F738" s="73"/>
      <c r="G738" s="73"/>
      <c r="I738" s="73"/>
    </row>
    <row r="739" spans="1:9" ht="15.75" customHeight="1">
      <c r="A739" s="73"/>
      <c r="B739" s="73"/>
      <c r="C739" s="73"/>
      <c r="D739" s="73"/>
      <c r="E739" s="73"/>
      <c r="F739" s="73"/>
      <c r="G739" s="73"/>
      <c r="I739" s="73"/>
    </row>
    <row r="740" spans="1:9" ht="15.75" customHeight="1">
      <c r="A740" s="73"/>
      <c r="B740" s="73"/>
      <c r="C740" s="73"/>
      <c r="D740" s="73"/>
      <c r="E740" s="73"/>
      <c r="F740" s="73"/>
      <c r="G740" s="73"/>
      <c r="I740" s="73"/>
    </row>
    <row r="741" spans="1:9" ht="15.75" customHeight="1">
      <c r="A741" s="73"/>
      <c r="B741" s="73"/>
      <c r="C741" s="73"/>
      <c r="D741" s="73"/>
      <c r="E741" s="73"/>
      <c r="F741" s="73"/>
      <c r="G741" s="73"/>
      <c r="I741" s="73"/>
    </row>
    <row r="742" spans="1:9" ht="15.75" customHeight="1">
      <c r="A742" s="73"/>
      <c r="B742" s="73"/>
      <c r="C742" s="73"/>
      <c r="D742" s="73"/>
      <c r="E742" s="73"/>
      <c r="F742" s="73"/>
      <c r="G742" s="73"/>
      <c r="I742" s="73"/>
    </row>
    <row r="743" spans="1:9" ht="15.75" customHeight="1">
      <c r="A743" s="73"/>
      <c r="B743" s="73"/>
      <c r="C743" s="73"/>
      <c r="D743" s="73"/>
      <c r="E743" s="73"/>
      <c r="F743" s="73"/>
      <c r="G743" s="73"/>
      <c r="I743" s="73"/>
    </row>
    <row r="744" spans="1:9" ht="15.75" customHeight="1">
      <c r="A744" s="73"/>
      <c r="B744" s="73"/>
      <c r="C744" s="73"/>
      <c r="D744" s="73"/>
      <c r="E744" s="73"/>
      <c r="F744" s="73"/>
      <c r="G744" s="73"/>
      <c r="I744" s="73"/>
    </row>
    <row r="745" spans="1:9" ht="15.75" customHeight="1">
      <c r="A745" s="73"/>
      <c r="B745" s="73"/>
      <c r="C745" s="73"/>
      <c r="D745" s="73"/>
      <c r="E745" s="73"/>
      <c r="F745" s="73"/>
      <c r="G745" s="73"/>
      <c r="I745" s="73"/>
    </row>
    <row r="746" spans="1:9" ht="15.75" customHeight="1">
      <c r="A746" s="73"/>
      <c r="B746" s="73"/>
      <c r="C746" s="73"/>
      <c r="D746" s="73"/>
      <c r="E746" s="73"/>
      <c r="F746" s="73"/>
      <c r="G746" s="73"/>
      <c r="I746" s="73"/>
    </row>
    <row r="747" spans="1:9" ht="15.75" customHeight="1">
      <c r="A747" s="73"/>
      <c r="B747" s="73"/>
      <c r="C747" s="73"/>
      <c r="D747" s="73"/>
      <c r="E747" s="73"/>
      <c r="F747" s="73"/>
      <c r="G747" s="73"/>
      <c r="I747" s="73"/>
    </row>
    <row r="748" spans="1:9" ht="15.75" customHeight="1">
      <c r="A748" s="73"/>
      <c r="B748" s="73"/>
      <c r="C748" s="73"/>
      <c r="D748" s="73"/>
      <c r="E748" s="73"/>
      <c r="F748" s="73"/>
      <c r="G748" s="73"/>
      <c r="I748" s="73"/>
    </row>
    <row r="749" spans="1:9" ht="15.75" customHeight="1">
      <c r="A749" s="73"/>
      <c r="B749" s="73"/>
      <c r="C749" s="73"/>
      <c r="D749" s="73"/>
      <c r="E749" s="73"/>
      <c r="F749" s="73"/>
      <c r="G749" s="73"/>
      <c r="I749" s="73"/>
    </row>
    <row r="750" spans="1:9" ht="15.75" customHeight="1">
      <c r="A750" s="73"/>
      <c r="B750" s="73"/>
      <c r="C750" s="73"/>
      <c r="D750" s="73"/>
      <c r="E750" s="73"/>
      <c r="F750" s="73"/>
      <c r="G750" s="73"/>
      <c r="I750" s="73"/>
    </row>
    <row r="751" spans="1:9" ht="15.75" customHeight="1">
      <c r="A751" s="73"/>
      <c r="B751" s="73"/>
      <c r="C751" s="73"/>
      <c r="D751" s="73"/>
      <c r="E751" s="73"/>
      <c r="F751" s="73"/>
      <c r="G751" s="73"/>
      <c r="I751" s="73"/>
    </row>
    <row r="752" spans="1:9" ht="15.75" customHeight="1">
      <c r="A752" s="73"/>
      <c r="B752" s="73"/>
      <c r="C752" s="73"/>
      <c r="D752" s="73"/>
      <c r="E752" s="73"/>
      <c r="F752" s="73"/>
      <c r="G752" s="73"/>
      <c r="I752" s="73"/>
    </row>
    <row r="753" spans="1:9" ht="15.75" customHeight="1">
      <c r="A753" s="73"/>
      <c r="B753" s="73"/>
      <c r="C753" s="73"/>
      <c r="D753" s="73"/>
      <c r="E753" s="73"/>
      <c r="F753" s="73"/>
      <c r="G753" s="73"/>
      <c r="I753" s="73"/>
    </row>
    <row r="754" spans="1:9" ht="15.75" customHeight="1">
      <c r="A754" s="73"/>
      <c r="B754" s="73"/>
      <c r="C754" s="73"/>
      <c r="D754" s="73"/>
      <c r="E754" s="73"/>
      <c r="F754" s="73"/>
      <c r="G754" s="73"/>
      <c r="I754" s="73"/>
    </row>
    <row r="755" spans="1:9" ht="15.75" customHeight="1">
      <c r="A755" s="73"/>
      <c r="B755" s="73"/>
      <c r="C755" s="73"/>
      <c r="D755" s="73"/>
      <c r="E755" s="73"/>
      <c r="F755" s="73"/>
      <c r="G755" s="73"/>
      <c r="I755" s="73"/>
    </row>
    <row r="756" spans="1:9" ht="15.75" customHeight="1">
      <c r="A756" s="73"/>
      <c r="B756" s="73"/>
      <c r="C756" s="73"/>
      <c r="D756" s="73"/>
      <c r="E756" s="73"/>
      <c r="F756" s="73"/>
      <c r="G756" s="73"/>
      <c r="I756" s="73"/>
    </row>
    <row r="757" spans="1:9" ht="15.75" customHeight="1">
      <c r="A757" s="73"/>
      <c r="B757" s="73"/>
      <c r="C757" s="73"/>
      <c r="D757" s="73"/>
      <c r="E757" s="73"/>
      <c r="F757" s="73"/>
      <c r="G757" s="73"/>
      <c r="I757" s="73"/>
    </row>
    <row r="758" spans="1:9" ht="15.75" customHeight="1">
      <c r="A758" s="73"/>
      <c r="B758" s="73"/>
      <c r="C758" s="73"/>
      <c r="D758" s="73"/>
      <c r="E758" s="73"/>
      <c r="F758" s="73"/>
      <c r="G758" s="73"/>
      <c r="I758" s="73"/>
    </row>
    <row r="759" spans="1:9" ht="15.75" customHeight="1">
      <c r="A759" s="73"/>
      <c r="B759" s="73"/>
      <c r="C759" s="73"/>
      <c r="D759" s="73"/>
      <c r="E759" s="73"/>
      <c r="F759" s="73"/>
      <c r="G759" s="73"/>
      <c r="I759" s="73"/>
    </row>
    <row r="760" spans="1:9" ht="15.75" customHeight="1">
      <c r="A760" s="73"/>
      <c r="B760" s="73"/>
      <c r="C760" s="73"/>
      <c r="D760" s="73"/>
      <c r="E760" s="73"/>
      <c r="F760" s="73"/>
      <c r="G760" s="73"/>
      <c r="I760" s="73"/>
    </row>
    <row r="761" spans="1:9" ht="15.75" customHeight="1">
      <c r="A761" s="73"/>
      <c r="B761" s="73"/>
      <c r="C761" s="73"/>
      <c r="D761" s="73"/>
      <c r="E761" s="73"/>
      <c r="F761" s="73"/>
      <c r="G761" s="73"/>
      <c r="I761" s="73"/>
    </row>
    <row r="762" spans="1:9" ht="15.75" customHeight="1">
      <c r="A762" s="73"/>
      <c r="B762" s="73"/>
      <c r="C762" s="73"/>
      <c r="D762" s="73"/>
      <c r="E762" s="73"/>
      <c r="F762" s="73"/>
      <c r="G762" s="73"/>
      <c r="I762" s="73"/>
    </row>
    <row r="763" spans="1:9" ht="15.75" customHeight="1">
      <c r="A763" s="73"/>
      <c r="B763" s="73"/>
      <c r="C763" s="73"/>
      <c r="D763" s="73"/>
      <c r="E763" s="73"/>
      <c r="F763" s="73"/>
      <c r="G763" s="73"/>
      <c r="I763" s="73"/>
    </row>
    <row r="764" spans="1:9" ht="15.75" customHeight="1">
      <c r="A764" s="73"/>
      <c r="B764" s="73"/>
      <c r="C764" s="73"/>
      <c r="D764" s="73"/>
      <c r="E764" s="73"/>
      <c r="F764" s="73"/>
      <c r="G764" s="73"/>
      <c r="I764" s="73"/>
    </row>
    <row r="765" spans="1:9" ht="15.75" customHeight="1">
      <c r="A765" s="73"/>
      <c r="B765" s="73"/>
      <c r="C765" s="73"/>
      <c r="D765" s="73"/>
      <c r="E765" s="73"/>
      <c r="F765" s="73"/>
      <c r="G765" s="73"/>
      <c r="I765" s="73"/>
    </row>
    <row r="766" spans="1:9" ht="15.75" customHeight="1">
      <c r="A766" s="73"/>
      <c r="B766" s="73"/>
      <c r="C766" s="73"/>
      <c r="D766" s="73"/>
      <c r="E766" s="73"/>
      <c r="F766" s="73"/>
      <c r="G766" s="73"/>
      <c r="I766" s="73"/>
    </row>
    <row r="767" spans="1:9" ht="15.75" customHeight="1">
      <c r="A767" s="73"/>
      <c r="B767" s="73"/>
      <c r="C767" s="73"/>
      <c r="D767" s="73"/>
      <c r="E767" s="73"/>
      <c r="F767" s="73"/>
      <c r="G767" s="73"/>
      <c r="I767" s="73"/>
    </row>
    <row r="768" spans="1:9" ht="15.75" customHeight="1">
      <c r="A768" s="73"/>
      <c r="B768" s="73"/>
      <c r="C768" s="73"/>
      <c r="D768" s="73"/>
      <c r="E768" s="73"/>
      <c r="F768" s="73"/>
      <c r="G768" s="73"/>
      <c r="I768" s="73"/>
    </row>
    <row r="769" spans="1:9" ht="15.75" customHeight="1">
      <c r="A769" s="73"/>
      <c r="B769" s="73"/>
      <c r="C769" s="73"/>
      <c r="D769" s="73"/>
      <c r="E769" s="73"/>
      <c r="F769" s="73"/>
      <c r="G769" s="73"/>
      <c r="I769" s="73"/>
    </row>
    <row r="770" spans="1:9" ht="15.75" customHeight="1">
      <c r="A770" s="73"/>
      <c r="B770" s="73"/>
      <c r="C770" s="73"/>
      <c r="D770" s="73"/>
      <c r="E770" s="73"/>
      <c r="F770" s="73"/>
      <c r="G770" s="73"/>
      <c r="I770" s="73"/>
    </row>
    <row r="771" spans="1:9" ht="15.75" customHeight="1">
      <c r="A771" s="73"/>
      <c r="B771" s="73"/>
      <c r="C771" s="73"/>
      <c r="D771" s="73"/>
      <c r="E771" s="73"/>
      <c r="F771" s="73"/>
      <c r="G771" s="73"/>
      <c r="I771" s="73"/>
    </row>
    <row r="772" spans="1:9" ht="15.75" customHeight="1">
      <c r="A772" s="73"/>
      <c r="B772" s="73"/>
      <c r="C772" s="73"/>
      <c r="D772" s="73"/>
      <c r="E772" s="73"/>
      <c r="F772" s="73"/>
      <c r="G772" s="73"/>
      <c r="I772" s="73"/>
    </row>
    <row r="773" spans="1:9" ht="15.75" customHeight="1">
      <c r="A773" s="73"/>
      <c r="B773" s="73"/>
      <c r="C773" s="73"/>
      <c r="D773" s="73"/>
      <c r="E773" s="73"/>
      <c r="F773" s="73"/>
      <c r="G773" s="73"/>
      <c r="I773" s="73"/>
    </row>
    <row r="774" spans="1:9" ht="15.75" customHeight="1">
      <c r="A774" s="73"/>
      <c r="B774" s="73"/>
      <c r="C774" s="73"/>
      <c r="D774" s="73"/>
      <c r="E774" s="73"/>
      <c r="F774" s="73"/>
      <c r="G774" s="73"/>
      <c r="I774" s="73"/>
    </row>
    <row r="775" spans="1:9" ht="15.75" customHeight="1">
      <c r="A775" s="73"/>
      <c r="B775" s="73"/>
      <c r="C775" s="73"/>
      <c r="D775" s="73"/>
      <c r="E775" s="73"/>
      <c r="F775" s="73"/>
      <c r="G775" s="73"/>
      <c r="I775" s="73"/>
    </row>
    <row r="776" spans="1:9" ht="15.75" customHeight="1">
      <c r="A776" s="73"/>
      <c r="B776" s="73"/>
      <c r="C776" s="73"/>
      <c r="D776" s="73"/>
      <c r="E776" s="73"/>
      <c r="F776" s="73"/>
      <c r="G776" s="73"/>
      <c r="I776" s="73"/>
    </row>
    <row r="777" spans="1:9" ht="15.75" customHeight="1">
      <c r="A777" s="73"/>
      <c r="B777" s="73"/>
      <c r="C777" s="73"/>
      <c r="D777" s="73"/>
      <c r="E777" s="73"/>
      <c r="F777" s="73"/>
      <c r="G777" s="73"/>
      <c r="I777" s="73"/>
    </row>
    <row r="778" spans="1:9" ht="15.75" customHeight="1">
      <c r="A778" s="73"/>
      <c r="B778" s="73"/>
      <c r="C778" s="73"/>
      <c r="D778" s="73"/>
      <c r="E778" s="73"/>
      <c r="F778" s="73"/>
      <c r="G778" s="73"/>
      <c r="I778" s="73"/>
    </row>
    <row r="779" spans="1:9" ht="15.75" customHeight="1">
      <c r="A779" s="73"/>
      <c r="B779" s="73"/>
      <c r="C779" s="73"/>
      <c r="D779" s="73"/>
      <c r="E779" s="73"/>
      <c r="F779" s="73"/>
      <c r="G779" s="73"/>
      <c r="I779" s="73"/>
    </row>
    <row r="780" spans="1:9" ht="15.75" customHeight="1">
      <c r="A780" s="73"/>
      <c r="B780" s="73"/>
      <c r="C780" s="73"/>
      <c r="D780" s="73"/>
      <c r="E780" s="73"/>
      <c r="F780" s="73"/>
      <c r="G780" s="73"/>
      <c r="I780" s="73"/>
    </row>
    <row r="781" spans="1:9" ht="15.75" customHeight="1">
      <c r="A781" s="73"/>
      <c r="B781" s="73"/>
      <c r="C781" s="73"/>
      <c r="D781" s="73"/>
      <c r="E781" s="73"/>
      <c r="F781" s="73"/>
      <c r="G781" s="73"/>
      <c r="I781" s="73"/>
    </row>
    <row r="782" spans="1:9" ht="15.75" customHeight="1">
      <c r="A782" s="73"/>
      <c r="B782" s="73"/>
      <c r="C782" s="73"/>
      <c r="D782" s="73"/>
      <c r="E782" s="73"/>
      <c r="F782" s="73"/>
      <c r="G782" s="73"/>
      <c r="I782" s="73"/>
    </row>
    <row r="783" spans="1:9" ht="15.75" customHeight="1">
      <c r="A783" s="73"/>
      <c r="B783" s="73"/>
      <c r="C783" s="73"/>
      <c r="D783" s="73"/>
      <c r="E783" s="73"/>
      <c r="F783" s="73"/>
      <c r="G783" s="73"/>
      <c r="I783" s="73"/>
    </row>
    <row r="784" spans="1:9" ht="15.75" customHeight="1">
      <c r="A784" s="73"/>
      <c r="B784" s="73"/>
      <c r="C784" s="73"/>
      <c r="D784" s="73"/>
      <c r="E784" s="73"/>
      <c r="F784" s="73"/>
      <c r="G784" s="73"/>
      <c r="I784" s="73"/>
    </row>
    <row r="785" spans="1:9" ht="15.75" customHeight="1">
      <c r="A785" s="73"/>
      <c r="B785" s="73"/>
      <c r="C785" s="73"/>
      <c r="D785" s="73"/>
      <c r="E785" s="73"/>
      <c r="F785" s="73"/>
      <c r="G785" s="73"/>
      <c r="I785" s="73"/>
    </row>
    <row r="786" spans="1:9" ht="15.75" customHeight="1">
      <c r="A786" s="73"/>
      <c r="B786" s="73"/>
      <c r="C786" s="73"/>
      <c r="D786" s="73"/>
      <c r="E786" s="73"/>
      <c r="F786" s="73"/>
      <c r="G786" s="73"/>
      <c r="I786" s="73"/>
    </row>
    <row r="787" spans="1:9" ht="15.75" customHeight="1">
      <c r="A787" s="73"/>
      <c r="B787" s="73"/>
      <c r="C787" s="73"/>
      <c r="D787" s="73"/>
      <c r="E787" s="73"/>
      <c r="F787" s="73"/>
      <c r="G787" s="73"/>
      <c r="I787" s="73"/>
    </row>
    <row r="788" spans="1:9" ht="15.75" customHeight="1">
      <c r="A788" s="73"/>
      <c r="B788" s="73"/>
      <c r="C788" s="73"/>
      <c r="D788" s="73"/>
      <c r="E788" s="73"/>
      <c r="F788" s="73"/>
      <c r="G788" s="73"/>
      <c r="I788" s="73"/>
    </row>
    <row r="789" spans="1:9" ht="15.75" customHeight="1">
      <c r="A789" s="73"/>
      <c r="B789" s="73"/>
      <c r="C789" s="73"/>
      <c r="D789" s="73"/>
      <c r="E789" s="73"/>
      <c r="F789" s="73"/>
      <c r="G789" s="73"/>
      <c r="I789" s="73"/>
    </row>
    <row r="790" spans="1:9" ht="15.75" customHeight="1">
      <c r="A790" s="73"/>
      <c r="B790" s="73"/>
      <c r="C790" s="73"/>
      <c r="D790" s="73"/>
      <c r="E790" s="73"/>
      <c r="F790" s="73"/>
      <c r="G790" s="73"/>
      <c r="I790" s="73"/>
    </row>
    <row r="791" spans="1:9" ht="15.75" customHeight="1">
      <c r="A791" s="73"/>
      <c r="B791" s="73"/>
      <c r="C791" s="73"/>
      <c r="D791" s="73"/>
      <c r="E791" s="73"/>
      <c r="F791" s="73"/>
      <c r="G791" s="73"/>
      <c r="I791" s="73"/>
    </row>
    <row r="792" spans="1:9" ht="15.75" customHeight="1">
      <c r="A792" s="73"/>
      <c r="B792" s="73"/>
      <c r="C792" s="73"/>
      <c r="D792" s="73"/>
      <c r="E792" s="73"/>
      <c r="F792" s="73"/>
      <c r="G792" s="73"/>
      <c r="I792" s="73"/>
    </row>
    <row r="793" spans="1:9" ht="15.75" customHeight="1">
      <c r="A793" s="73"/>
      <c r="B793" s="73"/>
      <c r="C793" s="73"/>
      <c r="D793" s="73"/>
      <c r="E793" s="73"/>
      <c r="F793" s="73"/>
      <c r="G793" s="73"/>
      <c r="I793" s="73"/>
    </row>
    <row r="794" spans="1:9" ht="15.75" customHeight="1">
      <c r="A794" s="73"/>
      <c r="B794" s="73"/>
      <c r="C794" s="73"/>
      <c r="D794" s="73"/>
      <c r="E794" s="73"/>
      <c r="F794" s="73"/>
      <c r="G794" s="73"/>
      <c r="I794" s="73"/>
    </row>
    <row r="795" spans="1:9" ht="15.75" customHeight="1">
      <c r="A795" s="73"/>
      <c r="B795" s="73"/>
      <c r="C795" s="73"/>
      <c r="D795" s="73"/>
      <c r="E795" s="73"/>
      <c r="F795" s="73"/>
      <c r="G795" s="73"/>
      <c r="I795" s="73"/>
    </row>
    <row r="796" spans="1:9" ht="15.75" customHeight="1">
      <c r="A796" s="73"/>
      <c r="B796" s="73"/>
      <c r="C796" s="73"/>
      <c r="D796" s="73"/>
      <c r="E796" s="73"/>
      <c r="F796" s="73"/>
      <c r="G796" s="73"/>
      <c r="I796" s="73"/>
    </row>
    <row r="797" spans="1:9" ht="15.75" customHeight="1">
      <c r="A797" s="73"/>
      <c r="B797" s="73"/>
      <c r="C797" s="73"/>
      <c r="D797" s="73"/>
      <c r="E797" s="73"/>
      <c r="F797" s="73"/>
      <c r="G797" s="73"/>
      <c r="I797" s="73"/>
    </row>
    <row r="798" spans="1:9" ht="15.75" customHeight="1">
      <c r="A798" s="73"/>
      <c r="B798" s="73"/>
      <c r="C798" s="73"/>
      <c r="D798" s="73"/>
      <c r="E798" s="73"/>
      <c r="F798" s="73"/>
      <c r="G798" s="73"/>
      <c r="I798" s="73"/>
    </row>
    <row r="799" spans="1:9" ht="15.75" customHeight="1">
      <c r="A799" s="73"/>
      <c r="B799" s="73"/>
      <c r="C799" s="73"/>
      <c r="D799" s="73"/>
      <c r="E799" s="73"/>
      <c r="F799" s="73"/>
      <c r="G799" s="73"/>
      <c r="I799" s="73"/>
    </row>
    <row r="800" spans="1:9" ht="15.75" customHeight="1">
      <c r="A800" s="73"/>
      <c r="B800" s="73"/>
      <c r="C800" s="73"/>
      <c r="D800" s="73"/>
      <c r="E800" s="73"/>
      <c r="F800" s="73"/>
      <c r="G800" s="73"/>
      <c r="I800" s="73"/>
    </row>
    <row r="801" spans="1:9" ht="15.75" customHeight="1">
      <c r="A801" s="73"/>
      <c r="B801" s="73"/>
      <c r="C801" s="73"/>
      <c r="D801" s="73"/>
      <c r="E801" s="73"/>
      <c r="F801" s="73"/>
      <c r="G801" s="73"/>
      <c r="I801" s="73"/>
    </row>
    <row r="802" spans="1:9" ht="15.75" customHeight="1">
      <c r="A802" s="73"/>
      <c r="B802" s="73"/>
      <c r="C802" s="73"/>
      <c r="D802" s="73"/>
      <c r="E802" s="73"/>
      <c r="F802" s="73"/>
      <c r="G802" s="73"/>
      <c r="I802" s="73"/>
    </row>
    <row r="803" spans="1:9" ht="15.75" customHeight="1">
      <c r="A803" s="73"/>
      <c r="B803" s="73"/>
      <c r="C803" s="73"/>
      <c r="D803" s="73"/>
      <c r="E803" s="73"/>
      <c r="F803" s="73"/>
      <c r="G803" s="73"/>
      <c r="I803" s="73"/>
    </row>
    <row r="804" spans="1:9" ht="15.75" customHeight="1">
      <c r="A804" s="73"/>
      <c r="B804" s="73"/>
      <c r="C804" s="73"/>
      <c r="D804" s="73"/>
      <c r="E804" s="73"/>
      <c r="F804" s="73"/>
      <c r="G804" s="73"/>
      <c r="I804" s="73"/>
    </row>
    <row r="805" spans="1:9" ht="15.75" customHeight="1">
      <c r="A805" s="73"/>
      <c r="B805" s="73"/>
      <c r="C805" s="73"/>
      <c r="D805" s="73"/>
      <c r="E805" s="73"/>
      <c r="F805" s="73"/>
      <c r="G805" s="73"/>
      <c r="I805" s="73"/>
    </row>
    <row r="806" spans="1:9" ht="15.75" customHeight="1">
      <c r="A806" s="73"/>
      <c r="B806" s="73"/>
      <c r="C806" s="73"/>
      <c r="D806" s="73"/>
      <c r="E806" s="73"/>
      <c r="F806" s="73"/>
      <c r="G806" s="73"/>
      <c r="I806" s="73"/>
    </row>
    <row r="807" spans="1:9" ht="15.75" customHeight="1">
      <c r="A807" s="73"/>
      <c r="B807" s="73"/>
      <c r="C807" s="73"/>
      <c r="D807" s="73"/>
      <c r="E807" s="73"/>
      <c r="F807" s="73"/>
      <c r="G807" s="73"/>
      <c r="I807" s="73"/>
    </row>
    <row r="808" spans="1:9" ht="15.75" customHeight="1">
      <c r="A808" s="73"/>
      <c r="B808" s="73"/>
      <c r="C808" s="73"/>
      <c r="D808" s="73"/>
      <c r="E808" s="73"/>
      <c r="F808" s="73"/>
      <c r="G808" s="73"/>
      <c r="I808" s="73"/>
    </row>
    <row r="809" spans="1:9" ht="15.75" customHeight="1">
      <c r="A809" s="73"/>
      <c r="B809" s="73"/>
      <c r="C809" s="73"/>
      <c r="D809" s="73"/>
      <c r="E809" s="73"/>
      <c r="F809" s="73"/>
      <c r="G809" s="73"/>
      <c r="I809" s="73"/>
    </row>
    <row r="810" spans="1:9" ht="15.75" customHeight="1">
      <c r="A810" s="73"/>
      <c r="B810" s="73"/>
      <c r="C810" s="73"/>
      <c r="D810" s="73"/>
      <c r="E810" s="73"/>
      <c r="F810" s="73"/>
      <c r="G810" s="73"/>
      <c r="I810" s="73"/>
    </row>
    <row r="811" spans="1:9" ht="15.75" customHeight="1">
      <c r="A811" s="73"/>
      <c r="B811" s="73"/>
      <c r="C811" s="73"/>
      <c r="D811" s="73"/>
      <c r="E811" s="73"/>
      <c r="F811" s="73"/>
      <c r="G811" s="73"/>
      <c r="I811" s="73"/>
    </row>
    <row r="812" spans="1:9" ht="15.75" customHeight="1">
      <c r="A812" s="73"/>
      <c r="B812" s="73"/>
      <c r="C812" s="73"/>
      <c r="D812" s="73"/>
      <c r="E812" s="73"/>
      <c r="F812" s="73"/>
      <c r="G812" s="73"/>
      <c r="I812" s="73"/>
    </row>
    <row r="813" spans="1:9" ht="15.75" customHeight="1">
      <c r="A813" s="73"/>
      <c r="B813" s="73"/>
      <c r="C813" s="73"/>
      <c r="D813" s="73"/>
      <c r="E813" s="73"/>
      <c r="F813" s="73"/>
      <c r="G813" s="73"/>
      <c r="I813" s="73"/>
    </row>
    <row r="814" spans="1:9" ht="15.75" customHeight="1">
      <c r="A814" s="73"/>
      <c r="B814" s="73"/>
      <c r="C814" s="73"/>
      <c r="D814" s="73"/>
      <c r="E814" s="73"/>
      <c r="F814" s="73"/>
      <c r="G814" s="73"/>
      <c r="I814" s="73"/>
    </row>
    <row r="815" spans="1:9" ht="15.75" customHeight="1">
      <c r="A815" s="73"/>
      <c r="B815" s="73"/>
      <c r="C815" s="73"/>
      <c r="D815" s="73"/>
      <c r="E815" s="73"/>
      <c r="F815" s="73"/>
      <c r="G815" s="73"/>
      <c r="I815" s="73"/>
    </row>
    <row r="816" spans="1:9" ht="15.75" customHeight="1">
      <c r="A816" s="73"/>
      <c r="B816" s="73"/>
      <c r="C816" s="73"/>
      <c r="D816" s="73"/>
      <c r="E816" s="73"/>
      <c r="F816" s="73"/>
      <c r="G816" s="73"/>
      <c r="I816" s="73"/>
    </row>
    <row r="817" spans="1:9" ht="15.75" customHeight="1">
      <c r="A817" s="73"/>
      <c r="B817" s="73"/>
      <c r="C817" s="73"/>
      <c r="D817" s="73"/>
      <c r="E817" s="73"/>
      <c r="F817" s="73"/>
      <c r="G817" s="73"/>
      <c r="I817" s="73"/>
    </row>
    <row r="818" spans="1:9" ht="15.75" customHeight="1">
      <c r="A818" s="73"/>
      <c r="B818" s="73"/>
      <c r="C818" s="73"/>
      <c r="D818" s="73"/>
      <c r="E818" s="73"/>
      <c r="F818" s="73"/>
      <c r="G818" s="73"/>
      <c r="I818" s="73"/>
    </row>
    <row r="819" spans="1:9" ht="15.75" customHeight="1">
      <c r="A819" s="73"/>
      <c r="B819" s="73"/>
      <c r="C819" s="73"/>
      <c r="D819" s="73"/>
      <c r="E819" s="73"/>
      <c r="F819" s="73"/>
      <c r="G819" s="73"/>
      <c r="I819" s="73"/>
    </row>
    <row r="820" spans="1:9" ht="15.75" customHeight="1">
      <c r="A820" s="73"/>
      <c r="B820" s="73"/>
      <c r="C820" s="73"/>
      <c r="D820" s="73"/>
      <c r="E820" s="73"/>
      <c r="F820" s="73"/>
      <c r="G820" s="73"/>
      <c r="I820" s="73"/>
    </row>
    <row r="821" spans="1:9" ht="15.75" customHeight="1">
      <c r="A821" s="73"/>
      <c r="B821" s="73"/>
      <c r="C821" s="73"/>
      <c r="D821" s="73"/>
      <c r="E821" s="73"/>
      <c r="F821" s="73"/>
      <c r="G821" s="73"/>
      <c r="I821" s="73"/>
    </row>
    <row r="822" spans="1:9" ht="15.75" customHeight="1">
      <c r="A822" s="73"/>
      <c r="B822" s="73"/>
      <c r="C822" s="73"/>
      <c r="D822" s="73"/>
      <c r="E822" s="73"/>
      <c r="F822" s="73"/>
      <c r="G822" s="73"/>
      <c r="I822" s="73"/>
    </row>
    <row r="823" spans="1:9" ht="15.75" customHeight="1">
      <c r="A823" s="73"/>
      <c r="B823" s="73"/>
      <c r="C823" s="73"/>
      <c r="D823" s="73"/>
      <c r="E823" s="73"/>
      <c r="F823" s="73"/>
      <c r="G823" s="73"/>
      <c r="I823" s="73"/>
    </row>
    <row r="824" spans="1:9" ht="15.75" customHeight="1">
      <c r="A824" s="73"/>
      <c r="B824" s="73"/>
      <c r="C824" s="73"/>
      <c r="D824" s="73"/>
      <c r="E824" s="73"/>
      <c r="F824" s="73"/>
      <c r="G824" s="73"/>
      <c r="I824" s="73"/>
    </row>
    <row r="825" spans="1:9" ht="15.75" customHeight="1">
      <c r="A825" s="73"/>
      <c r="B825" s="73"/>
      <c r="C825" s="73"/>
      <c r="D825" s="73"/>
      <c r="E825" s="73"/>
      <c r="F825" s="73"/>
      <c r="G825" s="73"/>
      <c r="I825" s="73"/>
    </row>
    <row r="826" spans="1:9" ht="15.75" customHeight="1">
      <c r="A826" s="73"/>
      <c r="B826" s="73"/>
      <c r="C826" s="73"/>
      <c r="D826" s="73"/>
      <c r="E826" s="73"/>
      <c r="F826" s="73"/>
      <c r="G826" s="73"/>
      <c r="I826" s="73"/>
    </row>
    <row r="827" spans="1:9" ht="15.75" customHeight="1">
      <c r="A827" s="73"/>
      <c r="B827" s="73"/>
      <c r="C827" s="73"/>
      <c r="D827" s="73"/>
      <c r="E827" s="73"/>
      <c r="F827" s="73"/>
      <c r="G827" s="73"/>
      <c r="I827" s="73"/>
    </row>
    <row r="828" spans="1:9" ht="15.75" customHeight="1">
      <c r="A828" s="73"/>
      <c r="B828" s="73"/>
      <c r="C828" s="73"/>
      <c r="D828" s="73"/>
      <c r="E828" s="73"/>
      <c r="F828" s="73"/>
      <c r="G828" s="73"/>
      <c r="I828" s="73"/>
    </row>
    <row r="829" spans="1:9" ht="15.75" customHeight="1">
      <c r="A829" s="73"/>
      <c r="B829" s="73"/>
      <c r="C829" s="73"/>
      <c r="D829" s="73"/>
      <c r="E829" s="73"/>
      <c r="F829" s="73"/>
      <c r="G829" s="73"/>
      <c r="I829" s="73"/>
    </row>
    <row r="830" spans="1:9" ht="15.75" customHeight="1">
      <c r="A830" s="73"/>
      <c r="B830" s="73"/>
      <c r="C830" s="73"/>
      <c r="D830" s="73"/>
      <c r="E830" s="73"/>
      <c r="F830" s="73"/>
      <c r="G830" s="73"/>
      <c r="I830" s="73"/>
    </row>
    <row r="831" spans="1:9" ht="15.75" customHeight="1">
      <c r="A831" s="73"/>
      <c r="B831" s="73"/>
      <c r="C831" s="73"/>
      <c r="D831" s="73"/>
      <c r="E831" s="73"/>
      <c r="F831" s="73"/>
      <c r="G831" s="73"/>
      <c r="I831" s="73"/>
    </row>
    <row r="832" spans="1:9" ht="15.75" customHeight="1">
      <c r="A832" s="73"/>
      <c r="B832" s="73"/>
      <c r="C832" s="73"/>
      <c r="D832" s="73"/>
      <c r="E832" s="73"/>
      <c r="F832" s="73"/>
      <c r="G832" s="73"/>
      <c r="I832" s="73"/>
    </row>
    <row r="833" spans="1:9" ht="15.75" customHeight="1">
      <c r="A833" s="73"/>
      <c r="B833" s="73"/>
      <c r="C833" s="73"/>
      <c r="D833" s="73"/>
      <c r="E833" s="73"/>
      <c r="F833" s="73"/>
      <c r="G833" s="73"/>
      <c r="I833" s="73"/>
    </row>
    <row r="834" spans="1:9" ht="15.75" customHeight="1">
      <c r="A834" s="73"/>
      <c r="B834" s="73"/>
      <c r="C834" s="73"/>
      <c r="D834" s="73"/>
      <c r="E834" s="73"/>
      <c r="F834" s="73"/>
      <c r="G834" s="73"/>
      <c r="I834" s="73"/>
    </row>
    <row r="835" spans="1:9" ht="15.75" customHeight="1">
      <c r="A835" s="73"/>
      <c r="B835" s="73"/>
      <c r="C835" s="73"/>
      <c r="D835" s="73"/>
      <c r="E835" s="73"/>
      <c r="F835" s="73"/>
      <c r="G835" s="73"/>
      <c r="I835" s="73"/>
    </row>
    <row r="836" spans="1:9" ht="15.75" customHeight="1">
      <c r="A836" s="73"/>
      <c r="B836" s="73"/>
      <c r="C836" s="73"/>
      <c r="D836" s="73"/>
      <c r="E836" s="73"/>
      <c r="F836" s="73"/>
      <c r="G836" s="73"/>
      <c r="I836" s="73"/>
    </row>
    <row r="837" spans="1:9" ht="15.75" customHeight="1">
      <c r="A837" s="73"/>
      <c r="B837" s="73"/>
      <c r="C837" s="73"/>
      <c r="D837" s="73"/>
      <c r="E837" s="73"/>
      <c r="F837" s="73"/>
      <c r="G837" s="73"/>
      <c r="I837" s="73"/>
    </row>
    <row r="838" spans="1:9" ht="15.75" customHeight="1">
      <c r="A838" s="73"/>
      <c r="B838" s="73"/>
      <c r="C838" s="73"/>
      <c r="D838" s="73"/>
      <c r="E838" s="73"/>
      <c r="F838" s="73"/>
      <c r="G838" s="73"/>
      <c r="I838" s="73"/>
    </row>
    <row r="839" spans="1:9" ht="15.75" customHeight="1">
      <c r="A839" s="73"/>
      <c r="B839" s="73"/>
      <c r="C839" s="73"/>
      <c r="D839" s="73"/>
      <c r="E839" s="73"/>
      <c r="F839" s="73"/>
      <c r="G839" s="73"/>
      <c r="I839" s="73"/>
    </row>
    <row r="840" spans="1:9" ht="15.75" customHeight="1">
      <c r="A840" s="73"/>
      <c r="B840" s="73"/>
      <c r="C840" s="73"/>
      <c r="D840" s="73"/>
      <c r="E840" s="73"/>
      <c r="F840" s="73"/>
      <c r="G840" s="73"/>
      <c r="I840" s="73"/>
    </row>
    <row r="841" spans="1:9" ht="15.75" customHeight="1">
      <c r="A841" s="73"/>
      <c r="B841" s="73"/>
      <c r="C841" s="73"/>
      <c r="D841" s="73"/>
      <c r="E841" s="73"/>
      <c r="F841" s="73"/>
      <c r="G841" s="73"/>
      <c r="I841" s="73"/>
    </row>
    <row r="842" spans="1:9" ht="15.75" customHeight="1">
      <c r="A842" s="73"/>
      <c r="B842" s="73"/>
      <c r="C842" s="73"/>
      <c r="D842" s="73"/>
      <c r="E842" s="73"/>
      <c r="F842" s="73"/>
      <c r="G842" s="73"/>
      <c r="I842" s="73"/>
    </row>
    <row r="843" spans="1:9" ht="15.75" customHeight="1">
      <c r="A843" s="73"/>
      <c r="B843" s="73"/>
      <c r="C843" s="73"/>
      <c r="D843" s="73"/>
      <c r="E843" s="73"/>
      <c r="F843" s="73"/>
      <c r="G843" s="73"/>
      <c r="I843" s="73"/>
    </row>
    <row r="844" spans="1:9" ht="15.75" customHeight="1">
      <c r="A844" s="73"/>
      <c r="B844" s="73"/>
      <c r="C844" s="73"/>
      <c r="D844" s="73"/>
      <c r="E844" s="73"/>
      <c r="F844" s="73"/>
      <c r="G844" s="73"/>
      <c r="I844" s="73"/>
    </row>
    <row r="845" spans="1:9" ht="15.75" customHeight="1">
      <c r="A845" s="73"/>
      <c r="B845" s="73"/>
      <c r="C845" s="73"/>
      <c r="D845" s="73"/>
      <c r="E845" s="73"/>
      <c r="F845" s="73"/>
      <c r="G845" s="73"/>
      <c r="I845" s="73"/>
    </row>
    <row r="846" spans="1:9" ht="15.75" customHeight="1">
      <c r="A846" s="73"/>
      <c r="B846" s="73"/>
      <c r="C846" s="73"/>
      <c r="D846" s="73"/>
      <c r="E846" s="73"/>
      <c r="F846" s="73"/>
      <c r="G846" s="73"/>
      <c r="I846" s="73"/>
    </row>
    <row r="847" spans="1:9" ht="15.75" customHeight="1">
      <c r="A847" s="73"/>
      <c r="B847" s="73"/>
      <c r="C847" s="73"/>
      <c r="D847" s="73"/>
      <c r="E847" s="73"/>
      <c r="F847" s="73"/>
      <c r="G847" s="73"/>
      <c r="I847" s="73"/>
    </row>
    <row r="848" spans="1:9" ht="15.75" customHeight="1">
      <c r="A848" s="73"/>
      <c r="B848" s="73"/>
      <c r="C848" s="73"/>
      <c r="D848" s="73"/>
      <c r="E848" s="73"/>
      <c r="F848" s="73"/>
      <c r="G848" s="73"/>
      <c r="I848" s="73"/>
    </row>
    <row r="849" spans="1:9" ht="15.75" customHeight="1">
      <c r="A849" s="73"/>
      <c r="B849" s="73"/>
      <c r="C849" s="73"/>
      <c r="D849" s="73"/>
      <c r="E849" s="73"/>
      <c r="F849" s="73"/>
      <c r="G849" s="73"/>
      <c r="I849" s="73"/>
    </row>
    <row r="850" spans="1:9" ht="15.75" customHeight="1">
      <c r="A850" s="73"/>
      <c r="B850" s="73"/>
      <c r="C850" s="73"/>
      <c r="D850" s="73"/>
      <c r="E850" s="73"/>
      <c r="F850" s="73"/>
      <c r="G850" s="73"/>
      <c r="I850" s="73"/>
    </row>
    <row r="851" spans="1:9" ht="15.75" customHeight="1">
      <c r="A851" s="73"/>
      <c r="B851" s="73"/>
      <c r="C851" s="73"/>
      <c r="D851" s="73"/>
      <c r="E851" s="73"/>
      <c r="F851" s="73"/>
      <c r="G851" s="73"/>
      <c r="I851" s="73"/>
    </row>
    <row r="852" spans="1:9" ht="15.75" customHeight="1">
      <c r="A852" s="73"/>
      <c r="B852" s="73"/>
      <c r="C852" s="73"/>
      <c r="D852" s="73"/>
      <c r="E852" s="73"/>
      <c r="F852" s="73"/>
      <c r="G852" s="73"/>
      <c r="I852" s="73"/>
    </row>
    <row r="853" spans="1:9" ht="15.75" customHeight="1">
      <c r="A853" s="73"/>
      <c r="B853" s="73"/>
      <c r="C853" s="73"/>
      <c r="D853" s="73"/>
      <c r="E853" s="73"/>
      <c r="F853" s="73"/>
      <c r="G853" s="73"/>
      <c r="I853" s="73"/>
    </row>
    <row r="854" spans="1:9" ht="15.75" customHeight="1">
      <c r="A854" s="73"/>
      <c r="B854" s="73"/>
      <c r="C854" s="73"/>
      <c r="D854" s="73"/>
      <c r="E854" s="73"/>
      <c r="F854" s="73"/>
      <c r="G854" s="73"/>
      <c r="I854" s="73"/>
    </row>
    <row r="855" spans="1:9" ht="15.75" customHeight="1">
      <c r="A855" s="73"/>
      <c r="B855" s="73"/>
      <c r="C855" s="73"/>
      <c r="D855" s="73"/>
      <c r="E855" s="73"/>
      <c r="F855" s="73"/>
      <c r="G855" s="73"/>
      <c r="I855" s="73"/>
    </row>
    <row r="856" spans="1:9" ht="15.75" customHeight="1">
      <c r="A856" s="73"/>
      <c r="B856" s="73"/>
      <c r="C856" s="73"/>
      <c r="D856" s="73"/>
      <c r="E856" s="73"/>
      <c r="F856" s="73"/>
      <c r="G856" s="73"/>
      <c r="I856" s="73"/>
    </row>
    <row r="857" spans="1:9" ht="15.75" customHeight="1">
      <c r="A857" s="73"/>
      <c r="B857" s="73"/>
      <c r="C857" s="73"/>
      <c r="D857" s="73"/>
      <c r="E857" s="73"/>
      <c r="F857" s="73"/>
      <c r="G857" s="73"/>
      <c r="I857" s="73"/>
    </row>
    <row r="858" spans="1:9" ht="15.75" customHeight="1">
      <c r="A858" s="73"/>
      <c r="B858" s="73"/>
      <c r="C858" s="73"/>
      <c r="D858" s="73"/>
      <c r="E858" s="73"/>
      <c r="F858" s="73"/>
      <c r="G858" s="73"/>
      <c r="I858" s="73"/>
    </row>
    <row r="859" spans="1:9" ht="15.75" customHeight="1">
      <c r="A859" s="73"/>
      <c r="B859" s="73"/>
      <c r="C859" s="73"/>
      <c r="D859" s="73"/>
      <c r="E859" s="73"/>
      <c r="F859" s="73"/>
      <c r="G859" s="73"/>
      <c r="I859" s="73"/>
    </row>
    <row r="860" spans="1:9" ht="15.75" customHeight="1">
      <c r="A860" s="73"/>
      <c r="B860" s="73"/>
      <c r="C860" s="73"/>
      <c r="D860" s="73"/>
      <c r="E860" s="73"/>
      <c r="F860" s="73"/>
      <c r="G860" s="73"/>
      <c r="I860" s="73"/>
    </row>
    <row r="861" spans="1:9" ht="15.75" customHeight="1">
      <c r="A861" s="73"/>
      <c r="B861" s="73"/>
      <c r="C861" s="73"/>
      <c r="D861" s="73"/>
      <c r="E861" s="73"/>
      <c r="F861" s="73"/>
      <c r="G861" s="73"/>
      <c r="I861" s="73"/>
    </row>
    <row r="862" spans="1:9" ht="15.75" customHeight="1">
      <c r="A862" s="73"/>
      <c r="B862" s="73"/>
      <c r="C862" s="73"/>
      <c r="D862" s="73"/>
      <c r="E862" s="73"/>
      <c r="F862" s="73"/>
      <c r="G862" s="73"/>
      <c r="I862" s="73"/>
    </row>
    <row r="863" spans="1:9" ht="15.75" customHeight="1">
      <c r="A863" s="73"/>
      <c r="B863" s="73"/>
      <c r="C863" s="73"/>
      <c r="D863" s="73"/>
      <c r="E863" s="73"/>
      <c r="F863" s="73"/>
      <c r="G863" s="73"/>
      <c r="I863" s="73"/>
    </row>
    <row r="864" spans="1:9" ht="15.75" customHeight="1">
      <c r="A864" s="73"/>
      <c r="B864" s="73"/>
      <c r="C864" s="73"/>
      <c r="D864" s="73"/>
      <c r="E864" s="73"/>
      <c r="F864" s="73"/>
      <c r="G864" s="73"/>
      <c r="I864" s="73"/>
    </row>
    <row r="865" spans="1:9" ht="15.75" customHeight="1">
      <c r="A865" s="73"/>
      <c r="B865" s="73"/>
      <c r="C865" s="73"/>
      <c r="D865" s="73"/>
      <c r="E865" s="73"/>
      <c r="F865" s="73"/>
      <c r="G865" s="73"/>
      <c r="I865" s="73"/>
    </row>
    <row r="866" spans="1:9" ht="15.75" customHeight="1">
      <c r="A866" s="73"/>
      <c r="B866" s="73"/>
      <c r="C866" s="73"/>
      <c r="D866" s="73"/>
      <c r="E866" s="73"/>
      <c r="F866" s="73"/>
      <c r="G866" s="73"/>
      <c r="I866" s="73"/>
    </row>
    <row r="867" spans="1:9" ht="15.75" customHeight="1">
      <c r="A867" s="73"/>
      <c r="B867" s="73"/>
      <c r="C867" s="73"/>
      <c r="D867" s="73"/>
      <c r="E867" s="73"/>
      <c r="F867" s="73"/>
      <c r="G867" s="73"/>
      <c r="I867" s="73"/>
    </row>
    <row r="868" spans="1:9" ht="15.75" customHeight="1">
      <c r="A868" s="73"/>
      <c r="B868" s="73"/>
      <c r="C868" s="73"/>
      <c r="D868" s="73"/>
      <c r="E868" s="73"/>
      <c r="F868" s="73"/>
      <c r="G868" s="73"/>
      <c r="I868" s="73"/>
    </row>
    <row r="869" spans="1:9" ht="15.75" customHeight="1">
      <c r="A869" s="73"/>
      <c r="B869" s="73"/>
      <c r="C869" s="73"/>
      <c r="D869" s="73"/>
      <c r="E869" s="73"/>
      <c r="F869" s="73"/>
      <c r="G869" s="73"/>
      <c r="I869" s="73"/>
    </row>
    <row r="870" spans="1:9" ht="15.75" customHeight="1">
      <c r="A870" s="73"/>
      <c r="B870" s="73"/>
      <c r="C870" s="73"/>
      <c r="D870" s="73"/>
      <c r="E870" s="73"/>
      <c r="F870" s="73"/>
      <c r="G870" s="73"/>
      <c r="I870" s="73"/>
    </row>
    <row r="871" spans="1:9" ht="15.75" customHeight="1">
      <c r="A871" s="73"/>
      <c r="B871" s="73"/>
      <c r="C871" s="73"/>
      <c r="D871" s="73"/>
      <c r="E871" s="73"/>
      <c r="F871" s="73"/>
      <c r="G871" s="73"/>
      <c r="I871" s="73"/>
    </row>
    <row r="872" spans="1:9" ht="15.75" customHeight="1">
      <c r="A872" s="73"/>
      <c r="B872" s="73"/>
      <c r="C872" s="73"/>
      <c r="D872" s="73"/>
      <c r="E872" s="73"/>
      <c r="F872" s="73"/>
      <c r="G872" s="73"/>
      <c r="I872" s="73"/>
    </row>
    <row r="873" spans="1:9" ht="15.75" customHeight="1">
      <c r="A873" s="73"/>
      <c r="B873" s="73"/>
      <c r="C873" s="73"/>
      <c r="D873" s="73"/>
      <c r="E873" s="73"/>
      <c r="F873" s="73"/>
      <c r="G873" s="73"/>
      <c r="I873" s="73"/>
    </row>
    <row r="874" spans="1:9" ht="15.75" customHeight="1">
      <c r="A874" s="73"/>
      <c r="B874" s="73"/>
      <c r="C874" s="73"/>
      <c r="D874" s="73"/>
      <c r="E874" s="73"/>
      <c r="F874" s="73"/>
      <c r="G874" s="73"/>
      <c r="I874" s="73"/>
    </row>
    <row r="875" spans="1:9" ht="15.75" customHeight="1">
      <c r="A875" s="73"/>
      <c r="B875" s="73"/>
      <c r="C875" s="73"/>
      <c r="D875" s="73"/>
      <c r="E875" s="73"/>
      <c r="F875" s="73"/>
      <c r="G875" s="73"/>
      <c r="I875" s="73"/>
    </row>
    <row r="876" spans="1:9" ht="15.75" customHeight="1">
      <c r="A876" s="73"/>
      <c r="B876" s="73"/>
      <c r="C876" s="73"/>
      <c r="D876" s="73"/>
      <c r="E876" s="73"/>
      <c r="F876" s="73"/>
      <c r="G876" s="73"/>
      <c r="I876" s="73"/>
    </row>
    <row r="877" spans="1:9" ht="15.75" customHeight="1">
      <c r="A877" s="73"/>
      <c r="B877" s="73"/>
      <c r="C877" s="73"/>
      <c r="D877" s="73"/>
      <c r="E877" s="73"/>
      <c r="F877" s="73"/>
      <c r="G877" s="73"/>
      <c r="I877" s="73"/>
    </row>
    <row r="878" spans="1:9" ht="15.75" customHeight="1">
      <c r="A878" s="73"/>
      <c r="B878" s="73"/>
      <c r="C878" s="73"/>
      <c r="D878" s="73"/>
      <c r="E878" s="73"/>
      <c r="F878" s="73"/>
      <c r="G878" s="73"/>
      <c r="I878" s="73"/>
    </row>
    <row r="879" spans="1:9" ht="15.75" customHeight="1">
      <c r="A879" s="73"/>
      <c r="B879" s="73"/>
      <c r="C879" s="73"/>
      <c r="D879" s="73"/>
      <c r="E879" s="73"/>
      <c r="F879" s="73"/>
      <c r="G879" s="73"/>
      <c r="I879" s="73"/>
    </row>
    <row r="880" spans="1:9" ht="15.75" customHeight="1">
      <c r="A880" s="73"/>
      <c r="B880" s="73"/>
      <c r="C880" s="73"/>
      <c r="D880" s="73"/>
      <c r="E880" s="73"/>
      <c r="F880" s="73"/>
      <c r="G880" s="73"/>
      <c r="I880" s="73"/>
    </row>
    <row r="881" spans="1:9" ht="15.75" customHeight="1">
      <c r="A881" s="73"/>
      <c r="B881" s="73"/>
      <c r="C881" s="73"/>
      <c r="D881" s="73"/>
      <c r="E881" s="73"/>
      <c r="F881" s="73"/>
      <c r="G881" s="73"/>
      <c r="I881" s="73"/>
    </row>
    <row r="882" spans="1:9" ht="15.75" customHeight="1">
      <c r="A882" s="73"/>
      <c r="B882" s="73"/>
      <c r="C882" s="73"/>
      <c r="D882" s="73"/>
      <c r="E882" s="73"/>
      <c r="F882" s="73"/>
      <c r="G882" s="73"/>
      <c r="I882" s="73"/>
    </row>
    <row r="883" spans="1:9" ht="15.75" customHeight="1">
      <c r="A883" s="73"/>
      <c r="B883" s="73"/>
      <c r="C883" s="73"/>
      <c r="D883" s="73"/>
      <c r="E883" s="73"/>
      <c r="F883" s="73"/>
      <c r="G883" s="73"/>
      <c r="I883" s="73"/>
    </row>
    <row r="884" spans="1:9" ht="15.75" customHeight="1">
      <c r="A884" s="73"/>
      <c r="B884" s="73"/>
      <c r="C884" s="73"/>
      <c r="D884" s="73"/>
      <c r="E884" s="73"/>
      <c r="F884" s="73"/>
      <c r="G884" s="73"/>
      <c r="I884" s="73"/>
    </row>
    <row r="885" spans="1:9" ht="15.75" customHeight="1">
      <c r="A885" s="73"/>
      <c r="B885" s="73"/>
      <c r="C885" s="73"/>
      <c r="D885" s="73"/>
      <c r="E885" s="73"/>
      <c r="F885" s="73"/>
      <c r="G885" s="73"/>
      <c r="I885" s="73"/>
    </row>
    <row r="886" spans="1:9" ht="15.75" customHeight="1">
      <c r="A886" s="73"/>
      <c r="B886" s="73"/>
      <c r="C886" s="73"/>
      <c r="D886" s="73"/>
      <c r="E886" s="73"/>
      <c r="F886" s="73"/>
      <c r="G886" s="73"/>
      <c r="I886" s="73"/>
    </row>
    <row r="887" spans="1:9" ht="15.75" customHeight="1">
      <c r="A887" s="73"/>
      <c r="B887" s="73"/>
      <c r="C887" s="73"/>
      <c r="D887" s="73"/>
      <c r="E887" s="73"/>
      <c r="F887" s="73"/>
      <c r="G887" s="73"/>
      <c r="I887" s="73"/>
    </row>
    <row r="888" spans="1:9" ht="15.75" customHeight="1">
      <c r="A888" s="73"/>
      <c r="B888" s="73"/>
      <c r="C888" s="73"/>
      <c r="D888" s="73"/>
      <c r="E888" s="73"/>
      <c r="F888" s="73"/>
      <c r="G888" s="73"/>
      <c r="I888" s="73"/>
    </row>
    <row r="889" spans="1:9" ht="15.75" customHeight="1">
      <c r="A889" s="73"/>
      <c r="B889" s="73"/>
      <c r="C889" s="73"/>
      <c r="D889" s="73"/>
      <c r="E889" s="73"/>
      <c r="F889" s="73"/>
      <c r="G889" s="73"/>
      <c r="I889" s="73"/>
    </row>
    <row r="890" spans="1:9" ht="15.75" customHeight="1">
      <c r="A890" s="73"/>
      <c r="B890" s="73"/>
      <c r="C890" s="73"/>
      <c r="D890" s="73"/>
      <c r="E890" s="73"/>
      <c r="F890" s="73"/>
      <c r="G890" s="73"/>
      <c r="I890" s="73"/>
    </row>
    <row r="891" spans="1:9" ht="15.75" customHeight="1">
      <c r="A891" s="73"/>
      <c r="B891" s="73"/>
      <c r="C891" s="73"/>
      <c r="D891" s="73"/>
      <c r="E891" s="73"/>
      <c r="F891" s="73"/>
      <c r="G891" s="73"/>
      <c r="I891" s="73"/>
    </row>
    <row r="892" spans="1:9" ht="15.75" customHeight="1">
      <c r="A892" s="73"/>
      <c r="B892" s="73"/>
      <c r="C892" s="73"/>
      <c r="D892" s="73"/>
      <c r="E892" s="73"/>
      <c r="F892" s="73"/>
      <c r="G892" s="73"/>
      <c r="I892" s="73"/>
    </row>
    <row r="893" spans="1:9" ht="15.75" customHeight="1">
      <c r="A893" s="73"/>
      <c r="B893" s="73"/>
      <c r="C893" s="73"/>
      <c r="D893" s="73"/>
      <c r="E893" s="73"/>
      <c r="F893" s="73"/>
      <c r="G893" s="73"/>
      <c r="I893" s="73"/>
    </row>
    <row r="894" spans="1:9" ht="15.75" customHeight="1">
      <c r="A894" s="73"/>
      <c r="B894" s="73"/>
      <c r="C894" s="73"/>
      <c r="D894" s="73"/>
      <c r="E894" s="73"/>
      <c r="F894" s="73"/>
      <c r="G894" s="73"/>
      <c r="I894" s="73"/>
    </row>
    <row r="895" spans="1:9" ht="15.75" customHeight="1">
      <c r="A895" s="73"/>
      <c r="B895" s="73"/>
      <c r="C895" s="73"/>
      <c r="D895" s="73"/>
      <c r="E895" s="73"/>
      <c r="F895" s="73"/>
      <c r="G895" s="73"/>
      <c r="I895" s="73"/>
    </row>
    <row r="896" spans="1:9" ht="15.75" customHeight="1">
      <c r="A896" s="73"/>
      <c r="B896" s="73"/>
      <c r="C896" s="73"/>
      <c r="D896" s="73"/>
      <c r="E896" s="73"/>
      <c r="F896" s="73"/>
      <c r="G896" s="73"/>
      <c r="I896" s="73"/>
    </row>
    <row r="897" spans="1:9" ht="15.75" customHeight="1">
      <c r="A897" s="73"/>
      <c r="B897" s="73"/>
      <c r="C897" s="73"/>
      <c r="D897" s="73"/>
      <c r="E897" s="73"/>
      <c r="F897" s="73"/>
      <c r="G897" s="73"/>
      <c r="I897" s="73"/>
    </row>
    <row r="898" spans="1:9" ht="15.75" customHeight="1">
      <c r="A898" s="73"/>
      <c r="B898" s="73"/>
      <c r="C898" s="73"/>
      <c r="D898" s="73"/>
      <c r="E898" s="73"/>
      <c r="F898" s="73"/>
      <c r="G898" s="73"/>
      <c r="I898" s="73"/>
    </row>
    <row r="899" spans="1:9" ht="15.75" customHeight="1">
      <c r="A899" s="73"/>
      <c r="B899" s="73"/>
      <c r="C899" s="73"/>
      <c r="D899" s="73"/>
      <c r="E899" s="73"/>
      <c r="F899" s="73"/>
      <c r="G899" s="73"/>
      <c r="I899" s="73"/>
    </row>
    <row r="900" spans="1:9" ht="15.75" customHeight="1">
      <c r="A900" s="73"/>
      <c r="B900" s="73"/>
      <c r="C900" s="73"/>
      <c r="D900" s="73"/>
      <c r="E900" s="73"/>
      <c r="F900" s="73"/>
      <c r="G900" s="73"/>
      <c r="I900" s="73"/>
    </row>
    <row r="901" spans="1:9" ht="15.75" customHeight="1">
      <c r="A901" s="73"/>
      <c r="B901" s="73"/>
      <c r="C901" s="73"/>
      <c r="D901" s="73"/>
      <c r="E901" s="73"/>
      <c r="F901" s="73"/>
      <c r="G901" s="73"/>
      <c r="I901" s="73"/>
    </row>
    <row r="902" spans="1:9" ht="15.75" customHeight="1">
      <c r="A902" s="73"/>
      <c r="B902" s="73"/>
      <c r="C902" s="73"/>
      <c r="D902" s="73"/>
      <c r="E902" s="73"/>
      <c r="F902" s="73"/>
      <c r="G902" s="73"/>
      <c r="I902" s="73"/>
    </row>
    <row r="903" spans="1:9" ht="15.75" customHeight="1">
      <c r="A903" s="73"/>
      <c r="B903" s="73"/>
      <c r="C903" s="73"/>
      <c r="D903" s="73"/>
      <c r="E903" s="73"/>
      <c r="F903" s="73"/>
      <c r="G903" s="73"/>
      <c r="I903" s="73"/>
    </row>
    <row r="904" spans="1:9" ht="15.75" customHeight="1">
      <c r="A904" s="73"/>
      <c r="B904" s="73"/>
      <c r="C904" s="73"/>
      <c r="D904" s="73"/>
      <c r="E904" s="73"/>
      <c r="F904" s="73"/>
      <c r="G904" s="73"/>
      <c r="I904" s="73"/>
    </row>
    <row r="905" spans="1:9" ht="15.75" customHeight="1">
      <c r="A905" s="73"/>
      <c r="B905" s="73"/>
      <c r="C905" s="73"/>
      <c r="D905" s="73"/>
      <c r="E905" s="73"/>
      <c r="F905" s="73"/>
      <c r="G905" s="73"/>
      <c r="I905" s="73"/>
    </row>
    <row r="906" spans="1:9" ht="15.75" customHeight="1">
      <c r="A906" s="73"/>
      <c r="B906" s="73"/>
      <c r="C906" s="73"/>
      <c r="D906" s="73"/>
      <c r="E906" s="73"/>
      <c r="F906" s="73"/>
      <c r="G906" s="73"/>
      <c r="I906" s="73"/>
    </row>
    <row r="907" spans="1:9" ht="15.75" customHeight="1">
      <c r="A907" s="73"/>
      <c r="B907" s="73"/>
      <c r="C907" s="73"/>
      <c r="D907" s="73"/>
      <c r="E907" s="73"/>
      <c r="F907" s="73"/>
      <c r="G907" s="73"/>
      <c r="I907" s="73"/>
    </row>
    <row r="908" spans="1:9" ht="15.75" customHeight="1">
      <c r="A908" s="73"/>
      <c r="B908" s="73"/>
      <c r="C908" s="73"/>
      <c r="D908" s="73"/>
      <c r="E908" s="73"/>
      <c r="F908" s="73"/>
      <c r="G908" s="73"/>
      <c r="I908" s="73"/>
    </row>
    <row r="909" spans="1:9" ht="15.75" customHeight="1">
      <c r="A909" s="73"/>
      <c r="B909" s="73"/>
      <c r="C909" s="73"/>
      <c r="D909" s="73"/>
      <c r="E909" s="73"/>
      <c r="F909" s="73"/>
      <c r="G909" s="73"/>
      <c r="I909" s="73"/>
    </row>
    <row r="910" spans="1:9" ht="15.75" customHeight="1">
      <c r="A910" s="73"/>
      <c r="B910" s="73"/>
      <c r="C910" s="73"/>
      <c r="D910" s="73"/>
      <c r="E910" s="73"/>
      <c r="F910" s="73"/>
      <c r="G910" s="73"/>
      <c r="I910" s="73"/>
    </row>
    <row r="911" spans="1:9" ht="15.75" customHeight="1">
      <c r="A911" s="73"/>
      <c r="B911" s="73"/>
      <c r="C911" s="73"/>
      <c r="D911" s="73"/>
      <c r="E911" s="73"/>
      <c r="F911" s="73"/>
      <c r="G911" s="73"/>
      <c r="I911" s="73"/>
    </row>
    <row r="912" spans="1:9" ht="15.75" customHeight="1">
      <c r="A912" s="73"/>
      <c r="B912" s="73"/>
      <c r="C912" s="73"/>
      <c r="D912" s="73"/>
      <c r="E912" s="73"/>
      <c r="F912" s="73"/>
      <c r="G912" s="73"/>
      <c r="I912" s="73"/>
    </row>
    <row r="913" spans="1:9" ht="15.75" customHeight="1">
      <c r="A913" s="73"/>
      <c r="B913" s="73"/>
      <c r="C913" s="73"/>
      <c r="D913" s="73"/>
      <c r="E913" s="73"/>
      <c r="F913" s="73"/>
      <c r="G913" s="73"/>
      <c r="I913" s="73"/>
    </row>
    <row r="914" spans="1:9" ht="15.75" customHeight="1">
      <c r="A914" s="73"/>
      <c r="B914" s="73"/>
      <c r="C914" s="73"/>
      <c r="D914" s="73"/>
      <c r="E914" s="73"/>
      <c r="F914" s="73"/>
      <c r="G914" s="73"/>
      <c r="I914" s="73"/>
    </row>
    <row r="915" spans="1:9" ht="15.75" customHeight="1">
      <c r="A915" s="73"/>
      <c r="B915" s="73"/>
      <c r="C915" s="73"/>
      <c r="D915" s="73"/>
      <c r="E915" s="73"/>
      <c r="F915" s="73"/>
      <c r="G915" s="73"/>
      <c r="I915" s="73"/>
    </row>
    <row r="916" spans="1:9" ht="15.75" customHeight="1">
      <c r="A916" s="73"/>
      <c r="B916" s="73"/>
      <c r="C916" s="73"/>
      <c r="D916" s="73"/>
      <c r="E916" s="73"/>
      <c r="F916" s="73"/>
      <c r="G916" s="73"/>
      <c r="I916" s="73"/>
    </row>
    <row r="917" spans="1:9" ht="15.75" customHeight="1">
      <c r="A917" s="73"/>
      <c r="B917" s="73"/>
      <c r="C917" s="73"/>
      <c r="D917" s="73"/>
      <c r="E917" s="73"/>
      <c r="F917" s="73"/>
      <c r="G917" s="73"/>
      <c r="I917" s="73"/>
    </row>
    <row r="918" spans="1:9" ht="15.75" customHeight="1">
      <c r="A918" s="73"/>
      <c r="B918" s="73"/>
      <c r="C918" s="73"/>
      <c r="D918" s="73"/>
      <c r="E918" s="73"/>
      <c r="F918" s="73"/>
      <c r="G918" s="73"/>
      <c r="I918" s="73"/>
    </row>
    <row r="919" spans="1:9" ht="15.75" customHeight="1">
      <c r="A919" s="73"/>
      <c r="B919" s="73"/>
      <c r="C919" s="73"/>
      <c r="D919" s="73"/>
      <c r="E919" s="73"/>
      <c r="F919" s="73"/>
      <c r="G919" s="73"/>
      <c r="I919" s="73"/>
    </row>
    <row r="920" spans="1:9" ht="15.75" customHeight="1">
      <c r="A920" s="73"/>
      <c r="B920" s="73"/>
      <c r="C920" s="73"/>
      <c r="D920" s="73"/>
      <c r="E920" s="73"/>
      <c r="F920" s="73"/>
      <c r="G920" s="73"/>
      <c r="I920" s="73"/>
    </row>
    <row r="921" spans="1:9" ht="15.75" customHeight="1">
      <c r="A921" s="73"/>
      <c r="B921" s="73"/>
      <c r="C921" s="73"/>
      <c r="D921" s="73"/>
      <c r="E921" s="73"/>
      <c r="F921" s="73"/>
      <c r="G921" s="73"/>
      <c r="I921" s="73"/>
    </row>
    <row r="922" spans="1:9" ht="15.75" customHeight="1">
      <c r="A922" s="73"/>
      <c r="B922" s="73"/>
      <c r="C922" s="73"/>
      <c r="D922" s="73"/>
      <c r="E922" s="73"/>
      <c r="F922" s="73"/>
      <c r="G922" s="73"/>
      <c r="I922" s="73"/>
    </row>
    <row r="923" spans="1:9" ht="15.75" customHeight="1">
      <c r="A923" s="73"/>
      <c r="B923" s="73"/>
      <c r="C923" s="73"/>
      <c r="D923" s="73"/>
      <c r="E923" s="73"/>
      <c r="F923" s="73"/>
      <c r="G923" s="73"/>
      <c r="I923" s="73"/>
    </row>
    <row r="924" spans="1:9" ht="15.75" customHeight="1">
      <c r="A924" s="73"/>
      <c r="B924" s="73"/>
      <c r="C924" s="73"/>
      <c r="D924" s="73"/>
      <c r="E924" s="73"/>
      <c r="F924" s="73"/>
      <c r="G924" s="73"/>
      <c r="I924" s="73"/>
    </row>
    <row r="925" spans="1:9" ht="15.75" customHeight="1">
      <c r="A925" s="73"/>
      <c r="B925" s="73"/>
      <c r="C925" s="73"/>
      <c r="D925" s="73"/>
      <c r="E925" s="73"/>
      <c r="F925" s="73"/>
      <c r="G925" s="73"/>
      <c r="I925" s="73"/>
    </row>
    <row r="926" spans="1:9" ht="15.75" customHeight="1">
      <c r="A926" s="73"/>
      <c r="B926" s="73"/>
      <c r="C926" s="73"/>
      <c r="D926" s="73"/>
      <c r="E926" s="73"/>
      <c r="F926" s="73"/>
      <c r="G926" s="73"/>
      <c r="I926" s="73"/>
    </row>
    <row r="927" spans="1:9" ht="15.75" customHeight="1">
      <c r="A927" s="73"/>
      <c r="B927" s="73"/>
      <c r="C927" s="73"/>
      <c r="D927" s="73"/>
      <c r="E927" s="73"/>
      <c r="F927" s="73"/>
      <c r="G927" s="73"/>
      <c r="I927" s="73"/>
    </row>
    <row r="928" spans="1:9" ht="15.75" customHeight="1">
      <c r="A928" s="73"/>
      <c r="B928" s="73"/>
      <c r="C928" s="73"/>
      <c r="D928" s="73"/>
      <c r="E928" s="73"/>
      <c r="F928" s="73"/>
      <c r="G928" s="73"/>
      <c r="I928" s="73"/>
    </row>
    <row r="929" spans="1:9" ht="15.75" customHeight="1">
      <c r="A929" s="73"/>
      <c r="B929" s="73"/>
      <c r="C929" s="73"/>
      <c r="D929" s="73"/>
      <c r="E929" s="73"/>
      <c r="F929" s="73"/>
      <c r="G929" s="73"/>
      <c r="I929" s="73"/>
    </row>
    <row r="930" spans="1:9" ht="15.75" customHeight="1">
      <c r="A930" s="73"/>
      <c r="B930" s="73"/>
      <c r="C930" s="73"/>
      <c r="D930" s="73"/>
      <c r="E930" s="73"/>
      <c r="F930" s="73"/>
      <c r="G930" s="73"/>
      <c r="I930" s="73"/>
    </row>
    <row r="931" spans="1:9" ht="15.75" customHeight="1">
      <c r="A931" s="73"/>
      <c r="B931" s="73"/>
      <c r="C931" s="73"/>
      <c r="D931" s="73"/>
      <c r="E931" s="73"/>
      <c r="F931" s="73"/>
      <c r="G931" s="73"/>
      <c r="I931" s="73"/>
    </row>
    <row r="932" spans="1:9" ht="15.75" customHeight="1">
      <c r="A932" s="73"/>
      <c r="B932" s="73"/>
      <c r="C932" s="73"/>
      <c r="D932" s="73"/>
      <c r="E932" s="73"/>
      <c r="F932" s="73"/>
      <c r="G932" s="73"/>
      <c r="I932" s="73"/>
    </row>
    <row r="933" spans="1:9" ht="15.75" customHeight="1">
      <c r="A933" s="73"/>
      <c r="B933" s="73"/>
      <c r="C933" s="73"/>
      <c r="D933" s="73"/>
      <c r="E933" s="73"/>
      <c r="F933" s="73"/>
      <c r="G933" s="73"/>
      <c r="I933" s="73"/>
    </row>
    <row r="934" spans="1:9" ht="15.75" customHeight="1">
      <c r="A934" s="73"/>
      <c r="B934" s="73"/>
      <c r="C934" s="73"/>
      <c r="D934" s="73"/>
      <c r="E934" s="73"/>
      <c r="F934" s="73"/>
      <c r="G934" s="73"/>
      <c r="I934" s="73"/>
    </row>
    <row r="935" spans="1:9" ht="15.75" customHeight="1">
      <c r="A935" s="73"/>
      <c r="B935" s="73"/>
      <c r="C935" s="73"/>
      <c r="D935" s="73"/>
      <c r="E935" s="73"/>
      <c r="F935" s="73"/>
      <c r="G935" s="73"/>
      <c r="I935" s="73"/>
    </row>
    <row r="936" spans="1:9" ht="15.75" customHeight="1">
      <c r="A936" s="73"/>
      <c r="B936" s="73"/>
      <c r="C936" s="73"/>
      <c r="D936" s="73"/>
      <c r="E936" s="73"/>
      <c r="F936" s="73"/>
      <c r="G936" s="73"/>
      <c r="I936" s="73"/>
    </row>
    <row r="937" spans="1:9" ht="15.75" customHeight="1">
      <c r="A937" s="73"/>
      <c r="B937" s="73"/>
      <c r="C937" s="73"/>
      <c r="D937" s="73"/>
      <c r="E937" s="73"/>
      <c r="F937" s="73"/>
      <c r="G937" s="73"/>
      <c r="I937" s="73"/>
    </row>
    <row r="938" spans="1:9" ht="15.75" customHeight="1">
      <c r="A938" s="73"/>
      <c r="B938" s="73"/>
      <c r="C938" s="73"/>
      <c r="D938" s="73"/>
      <c r="E938" s="73"/>
      <c r="F938" s="73"/>
      <c r="G938" s="73"/>
      <c r="I938" s="73"/>
    </row>
    <row r="939" spans="1:9" ht="15.75" customHeight="1">
      <c r="A939" s="73"/>
      <c r="B939" s="73"/>
      <c r="C939" s="73"/>
      <c r="D939" s="73"/>
      <c r="E939" s="73"/>
      <c r="F939" s="73"/>
      <c r="G939" s="73"/>
      <c r="I939" s="73"/>
    </row>
    <row r="940" spans="1:9" ht="15.75" customHeight="1">
      <c r="A940" s="73"/>
      <c r="B940" s="73"/>
      <c r="C940" s="73"/>
      <c r="D940" s="73"/>
      <c r="E940" s="73"/>
      <c r="F940" s="73"/>
      <c r="G940" s="73"/>
      <c r="I940" s="73"/>
    </row>
    <row r="941" spans="1:9" ht="15.75" customHeight="1">
      <c r="A941" s="73"/>
      <c r="B941" s="73"/>
      <c r="C941" s="73"/>
      <c r="D941" s="73"/>
      <c r="E941" s="73"/>
      <c r="F941" s="73"/>
      <c r="G941" s="73"/>
      <c r="I941" s="73"/>
    </row>
    <row r="942" spans="1:9" ht="15.75" customHeight="1">
      <c r="A942" s="73"/>
      <c r="B942" s="73"/>
      <c r="C942" s="73"/>
      <c r="D942" s="73"/>
      <c r="E942" s="73"/>
      <c r="F942" s="73"/>
      <c r="G942" s="73"/>
      <c r="I942" s="73"/>
    </row>
    <row r="943" spans="1:9" ht="15.75" customHeight="1">
      <c r="A943" s="73"/>
      <c r="B943" s="73"/>
      <c r="C943" s="73"/>
      <c r="D943" s="73"/>
      <c r="E943" s="73"/>
      <c r="F943" s="73"/>
      <c r="G943" s="73"/>
      <c r="I943" s="73"/>
    </row>
    <row r="944" spans="1:9" ht="15.75" customHeight="1">
      <c r="A944" s="73"/>
      <c r="B944" s="73"/>
      <c r="C944" s="73"/>
      <c r="D944" s="73"/>
      <c r="E944" s="73"/>
      <c r="F944" s="73"/>
      <c r="G944" s="73"/>
      <c r="I944" s="73"/>
    </row>
    <row r="945" spans="1:9" ht="15.75" customHeight="1">
      <c r="A945" s="73"/>
      <c r="B945" s="73"/>
      <c r="C945" s="73"/>
      <c r="D945" s="73"/>
      <c r="E945" s="73"/>
      <c r="F945" s="73"/>
      <c r="G945" s="73"/>
      <c r="I945" s="73"/>
    </row>
    <row r="946" spans="1:9" ht="15.75" customHeight="1">
      <c r="A946" s="73"/>
      <c r="B946" s="73"/>
      <c r="C946" s="73"/>
      <c r="D946" s="73"/>
      <c r="E946" s="73"/>
      <c r="F946" s="73"/>
      <c r="G946" s="73"/>
      <c r="I946" s="73"/>
    </row>
    <row r="947" spans="1:9" ht="15.75" customHeight="1">
      <c r="A947" s="73"/>
      <c r="B947" s="73"/>
      <c r="C947" s="73"/>
      <c r="D947" s="73"/>
      <c r="E947" s="73"/>
      <c r="F947" s="73"/>
      <c r="G947" s="73"/>
      <c r="I947" s="73"/>
    </row>
    <row r="948" spans="1:9" ht="15.75" customHeight="1">
      <c r="A948" s="73"/>
      <c r="B948" s="73"/>
      <c r="C948" s="73"/>
      <c r="D948" s="73"/>
      <c r="E948" s="73"/>
      <c r="F948" s="73"/>
      <c r="G948" s="73"/>
      <c r="I948" s="73"/>
    </row>
    <row r="949" spans="1:9" ht="15.75" customHeight="1">
      <c r="A949" s="73"/>
      <c r="B949" s="73"/>
      <c r="C949" s="73"/>
      <c r="D949" s="73"/>
      <c r="E949" s="73"/>
      <c r="F949" s="73"/>
      <c r="G949" s="73"/>
      <c r="I949" s="73"/>
    </row>
    <row r="950" spans="1:9" ht="15.75" customHeight="1">
      <c r="A950" s="73"/>
      <c r="B950" s="73"/>
      <c r="C950" s="73"/>
      <c r="D950" s="73"/>
      <c r="E950" s="73"/>
      <c r="F950" s="73"/>
      <c r="G950" s="73"/>
      <c r="I950" s="73"/>
    </row>
    <row r="951" spans="1:9" ht="15.75" customHeight="1">
      <c r="A951" s="73"/>
      <c r="B951" s="73"/>
      <c r="C951" s="73"/>
      <c r="D951" s="73"/>
      <c r="E951" s="73"/>
      <c r="F951" s="73"/>
      <c r="G951" s="73"/>
      <c r="I951" s="73"/>
    </row>
    <row r="952" spans="1:9" ht="15.75" customHeight="1">
      <c r="A952" s="73"/>
      <c r="B952" s="73"/>
      <c r="C952" s="73"/>
      <c r="D952" s="73"/>
      <c r="E952" s="73"/>
      <c r="F952" s="73"/>
      <c r="G952" s="73"/>
      <c r="I952" s="73"/>
    </row>
    <row r="953" spans="1:9" ht="15.75" customHeight="1">
      <c r="A953" s="73"/>
      <c r="B953" s="73"/>
      <c r="C953" s="73"/>
      <c r="D953" s="73"/>
      <c r="E953" s="73"/>
      <c r="F953" s="73"/>
      <c r="G953" s="73"/>
      <c r="I953" s="73"/>
    </row>
    <row r="954" spans="1:9" ht="15.75" customHeight="1">
      <c r="A954" s="73"/>
      <c r="B954" s="73"/>
      <c r="C954" s="73"/>
      <c r="D954" s="73"/>
      <c r="E954" s="73"/>
      <c r="F954" s="73"/>
      <c r="G954" s="73"/>
      <c r="I954" s="73"/>
    </row>
    <row r="955" spans="1:9" ht="15.75" customHeight="1">
      <c r="A955" s="73"/>
      <c r="B955" s="73"/>
      <c r="C955" s="73"/>
      <c r="D955" s="73"/>
      <c r="E955" s="73"/>
      <c r="F955" s="73"/>
      <c r="G955" s="73"/>
      <c r="I955" s="73"/>
    </row>
    <row r="956" spans="1:9" ht="15.75" customHeight="1">
      <c r="A956" s="73"/>
      <c r="B956" s="73"/>
      <c r="C956" s="73"/>
      <c r="D956" s="73"/>
      <c r="E956" s="73"/>
      <c r="F956" s="73"/>
      <c r="G956" s="73"/>
      <c r="I956" s="73"/>
    </row>
    <row r="957" spans="1:9" ht="15.75" customHeight="1">
      <c r="A957" s="73"/>
      <c r="B957" s="73"/>
      <c r="C957" s="73"/>
      <c r="D957" s="73"/>
      <c r="E957" s="73"/>
      <c r="F957" s="73"/>
      <c r="G957" s="73"/>
      <c r="I957" s="73"/>
    </row>
    <row r="958" spans="1:9" ht="15.75" customHeight="1">
      <c r="A958" s="73"/>
      <c r="B958" s="73"/>
      <c r="C958" s="73"/>
      <c r="D958" s="73"/>
      <c r="E958" s="73"/>
      <c r="F958" s="73"/>
      <c r="G958" s="73"/>
      <c r="I958" s="73"/>
    </row>
    <row r="959" spans="1:9" ht="15.75" customHeight="1">
      <c r="A959" s="73"/>
      <c r="B959" s="73"/>
      <c r="C959" s="73"/>
      <c r="D959" s="73"/>
      <c r="E959" s="73"/>
      <c r="F959" s="73"/>
      <c r="G959" s="73"/>
      <c r="I959" s="73"/>
    </row>
    <row r="960" spans="1:9" ht="15.75" customHeight="1">
      <c r="A960" s="73"/>
      <c r="B960" s="73"/>
      <c r="C960" s="73"/>
      <c r="D960" s="73"/>
      <c r="E960" s="73"/>
      <c r="F960" s="73"/>
      <c r="G960" s="73"/>
      <c r="I960" s="73"/>
    </row>
    <row r="961" spans="1:9" ht="15.75" customHeight="1">
      <c r="A961" s="73"/>
      <c r="B961" s="73"/>
      <c r="C961" s="73"/>
      <c r="D961" s="73"/>
      <c r="E961" s="73"/>
      <c r="F961" s="73"/>
      <c r="G961" s="73"/>
      <c r="I961" s="73"/>
    </row>
    <row r="962" spans="1:9" ht="15.75" customHeight="1">
      <c r="A962" s="73"/>
      <c r="B962" s="73"/>
      <c r="C962" s="73"/>
      <c r="D962" s="73"/>
      <c r="E962" s="73"/>
      <c r="F962" s="73"/>
      <c r="G962" s="73"/>
      <c r="I962" s="73"/>
    </row>
    <row r="963" spans="1:9" ht="15.75" customHeight="1">
      <c r="A963" s="73"/>
      <c r="B963" s="73"/>
      <c r="C963" s="73"/>
      <c r="D963" s="73"/>
      <c r="E963" s="73"/>
      <c r="F963" s="73"/>
      <c r="G963" s="73"/>
      <c r="I963" s="73"/>
    </row>
    <row r="964" spans="1:9" ht="15.75" customHeight="1">
      <c r="A964" s="73"/>
      <c r="B964" s="73"/>
      <c r="C964" s="73"/>
      <c r="D964" s="73"/>
      <c r="E964" s="73"/>
      <c r="F964" s="73"/>
      <c r="G964" s="73"/>
      <c r="I964" s="73"/>
    </row>
    <row r="965" spans="1:9" ht="15.75" customHeight="1">
      <c r="A965" s="73"/>
      <c r="B965" s="73"/>
      <c r="C965" s="73"/>
      <c r="D965" s="73"/>
      <c r="E965" s="73"/>
      <c r="F965" s="73"/>
      <c r="G965" s="73"/>
      <c r="I965" s="73"/>
    </row>
    <row r="966" spans="1:9" ht="15.75" customHeight="1">
      <c r="A966" s="73"/>
      <c r="B966" s="73"/>
      <c r="C966" s="73"/>
      <c r="D966" s="73"/>
      <c r="E966" s="73"/>
      <c r="F966" s="73"/>
      <c r="G966" s="73"/>
      <c r="I966" s="73"/>
    </row>
    <row r="967" spans="1:9" ht="15.75" customHeight="1">
      <c r="A967" s="73"/>
      <c r="B967" s="73"/>
      <c r="C967" s="73"/>
      <c r="D967" s="73"/>
      <c r="E967" s="73"/>
      <c r="F967" s="73"/>
      <c r="G967" s="73"/>
      <c r="I967" s="73"/>
    </row>
    <row r="968" spans="1:9" ht="15.75" customHeight="1">
      <c r="A968" s="73"/>
      <c r="B968" s="73"/>
      <c r="C968" s="73"/>
      <c r="D968" s="73"/>
      <c r="E968" s="73"/>
      <c r="F968" s="73"/>
      <c r="G968" s="73"/>
      <c r="I968" s="73"/>
    </row>
    <row r="969" spans="1:9" ht="15.75" customHeight="1">
      <c r="A969" s="73"/>
      <c r="B969" s="73"/>
      <c r="C969" s="73"/>
      <c r="D969" s="73"/>
      <c r="E969" s="73"/>
      <c r="F969" s="73"/>
      <c r="G969" s="73"/>
      <c r="I969" s="73"/>
    </row>
    <row r="970" spans="1:9" ht="15.75" customHeight="1">
      <c r="A970" s="73"/>
      <c r="B970" s="73"/>
      <c r="C970" s="73"/>
      <c r="D970" s="73"/>
      <c r="E970" s="73"/>
      <c r="F970" s="73"/>
      <c r="G970" s="73"/>
      <c r="I970" s="73"/>
    </row>
    <row r="971" spans="1:9" ht="15.75" customHeight="1">
      <c r="A971" s="73"/>
      <c r="B971" s="73"/>
      <c r="C971" s="73"/>
      <c r="D971" s="73"/>
      <c r="E971" s="73"/>
      <c r="F971" s="73"/>
      <c r="G971" s="73"/>
      <c r="I971" s="73"/>
    </row>
    <row r="972" spans="1:9" ht="15.75" customHeight="1">
      <c r="A972" s="73"/>
      <c r="B972" s="73"/>
      <c r="C972" s="73"/>
      <c r="D972" s="73"/>
      <c r="E972" s="73"/>
      <c r="F972" s="73"/>
      <c r="G972" s="73"/>
      <c r="I972" s="73"/>
    </row>
    <row r="973" spans="1:9" ht="15.75" customHeight="1">
      <c r="A973" s="73"/>
      <c r="B973" s="73"/>
      <c r="C973" s="73"/>
      <c r="D973" s="73"/>
      <c r="E973" s="73"/>
      <c r="F973" s="73"/>
      <c r="G973" s="73"/>
      <c r="I973" s="73"/>
    </row>
    <row r="974" spans="1:9" ht="15.75" customHeight="1">
      <c r="A974" s="73"/>
      <c r="B974" s="73"/>
      <c r="C974" s="73"/>
      <c r="D974" s="73"/>
      <c r="E974" s="73"/>
      <c r="F974" s="73"/>
      <c r="G974" s="73"/>
      <c r="I974" s="73"/>
    </row>
    <row r="975" spans="1:9" ht="15.75" customHeight="1">
      <c r="A975" s="73"/>
      <c r="B975" s="73"/>
      <c r="C975" s="73"/>
      <c r="D975" s="73"/>
      <c r="E975" s="73"/>
      <c r="F975" s="73"/>
      <c r="G975" s="73"/>
      <c r="I975" s="73"/>
    </row>
    <row r="976" spans="1:9" ht="15.75" customHeight="1">
      <c r="A976" s="73"/>
      <c r="B976" s="73"/>
      <c r="C976" s="73"/>
      <c r="D976" s="73"/>
      <c r="E976" s="73"/>
      <c r="F976" s="73"/>
      <c r="G976" s="73"/>
      <c r="I976" s="73"/>
    </row>
    <row r="977" spans="1:9" ht="15.75" customHeight="1">
      <c r="A977" s="73"/>
      <c r="B977" s="73"/>
      <c r="C977" s="73"/>
      <c r="D977" s="73"/>
      <c r="E977" s="73"/>
      <c r="F977" s="73"/>
      <c r="G977" s="73"/>
      <c r="I977" s="73"/>
    </row>
    <row r="978" spans="1:9" ht="15.75" customHeight="1">
      <c r="A978" s="73"/>
      <c r="B978" s="73"/>
      <c r="C978" s="73"/>
      <c r="D978" s="73"/>
      <c r="E978" s="73"/>
      <c r="F978" s="73"/>
      <c r="G978" s="73"/>
      <c r="I978" s="73"/>
    </row>
    <row r="979" spans="1:9" ht="15.75" customHeight="1">
      <c r="A979" s="73"/>
      <c r="B979" s="73"/>
      <c r="C979" s="73"/>
      <c r="D979" s="73"/>
      <c r="E979" s="73"/>
      <c r="F979" s="73"/>
      <c r="G979" s="73"/>
      <c r="I979" s="73"/>
    </row>
    <row r="980" spans="1:9" ht="15.75" customHeight="1">
      <c r="A980" s="73"/>
      <c r="B980" s="73"/>
      <c r="C980" s="73"/>
      <c r="D980" s="73"/>
      <c r="E980" s="73"/>
      <c r="F980" s="73"/>
      <c r="G980" s="73"/>
      <c r="I980" s="73"/>
    </row>
    <row r="981" spans="1:9" ht="15.75" customHeight="1">
      <c r="A981" s="73"/>
      <c r="B981" s="73"/>
      <c r="C981" s="73"/>
      <c r="D981" s="73"/>
      <c r="E981" s="73"/>
      <c r="F981" s="73"/>
      <c r="G981" s="73"/>
      <c r="I981" s="73"/>
    </row>
    <row r="982" spans="1:9" ht="15.75" customHeight="1">
      <c r="A982" s="73"/>
      <c r="B982" s="73"/>
      <c r="C982" s="73"/>
      <c r="D982" s="73"/>
      <c r="E982" s="73"/>
      <c r="F982" s="73"/>
      <c r="G982" s="73"/>
      <c r="I982" s="73"/>
    </row>
    <row r="983" spans="1:9" ht="15.75" customHeight="1">
      <c r="A983" s="73"/>
      <c r="B983" s="73"/>
      <c r="C983" s="73"/>
      <c r="D983" s="73"/>
      <c r="E983" s="73"/>
      <c r="F983" s="73"/>
      <c r="G983" s="73"/>
      <c r="I983" s="73"/>
    </row>
    <row r="984" spans="1:9" ht="15.75" customHeight="1">
      <c r="A984" s="73"/>
      <c r="B984" s="73"/>
      <c r="C984" s="73"/>
      <c r="D984" s="73"/>
      <c r="E984" s="73"/>
      <c r="F984" s="73"/>
      <c r="G984" s="73"/>
      <c r="I984" s="73"/>
    </row>
    <row r="985" spans="1:9" ht="15.75" customHeight="1">
      <c r="A985" s="73"/>
      <c r="B985" s="73"/>
      <c r="C985" s="73"/>
      <c r="D985" s="73"/>
      <c r="E985" s="73"/>
      <c r="F985" s="73"/>
      <c r="G985" s="73"/>
      <c r="I985" s="73"/>
    </row>
    <row r="986" spans="1:9" ht="15.75" customHeight="1">
      <c r="A986" s="73"/>
      <c r="B986" s="73"/>
      <c r="C986" s="73"/>
      <c r="D986" s="73"/>
      <c r="E986" s="73"/>
      <c r="F986" s="73"/>
      <c r="G986" s="73"/>
      <c r="I986" s="73"/>
    </row>
    <row r="987" spans="1:9" ht="15.75" customHeight="1">
      <c r="A987" s="73"/>
      <c r="B987" s="73"/>
      <c r="C987" s="73"/>
      <c r="D987" s="73"/>
      <c r="E987" s="73"/>
      <c r="F987" s="73"/>
      <c r="G987" s="73"/>
      <c r="I987" s="73"/>
    </row>
    <row r="988" spans="1:9" ht="15.75" customHeight="1">
      <c r="A988" s="73"/>
      <c r="B988" s="73"/>
      <c r="C988" s="73"/>
      <c r="D988" s="73"/>
      <c r="E988" s="73"/>
      <c r="F988" s="73"/>
      <c r="G988" s="73"/>
      <c r="I988" s="73"/>
    </row>
    <row r="989" spans="1:9" ht="15.75" customHeight="1">
      <c r="A989" s="73"/>
      <c r="B989" s="73"/>
      <c r="C989" s="73"/>
      <c r="D989" s="73"/>
      <c r="E989" s="73"/>
      <c r="F989" s="73"/>
      <c r="G989" s="73"/>
      <c r="I989" s="73"/>
    </row>
    <row r="990" spans="1:9" ht="15.75" customHeight="1">
      <c r="A990" s="73"/>
      <c r="B990" s="73"/>
      <c r="C990" s="73"/>
      <c r="D990" s="73"/>
      <c r="E990" s="73"/>
      <c r="F990" s="73"/>
      <c r="G990" s="73"/>
      <c r="I990" s="73"/>
    </row>
    <row r="991" spans="1:9" ht="15.75" customHeight="1">
      <c r="A991" s="73"/>
      <c r="B991" s="73"/>
      <c r="C991" s="73"/>
      <c r="D991" s="73"/>
      <c r="E991" s="73"/>
      <c r="F991" s="73"/>
      <c r="G991" s="73"/>
      <c r="I991" s="73"/>
    </row>
    <row r="992" spans="1:9" ht="15.75" customHeight="1">
      <c r="A992" s="73"/>
      <c r="B992" s="73"/>
      <c r="C992" s="73"/>
      <c r="D992" s="73"/>
      <c r="E992" s="73"/>
      <c r="F992" s="73"/>
      <c r="G992" s="73"/>
      <c r="I992" s="73"/>
    </row>
    <row r="993" spans="1:9" ht="15.75" customHeight="1">
      <c r="A993" s="73"/>
      <c r="B993" s="73"/>
      <c r="C993" s="73"/>
      <c r="D993" s="73"/>
      <c r="E993" s="73"/>
      <c r="F993" s="73"/>
      <c r="G993" s="73"/>
      <c r="I993" s="73"/>
    </row>
    <row r="994" spans="1:9" ht="15.75" customHeight="1">
      <c r="A994" s="73"/>
      <c r="B994" s="73"/>
      <c r="C994" s="73"/>
      <c r="D994" s="73"/>
      <c r="E994" s="73"/>
      <c r="F994" s="73"/>
      <c r="G994" s="73"/>
      <c r="I994" s="73"/>
    </row>
    <row r="995" spans="1:9" ht="15.75" customHeight="1">
      <c r="A995" s="73"/>
      <c r="B995" s="73"/>
      <c r="C995" s="73"/>
      <c r="D995" s="73"/>
      <c r="E995" s="73"/>
      <c r="F995" s="73"/>
      <c r="G995" s="73"/>
      <c r="I995" s="73"/>
    </row>
    <row r="996" spans="1:9" ht="15.75" customHeight="1">
      <c r="A996" s="73"/>
      <c r="B996" s="73"/>
      <c r="C996" s="73"/>
      <c r="D996" s="73"/>
      <c r="E996" s="73"/>
      <c r="F996" s="73"/>
      <c r="G996" s="73"/>
      <c r="I996" s="73"/>
    </row>
    <row r="997" spans="1:9" ht="15.75" customHeight="1">
      <c r="A997" s="73"/>
      <c r="B997" s="73"/>
      <c r="C997" s="73"/>
      <c r="D997" s="73"/>
      <c r="E997" s="73"/>
      <c r="F997" s="73"/>
      <c r="G997" s="73"/>
      <c r="I997" s="73"/>
    </row>
    <row r="998" spans="1:9" ht="15.75" customHeight="1">
      <c r="A998" s="73"/>
      <c r="B998" s="73"/>
      <c r="C998" s="73"/>
      <c r="D998" s="73"/>
      <c r="E998" s="73"/>
      <c r="F998" s="73"/>
      <c r="G998" s="73"/>
      <c r="I998" s="73"/>
    </row>
    <row r="999" spans="1:9" ht="15.75" customHeight="1">
      <c r="A999" s="73"/>
      <c r="B999" s="73"/>
      <c r="C999" s="73"/>
      <c r="D999" s="73"/>
      <c r="E999" s="73"/>
      <c r="F999" s="73"/>
      <c r="G999" s="73"/>
      <c r="I999" s="73"/>
    </row>
    <row r="1000" spans="1:9" ht="15.75" customHeight="1">
      <c r="A1000" s="73"/>
      <c r="B1000" s="73"/>
      <c r="C1000" s="73"/>
      <c r="D1000" s="73"/>
      <c r="E1000" s="73"/>
      <c r="F1000" s="73"/>
      <c r="G1000" s="73"/>
      <c r="I1000" s="73"/>
    </row>
  </sheetData>
  <mergeCells count="28">
    <mergeCell ref="H27:H28"/>
    <mergeCell ref="H29:H30"/>
    <mergeCell ref="H31:H49"/>
    <mergeCell ref="A50:I54"/>
    <mergeCell ref="H3:H4"/>
    <mergeCell ref="I3:I4"/>
    <mergeCell ref="H5:H8"/>
    <mergeCell ref="H9:H15"/>
    <mergeCell ref="H16:H18"/>
    <mergeCell ref="H19:H23"/>
    <mergeCell ref="H24:H26"/>
    <mergeCell ref="D3:D4"/>
    <mergeCell ref="E3:E4"/>
    <mergeCell ref="A5:A10"/>
    <mergeCell ref="A11:A15"/>
    <mergeCell ref="A16:A18"/>
    <mergeCell ref="A3:B3"/>
    <mergeCell ref="C3:C4"/>
    <mergeCell ref="A27:A28"/>
    <mergeCell ref="A29:A30"/>
    <mergeCell ref="A31:A49"/>
    <mergeCell ref="A19:A23"/>
    <mergeCell ref="A24:A26"/>
    <mergeCell ref="A1:B2"/>
    <mergeCell ref="C1:C2"/>
    <mergeCell ref="D1:D2"/>
    <mergeCell ref="E1:E2"/>
    <mergeCell ref="F1:I2"/>
  </mergeCells>
  <phoneticPr fontId="30" type="noConversion"/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90.5703125" customWidth="1"/>
    <col min="3" max="3" width="21" customWidth="1"/>
    <col min="4" max="4" width="21.7109375" customWidth="1"/>
    <col min="5" max="5" width="19.28515625" customWidth="1"/>
    <col min="6" max="6" width="21.140625" customWidth="1"/>
    <col min="7" max="7" width="21.5703125" customWidth="1"/>
    <col min="9" max="9" width="49.7109375" customWidth="1"/>
  </cols>
  <sheetData>
    <row r="1" spans="1:26" ht="16.5" customHeight="1">
      <c r="A1" s="625" t="s">
        <v>146</v>
      </c>
      <c r="B1" s="611"/>
      <c r="C1" s="644" t="s">
        <v>94</v>
      </c>
      <c r="D1" s="647" t="s">
        <v>147</v>
      </c>
      <c r="E1" s="649" t="s">
        <v>148</v>
      </c>
      <c r="F1" s="629"/>
      <c r="G1" s="611"/>
      <c r="H1" s="611"/>
      <c r="I1" s="6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73"/>
    </row>
    <row r="2" spans="1:26" ht="16.5" customHeight="1">
      <c r="A2" s="608"/>
      <c r="B2" s="613"/>
      <c r="C2" s="606"/>
      <c r="D2" s="648"/>
      <c r="E2" s="606"/>
      <c r="F2" s="630"/>
      <c r="G2" s="631"/>
      <c r="H2" s="631"/>
      <c r="I2" s="6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73"/>
    </row>
    <row r="3" spans="1:26" ht="16.5" customHeight="1">
      <c r="A3" s="633"/>
      <c r="B3" s="634"/>
      <c r="C3" s="651"/>
      <c r="D3" s="650"/>
      <c r="E3" s="600"/>
      <c r="F3" s="3" t="s">
        <v>4</v>
      </c>
      <c r="G3" s="4" t="s">
        <v>5</v>
      </c>
      <c r="H3" s="617" t="s">
        <v>6</v>
      </c>
      <c r="I3" s="619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73"/>
    </row>
    <row r="4" spans="1:26" ht="16.5" customHeight="1">
      <c r="A4" s="5" t="s">
        <v>8</v>
      </c>
      <c r="B4" s="41" t="s">
        <v>9</v>
      </c>
      <c r="C4" s="618"/>
      <c r="D4" s="606"/>
      <c r="E4" s="601"/>
      <c r="F4" s="7" t="s">
        <v>10</v>
      </c>
      <c r="G4" s="7" t="s">
        <v>11</v>
      </c>
      <c r="H4" s="618"/>
      <c r="I4" s="60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73"/>
    </row>
    <row r="5" spans="1:26" ht="16.5" customHeight="1">
      <c r="A5" s="637" t="s">
        <v>149</v>
      </c>
      <c r="B5" s="57" t="s">
        <v>150</v>
      </c>
      <c r="C5" s="91">
        <v>149000</v>
      </c>
      <c r="D5" s="102">
        <f t="shared" ref="D5:D14" si="0">E5*2-1000</f>
        <v>197000</v>
      </c>
      <c r="E5" s="75">
        <v>99000</v>
      </c>
      <c r="F5" s="119"/>
      <c r="G5" s="76"/>
      <c r="H5" s="642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73"/>
    </row>
    <row r="6" spans="1:26" ht="16.5" customHeight="1">
      <c r="A6" s="638"/>
      <c r="B6" s="61" t="s">
        <v>151</v>
      </c>
      <c r="C6" s="93">
        <v>199000</v>
      </c>
      <c r="D6" s="79">
        <f t="shared" si="0"/>
        <v>337000</v>
      </c>
      <c r="E6" s="78">
        <v>169000</v>
      </c>
      <c r="F6" s="119"/>
      <c r="G6" s="76"/>
      <c r="H6" s="603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73"/>
    </row>
    <row r="7" spans="1:26" ht="16.5" customHeight="1">
      <c r="A7" s="638"/>
      <c r="B7" s="88" t="s">
        <v>152</v>
      </c>
      <c r="C7" s="39">
        <v>529000</v>
      </c>
      <c r="D7" s="79">
        <f t="shared" si="0"/>
        <v>897000</v>
      </c>
      <c r="E7" s="78">
        <v>449000</v>
      </c>
      <c r="F7" s="84"/>
      <c r="G7" s="50"/>
      <c r="H7" s="603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73"/>
    </row>
    <row r="8" spans="1:26" ht="16.5" customHeight="1">
      <c r="A8" s="638"/>
      <c r="B8" s="88" t="s">
        <v>153</v>
      </c>
      <c r="C8" s="39">
        <v>589000</v>
      </c>
      <c r="D8" s="79">
        <f t="shared" si="0"/>
        <v>1037000</v>
      </c>
      <c r="E8" s="78">
        <v>519000</v>
      </c>
      <c r="F8" s="84"/>
      <c r="G8" s="72"/>
      <c r="H8" s="621"/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73"/>
    </row>
    <row r="9" spans="1:26" ht="16.5" customHeight="1">
      <c r="A9" s="638"/>
      <c r="B9" s="88" t="s">
        <v>154</v>
      </c>
      <c r="C9" s="39">
        <v>609000</v>
      </c>
      <c r="D9" s="79">
        <f t="shared" si="0"/>
        <v>1057000</v>
      </c>
      <c r="E9" s="78">
        <v>529000</v>
      </c>
      <c r="F9" s="84"/>
      <c r="G9" s="72"/>
      <c r="H9" s="646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73"/>
    </row>
    <row r="10" spans="1:26" ht="16.5" customHeight="1">
      <c r="A10" s="639"/>
      <c r="B10" s="89" t="s">
        <v>155</v>
      </c>
      <c r="C10" s="103">
        <v>940000</v>
      </c>
      <c r="D10" s="81">
        <f t="shared" si="0"/>
        <v>1797000</v>
      </c>
      <c r="E10" s="82">
        <v>899000</v>
      </c>
      <c r="F10" s="104"/>
      <c r="G10" s="72"/>
      <c r="H10" s="603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73"/>
    </row>
    <row r="11" spans="1:26" ht="16.5" customHeight="1">
      <c r="A11" s="609" t="s">
        <v>156</v>
      </c>
      <c r="B11" s="88" t="s">
        <v>157</v>
      </c>
      <c r="C11" s="39">
        <v>200000</v>
      </c>
      <c r="D11" s="102">
        <f t="shared" si="0"/>
        <v>277000</v>
      </c>
      <c r="E11" s="39">
        <v>139000</v>
      </c>
      <c r="F11" s="83"/>
      <c r="G11" s="72"/>
      <c r="H11" s="603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73"/>
    </row>
    <row r="12" spans="1:26" ht="16.5" customHeight="1">
      <c r="A12" s="608"/>
      <c r="B12" s="88" t="s">
        <v>158</v>
      </c>
      <c r="C12" s="39">
        <v>177000</v>
      </c>
      <c r="D12" s="79">
        <f t="shared" si="0"/>
        <v>297000</v>
      </c>
      <c r="E12" s="39">
        <v>149000</v>
      </c>
      <c r="F12" s="84"/>
      <c r="G12" s="72"/>
      <c r="H12" s="603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73"/>
    </row>
    <row r="13" spans="1:26" ht="16.5" customHeight="1">
      <c r="A13" s="608"/>
      <c r="B13" s="88" t="s">
        <v>159</v>
      </c>
      <c r="C13" s="39">
        <v>319000</v>
      </c>
      <c r="D13" s="79">
        <f t="shared" si="0"/>
        <v>517000</v>
      </c>
      <c r="E13" s="39">
        <v>259000</v>
      </c>
      <c r="F13" s="85"/>
      <c r="G13" s="50"/>
      <c r="H13" s="603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73"/>
    </row>
    <row r="14" spans="1:26" ht="16.5" customHeight="1">
      <c r="A14" s="608"/>
      <c r="B14" s="88" t="s">
        <v>160</v>
      </c>
      <c r="C14" s="39">
        <v>346000</v>
      </c>
      <c r="D14" s="79">
        <f t="shared" si="0"/>
        <v>597000</v>
      </c>
      <c r="E14" s="39">
        <v>299000</v>
      </c>
      <c r="F14" s="84"/>
      <c r="G14" s="72"/>
      <c r="H14" s="601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73"/>
    </row>
    <row r="15" spans="1:26" ht="16.5" customHeight="1">
      <c r="A15" s="609" t="s">
        <v>161</v>
      </c>
      <c r="B15" s="57" t="s">
        <v>162</v>
      </c>
      <c r="C15" s="87">
        <v>379000</v>
      </c>
      <c r="D15" s="102">
        <v>657000</v>
      </c>
      <c r="E15" s="87">
        <v>329000</v>
      </c>
      <c r="F15" s="84"/>
      <c r="G15" s="72"/>
      <c r="H15" s="646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73"/>
    </row>
    <row r="16" spans="1:26" ht="16.5" customHeight="1">
      <c r="A16" s="608"/>
      <c r="B16" s="45" t="s">
        <v>163</v>
      </c>
      <c r="C16" s="39">
        <v>399000</v>
      </c>
      <c r="D16" s="79">
        <v>717000</v>
      </c>
      <c r="E16" s="39">
        <v>359000</v>
      </c>
      <c r="F16" s="84"/>
      <c r="G16" s="72"/>
      <c r="H16" s="603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73"/>
    </row>
    <row r="17" spans="1:26" ht="16.5" customHeight="1">
      <c r="A17" s="608"/>
      <c r="B17" s="61" t="s">
        <v>164</v>
      </c>
      <c r="C17" s="39">
        <v>458000</v>
      </c>
      <c r="D17" s="79">
        <v>717000</v>
      </c>
      <c r="E17" s="39">
        <v>359000</v>
      </c>
      <c r="F17" s="84"/>
      <c r="G17" s="72"/>
      <c r="H17" s="603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73"/>
    </row>
    <row r="18" spans="1:26" ht="16.5" customHeight="1">
      <c r="A18" s="610"/>
      <c r="B18" s="88" t="s">
        <v>165</v>
      </c>
      <c r="C18" s="39">
        <v>470000</v>
      </c>
      <c r="D18" s="81">
        <v>797000</v>
      </c>
      <c r="E18" s="39">
        <v>399000</v>
      </c>
      <c r="F18" s="84"/>
      <c r="G18" s="72"/>
      <c r="H18" s="601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73"/>
    </row>
    <row r="19" spans="1:26" ht="16.5" customHeight="1">
      <c r="A19" s="607" t="s">
        <v>27</v>
      </c>
      <c r="B19" s="57" t="s">
        <v>166</v>
      </c>
      <c r="C19" s="91">
        <v>89000</v>
      </c>
      <c r="D19" s="102">
        <f t="shared" ref="D19:D32" si="1">E19*2-1000</f>
        <v>137000</v>
      </c>
      <c r="E19" s="91">
        <v>69000</v>
      </c>
      <c r="F19" s="92"/>
      <c r="G19" s="60"/>
      <c r="H19" s="642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73"/>
    </row>
    <row r="20" spans="1:26" ht="16.5" customHeight="1">
      <c r="A20" s="608"/>
      <c r="B20" s="61" t="s">
        <v>88</v>
      </c>
      <c r="C20" s="93">
        <v>150000</v>
      </c>
      <c r="D20" s="79">
        <f t="shared" si="1"/>
        <v>197000</v>
      </c>
      <c r="E20" s="93">
        <v>99000</v>
      </c>
      <c r="F20" s="92"/>
      <c r="G20" s="60"/>
      <c r="H20" s="603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73"/>
    </row>
    <row r="21" spans="1:26" ht="16.5" customHeight="1">
      <c r="A21" s="608"/>
      <c r="B21" s="61" t="s">
        <v>167</v>
      </c>
      <c r="C21" s="93">
        <v>229000</v>
      </c>
      <c r="D21" s="79">
        <f t="shared" si="1"/>
        <v>357000</v>
      </c>
      <c r="E21" s="93">
        <v>179000</v>
      </c>
      <c r="F21" s="92"/>
      <c r="G21" s="66"/>
      <c r="H21" s="603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73"/>
    </row>
    <row r="22" spans="1:26" ht="16.5" customHeight="1">
      <c r="A22" s="608"/>
      <c r="B22" s="61" t="s">
        <v>90</v>
      </c>
      <c r="C22" s="93">
        <v>269000</v>
      </c>
      <c r="D22" s="79">
        <f t="shared" si="1"/>
        <v>477000</v>
      </c>
      <c r="E22" s="93">
        <v>239000</v>
      </c>
      <c r="F22" s="92"/>
      <c r="G22" s="66"/>
      <c r="H22" s="603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73"/>
    </row>
    <row r="23" spans="1:26" ht="16.5" customHeight="1">
      <c r="A23" s="608"/>
      <c r="B23" s="56" t="s">
        <v>168</v>
      </c>
      <c r="C23" s="93">
        <v>299000</v>
      </c>
      <c r="D23" s="79">
        <f t="shared" si="1"/>
        <v>477000</v>
      </c>
      <c r="E23" s="93">
        <v>239000</v>
      </c>
      <c r="F23" s="92"/>
      <c r="G23" s="60"/>
      <c r="H23" s="601"/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73"/>
    </row>
    <row r="24" spans="1:26" ht="16.5" customHeight="1">
      <c r="A24" s="604" t="s">
        <v>118</v>
      </c>
      <c r="B24" s="61" t="s">
        <v>169</v>
      </c>
      <c r="C24" s="91">
        <v>70000</v>
      </c>
      <c r="D24" s="102">
        <f t="shared" si="1"/>
        <v>117000</v>
      </c>
      <c r="E24" s="120">
        <v>59000</v>
      </c>
      <c r="F24" s="99"/>
      <c r="G24" s="69"/>
      <c r="H24" s="643"/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73"/>
    </row>
    <row r="25" spans="1:26" ht="16.5" customHeight="1">
      <c r="A25" s="605"/>
      <c r="B25" s="61" t="s">
        <v>170</v>
      </c>
      <c r="C25" s="93">
        <v>99000</v>
      </c>
      <c r="D25" s="79">
        <f t="shared" si="1"/>
        <v>177000</v>
      </c>
      <c r="E25" s="121">
        <v>89000</v>
      </c>
      <c r="F25" s="99"/>
      <c r="G25" s="69"/>
      <c r="H25" s="603"/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73"/>
    </row>
    <row r="26" spans="1:26" ht="16.5" customHeight="1">
      <c r="A26" s="606"/>
      <c r="B26" s="61" t="s">
        <v>171</v>
      </c>
      <c r="C26" s="122">
        <v>157000</v>
      </c>
      <c r="D26" s="81">
        <f t="shared" si="1"/>
        <v>197000</v>
      </c>
      <c r="E26" s="123">
        <v>99000</v>
      </c>
      <c r="F26" s="84"/>
      <c r="G26" s="72"/>
      <c r="H26" s="621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73"/>
    </row>
    <row r="27" spans="1:26" ht="16.5" customHeight="1">
      <c r="A27" s="653" t="s">
        <v>172</v>
      </c>
      <c r="B27" s="110" t="s">
        <v>173</v>
      </c>
      <c r="C27" s="91">
        <v>500000</v>
      </c>
      <c r="D27" s="62">
        <f t="shared" si="1"/>
        <v>899000</v>
      </c>
      <c r="E27" s="111">
        <v>450000</v>
      </c>
      <c r="F27" s="72"/>
      <c r="G27" s="50"/>
      <c r="H27" s="656"/>
      <c r="I27" s="10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73"/>
    </row>
    <row r="28" spans="1:26" ht="16.5" customHeight="1">
      <c r="A28" s="654"/>
      <c r="B28" s="107" t="s">
        <v>174</v>
      </c>
      <c r="C28" s="93">
        <v>1400000</v>
      </c>
      <c r="D28" s="62">
        <f t="shared" si="1"/>
        <v>2399000</v>
      </c>
      <c r="E28" s="108">
        <v>1200000</v>
      </c>
      <c r="F28" s="72"/>
      <c r="G28" s="72"/>
      <c r="H28" s="614"/>
      <c r="I28" s="10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73"/>
    </row>
    <row r="29" spans="1:26" ht="16.5" customHeight="1">
      <c r="A29" s="654"/>
      <c r="B29" s="107" t="s">
        <v>175</v>
      </c>
      <c r="C29" s="93">
        <v>650000</v>
      </c>
      <c r="D29" s="62">
        <f t="shared" si="1"/>
        <v>1199000</v>
      </c>
      <c r="E29" s="108">
        <v>600000</v>
      </c>
      <c r="F29" s="72"/>
      <c r="G29" s="72"/>
      <c r="H29" s="614"/>
      <c r="I29" s="10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73"/>
    </row>
    <row r="30" spans="1:26" ht="16.5" customHeight="1">
      <c r="A30" s="654"/>
      <c r="B30" s="107" t="s">
        <v>176</v>
      </c>
      <c r="C30" s="93">
        <v>1100000</v>
      </c>
      <c r="D30" s="62">
        <f t="shared" si="1"/>
        <v>1999000</v>
      </c>
      <c r="E30" s="108">
        <v>1000000</v>
      </c>
      <c r="F30" s="84"/>
      <c r="G30" s="72"/>
      <c r="H30" s="614"/>
      <c r="I30" s="10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73"/>
    </row>
    <row r="31" spans="1:26" ht="16.5" customHeight="1">
      <c r="A31" s="654"/>
      <c r="B31" s="107" t="s">
        <v>177</v>
      </c>
      <c r="C31" s="93">
        <v>650000</v>
      </c>
      <c r="D31" s="62">
        <f t="shared" si="1"/>
        <v>1199000</v>
      </c>
      <c r="E31" s="108">
        <v>600000</v>
      </c>
      <c r="F31" s="84"/>
      <c r="G31" s="72"/>
      <c r="H31" s="614"/>
      <c r="I31" s="10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73"/>
    </row>
    <row r="32" spans="1:26" ht="16.5" customHeight="1">
      <c r="A32" s="655"/>
      <c r="B32" s="124" t="s">
        <v>178</v>
      </c>
      <c r="C32" s="122">
        <v>650000</v>
      </c>
      <c r="D32" s="64">
        <f t="shared" si="1"/>
        <v>1199000</v>
      </c>
      <c r="E32" s="117">
        <v>600000</v>
      </c>
      <c r="F32" s="84"/>
      <c r="G32" s="72"/>
      <c r="H32" s="616"/>
      <c r="I32" s="10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73"/>
    </row>
    <row r="33" spans="1:26" ht="16.5" customHeight="1">
      <c r="A33" s="609" t="s">
        <v>119</v>
      </c>
      <c r="B33" s="107" t="s">
        <v>120</v>
      </c>
      <c r="C33" s="39">
        <v>200000</v>
      </c>
      <c r="D33" s="62">
        <v>299000</v>
      </c>
      <c r="E33" s="108">
        <v>150000</v>
      </c>
      <c r="F33" s="104"/>
      <c r="G33" s="72"/>
      <c r="H33" s="641"/>
      <c r="I33" s="10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73"/>
    </row>
    <row r="34" spans="1:26" ht="16.5" customHeight="1">
      <c r="A34" s="610"/>
      <c r="B34" s="107" t="s">
        <v>121</v>
      </c>
      <c r="C34" s="39">
        <v>550000</v>
      </c>
      <c r="D34" s="62">
        <v>799000</v>
      </c>
      <c r="E34" s="108">
        <v>400000</v>
      </c>
      <c r="F34" s="84"/>
      <c r="G34" s="72"/>
      <c r="H34" s="621"/>
      <c r="I34" s="10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73"/>
    </row>
    <row r="35" spans="1:26" ht="16.5" customHeight="1">
      <c r="A35" s="609" t="s">
        <v>122</v>
      </c>
      <c r="B35" s="110" t="s">
        <v>123</v>
      </c>
      <c r="C35" s="87">
        <v>600000</v>
      </c>
      <c r="D35" s="58">
        <v>1099000</v>
      </c>
      <c r="E35" s="111">
        <v>550000</v>
      </c>
      <c r="F35" s="104"/>
      <c r="G35" s="72"/>
      <c r="H35" s="641"/>
      <c r="I35" s="10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73"/>
    </row>
    <row r="36" spans="1:26" ht="16.5" customHeight="1">
      <c r="A36" s="610"/>
      <c r="B36" s="107" t="s">
        <v>124</v>
      </c>
      <c r="C36" s="39">
        <v>1700000</v>
      </c>
      <c r="D36" s="62">
        <v>2999000</v>
      </c>
      <c r="E36" s="108">
        <v>1500000</v>
      </c>
      <c r="F36" s="84"/>
      <c r="G36" s="72"/>
      <c r="H36" s="621"/>
      <c r="I36" s="10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73"/>
    </row>
    <row r="37" spans="1:26" ht="16.5" customHeight="1">
      <c r="A37" s="609" t="s">
        <v>125</v>
      </c>
      <c r="B37" s="112" t="s">
        <v>126</v>
      </c>
      <c r="C37" s="102"/>
      <c r="D37" s="58">
        <v>1199000</v>
      </c>
      <c r="E37" s="125">
        <v>600000</v>
      </c>
      <c r="F37" s="84"/>
      <c r="G37" s="72"/>
      <c r="H37" s="656"/>
      <c r="I37" s="10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73"/>
    </row>
    <row r="38" spans="1:26" ht="16.5" customHeight="1">
      <c r="A38" s="608"/>
      <c r="B38" s="114" t="s">
        <v>127</v>
      </c>
      <c r="C38" s="79"/>
      <c r="D38" s="62">
        <v>1799000</v>
      </c>
      <c r="E38" s="126">
        <v>900000</v>
      </c>
      <c r="F38" s="84"/>
      <c r="G38" s="72"/>
      <c r="H38" s="614"/>
      <c r="I38" s="10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73"/>
    </row>
    <row r="39" spans="1:26" ht="16.5" customHeight="1">
      <c r="A39" s="608"/>
      <c r="B39" s="114" t="s">
        <v>128</v>
      </c>
      <c r="C39" s="79"/>
      <c r="D39" s="62">
        <v>2199000</v>
      </c>
      <c r="E39" s="126">
        <v>1100000</v>
      </c>
      <c r="F39" s="84"/>
      <c r="G39" s="72"/>
      <c r="H39" s="614"/>
      <c r="I39" s="10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73"/>
    </row>
    <row r="40" spans="1:26" ht="16.5" customHeight="1">
      <c r="A40" s="608"/>
      <c r="B40" s="114" t="s">
        <v>129</v>
      </c>
      <c r="C40" s="79"/>
      <c r="D40" s="62">
        <v>899000</v>
      </c>
      <c r="E40" s="126">
        <v>450000</v>
      </c>
      <c r="F40" s="84"/>
      <c r="G40" s="72"/>
      <c r="H40" s="614"/>
      <c r="I40" s="10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73"/>
    </row>
    <row r="41" spans="1:26" ht="16.5" customHeight="1">
      <c r="A41" s="608"/>
      <c r="B41" s="114" t="s">
        <v>130</v>
      </c>
      <c r="C41" s="79"/>
      <c r="D41" s="62">
        <v>1599000</v>
      </c>
      <c r="E41" s="126">
        <v>800000</v>
      </c>
      <c r="F41" s="84"/>
      <c r="G41" s="72"/>
      <c r="H41" s="614"/>
      <c r="I41" s="10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73"/>
    </row>
    <row r="42" spans="1:26" ht="16.5" customHeight="1">
      <c r="A42" s="608"/>
      <c r="B42" s="114" t="s">
        <v>131</v>
      </c>
      <c r="C42" s="79"/>
      <c r="D42" s="62">
        <v>2199000</v>
      </c>
      <c r="E42" s="126">
        <v>1100000</v>
      </c>
      <c r="F42" s="92"/>
      <c r="G42" s="60"/>
      <c r="H42" s="614"/>
      <c r="I42" s="10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73"/>
    </row>
    <row r="43" spans="1:26" ht="16.5" customHeight="1">
      <c r="A43" s="608"/>
      <c r="B43" s="114" t="s">
        <v>132</v>
      </c>
      <c r="C43" s="79"/>
      <c r="D43" s="62">
        <v>1799000</v>
      </c>
      <c r="E43" s="126">
        <v>900000</v>
      </c>
      <c r="F43" s="92"/>
      <c r="G43" s="60"/>
      <c r="H43" s="614"/>
      <c r="I43" s="10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73"/>
    </row>
    <row r="44" spans="1:26" ht="16.5" customHeight="1">
      <c r="A44" s="608"/>
      <c r="B44" s="90" t="s">
        <v>133</v>
      </c>
      <c r="C44" s="79"/>
      <c r="D44" s="62">
        <v>3399000</v>
      </c>
      <c r="E44" s="126">
        <v>1700000</v>
      </c>
      <c r="F44" s="92"/>
      <c r="G44" s="60"/>
      <c r="H44" s="614"/>
      <c r="I44" s="10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73"/>
    </row>
    <row r="45" spans="1:26" ht="16.5" customHeight="1">
      <c r="A45" s="608"/>
      <c r="B45" s="90" t="s">
        <v>134</v>
      </c>
      <c r="C45" s="79"/>
      <c r="D45" s="62">
        <v>1599000</v>
      </c>
      <c r="E45" s="126">
        <v>800000</v>
      </c>
      <c r="F45" s="92"/>
      <c r="G45" s="60"/>
      <c r="H45" s="614"/>
      <c r="I45" s="10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73"/>
    </row>
    <row r="46" spans="1:26" ht="16.5" customHeight="1">
      <c r="A46" s="608"/>
      <c r="B46" s="90" t="s">
        <v>135</v>
      </c>
      <c r="C46" s="79"/>
      <c r="D46" s="62">
        <v>2999000</v>
      </c>
      <c r="E46" s="126">
        <v>1500000</v>
      </c>
      <c r="F46" s="92"/>
      <c r="G46" s="60"/>
      <c r="H46" s="614"/>
      <c r="I46" s="10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73"/>
    </row>
    <row r="47" spans="1:26" ht="16.5" customHeight="1">
      <c r="A47" s="608"/>
      <c r="B47" s="90" t="s">
        <v>136</v>
      </c>
      <c r="C47" s="79"/>
      <c r="D47" s="62">
        <v>1399000</v>
      </c>
      <c r="E47" s="126">
        <v>700000</v>
      </c>
      <c r="F47" s="92"/>
      <c r="G47" s="60"/>
      <c r="H47" s="614"/>
      <c r="I47" s="10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73"/>
    </row>
    <row r="48" spans="1:26" ht="16.5" customHeight="1">
      <c r="A48" s="608"/>
      <c r="B48" s="90" t="s">
        <v>137</v>
      </c>
      <c r="C48" s="79"/>
      <c r="D48" s="62">
        <v>1799000</v>
      </c>
      <c r="E48" s="126">
        <v>900000</v>
      </c>
      <c r="F48" s="92"/>
      <c r="G48" s="60"/>
      <c r="H48" s="614"/>
      <c r="I48" s="10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73"/>
    </row>
    <row r="49" spans="1:26" ht="16.5" customHeight="1">
      <c r="A49" s="608"/>
      <c r="B49" s="90" t="s">
        <v>138</v>
      </c>
      <c r="C49" s="79"/>
      <c r="D49" s="62">
        <v>499000</v>
      </c>
      <c r="E49" s="126">
        <v>250000</v>
      </c>
      <c r="F49" s="99"/>
      <c r="G49" s="69"/>
      <c r="H49" s="614"/>
      <c r="I49" s="10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73"/>
    </row>
    <row r="50" spans="1:26" ht="16.5" customHeight="1">
      <c r="A50" s="608"/>
      <c r="B50" s="90" t="s">
        <v>139</v>
      </c>
      <c r="C50" s="79"/>
      <c r="D50" s="62">
        <v>399000</v>
      </c>
      <c r="E50" s="126">
        <v>200000</v>
      </c>
      <c r="F50" s="99"/>
      <c r="G50" s="69"/>
      <c r="H50" s="614"/>
      <c r="I50" s="1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73"/>
    </row>
    <row r="51" spans="1:26" ht="16.5" customHeight="1">
      <c r="A51" s="608"/>
      <c r="B51" s="90" t="s">
        <v>140</v>
      </c>
      <c r="C51" s="79"/>
      <c r="D51" s="62">
        <v>299000</v>
      </c>
      <c r="E51" s="126">
        <v>150000</v>
      </c>
      <c r="F51" s="84"/>
      <c r="G51" s="72"/>
      <c r="H51" s="614"/>
      <c r="I51" s="1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73"/>
    </row>
    <row r="52" spans="1:26" ht="16.5" customHeight="1">
      <c r="A52" s="608"/>
      <c r="B52" s="90" t="s">
        <v>141</v>
      </c>
      <c r="C52" s="79"/>
      <c r="D52" s="62">
        <v>199000</v>
      </c>
      <c r="E52" s="126">
        <v>100000</v>
      </c>
      <c r="F52" s="92"/>
      <c r="G52" s="60"/>
      <c r="H52" s="614"/>
      <c r="I52" s="1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73"/>
    </row>
    <row r="53" spans="1:26" ht="16.5" customHeight="1">
      <c r="A53" s="608"/>
      <c r="B53" s="90" t="s">
        <v>142</v>
      </c>
      <c r="C53" s="79"/>
      <c r="D53" s="62">
        <v>319000</v>
      </c>
      <c r="E53" s="126">
        <v>160000</v>
      </c>
      <c r="F53" s="92"/>
      <c r="G53" s="60"/>
      <c r="H53" s="614"/>
      <c r="I53" s="1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73"/>
    </row>
    <row r="54" spans="1:26" ht="16.5" customHeight="1">
      <c r="A54" s="608"/>
      <c r="B54" s="90" t="s">
        <v>143</v>
      </c>
      <c r="C54" s="79"/>
      <c r="D54" s="62">
        <v>359000</v>
      </c>
      <c r="E54" s="126">
        <v>180000</v>
      </c>
      <c r="F54" s="99"/>
      <c r="G54" s="69"/>
      <c r="H54" s="614"/>
      <c r="I54" s="1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73"/>
    </row>
    <row r="55" spans="1:26" ht="15.75" customHeight="1">
      <c r="A55" s="610"/>
      <c r="B55" s="94" t="s">
        <v>144</v>
      </c>
      <c r="C55" s="81"/>
      <c r="D55" s="64">
        <v>799000</v>
      </c>
      <c r="E55" s="127">
        <v>400000</v>
      </c>
      <c r="F55" s="99"/>
      <c r="G55" s="69"/>
      <c r="H55" s="614"/>
      <c r="I55" s="11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73"/>
    </row>
    <row r="56" spans="1:26" ht="16.5" customHeight="1">
      <c r="A56" s="652" t="s">
        <v>179</v>
      </c>
      <c r="B56" s="611"/>
      <c r="C56" s="611"/>
      <c r="D56" s="611"/>
      <c r="E56" s="611"/>
      <c r="F56" s="611"/>
      <c r="G56" s="611"/>
      <c r="H56" s="611"/>
      <c r="I56" s="61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73"/>
    </row>
    <row r="57" spans="1:26" ht="16.5" customHeight="1">
      <c r="A57" s="608"/>
      <c r="B57" s="613"/>
      <c r="C57" s="613"/>
      <c r="D57" s="613"/>
      <c r="E57" s="613"/>
      <c r="F57" s="613"/>
      <c r="G57" s="613"/>
      <c r="H57" s="613"/>
      <c r="I57" s="61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73"/>
    </row>
    <row r="58" spans="1:26" ht="16.5" customHeight="1">
      <c r="A58" s="608"/>
      <c r="B58" s="613"/>
      <c r="C58" s="613"/>
      <c r="D58" s="613"/>
      <c r="E58" s="613"/>
      <c r="F58" s="613"/>
      <c r="G58" s="613"/>
      <c r="H58" s="613"/>
      <c r="I58" s="61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73"/>
    </row>
    <row r="59" spans="1:26" ht="16.5" customHeight="1">
      <c r="A59" s="608"/>
      <c r="B59" s="613"/>
      <c r="C59" s="613"/>
      <c r="D59" s="613"/>
      <c r="E59" s="613"/>
      <c r="F59" s="613"/>
      <c r="G59" s="613"/>
      <c r="H59" s="613"/>
      <c r="I59" s="61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73"/>
    </row>
    <row r="60" spans="1:26" ht="16.5" customHeight="1">
      <c r="A60" s="610"/>
      <c r="B60" s="615"/>
      <c r="C60" s="615"/>
      <c r="D60" s="615"/>
      <c r="E60" s="615"/>
      <c r="F60" s="615"/>
      <c r="G60" s="615"/>
      <c r="H60" s="615"/>
      <c r="I60" s="61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73"/>
    </row>
    <row r="61" spans="1:26" ht="16.5" customHeight="1">
      <c r="A61" s="1"/>
      <c r="B61" s="1"/>
      <c r="C61" s="35"/>
      <c r="D61" s="35"/>
      <c r="E61" s="35"/>
      <c r="F61" s="36"/>
      <c r="G61" s="37"/>
      <c r="H61" s="37"/>
      <c r="I61" s="3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73"/>
    </row>
    <row r="62" spans="1:26" ht="16.5" customHeight="1">
      <c r="A62" s="1"/>
      <c r="B62" s="1"/>
      <c r="C62" s="38"/>
      <c r="D62" s="38"/>
      <c r="E62" s="3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73"/>
    </row>
    <row r="63" spans="1:26" ht="16.5" customHeight="1">
      <c r="A63" s="1"/>
      <c r="B63" s="1"/>
      <c r="C63" s="38"/>
      <c r="D63" s="38"/>
      <c r="E63" s="3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73"/>
    </row>
    <row r="64" spans="1:26" ht="16.5" customHeight="1">
      <c r="A64" s="1"/>
      <c r="B64" s="1"/>
      <c r="C64" s="35"/>
      <c r="D64" s="35"/>
      <c r="E64" s="35"/>
      <c r="F64" s="36"/>
      <c r="G64" s="37"/>
      <c r="H64" s="37"/>
      <c r="I64" s="3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73"/>
    </row>
    <row r="65" spans="1:26" ht="16.5" customHeight="1">
      <c r="A65" s="1"/>
      <c r="B65" s="1"/>
      <c r="C65" s="35"/>
      <c r="D65" s="35"/>
      <c r="E65" s="35"/>
      <c r="F65" s="36"/>
      <c r="G65" s="37"/>
      <c r="H65" s="37"/>
      <c r="I65" s="3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73"/>
    </row>
    <row r="66" spans="1:26" ht="16.5" customHeight="1">
      <c r="A66" s="1"/>
      <c r="B66" s="1"/>
      <c r="C66" s="35"/>
      <c r="D66" s="35"/>
      <c r="E66" s="35"/>
      <c r="F66" s="36"/>
      <c r="G66" s="37"/>
      <c r="H66" s="37"/>
      <c r="I66" s="3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73"/>
    </row>
    <row r="67" spans="1:26" ht="16.5" customHeight="1">
      <c r="A67" s="1"/>
      <c r="B67" s="1"/>
      <c r="C67" s="35"/>
      <c r="D67" s="35"/>
      <c r="E67" s="35"/>
      <c r="F67" s="36"/>
      <c r="G67" s="37"/>
      <c r="H67" s="37"/>
      <c r="I67" s="3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73"/>
    </row>
    <row r="68" spans="1:26" ht="16.5" customHeight="1">
      <c r="A68" s="1"/>
      <c r="B68" s="1"/>
      <c r="C68" s="35"/>
      <c r="D68" s="35"/>
      <c r="E68" s="35"/>
      <c r="F68" s="36"/>
      <c r="G68" s="37"/>
      <c r="H68" s="37"/>
      <c r="I68" s="3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73"/>
    </row>
    <row r="69" spans="1:26" ht="16.5" customHeight="1">
      <c r="A69" s="1"/>
      <c r="B69" s="1"/>
      <c r="C69" s="35"/>
      <c r="D69" s="35"/>
      <c r="E69" s="35"/>
      <c r="F69" s="36"/>
      <c r="G69" s="37"/>
      <c r="H69" s="37"/>
      <c r="I69" s="3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73"/>
    </row>
    <row r="70" spans="1:26" ht="16.5" customHeight="1">
      <c r="A70" s="1"/>
      <c r="B70" s="1"/>
      <c r="C70" s="35"/>
      <c r="D70" s="35"/>
      <c r="E70" s="35"/>
      <c r="F70" s="36"/>
      <c r="G70" s="37"/>
      <c r="H70" s="37"/>
      <c r="I70" s="3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73"/>
    </row>
    <row r="71" spans="1:26" ht="16.5" customHeight="1">
      <c r="A71" s="1"/>
      <c r="B71" s="1"/>
      <c r="C71" s="35"/>
      <c r="D71" s="35"/>
      <c r="E71" s="35"/>
      <c r="F71" s="36"/>
      <c r="G71" s="37"/>
      <c r="H71" s="37"/>
      <c r="I71" s="3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73"/>
    </row>
    <row r="72" spans="1:26" ht="16.5" customHeight="1">
      <c r="A72" s="1"/>
      <c r="B72" s="1"/>
      <c r="C72" s="35"/>
      <c r="D72" s="35"/>
      <c r="E72" s="35"/>
      <c r="F72" s="36"/>
      <c r="G72" s="37"/>
      <c r="H72" s="37"/>
      <c r="I72" s="3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73"/>
    </row>
    <row r="73" spans="1:26" ht="16.5" customHeight="1">
      <c r="A73" s="1"/>
      <c r="B73" s="1"/>
      <c r="C73" s="35"/>
      <c r="D73" s="35"/>
      <c r="E73" s="35"/>
      <c r="F73" s="36"/>
      <c r="G73" s="37"/>
      <c r="H73" s="37"/>
      <c r="I73" s="3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73"/>
    </row>
    <row r="74" spans="1:26" ht="16.5" customHeight="1">
      <c r="A74" s="1"/>
      <c r="B74" s="1"/>
      <c r="C74" s="35"/>
      <c r="D74" s="35"/>
      <c r="E74" s="35"/>
      <c r="F74" s="36"/>
      <c r="G74" s="37"/>
      <c r="H74" s="37"/>
      <c r="I74" s="3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73"/>
    </row>
    <row r="75" spans="1:26" ht="16.5" customHeight="1">
      <c r="A75" s="1"/>
      <c r="B75" s="1"/>
      <c r="C75" s="35"/>
      <c r="D75" s="35"/>
      <c r="E75" s="35"/>
      <c r="F75" s="36"/>
      <c r="G75" s="37"/>
      <c r="H75" s="37"/>
      <c r="I75" s="3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73"/>
    </row>
    <row r="76" spans="1:26" ht="16.5" customHeight="1">
      <c r="A76" s="1"/>
      <c r="B76" s="1"/>
      <c r="C76" s="35"/>
      <c r="D76" s="35"/>
      <c r="E76" s="35"/>
      <c r="F76" s="36"/>
      <c r="G76" s="37"/>
      <c r="H76" s="37"/>
      <c r="I76" s="3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73"/>
    </row>
    <row r="77" spans="1:26" ht="16.5" customHeight="1">
      <c r="A77" s="1"/>
      <c r="B77" s="1"/>
      <c r="C77" s="35"/>
      <c r="D77" s="35"/>
      <c r="E77" s="35"/>
      <c r="F77" s="36"/>
      <c r="G77" s="37"/>
      <c r="H77" s="37"/>
      <c r="I77" s="3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73"/>
    </row>
    <row r="78" spans="1:26" ht="16.5" customHeight="1">
      <c r="A78" s="1"/>
      <c r="B78" s="1"/>
      <c r="C78" s="35"/>
      <c r="D78" s="35"/>
      <c r="E78" s="35"/>
      <c r="F78" s="36"/>
      <c r="G78" s="37"/>
      <c r="H78" s="37"/>
      <c r="I78" s="3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73"/>
    </row>
    <row r="79" spans="1:26" ht="16.5" customHeight="1">
      <c r="A79" s="1"/>
      <c r="B79" s="1"/>
      <c r="C79" s="35"/>
      <c r="D79" s="35"/>
      <c r="E79" s="35"/>
      <c r="F79" s="36"/>
      <c r="G79" s="37"/>
      <c r="H79" s="37"/>
      <c r="I79" s="3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73"/>
    </row>
    <row r="80" spans="1:26" ht="16.5" customHeight="1">
      <c r="A80" s="1"/>
      <c r="B80" s="1"/>
      <c r="C80" s="35"/>
      <c r="D80" s="35"/>
      <c r="E80" s="35"/>
      <c r="F80" s="36"/>
      <c r="G80" s="37"/>
      <c r="H80" s="37"/>
      <c r="I80" s="3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73"/>
    </row>
    <row r="81" spans="1:26" ht="16.5" customHeight="1">
      <c r="A81" s="1"/>
      <c r="B81" s="1"/>
      <c r="C81" s="35"/>
      <c r="D81" s="35"/>
      <c r="E81" s="35"/>
      <c r="F81" s="36"/>
      <c r="G81" s="37"/>
      <c r="H81" s="37"/>
      <c r="I81" s="3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73"/>
    </row>
    <row r="82" spans="1:26" ht="16.5" customHeight="1">
      <c r="A82" s="1"/>
      <c r="B82" s="1"/>
      <c r="C82" s="35"/>
      <c r="D82" s="35"/>
      <c r="E82" s="35"/>
      <c r="F82" s="36"/>
      <c r="G82" s="37"/>
      <c r="H82" s="37"/>
      <c r="I82" s="3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73"/>
    </row>
    <row r="83" spans="1:26" ht="16.5" customHeight="1">
      <c r="A83" s="1"/>
      <c r="B83" s="1"/>
      <c r="C83" s="35"/>
      <c r="D83" s="35"/>
      <c r="E83" s="35"/>
      <c r="F83" s="36"/>
      <c r="G83" s="37"/>
      <c r="H83" s="37"/>
      <c r="I83" s="3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73"/>
    </row>
    <row r="84" spans="1:26" ht="16.5" customHeight="1">
      <c r="A84" s="1"/>
      <c r="B84" s="1"/>
      <c r="C84" s="35"/>
      <c r="D84" s="35"/>
      <c r="E84" s="35"/>
      <c r="F84" s="36"/>
      <c r="G84" s="37"/>
      <c r="H84" s="37"/>
      <c r="I84" s="3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73"/>
    </row>
    <row r="85" spans="1:26" ht="16.5" customHeight="1">
      <c r="A85" s="1"/>
      <c r="B85" s="1"/>
      <c r="C85" s="35"/>
      <c r="D85" s="35"/>
      <c r="E85" s="35"/>
      <c r="F85" s="36"/>
      <c r="G85" s="37"/>
      <c r="H85" s="37"/>
      <c r="I85" s="3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73"/>
    </row>
    <row r="86" spans="1:26" ht="16.5" customHeight="1">
      <c r="A86" s="1"/>
      <c r="B86" s="1"/>
      <c r="C86" s="35"/>
      <c r="D86" s="35"/>
      <c r="E86" s="35"/>
      <c r="F86" s="36"/>
      <c r="G86" s="37"/>
      <c r="H86" s="37"/>
      <c r="I86" s="3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73"/>
    </row>
    <row r="87" spans="1:26" ht="16.5" customHeight="1">
      <c r="A87" s="1"/>
      <c r="B87" s="1"/>
      <c r="C87" s="35"/>
      <c r="D87" s="35"/>
      <c r="E87" s="35"/>
      <c r="F87" s="36"/>
      <c r="G87" s="37"/>
      <c r="H87" s="37"/>
      <c r="I87" s="3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73"/>
    </row>
    <row r="88" spans="1:26" ht="16.5" customHeight="1">
      <c r="A88" s="1"/>
      <c r="B88" s="1"/>
      <c r="C88" s="35"/>
      <c r="D88" s="35"/>
      <c r="E88" s="35"/>
      <c r="F88" s="36"/>
      <c r="G88" s="37"/>
      <c r="H88" s="37"/>
      <c r="I88" s="3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73"/>
    </row>
    <row r="89" spans="1:26" ht="16.5" customHeight="1">
      <c r="A89" s="1"/>
      <c r="B89" s="1"/>
      <c r="C89" s="35"/>
      <c r="D89" s="35"/>
      <c r="E89" s="35"/>
      <c r="F89" s="36"/>
      <c r="G89" s="37"/>
      <c r="H89" s="37"/>
      <c r="I89" s="3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73"/>
    </row>
    <row r="90" spans="1:26" ht="16.5" customHeight="1">
      <c r="A90" s="1"/>
      <c r="B90" s="1"/>
      <c r="C90" s="35"/>
      <c r="D90" s="35"/>
      <c r="E90" s="35"/>
      <c r="F90" s="36"/>
      <c r="G90" s="37"/>
      <c r="H90" s="37"/>
      <c r="I90" s="3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73"/>
    </row>
    <row r="91" spans="1:26" ht="16.5" customHeight="1">
      <c r="A91" s="1"/>
      <c r="B91" s="1"/>
      <c r="C91" s="35"/>
      <c r="D91" s="35"/>
      <c r="E91" s="35"/>
      <c r="F91" s="36"/>
      <c r="G91" s="37"/>
      <c r="H91" s="37"/>
      <c r="I91" s="3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73"/>
    </row>
    <row r="92" spans="1:26" ht="16.5" customHeight="1">
      <c r="A92" s="1"/>
      <c r="B92" s="1"/>
      <c r="C92" s="35"/>
      <c r="D92" s="35"/>
      <c r="E92" s="35"/>
      <c r="F92" s="36"/>
      <c r="G92" s="37"/>
      <c r="H92" s="37"/>
      <c r="I92" s="3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73"/>
    </row>
    <row r="93" spans="1:26" ht="16.5" customHeight="1">
      <c r="A93" s="1"/>
      <c r="B93" s="1"/>
      <c r="C93" s="35"/>
      <c r="D93" s="35"/>
      <c r="E93" s="35"/>
      <c r="F93" s="36"/>
      <c r="G93" s="37"/>
      <c r="H93" s="37"/>
      <c r="I93" s="3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73"/>
    </row>
    <row r="94" spans="1:26" ht="16.5" customHeight="1">
      <c r="A94" s="1"/>
      <c r="B94" s="1"/>
      <c r="C94" s="35"/>
      <c r="D94" s="35"/>
      <c r="E94" s="35"/>
      <c r="F94" s="36"/>
      <c r="G94" s="37"/>
      <c r="H94" s="37"/>
      <c r="I94" s="3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73"/>
    </row>
    <row r="95" spans="1:26" ht="16.5" customHeight="1">
      <c r="A95" s="1"/>
      <c r="B95" s="1"/>
      <c r="C95" s="35"/>
      <c r="D95" s="35"/>
      <c r="E95" s="35"/>
      <c r="F95" s="36"/>
      <c r="G95" s="37"/>
      <c r="H95" s="37"/>
      <c r="I95" s="3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73"/>
    </row>
    <row r="96" spans="1:26" ht="16.5" customHeight="1">
      <c r="A96" s="1"/>
      <c r="B96" s="1"/>
      <c r="C96" s="35"/>
      <c r="D96" s="35"/>
      <c r="E96" s="35"/>
      <c r="F96" s="36"/>
      <c r="G96" s="37"/>
      <c r="H96" s="37"/>
      <c r="I96" s="3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73"/>
    </row>
    <row r="97" spans="1:26" ht="16.5" customHeight="1">
      <c r="A97" s="1"/>
      <c r="B97" s="1"/>
      <c r="C97" s="35"/>
      <c r="D97" s="35"/>
      <c r="E97" s="35"/>
      <c r="F97" s="36"/>
      <c r="G97" s="37"/>
      <c r="H97" s="37"/>
      <c r="I97" s="3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73"/>
    </row>
    <row r="98" spans="1:26" ht="16.5" customHeight="1">
      <c r="A98" s="1"/>
      <c r="B98" s="1"/>
      <c r="C98" s="35"/>
      <c r="D98" s="35"/>
      <c r="E98" s="35"/>
      <c r="F98" s="36"/>
      <c r="G98" s="37"/>
      <c r="H98" s="37"/>
      <c r="I98" s="3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73"/>
    </row>
    <row r="99" spans="1:26" ht="16.5" customHeight="1">
      <c r="A99" s="1"/>
      <c r="B99" s="1"/>
      <c r="C99" s="35"/>
      <c r="D99" s="35"/>
      <c r="E99" s="35"/>
      <c r="F99" s="36"/>
      <c r="G99" s="37"/>
      <c r="H99" s="37"/>
      <c r="I99" s="3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73"/>
    </row>
    <row r="100" spans="1:26" ht="16.5" customHeight="1">
      <c r="A100" s="1"/>
      <c r="B100" s="1"/>
      <c r="C100" s="35"/>
      <c r="D100" s="35"/>
      <c r="E100" s="35"/>
      <c r="F100" s="36"/>
      <c r="G100" s="37"/>
      <c r="H100" s="37"/>
      <c r="I100" s="3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73"/>
    </row>
    <row r="101" spans="1:26" ht="16.5" customHeight="1">
      <c r="A101" s="1"/>
      <c r="B101" s="1"/>
      <c r="C101" s="35"/>
      <c r="D101" s="35"/>
      <c r="E101" s="35"/>
      <c r="F101" s="36"/>
      <c r="G101" s="37"/>
      <c r="H101" s="37"/>
      <c r="I101" s="3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73"/>
    </row>
    <row r="102" spans="1:26" ht="16.5" customHeight="1">
      <c r="A102" s="1"/>
      <c r="B102" s="1"/>
      <c r="C102" s="35"/>
      <c r="D102" s="35"/>
      <c r="E102" s="35"/>
      <c r="F102" s="36"/>
      <c r="G102" s="37"/>
      <c r="H102" s="37"/>
      <c r="I102" s="3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73"/>
    </row>
    <row r="103" spans="1:26" ht="16.5" customHeight="1">
      <c r="A103" s="1"/>
      <c r="B103" s="1"/>
      <c r="C103" s="35"/>
      <c r="D103" s="35"/>
      <c r="E103" s="35"/>
      <c r="F103" s="36"/>
      <c r="G103" s="37"/>
      <c r="H103" s="37"/>
      <c r="I103" s="3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73"/>
    </row>
    <row r="104" spans="1:26" ht="16.5" customHeight="1">
      <c r="A104" s="1"/>
      <c r="B104" s="1"/>
      <c r="C104" s="35"/>
      <c r="D104" s="35"/>
      <c r="E104" s="35"/>
      <c r="F104" s="36"/>
      <c r="G104" s="37"/>
      <c r="H104" s="37"/>
      <c r="I104" s="3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73"/>
    </row>
    <row r="105" spans="1:26" ht="16.5" customHeight="1">
      <c r="A105" s="1"/>
      <c r="B105" s="1"/>
      <c r="C105" s="35"/>
      <c r="D105" s="35"/>
      <c r="E105" s="35"/>
      <c r="F105" s="36"/>
      <c r="G105" s="37"/>
      <c r="H105" s="37"/>
      <c r="I105" s="3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73"/>
    </row>
    <row r="106" spans="1:26" ht="16.5" customHeight="1">
      <c r="A106" s="1"/>
      <c r="B106" s="1"/>
      <c r="C106" s="35"/>
      <c r="D106" s="35"/>
      <c r="E106" s="35"/>
      <c r="F106" s="36"/>
      <c r="G106" s="37"/>
      <c r="H106" s="37"/>
      <c r="I106" s="3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73"/>
    </row>
    <row r="107" spans="1:26" ht="16.5" customHeight="1">
      <c r="A107" s="1"/>
      <c r="B107" s="1"/>
      <c r="C107" s="35"/>
      <c r="D107" s="35"/>
      <c r="E107" s="35"/>
      <c r="F107" s="36"/>
      <c r="G107" s="37"/>
      <c r="H107" s="37"/>
      <c r="I107" s="3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73"/>
    </row>
    <row r="108" spans="1:26" ht="16.5" customHeight="1">
      <c r="A108" s="1"/>
      <c r="B108" s="1"/>
      <c r="C108" s="35"/>
      <c r="D108" s="35"/>
      <c r="E108" s="35"/>
      <c r="F108" s="36"/>
      <c r="G108" s="37"/>
      <c r="H108" s="37"/>
      <c r="I108" s="3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73"/>
    </row>
    <row r="109" spans="1:26" ht="16.5" customHeight="1">
      <c r="A109" s="1"/>
      <c r="B109" s="1"/>
      <c r="C109" s="35"/>
      <c r="D109" s="35"/>
      <c r="E109" s="35"/>
      <c r="F109" s="36"/>
      <c r="G109" s="37"/>
      <c r="H109" s="37"/>
      <c r="I109" s="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73"/>
    </row>
    <row r="110" spans="1:26" ht="16.5" customHeight="1">
      <c r="A110" s="1"/>
      <c r="B110" s="1"/>
      <c r="C110" s="35"/>
      <c r="D110" s="35"/>
      <c r="E110" s="35"/>
      <c r="F110" s="36"/>
      <c r="G110" s="37"/>
      <c r="H110" s="37"/>
      <c r="I110" s="3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73"/>
    </row>
    <row r="111" spans="1:26" ht="16.5" customHeight="1">
      <c r="A111" s="1"/>
      <c r="B111" s="1"/>
      <c r="C111" s="35"/>
      <c r="D111" s="35"/>
      <c r="E111" s="35"/>
      <c r="F111" s="36"/>
      <c r="G111" s="37"/>
      <c r="H111" s="37"/>
      <c r="I111" s="3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73"/>
    </row>
    <row r="112" spans="1:26" ht="16.5" customHeight="1">
      <c r="A112" s="1"/>
      <c r="B112" s="1"/>
      <c r="C112" s="35"/>
      <c r="D112" s="35"/>
      <c r="E112" s="35"/>
      <c r="F112" s="36"/>
      <c r="G112" s="37"/>
      <c r="H112" s="37"/>
      <c r="I112" s="3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73"/>
    </row>
    <row r="113" spans="1:26" ht="16.5" customHeight="1">
      <c r="A113" s="1"/>
      <c r="B113" s="1"/>
      <c r="C113" s="35"/>
      <c r="D113" s="35"/>
      <c r="E113" s="35"/>
      <c r="F113" s="36"/>
      <c r="G113" s="37"/>
      <c r="H113" s="37"/>
      <c r="I113" s="3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73"/>
    </row>
    <row r="114" spans="1:26" ht="16.5" customHeight="1">
      <c r="A114" s="1"/>
      <c r="B114" s="1"/>
      <c r="C114" s="35"/>
      <c r="D114" s="35"/>
      <c r="E114" s="35"/>
      <c r="F114" s="36"/>
      <c r="G114" s="37"/>
      <c r="H114" s="37"/>
      <c r="I114" s="3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73"/>
    </row>
    <row r="115" spans="1:26" ht="16.5" customHeight="1">
      <c r="A115" s="1"/>
      <c r="B115" s="1"/>
      <c r="C115" s="35"/>
      <c r="D115" s="35"/>
      <c r="E115" s="35"/>
      <c r="F115" s="36"/>
      <c r="G115" s="37"/>
      <c r="H115" s="37"/>
      <c r="I115" s="3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73"/>
    </row>
    <row r="116" spans="1:26" ht="16.5" customHeight="1">
      <c r="A116" s="1"/>
      <c r="B116" s="1"/>
      <c r="C116" s="35"/>
      <c r="D116" s="35"/>
      <c r="E116" s="35"/>
      <c r="F116" s="36"/>
      <c r="G116" s="37"/>
      <c r="H116" s="37"/>
      <c r="I116" s="3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73"/>
    </row>
    <row r="117" spans="1:26" ht="16.5" customHeight="1">
      <c r="A117" s="1"/>
      <c r="B117" s="1"/>
      <c r="C117" s="35"/>
      <c r="D117" s="35"/>
      <c r="E117" s="35"/>
      <c r="F117" s="36"/>
      <c r="G117" s="37"/>
      <c r="H117" s="37"/>
      <c r="I117" s="3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73"/>
    </row>
    <row r="118" spans="1:26" ht="16.5" customHeight="1">
      <c r="A118" s="1"/>
      <c r="B118" s="1"/>
      <c r="C118" s="35"/>
      <c r="D118" s="35"/>
      <c r="E118" s="35"/>
      <c r="F118" s="36"/>
      <c r="G118" s="37"/>
      <c r="H118" s="37"/>
      <c r="I118" s="3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73"/>
    </row>
    <row r="119" spans="1:26" ht="16.5" customHeight="1">
      <c r="A119" s="1"/>
      <c r="B119" s="1"/>
      <c r="C119" s="35"/>
      <c r="D119" s="35"/>
      <c r="E119" s="35"/>
      <c r="F119" s="36"/>
      <c r="G119" s="37"/>
      <c r="H119" s="37"/>
      <c r="I119" s="3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73"/>
    </row>
    <row r="120" spans="1:26" ht="16.5" customHeight="1">
      <c r="A120" s="1"/>
      <c r="B120" s="1"/>
      <c r="C120" s="35"/>
      <c r="D120" s="35"/>
      <c r="E120" s="35"/>
      <c r="F120" s="36"/>
      <c r="G120" s="37"/>
      <c r="H120" s="37"/>
      <c r="I120" s="3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73"/>
    </row>
    <row r="121" spans="1:26" ht="16.5" customHeight="1">
      <c r="A121" s="1"/>
      <c r="B121" s="1"/>
      <c r="C121" s="35"/>
      <c r="D121" s="35"/>
      <c r="E121" s="35"/>
      <c r="F121" s="36"/>
      <c r="G121" s="37"/>
      <c r="H121" s="37"/>
      <c r="I121" s="3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73"/>
    </row>
    <row r="122" spans="1:26" ht="16.5" customHeight="1">
      <c r="A122" s="1"/>
      <c r="B122" s="1"/>
      <c r="C122" s="35"/>
      <c r="D122" s="35"/>
      <c r="E122" s="35"/>
      <c r="F122" s="36"/>
      <c r="G122" s="37"/>
      <c r="H122" s="37"/>
      <c r="I122" s="3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73"/>
    </row>
    <row r="123" spans="1:26" ht="16.5" customHeight="1">
      <c r="A123" s="1"/>
      <c r="B123" s="1"/>
      <c r="C123" s="35"/>
      <c r="D123" s="35"/>
      <c r="E123" s="35"/>
      <c r="F123" s="36"/>
      <c r="G123" s="37"/>
      <c r="H123" s="37"/>
      <c r="I123" s="3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73"/>
    </row>
    <row r="124" spans="1:26" ht="16.5" customHeight="1">
      <c r="A124" s="1"/>
      <c r="B124" s="1"/>
      <c r="C124" s="35"/>
      <c r="D124" s="35"/>
      <c r="E124" s="35"/>
      <c r="F124" s="36"/>
      <c r="G124" s="37"/>
      <c r="H124" s="37"/>
      <c r="I124" s="3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73"/>
    </row>
    <row r="125" spans="1:26" ht="16.5" customHeight="1">
      <c r="A125" s="1"/>
      <c r="B125" s="1"/>
      <c r="C125" s="35"/>
      <c r="D125" s="35"/>
      <c r="E125" s="35"/>
      <c r="F125" s="36"/>
      <c r="G125" s="37"/>
      <c r="H125" s="37"/>
      <c r="I125" s="3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73"/>
    </row>
    <row r="126" spans="1:26" ht="16.5" customHeight="1">
      <c r="A126" s="1"/>
      <c r="B126" s="1"/>
      <c r="C126" s="35"/>
      <c r="D126" s="35"/>
      <c r="E126" s="35"/>
      <c r="F126" s="36"/>
      <c r="G126" s="37"/>
      <c r="H126" s="37"/>
      <c r="I126" s="3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73"/>
    </row>
    <row r="127" spans="1:26" ht="16.5" customHeight="1">
      <c r="A127" s="1"/>
      <c r="B127" s="1"/>
      <c r="C127" s="35"/>
      <c r="D127" s="35"/>
      <c r="E127" s="35"/>
      <c r="F127" s="36"/>
      <c r="G127" s="37"/>
      <c r="H127" s="37"/>
      <c r="I127" s="3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73"/>
    </row>
    <row r="128" spans="1:26" ht="15.75" customHeight="1">
      <c r="A128" s="1"/>
      <c r="B128" s="1"/>
      <c r="C128" s="35"/>
      <c r="D128" s="35"/>
      <c r="E128" s="35"/>
      <c r="F128" s="36"/>
      <c r="G128" s="37"/>
      <c r="H128" s="37"/>
      <c r="I128" s="3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73"/>
    </row>
    <row r="129" spans="1:26" ht="15.75" customHeight="1">
      <c r="A129" s="1"/>
      <c r="B129" s="1"/>
      <c r="C129" s="35"/>
      <c r="D129" s="35"/>
      <c r="E129" s="35"/>
      <c r="F129" s="36"/>
      <c r="G129" s="37"/>
      <c r="H129" s="37"/>
      <c r="I129" s="3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73"/>
    </row>
    <row r="130" spans="1:26" ht="15.75" customHeight="1">
      <c r="A130" s="1"/>
      <c r="B130" s="1"/>
      <c r="C130" s="35"/>
      <c r="D130" s="35"/>
      <c r="E130" s="35"/>
      <c r="F130" s="36"/>
      <c r="G130" s="37"/>
      <c r="H130" s="37"/>
      <c r="I130" s="3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73"/>
    </row>
    <row r="131" spans="1:26" ht="15.75" customHeight="1">
      <c r="A131" s="1"/>
      <c r="B131" s="1"/>
      <c r="C131" s="35"/>
      <c r="D131" s="35"/>
      <c r="E131" s="35"/>
      <c r="F131" s="36"/>
      <c r="G131" s="37"/>
      <c r="H131" s="37"/>
      <c r="I131" s="3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73"/>
    </row>
    <row r="132" spans="1:26" ht="15.75" customHeight="1">
      <c r="A132" s="1"/>
      <c r="B132" s="1"/>
      <c r="C132" s="35"/>
      <c r="D132" s="35"/>
      <c r="E132" s="35"/>
      <c r="F132" s="36"/>
      <c r="G132" s="37"/>
      <c r="H132" s="37"/>
      <c r="I132" s="3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73"/>
    </row>
    <row r="133" spans="1:26" ht="15.75" customHeight="1">
      <c r="A133" s="1"/>
      <c r="B133" s="1"/>
      <c r="C133" s="39"/>
      <c r="D133" s="39"/>
      <c r="E133" s="39"/>
      <c r="F133" s="37"/>
      <c r="G133" s="37"/>
      <c r="H133" s="37"/>
      <c r="I133" s="3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73"/>
    </row>
    <row r="134" spans="1:26" ht="15.75" customHeight="1">
      <c r="A134" s="1"/>
      <c r="B134" s="1"/>
      <c r="C134" s="39"/>
      <c r="D134" s="39"/>
      <c r="E134" s="39"/>
      <c r="F134" s="37"/>
      <c r="G134" s="37"/>
      <c r="H134" s="37"/>
      <c r="I134" s="3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73"/>
    </row>
    <row r="135" spans="1:26" ht="15.75" customHeight="1">
      <c r="A135" s="1"/>
      <c r="B135" s="1"/>
      <c r="C135" s="39"/>
      <c r="D135" s="39"/>
      <c r="E135" s="39"/>
      <c r="F135" s="37"/>
      <c r="G135" s="37"/>
      <c r="H135" s="37"/>
      <c r="I135" s="3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73"/>
    </row>
    <row r="136" spans="1:26" ht="15.75" customHeight="1">
      <c r="A136" s="1"/>
      <c r="B136" s="1"/>
      <c r="C136" s="39"/>
      <c r="D136" s="39"/>
      <c r="E136" s="39"/>
      <c r="F136" s="37"/>
      <c r="G136" s="37"/>
      <c r="H136" s="37"/>
      <c r="I136" s="3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73"/>
    </row>
    <row r="137" spans="1:26" ht="15.75" customHeight="1">
      <c r="A137" s="1"/>
      <c r="B137" s="1"/>
      <c r="C137" s="39"/>
      <c r="D137" s="39"/>
      <c r="E137" s="39"/>
      <c r="F137" s="37"/>
      <c r="G137" s="37"/>
      <c r="H137" s="37"/>
      <c r="I137" s="3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73"/>
    </row>
    <row r="138" spans="1:26" ht="15.75" customHeight="1">
      <c r="A138" s="1"/>
      <c r="B138" s="1"/>
      <c r="C138" s="39"/>
      <c r="D138" s="39"/>
      <c r="E138" s="39"/>
      <c r="F138" s="37"/>
      <c r="G138" s="37"/>
      <c r="H138" s="37"/>
      <c r="I138" s="3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73"/>
    </row>
    <row r="139" spans="1:26" ht="15.75" customHeight="1">
      <c r="A139" s="1"/>
      <c r="B139" s="1"/>
      <c r="C139" s="39"/>
      <c r="D139" s="39"/>
      <c r="E139" s="39"/>
      <c r="F139" s="37"/>
      <c r="G139" s="37"/>
      <c r="H139" s="37"/>
      <c r="I139" s="3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73"/>
    </row>
    <row r="140" spans="1:26" ht="15.75" customHeight="1">
      <c r="A140" s="1"/>
      <c r="B140" s="1"/>
      <c r="C140" s="39"/>
      <c r="D140" s="39"/>
      <c r="E140" s="39"/>
      <c r="F140" s="37"/>
      <c r="G140" s="37"/>
      <c r="H140" s="37"/>
      <c r="I140" s="3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73"/>
    </row>
    <row r="141" spans="1:26" ht="15.75" customHeight="1">
      <c r="A141" s="1"/>
      <c r="B141" s="1"/>
      <c r="C141" s="39"/>
      <c r="D141" s="39"/>
      <c r="E141" s="39"/>
      <c r="F141" s="37"/>
      <c r="G141" s="37"/>
      <c r="H141" s="37"/>
      <c r="I141" s="3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73"/>
    </row>
    <row r="142" spans="1:26" ht="15.75" customHeight="1">
      <c r="A142" s="1"/>
      <c r="B142" s="1"/>
      <c r="C142" s="39"/>
      <c r="D142" s="39"/>
      <c r="E142" s="39"/>
      <c r="F142" s="37"/>
      <c r="G142" s="37"/>
      <c r="H142" s="37"/>
      <c r="I142" s="3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73"/>
    </row>
    <row r="143" spans="1:26" ht="15.75" customHeight="1">
      <c r="A143" s="1"/>
      <c r="B143" s="1"/>
      <c r="C143" s="39"/>
      <c r="D143" s="39"/>
      <c r="E143" s="39"/>
      <c r="F143" s="37"/>
      <c r="G143" s="37"/>
      <c r="H143" s="37"/>
      <c r="I143" s="3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73"/>
    </row>
    <row r="144" spans="1:26" ht="15.75" customHeight="1">
      <c r="A144" s="1"/>
      <c r="B144" s="1"/>
      <c r="C144" s="39"/>
      <c r="D144" s="39"/>
      <c r="E144" s="39"/>
      <c r="F144" s="37"/>
      <c r="G144" s="37"/>
      <c r="H144" s="37"/>
      <c r="I144" s="3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73"/>
    </row>
    <row r="145" spans="1:26" ht="15.75" customHeight="1">
      <c r="A145" s="1"/>
      <c r="B145" s="1"/>
      <c r="C145" s="39"/>
      <c r="D145" s="39"/>
      <c r="E145" s="39"/>
      <c r="F145" s="37"/>
      <c r="G145" s="37"/>
      <c r="H145" s="37"/>
      <c r="I145" s="3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73"/>
    </row>
    <row r="146" spans="1:26" ht="15.75" customHeight="1">
      <c r="A146" s="1"/>
      <c r="B146" s="1"/>
      <c r="C146" s="39"/>
      <c r="D146" s="39"/>
      <c r="E146" s="39"/>
      <c r="F146" s="37"/>
      <c r="G146" s="37"/>
      <c r="H146" s="37"/>
      <c r="I146" s="3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73"/>
    </row>
    <row r="147" spans="1:26" ht="15.75" customHeight="1">
      <c r="A147" s="1"/>
      <c r="B147" s="1"/>
      <c r="C147" s="39"/>
      <c r="D147" s="39"/>
      <c r="E147" s="39"/>
      <c r="F147" s="37"/>
      <c r="G147" s="37"/>
      <c r="H147" s="37"/>
      <c r="I147" s="3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73"/>
    </row>
    <row r="148" spans="1:26" ht="15.75" customHeight="1">
      <c r="A148" s="1"/>
      <c r="B148" s="1"/>
      <c r="C148" s="39"/>
      <c r="D148" s="39"/>
      <c r="E148" s="39"/>
      <c r="F148" s="37"/>
      <c r="G148" s="37"/>
      <c r="H148" s="37"/>
      <c r="I148" s="3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73"/>
    </row>
    <row r="149" spans="1:26" ht="15.75" customHeight="1">
      <c r="A149" s="1"/>
      <c r="B149" s="1"/>
      <c r="C149" s="39"/>
      <c r="D149" s="39"/>
      <c r="E149" s="39"/>
      <c r="F149" s="37"/>
      <c r="G149" s="37"/>
      <c r="H149" s="37"/>
      <c r="I149" s="3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73"/>
    </row>
    <row r="150" spans="1:26" ht="15.75" customHeight="1">
      <c r="A150" s="1"/>
      <c r="B150" s="1"/>
      <c r="C150" s="39"/>
      <c r="D150" s="39"/>
      <c r="E150" s="39"/>
      <c r="F150" s="37"/>
      <c r="G150" s="37"/>
      <c r="H150" s="37"/>
      <c r="I150" s="3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73"/>
    </row>
    <row r="151" spans="1:26" ht="15.75" customHeight="1">
      <c r="A151" s="1"/>
      <c r="B151" s="1"/>
      <c r="C151" s="39"/>
      <c r="D151" s="39"/>
      <c r="E151" s="39"/>
      <c r="F151" s="37"/>
      <c r="G151" s="37"/>
      <c r="H151" s="37"/>
      <c r="I151" s="3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73"/>
    </row>
    <row r="152" spans="1:26" ht="15.75" customHeight="1">
      <c r="A152" s="1"/>
      <c r="B152" s="1"/>
      <c r="C152" s="39"/>
      <c r="D152" s="39"/>
      <c r="E152" s="39"/>
      <c r="F152" s="37"/>
      <c r="G152" s="37"/>
      <c r="H152" s="37"/>
      <c r="I152" s="3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73"/>
    </row>
    <row r="153" spans="1:26" ht="15.75" customHeight="1">
      <c r="A153" s="1"/>
      <c r="B153" s="1"/>
      <c r="C153" s="39"/>
      <c r="D153" s="39"/>
      <c r="E153" s="39"/>
      <c r="F153" s="37"/>
      <c r="G153" s="37"/>
      <c r="H153" s="37"/>
      <c r="I153" s="3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73"/>
    </row>
    <row r="154" spans="1:26" ht="15.75" customHeight="1">
      <c r="A154" s="1"/>
      <c r="B154" s="1"/>
      <c r="C154" s="39"/>
      <c r="D154" s="39"/>
      <c r="E154" s="39"/>
      <c r="F154" s="37"/>
      <c r="G154" s="37"/>
      <c r="H154" s="37"/>
      <c r="I154" s="3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73"/>
    </row>
    <row r="155" spans="1:26" ht="15.75" customHeight="1">
      <c r="A155" s="1"/>
      <c r="B155" s="1"/>
      <c r="C155" s="39"/>
      <c r="D155" s="39"/>
      <c r="E155" s="39"/>
      <c r="F155" s="37"/>
      <c r="G155" s="37"/>
      <c r="H155" s="37"/>
      <c r="I155" s="3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73"/>
    </row>
    <row r="156" spans="1:26" ht="15.75" customHeight="1">
      <c r="A156" s="1"/>
      <c r="B156" s="1"/>
      <c r="C156" s="39"/>
      <c r="D156" s="39"/>
      <c r="E156" s="39"/>
      <c r="F156" s="37"/>
      <c r="G156" s="37"/>
      <c r="H156" s="37"/>
      <c r="I156" s="3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73"/>
    </row>
    <row r="157" spans="1:26" ht="15.75" customHeight="1">
      <c r="A157" s="1"/>
      <c r="B157" s="1"/>
      <c r="C157" s="39"/>
      <c r="D157" s="39"/>
      <c r="E157" s="39"/>
      <c r="F157" s="37"/>
      <c r="G157" s="37"/>
      <c r="H157" s="37"/>
      <c r="I157" s="3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73"/>
    </row>
    <row r="158" spans="1:26" ht="15.75" customHeight="1">
      <c r="A158" s="1"/>
      <c r="B158" s="1"/>
      <c r="C158" s="39"/>
      <c r="D158" s="39"/>
      <c r="E158" s="39"/>
      <c r="F158" s="37"/>
      <c r="G158" s="37"/>
      <c r="H158" s="37"/>
      <c r="I158" s="3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73"/>
    </row>
    <row r="159" spans="1:26" ht="15.75" customHeight="1">
      <c r="A159" s="1"/>
      <c r="B159" s="1"/>
      <c r="C159" s="39"/>
      <c r="D159" s="39"/>
      <c r="E159" s="39"/>
      <c r="F159" s="37"/>
      <c r="G159" s="37"/>
      <c r="H159" s="37"/>
      <c r="I159" s="3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73"/>
    </row>
    <row r="160" spans="1:26" ht="15.75" customHeight="1">
      <c r="A160" s="1"/>
      <c r="B160" s="1"/>
      <c r="C160" s="39"/>
      <c r="D160" s="39"/>
      <c r="E160" s="39"/>
      <c r="F160" s="37"/>
      <c r="G160" s="37"/>
      <c r="H160" s="37"/>
      <c r="I160" s="3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73"/>
    </row>
    <row r="161" spans="1:26" ht="15.75" customHeight="1">
      <c r="A161" s="1"/>
      <c r="B161" s="1"/>
      <c r="C161" s="39"/>
      <c r="D161" s="39"/>
      <c r="E161" s="39"/>
      <c r="F161" s="37"/>
      <c r="G161" s="37"/>
      <c r="H161" s="37"/>
      <c r="I161" s="3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73"/>
    </row>
    <row r="162" spans="1:26" ht="15.75" customHeight="1">
      <c r="A162" s="1"/>
      <c r="B162" s="1"/>
      <c r="C162" s="39"/>
      <c r="D162" s="39"/>
      <c r="E162" s="39"/>
      <c r="F162" s="37"/>
      <c r="G162" s="37"/>
      <c r="H162" s="37"/>
      <c r="I162" s="3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73"/>
    </row>
    <row r="163" spans="1:26" ht="15.75" customHeight="1">
      <c r="A163" s="1"/>
      <c r="B163" s="1"/>
      <c r="C163" s="39"/>
      <c r="D163" s="39"/>
      <c r="E163" s="39"/>
      <c r="F163" s="37"/>
      <c r="G163" s="37"/>
      <c r="H163" s="37"/>
      <c r="I163" s="3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73"/>
    </row>
    <row r="164" spans="1:26" ht="15.75" customHeight="1">
      <c r="A164" s="1"/>
      <c r="B164" s="1"/>
      <c r="C164" s="39"/>
      <c r="D164" s="39"/>
      <c r="E164" s="39"/>
      <c r="F164" s="37"/>
      <c r="G164" s="37"/>
      <c r="H164" s="37"/>
      <c r="I164" s="3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73"/>
    </row>
    <row r="165" spans="1:26" ht="15.75" customHeight="1">
      <c r="A165" s="1"/>
      <c r="B165" s="1"/>
      <c r="C165" s="39"/>
      <c r="D165" s="39"/>
      <c r="E165" s="39"/>
      <c r="F165" s="37"/>
      <c r="G165" s="37"/>
      <c r="H165" s="37"/>
      <c r="I165" s="3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73"/>
    </row>
    <row r="166" spans="1:26" ht="15.75" customHeight="1">
      <c r="A166" s="1"/>
      <c r="B166" s="1"/>
      <c r="C166" s="39"/>
      <c r="D166" s="39"/>
      <c r="E166" s="39"/>
      <c r="F166" s="37"/>
      <c r="G166" s="37"/>
      <c r="H166" s="37"/>
      <c r="I166" s="3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73"/>
    </row>
    <row r="167" spans="1:26" ht="15.75" customHeight="1">
      <c r="A167" s="1"/>
      <c r="B167" s="1"/>
      <c r="C167" s="39"/>
      <c r="D167" s="39"/>
      <c r="E167" s="39"/>
      <c r="F167" s="37"/>
      <c r="G167" s="37"/>
      <c r="H167" s="37"/>
      <c r="I167" s="3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73"/>
    </row>
    <row r="168" spans="1:26" ht="15.75" customHeight="1">
      <c r="A168" s="1"/>
      <c r="B168" s="1"/>
      <c r="C168" s="39"/>
      <c r="D168" s="39"/>
      <c r="E168" s="39"/>
      <c r="F168" s="37"/>
      <c r="G168" s="37"/>
      <c r="H168" s="37"/>
      <c r="I168" s="3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73"/>
    </row>
    <row r="169" spans="1:26" ht="15.75" customHeight="1">
      <c r="A169" s="1"/>
      <c r="B169" s="1"/>
      <c r="C169" s="39"/>
      <c r="D169" s="39"/>
      <c r="E169" s="39"/>
      <c r="F169" s="37"/>
      <c r="G169" s="37"/>
      <c r="H169" s="37"/>
      <c r="I169" s="3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73"/>
    </row>
    <row r="170" spans="1:26" ht="15.75" customHeight="1">
      <c r="A170" s="1"/>
      <c r="B170" s="1"/>
      <c r="C170" s="39"/>
      <c r="D170" s="39"/>
      <c r="E170" s="39"/>
      <c r="F170" s="37"/>
      <c r="G170" s="37"/>
      <c r="H170" s="37"/>
      <c r="I170" s="3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73"/>
    </row>
    <row r="171" spans="1:26" ht="15.75" customHeight="1">
      <c r="A171" s="1"/>
      <c r="B171" s="1"/>
      <c r="C171" s="39"/>
      <c r="D171" s="39"/>
      <c r="E171" s="39"/>
      <c r="F171" s="37"/>
      <c r="G171" s="37"/>
      <c r="H171" s="37"/>
      <c r="I171" s="3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73"/>
    </row>
    <row r="172" spans="1:26" ht="15.75" customHeight="1">
      <c r="A172" s="1"/>
      <c r="B172" s="1"/>
      <c r="C172" s="39"/>
      <c r="D172" s="39"/>
      <c r="E172" s="39"/>
      <c r="F172" s="37"/>
      <c r="G172" s="37"/>
      <c r="H172" s="37"/>
      <c r="I172" s="3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73"/>
    </row>
    <row r="173" spans="1:26" ht="15.75" customHeight="1">
      <c r="A173" s="1"/>
      <c r="B173" s="1"/>
      <c r="C173" s="39"/>
      <c r="D173" s="39"/>
      <c r="E173" s="39"/>
      <c r="F173" s="37"/>
      <c r="G173" s="37"/>
      <c r="H173" s="37"/>
      <c r="I173" s="3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73"/>
    </row>
    <row r="174" spans="1:26" ht="15.75" customHeight="1">
      <c r="A174" s="1"/>
      <c r="B174" s="1"/>
      <c r="C174" s="39"/>
      <c r="D174" s="39"/>
      <c r="E174" s="39"/>
      <c r="F174" s="37"/>
      <c r="G174" s="37"/>
      <c r="H174" s="37"/>
      <c r="I174" s="3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73"/>
    </row>
    <row r="175" spans="1:26" ht="15.75" customHeight="1">
      <c r="A175" s="1"/>
      <c r="B175" s="1"/>
      <c r="C175" s="39"/>
      <c r="D175" s="39"/>
      <c r="E175" s="39"/>
      <c r="F175" s="37"/>
      <c r="G175" s="37"/>
      <c r="H175" s="37"/>
      <c r="I175" s="3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73"/>
    </row>
    <row r="176" spans="1:26" ht="15.75" customHeight="1">
      <c r="A176" s="1"/>
      <c r="B176" s="1"/>
      <c r="C176" s="39"/>
      <c r="D176" s="39"/>
      <c r="E176" s="39"/>
      <c r="F176" s="37"/>
      <c r="G176" s="37"/>
      <c r="H176" s="37"/>
      <c r="I176" s="3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73"/>
    </row>
    <row r="177" spans="1:26" ht="15.75" customHeight="1">
      <c r="A177" s="1"/>
      <c r="B177" s="1"/>
      <c r="C177" s="39"/>
      <c r="D177" s="39"/>
      <c r="E177" s="39"/>
      <c r="F177" s="37"/>
      <c r="G177" s="37"/>
      <c r="H177" s="37"/>
      <c r="I177" s="3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73"/>
    </row>
    <row r="178" spans="1:26" ht="15.75" customHeight="1">
      <c r="A178" s="1"/>
      <c r="B178" s="1"/>
      <c r="C178" s="39"/>
      <c r="D178" s="39"/>
      <c r="E178" s="39"/>
      <c r="F178" s="37"/>
      <c r="G178" s="37"/>
      <c r="H178" s="37"/>
      <c r="I178" s="3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73"/>
    </row>
    <row r="179" spans="1:26" ht="15.75" customHeight="1">
      <c r="A179" s="1"/>
      <c r="B179" s="1"/>
      <c r="C179" s="39"/>
      <c r="D179" s="39"/>
      <c r="E179" s="39"/>
      <c r="F179" s="37"/>
      <c r="G179" s="37"/>
      <c r="H179" s="37"/>
      <c r="I179" s="3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73"/>
    </row>
    <row r="180" spans="1:26" ht="15.75" customHeight="1">
      <c r="A180" s="1"/>
      <c r="B180" s="1"/>
      <c r="C180" s="39"/>
      <c r="D180" s="39"/>
      <c r="E180" s="39"/>
      <c r="F180" s="37"/>
      <c r="G180" s="37"/>
      <c r="H180" s="37"/>
      <c r="I180" s="3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73"/>
    </row>
    <row r="181" spans="1:26" ht="15.75" customHeight="1">
      <c r="A181" s="1"/>
      <c r="B181" s="1"/>
      <c r="C181" s="39"/>
      <c r="D181" s="39"/>
      <c r="E181" s="39"/>
      <c r="F181" s="37"/>
      <c r="G181" s="37"/>
      <c r="H181" s="37"/>
      <c r="I181" s="3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73"/>
    </row>
    <row r="182" spans="1:26" ht="15.75" customHeight="1">
      <c r="A182" s="1"/>
      <c r="B182" s="1"/>
      <c r="C182" s="39"/>
      <c r="D182" s="39"/>
      <c r="E182" s="39"/>
      <c r="F182" s="37"/>
      <c r="G182" s="37"/>
      <c r="H182" s="37"/>
      <c r="I182" s="3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73"/>
    </row>
    <row r="183" spans="1:26" ht="15.75" customHeight="1">
      <c r="A183" s="1"/>
      <c r="B183" s="1"/>
      <c r="C183" s="39"/>
      <c r="D183" s="39"/>
      <c r="E183" s="39"/>
      <c r="F183" s="37"/>
      <c r="G183" s="37"/>
      <c r="H183" s="37"/>
      <c r="I183" s="3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73"/>
    </row>
    <row r="184" spans="1:26" ht="15.75" customHeight="1">
      <c r="A184" s="1"/>
      <c r="B184" s="1"/>
      <c r="C184" s="39"/>
      <c r="D184" s="39"/>
      <c r="E184" s="39"/>
      <c r="F184" s="37"/>
      <c r="G184" s="37"/>
      <c r="H184" s="37"/>
      <c r="I184" s="3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73"/>
    </row>
    <row r="185" spans="1:26" ht="15.75" customHeight="1">
      <c r="A185" s="1"/>
      <c r="B185" s="1"/>
      <c r="C185" s="39"/>
      <c r="D185" s="39"/>
      <c r="E185" s="39"/>
      <c r="F185" s="37"/>
      <c r="G185" s="37"/>
      <c r="H185" s="37"/>
      <c r="I185" s="3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73"/>
    </row>
    <row r="186" spans="1:26" ht="15.75" customHeight="1">
      <c r="A186" s="1"/>
      <c r="B186" s="1"/>
      <c r="C186" s="39"/>
      <c r="D186" s="39"/>
      <c r="E186" s="39"/>
      <c r="F186" s="37"/>
      <c r="G186" s="37"/>
      <c r="H186" s="37"/>
      <c r="I186" s="3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73"/>
    </row>
    <row r="187" spans="1:26" ht="15.75" customHeight="1">
      <c r="A187" s="1"/>
      <c r="B187" s="1"/>
      <c r="C187" s="39"/>
      <c r="D187" s="39"/>
      <c r="E187" s="39"/>
      <c r="F187" s="37"/>
      <c r="G187" s="37"/>
      <c r="H187" s="37"/>
      <c r="I187" s="3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73"/>
    </row>
    <row r="188" spans="1:26" ht="15.75" customHeight="1">
      <c r="A188" s="1"/>
      <c r="B188" s="1"/>
      <c r="C188" s="39"/>
      <c r="D188" s="39"/>
      <c r="E188" s="39"/>
      <c r="F188" s="37"/>
      <c r="G188" s="37"/>
      <c r="H188" s="37"/>
      <c r="I188" s="3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73"/>
    </row>
    <row r="189" spans="1:26" ht="15.75" customHeight="1">
      <c r="A189" s="1"/>
      <c r="B189" s="1"/>
      <c r="C189" s="39"/>
      <c r="D189" s="39"/>
      <c r="E189" s="39"/>
      <c r="F189" s="37"/>
      <c r="G189" s="37"/>
      <c r="H189" s="37"/>
      <c r="I189" s="3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73"/>
    </row>
    <row r="190" spans="1:26" ht="15.75" customHeight="1">
      <c r="A190" s="1"/>
      <c r="B190" s="1"/>
      <c r="C190" s="39"/>
      <c r="D190" s="39"/>
      <c r="E190" s="39"/>
      <c r="F190" s="37"/>
      <c r="G190" s="37"/>
      <c r="H190" s="37"/>
      <c r="I190" s="3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73"/>
    </row>
    <row r="191" spans="1:26" ht="15.75" customHeight="1">
      <c r="A191" s="1"/>
      <c r="B191" s="1"/>
      <c r="C191" s="39"/>
      <c r="D191" s="39"/>
      <c r="E191" s="39"/>
      <c r="F191" s="37"/>
      <c r="G191" s="37"/>
      <c r="H191" s="37"/>
      <c r="I191" s="3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73"/>
    </row>
    <row r="192" spans="1:26" ht="15.75" customHeight="1">
      <c r="A192" s="1"/>
      <c r="B192" s="1"/>
      <c r="C192" s="39"/>
      <c r="D192" s="39"/>
      <c r="E192" s="39"/>
      <c r="F192" s="37"/>
      <c r="G192" s="37"/>
      <c r="H192" s="37"/>
      <c r="I192" s="3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73"/>
    </row>
    <row r="193" spans="1:26" ht="15.75" customHeight="1">
      <c r="A193" s="1"/>
      <c r="B193" s="1"/>
      <c r="C193" s="39"/>
      <c r="D193" s="39"/>
      <c r="E193" s="39"/>
      <c r="F193" s="37"/>
      <c r="G193" s="37"/>
      <c r="H193" s="37"/>
      <c r="I193" s="3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73"/>
    </row>
    <row r="194" spans="1:26" ht="15.75" customHeight="1">
      <c r="A194" s="1"/>
      <c r="B194" s="1"/>
      <c r="C194" s="39"/>
      <c r="D194" s="39"/>
      <c r="E194" s="39"/>
      <c r="F194" s="37"/>
      <c r="G194" s="37"/>
      <c r="H194" s="37"/>
      <c r="I194" s="3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73"/>
    </row>
    <row r="195" spans="1:26" ht="15.75" customHeight="1">
      <c r="A195" s="1"/>
      <c r="B195" s="1"/>
      <c r="C195" s="39"/>
      <c r="D195" s="39"/>
      <c r="E195" s="39"/>
      <c r="F195" s="37"/>
      <c r="G195" s="37"/>
      <c r="H195" s="37"/>
      <c r="I195" s="3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73"/>
    </row>
    <row r="196" spans="1:26" ht="15.75" customHeight="1">
      <c r="A196" s="1"/>
      <c r="B196" s="1"/>
      <c r="C196" s="39"/>
      <c r="D196" s="39"/>
      <c r="E196" s="39"/>
      <c r="F196" s="37"/>
      <c r="G196" s="37"/>
      <c r="H196" s="37"/>
      <c r="I196" s="3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73"/>
    </row>
    <row r="197" spans="1:26" ht="15.75" customHeight="1">
      <c r="A197" s="1"/>
      <c r="B197" s="1"/>
      <c r="C197" s="39"/>
      <c r="D197" s="39"/>
      <c r="E197" s="39"/>
      <c r="F197" s="37"/>
      <c r="G197" s="37"/>
      <c r="H197" s="37"/>
      <c r="I197" s="3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73"/>
    </row>
    <row r="198" spans="1:26" ht="15.75" customHeight="1">
      <c r="A198" s="1"/>
      <c r="B198" s="1"/>
      <c r="C198" s="39"/>
      <c r="D198" s="39"/>
      <c r="E198" s="39"/>
      <c r="F198" s="37"/>
      <c r="G198" s="37"/>
      <c r="H198" s="37"/>
      <c r="I198" s="3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73"/>
    </row>
    <row r="199" spans="1:26" ht="15.75" customHeight="1">
      <c r="A199" s="1"/>
      <c r="B199" s="1"/>
      <c r="C199" s="39"/>
      <c r="D199" s="39"/>
      <c r="E199" s="39"/>
      <c r="F199" s="37"/>
      <c r="G199" s="37"/>
      <c r="H199" s="37"/>
      <c r="I199" s="3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73"/>
    </row>
    <row r="200" spans="1:26" ht="15.75" customHeight="1">
      <c r="A200" s="1"/>
      <c r="B200" s="1"/>
      <c r="C200" s="39"/>
      <c r="D200" s="39"/>
      <c r="E200" s="39"/>
      <c r="F200" s="37"/>
      <c r="G200" s="37"/>
      <c r="H200" s="37"/>
      <c r="I200" s="3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73"/>
    </row>
    <row r="201" spans="1:26" ht="15.75" customHeight="1">
      <c r="A201" s="1"/>
      <c r="B201" s="1"/>
      <c r="C201" s="39"/>
      <c r="D201" s="39"/>
      <c r="E201" s="39"/>
      <c r="F201" s="37"/>
      <c r="G201" s="37"/>
      <c r="H201" s="37"/>
      <c r="I201" s="3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73"/>
    </row>
    <row r="202" spans="1:26" ht="15.75" customHeight="1">
      <c r="A202" s="1"/>
      <c r="B202" s="1"/>
      <c r="C202" s="39"/>
      <c r="D202" s="39"/>
      <c r="E202" s="39"/>
      <c r="F202" s="37"/>
      <c r="G202" s="37"/>
      <c r="H202" s="37"/>
      <c r="I202" s="3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73"/>
    </row>
    <row r="203" spans="1:26" ht="15.75" customHeight="1">
      <c r="A203" s="1"/>
      <c r="B203" s="1"/>
      <c r="C203" s="39"/>
      <c r="D203" s="39"/>
      <c r="E203" s="39"/>
      <c r="F203" s="37"/>
      <c r="G203" s="37"/>
      <c r="H203" s="37"/>
      <c r="I203" s="3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73"/>
    </row>
    <row r="204" spans="1:26" ht="15.75" customHeight="1">
      <c r="A204" s="1"/>
      <c r="B204" s="1"/>
      <c r="C204" s="39"/>
      <c r="D204" s="39"/>
      <c r="E204" s="39"/>
      <c r="F204" s="37"/>
      <c r="G204" s="37"/>
      <c r="H204" s="37"/>
      <c r="I204" s="3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73"/>
    </row>
    <row r="205" spans="1:26" ht="15.75" customHeight="1">
      <c r="A205" s="1"/>
      <c r="B205" s="1"/>
      <c r="C205" s="39"/>
      <c r="D205" s="39"/>
      <c r="E205" s="39"/>
      <c r="F205" s="37"/>
      <c r="G205" s="37"/>
      <c r="H205" s="37"/>
      <c r="I205" s="3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73"/>
    </row>
    <row r="206" spans="1:26" ht="15.75" customHeight="1">
      <c r="A206" s="1"/>
      <c r="B206" s="1"/>
      <c r="C206" s="39"/>
      <c r="D206" s="39"/>
      <c r="E206" s="39"/>
      <c r="F206" s="37"/>
      <c r="G206" s="37"/>
      <c r="H206" s="37"/>
      <c r="I206" s="3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73"/>
    </row>
    <row r="207" spans="1:26" ht="15.75" customHeight="1">
      <c r="A207" s="1"/>
      <c r="B207" s="1"/>
      <c r="C207" s="39"/>
      <c r="D207" s="39"/>
      <c r="E207" s="39"/>
      <c r="F207" s="37"/>
      <c r="G207" s="37"/>
      <c r="H207" s="37"/>
      <c r="I207" s="3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73"/>
    </row>
    <row r="208" spans="1:26" ht="15.75" customHeight="1">
      <c r="A208" s="1"/>
      <c r="B208" s="1"/>
      <c r="C208" s="39"/>
      <c r="D208" s="39"/>
      <c r="E208" s="39"/>
      <c r="F208" s="37"/>
      <c r="G208" s="37"/>
      <c r="H208" s="37"/>
      <c r="I208" s="3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73"/>
    </row>
    <row r="209" spans="1:26" ht="15.75" customHeight="1">
      <c r="A209" s="1"/>
      <c r="B209" s="1"/>
      <c r="C209" s="39"/>
      <c r="D209" s="39"/>
      <c r="E209" s="39"/>
      <c r="F209" s="37"/>
      <c r="G209" s="37"/>
      <c r="H209" s="37"/>
      <c r="I209" s="3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73"/>
    </row>
    <row r="210" spans="1:26" ht="15.75" customHeight="1">
      <c r="A210" s="1"/>
      <c r="B210" s="1"/>
      <c r="C210" s="39"/>
      <c r="D210" s="39"/>
      <c r="E210" s="39"/>
      <c r="F210" s="37"/>
      <c r="G210" s="37"/>
      <c r="H210" s="37"/>
      <c r="I210" s="3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73"/>
    </row>
    <row r="211" spans="1:26" ht="15.75" customHeight="1">
      <c r="A211" s="1"/>
      <c r="B211" s="1"/>
      <c r="C211" s="39"/>
      <c r="D211" s="39"/>
      <c r="E211" s="39"/>
      <c r="F211" s="37"/>
      <c r="G211" s="37"/>
      <c r="H211" s="37"/>
      <c r="I211" s="3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73"/>
    </row>
    <row r="212" spans="1:26" ht="15.75" customHeight="1">
      <c r="A212" s="1"/>
      <c r="B212" s="1"/>
      <c r="C212" s="39"/>
      <c r="D212" s="39"/>
      <c r="E212" s="39"/>
      <c r="F212" s="37"/>
      <c r="G212" s="37"/>
      <c r="H212" s="37"/>
      <c r="I212" s="3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73"/>
    </row>
    <row r="213" spans="1:26" ht="15.75" customHeight="1">
      <c r="A213" s="1"/>
      <c r="B213" s="1"/>
      <c r="C213" s="39"/>
      <c r="D213" s="39"/>
      <c r="E213" s="39"/>
      <c r="F213" s="37"/>
      <c r="G213" s="37"/>
      <c r="H213" s="37"/>
      <c r="I213" s="3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73"/>
    </row>
    <row r="214" spans="1:26" ht="15.75" customHeight="1">
      <c r="A214" s="1"/>
      <c r="B214" s="1"/>
      <c r="C214" s="39"/>
      <c r="D214" s="39"/>
      <c r="E214" s="39"/>
      <c r="F214" s="37"/>
      <c r="G214" s="37"/>
      <c r="H214" s="37"/>
      <c r="I214" s="3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73"/>
    </row>
    <row r="215" spans="1:26" ht="15.75" customHeight="1">
      <c r="A215" s="1"/>
      <c r="B215" s="1"/>
      <c r="C215" s="39"/>
      <c r="D215" s="39"/>
      <c r="E215" s="39"/>
      <c r="F215" s="37"/>
      <c r="G215" s="37"/>
      <c r="H215" s="37"/>
      <c r="I215" s="3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73"/>
    </row>
    <row r="216" spans="1:26" ht="15.75" customHeight="1">
      <c r="A216" s="1"/>
      <c r="B216" s="1"/>
      <c r="C216" s="39"/>
      <c r="D216" s="39"/>
      <c r="E216" s="39"/>
      <c r="F216" s="37"/>
      <c r="G216" s="37"/>
      <c r="H216" s="37"/>
      <c r="I216" s="3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73"/>
    </row>
    <row r="217" spans="1:26" ht="15.75" customHeight="1">
      <c r="A217" s="1"/>
      <c r="B217" s="1"/>
      <c r="C217" s="39"/>
      <c r="D217" s="39"/>
      <c r="E217" s="39"/>
      <c r="F217" s="37"/>
      <c r="G217" s="37"/>
      <c r="H217" s="37"/>
      <c r="I217" s="3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73"/>
    </row>
    <row r="218" spans="1:26" ht="15.75" customHeight="1">
      <c r="A218" s="1"/>
      <c r="B218" s="1"/>
      <c r="C218" s="39"/>
      <c r="D218" s="39"/>
      <c r="E218" s="39"/>
      <c r="F218" s="37"/>
      <c r="G218" s="37"/>
      <c r="H218" s="37"/>
      <c r="I218" s="3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73"/>
    </row>
    <row r="219" spans="1:26" ht="15.75" customHeight="1">
      <c r="A219" s="1"/>
      <c r="B219" s="1"/>
      <c r="C219" s="39"/>
      <c r="D219" s="39"/>
      <c r="E219" s="39"/>
      <c r="F219" s="37"/>
      <c r="G219" s="37"/>
      <c r="H219" s="37"/>
      <c r="I219" s="3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73"/>
    </row>
    <row r="220" spans="1:26" ht="15.75" customHeight="1">
      <c r="A220" s="1"/>
      <c r="B220" s="1"/>
      <c r="C220" s="39"/>
      <c r="D220" s="39"/>
      <c r="E220" s="39"/>
      <c r="F220" s="37"/>
      <c r="G220" s="37"/>
      <c r="H220" s="37"/>
      <c r="I220" s="3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73"/>
    </row>
    <row r="221" spans="1:26" ht="15.75" customHeight="1">
      <c r="A221" s="1"/>
      <c r="B221" s="1"/>
      <c r="C221" s="39"/>
      <c r="D221" s="39"/>
      <c r="E221" s="39"/>
      <c r="F221" s="37"/>
      <c r="G221" s="37"/>
      <c r="H221" s="37"/>
      <c r="I221" s="3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73"/>
    </row>
    <row r="222" spans="1:26" ht="15.75" customHeight="1">
      <c r="A222" s="1"/>
      <c r="B222" s="1"/>
      <c r="C222" s="39"/>
      <c r="D222" s="39"/>
      <c r="E222" s="39"/>
      <c r="F222" s="37"/>
      <c r="G222" s="37"/>
      <c r="H222" s="37"/>
      <c r="I222" s="3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73"/>
    </row>
    <row r="223" spans="1:26" ht="15.75" customHeight="1">
      <c r="A223" s="1"/>
      <c r="B223" s="1"/>
      <c r="C223" s="39"/>
      <c r="D223" s="39"/>
      <c r="E223" s="39"/>
      <c r="F223" s="37"/>
      <c r="G223" s="37"/>
      <c r="H223" s="37"/>
      <c r="I223" s="3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73"/>
    </row>
    <row r="224" spans="1:26" ht="15.75" customHeight="1">
      <c r="A224" s="1"/>
      <c r="B224" s="1"/>
      <c r="C224" s="39"/>
      <c r="D224" s="39"/>
      <c r="E224" s="39"/>
      <c r="F224" s="37"/>
      <c r="G224" s="37"/>
      <c r="H224" s="37"/>
      <c r="I224" s="3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73"/>
    </row>
    <row r="225" spans="1:26" ht="15.75" customHeight="1">
      <c r="A225" s="1"/>
      <c r="B225" s="1"/>
      <c r="C225" s="40"/>
      <c r="D225" s="40"/>
      <c r="E225" s="4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73"/>
    </row>
    <row r="226" spans="1:26" ht="15.75" customHeight="1">
      <c r="A226" s="1"/>
      <c r="B226" s="1"/>
      <c r="C226" s="40"/>
      <c r="D226" s="40"/>
      <c r="E226" s="4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73"/>
    </row>
    <row r="227" spans="1:26" ht="15.75" customHeight="1">
      <c r="A227" s="1"/>
      <c r="B227" s="1"/>
      <c r="C227" s="40"/>
      <c r="D227" s="40"/>
      <c r="E227" s="4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73"/>
    </row>
    <row r="228" spans="1:26" ht="15.75" customHeight="1">
      <c r="A228" s="1"/>
      <c r="B228" s="1"/>
      <c r="C228" s="40"/>
      <c r="D228" s="40"/>
      <c r="E228" s="4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73"/>
    </row>
    <row r="229" spans="1:26" ht="15.75" customHeight="1">
      <c r="A229" s="1"/>
      <c r="B229" s="1"/>
      <c r="C229" s="40"/>
      <c r="D229" s="40"/>
      <c r="E229" s="4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73"/>
    </row>
    <row r="230" spans="1:26" ht="15.75" customHeight="1">
      <c r="A230" s="1"/>
      <c r="B230" s="1"/>
      <c r="C230" s="40"/>
      <c r="D230" s="40"/>
      <c r="E230" s="4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73"/>
    </row>
    <row r="231" spans="1:26" ht="15.75" customHeight="1">
      <c r="A231" s="1"/>
      <c r="B231" s="1"/>
      <c r="C231" s="40"/>
      <c r="D231" s="40"/>
      <c r="E231" s="4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73"/>
    </row>
    <row r="232" spans="1:26" ht="15.75" customHeight="1">
      <c r="A232" s="1"/>
      <c r="B232" s="1"/>
      <c r="C232" s="40"/>
      <c r="D232" s="40"/>
      <c r="E232" s="4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73"/>
    </row>
    <row r="233" spans="1:26" ht="15.75" customHeight="1">
      <c r="A233" s="1"/>
      <c r="B233" s="1"/>
      <c r="C233" s="40"/>
      <c r="D233" s="40"/>
      <c r="E233" s="4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73"/>
    </row>
    <row r="234" spans="1:26" ht="15.75" customHeight="1">
      <c r="A234" s="1"/>
      <c r="B234" s="1"/>
      <c r="C234" s="40"/>
      <c r="D234" s="40"/>
      <c r="E234" s="4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73"/>
    </row>
    <row r="235" spans="1:26" ht="15.75" customHeight="1">
      <c r="A235" s="1"/>
      <c r="B235" s="1"/>
      <c r="C235" s="40"/>
      <c r="D235" s="40"/>
      <c r="E235" s="4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73"/>
    </row>
    <row r="236" spans="1:26" ht="15.75" customHeight="1">
      <c r="A236" s="1"/>
      <c r="B236" s="1"/>
      <c r="C236" s="40"/>
      <c r="D236" s="40"/>
      <c r="E236" s="4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73"/>
    </row>
    <row r="237" spans="1:26" ht="15.75" customHeight="1">
      <c r="A237" s="1"/>
      <c r="B237" s="1"/>
      <c r="C237" s="40"/>
      <c r="D237" s="40"/>
      <c r="E237" s="4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73"/>
    </row>
    <row r="238" spans="1:26" ht="15.75" customHeight="1">
      <c r="A238" s="1"/>
      <c r="B238" s="1"/>
      <c r="C238" s="40"/>
      <c r="D238" s="40"/>
      <c r="E238" s="4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73"/>
    </row>
    <row r="239" spans="1:26" ht="15.75" customHeight="1">
      <c r="A239" s="1"/>
      <c r="B239" s="1"/>
      <c r="C239" s="40"/>
      <c r="D239" s="40"/>
      <c r="E239" s="4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73"/>
    </row>
    <row r="240" spans="1:26" ht="15.75" customHeight="1">
      <c r="A240" s="1"/>
      <c r="B240" s="1"/>
      <c r="C240" s="40"/>
      <c r="D240" s="40"/>
      <c r="E240" s="4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73"/>
    </row>
    <row r="241" spans="1:26" ht="15.75" customHeight="1">
      <c r="A241" s="1"/>
      <c r="B241" s="1"/>
      <c r="C241" s="40"/>
      <c r="D241" s="40"/>
      <c r="E241" s="4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73"/>
    </row>
    <row r="242" spans="1:26" ht="15.75" customHeight="1">
      <c r="A242" s="1"/>
      <c r="B242" s="1"/>
      <c r="C242" s="40"/>
      <c r="D242" s="40"/>
      <c r="E242" s="4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73"/>
    </row>
    <row r="243" spans="1:26" ht="15.75" customHeight="1">
      <c r="A243" s="1"/>
      <c r="B243" s="1"/>
      <c r="C243" s="40"/>
      <c r="D243" s="40"/>
      <c r="E243" s="4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73"/>
    </row>
    <row r="244" spans="1:26" ht="15.75" customHeight="1">
      <c r="A244" s="1"/>
      <c r="B244" s="1"/>
      <c r="C244" s="40"/>
      <c r="D244" s="40"/>
      <c r="E244" s="4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73"/>
    </row>
    <row r="245" spans="1:26" ht="15.75" customHeight="1">
      <c r="A245" s="1"/>
      <c r="B245" s="1"/>
      <c r="C245" s="40"/>
      <c r="D245" s="40"/>
      <c r="E245" s="4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73"/>
    </row>
    <row r="246" spans="1:26" ht="15.75" customHeight="1">
      <c r="A246" s="1"/>
      <c r="B246" s="1"/>
      <c r="C246" s="40"/>
      <c r="D246" s="40"/>
      <c r="E246" s="4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73"/>
    </row>
    <row r="247" spans="1:26" ht="15.75" customHeight="1">
      <c r="A247" s="1"/>
      <c r="B247" s="1"/>
      <c r="C247" s="40"/>
      <c r="D247" s="40"/>
      <c r="E247" s="4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73"/>
    </row>
    <row r="248" spans="1:26" ht="15.75" customHeight="1">
      <c r="A248" s="1"/>
      <c r="B248" s="1"/>
      <c r="C248" s="40"/>
      <c r="D248" s="40"/>
      <c r="E248" s="4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73"/>
    </row>
    <row r="249" spans="1:26" ht="15.75" customHeight="1">
      <c r="A249" s="1"/>
      <c r="B249" s="1"/>
      <c r="C249" s="40"/>
      <c r="D249" s="40"/>
      <c r="E249" s="4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73"/>
    </row>
    <row r="250" spans="1:26" ht="15.75" customHeight="1">
      <c r="A250" s="1"/>
      <c r="B250" s="1"/>
      <c r="C250" s="40"/>
      <c r="D250" s="40"/>
      <c r="E250" s="4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73"/>
    </row>
    <row r="251" spans="1:26" ht="15.75" customHeight="1">
      <c r="A251" s="1"/>
      <c r="B251" s="1"/>
      <c r="C251" s="40"/>
      <c r="D251" s="40"/>
      <c r="E251" s="4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73"/>
    </row>
    <row r="252" spans="1:26" ht="15.75" customHeight="1">
      <c r="A252" s="1"/>
      <c r="B252" s="1"/>
      <c r="C252" s="40"/>
      <c r="D252" s="40"/>
      <c r="E252" s="4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73"/>
    </row>
    <row r="253" spans="1:26" ht="15.75" customHeight="1">
      <c r="A253" s="1"/>
      <c r="B253" s="1"/>
      <c r="C253" s="40"/>
      <c r="D253" s="40"/>
      <c r="E253" s="4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73"/>
    </row>
    <row r="254" spans="1:26" ht="15.75" customHeight="1">
      <c r="A254" s="1"/>
      <c r="B254" s="1"/>
      <c r="C254" s="40"/>
      <c r="D254" s="40"/>
      <c r="E254" s="4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73"/>
    </row>
    <row r="255" spans="1:26" ht="15.75" customHeight="1">
      <c r="A255" s="1"/>
      <c r="B255" s="1"/>
      <c r="C255" s="40"/>
      <c r="D255" s="40"/>
      <c r="E255" s="4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73"/>
    </row>
    <row r="256" spans="1:26" ht="15.75" customHeight="1">
      <c r="A256" s="1"/>
      <c r="B256" s="1"/>
      <c r="C256" s="40"/>
      <c r="D256" s="40"/>
      <c r="E256" s="4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73"/>
    </row>
    <row r="257" spans="1:9" ht="15.75" customHeight="1">
      <c r="A257" s="73"/>
      <c r="B257" s="73"/>
      <c r="C257" s="73"/>
      <c r="D257" s="73"/>
      <c r="E257" s="73"/>
      <c r="F257" s="73"/>
      <c r="G257" s="73"/>
      <c r="I257" s="73"/>
    </row>
    <row r="258" spans="1:9" ht="15.75" customHeight="1">
      <c r="A258" s="73"/>
      <c r="B258" s="73"/>
      <c r="C258" s="73"/>
      <c r="D258" s="73"/>
      <c r="E258" s="73"/>
      <c r="F258" s="73"/>
      <c r="G258" s="73"/>
      <c r="I258" s="73"/>
    </row>
    <row r="259" spans="1:9" ht="15.75" customHeight="1">
      <c r="A259" s="73"/>
      <c r="B259" s="73"/>
      <c r="C259" s="73"/>
      <c r="D259" s="73"/>
      <c r="E259" s="73"/>
      <c r="F259" s="73"/>
      <c r="G259" s="73"/>
      <c r="I259" s="73"/>
    </row>
    <row r="260" spans="1:9" ht="15.75" customHeight="1">
      <c r="A260" s="73"/>
      <c r="B260" s="73"/>
      <c r="C260" s="73"/>
      <c r="D260" s="73"/>
      <c r="E260" s="73"/>
      <c r="F260" s="73"/>
      <c r="G260" s="73"/>
      <c r="I260" s="73"/>
    </row>
    <row r="261" spans="1:9" ht="15.75" customHeight="1">
      <c r="A261" s="73"/>
      <c r="B261" s="73"/>
      <c r="C261" s="73"/>
      <c r="D261" s="73"/>
      <c r="E261" s="73"/>
      <c r="F261" s="73"/>
      <c r="G261" s="73"/>
      <c r="I261" s="73"/>
    </row>
    <row r="262" spans="1:9" ht="15.75" customHeight="1">
      <c r="A262" s="73"/>
      <c r="B262" s="73"/>
      <c r="C262" s="73"/>
      <c r="D262" s="73"/>
      <c r="E262" s="73"/>
      <c r="F262" s="73"/>
      <c r="G262" s="73"/>
      <c r="I262" s="73"/>
    </row>
    <row r="263" spans="1:9" ht="15.75" customHeight="1">
      <c r="A263" s="73"/>
      <c r="B263" s="73"/>
      <c r="C263" s="73"/>
      <c r="D263" s="73"/>
      <c r="E263" s="73"/>
      <c r="F263" s="73"/>
      <c r="G263" s="73"/>
      <c r="I263" s="73"/>
    </row>
    <row r="264" spans="1:9" ht="15.75" customHeight="1">
      <c r="A264" s="73"/>
      <c r="B264" s="73"/>
      <c r="C264" s="73"/>
      <c r="D264" s="73"/>
      <c r="E264" s="73"/>
      <c r="F264" s="73"/>
      <c r="G264" s="73"/>
      <c r="I264" s="73"/>
    </row>
    <row r="265" spans="1:9" ht="15.75" customHeight="1">
      <c r="A265" s="73"/>
      <c r="B265" s="73"/>
      <c r="C265" s="73"/>
      <c r="D265" s="73"/>
      <c r="E265" s="73"/>
      <c r="F265" s="73"/>
      <c r="G265" s="73"/>
      <c r="I265" s="73"/>
    </row>
    <row r="266" spans="1:9" ht="15.75" customHeight="1">
      <c r="A266" s="73"/>
      <c r="B266" s="73"/>
      <c r="C266" s="73"/>
      <c r="D266" s="73"/>
      <c r="E266" s="73"/>
      <c r="F266" s="73"/>
      <c r="G266" s="73"/>
      <c r="I266" s="73"/>
    </row>
    <row r="267" spans="1:9" ht="15.75" customHeight="1">
      <c r="A267" s="73"/>
      <c r="B267" s="73"/>
      <c r="C267" s="73"/>
      <c r="D267" s="73"/>
      <c r="E267" s="73"/>
      <c r="F267" s="73"/>
      <c r="G267" s="73"/>
      <c r="I267" s="73"/>
    </row>
    <row r="268" spans="1:9" ht="15.75" customHeight="1">
      <c r="A268" s="73"/>
      <c r="B268" s="73"/>
      <c r="C268" s="73"/>
      <c r="D268" s="73"/>
      <c r="E268" s="73"/>
      <c r="F268" s="73"/>
      <c r="G268" s="73"/>
      <c r="I268" s="73"/>
    </row>
    <row r="269" spans="1:9" ht="15.75" customHeight="1">
      <c r="A269" s="73"/>
      <c r="B269" s="73"/>
      <c r="C269" s="73"/>
      <c r="D269" s="73"/>
      <c r="E269" s="73"/>
      <c r="F269" s="73"/>
      <c r="G269" s="73"/>
      <c r="I269" s="73"/>
    </row>
    <row r="270" spans="1:9" ht="15.75" customHeight="1">
      <c r="A270" s="73"/>
      <c r="B270" s="73"/>
      <c r="C270" s="73"/>
      <c r="D270" s="73"/>
      <c r="E270" s="73"/>
      <c r="F270" s="73"/>
      <c r="G270" s="73"/>
      <c r="I270" s="73"/>
    </row>
    <row r="271" spans="1:9" ht="15.75" customHeight="1">
      <c r="A271" s="73"/>
      <c r="B271" s="73"/>
      <c r="C271" s="73"/>
      <c r="D271" s="73"/>
      <c r="E271" s="73"/>
      <c r="F271" s="73"/>
      <c r="G271" s="73"/>
      <c r="I271" s="73"/>
    </row>
    <row r="272" spans="1:9" ht="15.75" customHeight="1">
      <c r="A272" s="73"/>
      <c r="B272" s="73"/>
      <c r="C272" s="73"/>
      <c r="D272" s="73"/>
      <c r="E272" s="73"/>
      <c r="F272" s="73"/>
      <c r="G272" s="73"/>
      <c r="I272" s="73"/>
    </row>
    <row r="273" spans="1:9" ht="15.75" customHeight="1">
      <c r="A273" s="73"/>
      <c r="B273" s="73"/>
      <c r="C273" s="73"/>
      <c r="D273" s="73"/>
      <c r="E273" s="73"/>
      <c r="F273" s="73"/>
      <c r="G273" s="73"/>
      <c r="I273" s="73"/>
    </row>
    <row r="274" spans="1:9" ht="15.75" customHeight="1">
      <c r="A274" s="73"/>
      <c r="B274" s="73"/>
      <c r="C274" s="73"/>
      <c r="D274" s="73"/>
      <c r="E274" s="73"/>
      <c r="F274" s="73"/>
      <c r="G274" s="73"/>
      <c r="I274" s="73"/>
    </row>
    <row r="275" spans="1:9" ht="15.75" customHeight="1">
      <c r="A275" s="73"/>
      <c r="B275" s="73"/>
      <c r="C275" s="73"/>
      <c r="D275" s="73"/>
      <c r="E275" s="73"/>
      <c r="F275" s="73"/>
      <c r="G275" s="73"/>
      <c r="I275" s="73"/>
    </row>
    <row r="276" spans="1:9" ht="15.75" customHeight="1">
      <c r="A276" s="73"/>
      <c r="B276" s="73"/>
      <c r="C276" s="73"/>
      <c r="D276" s="73"/>
      <c r="E276" s="73"/>
      <c r="F276" s="73"/>
      <c r="G276" s="73"/>
      <c r="I276" s="73"/>
    </row>
    <row r="277" spans="1:9" ht="15.75" customHeight="1">
      <c r="A277" s="73"/>
      <c r="B277" s="73"/>
      <c r="C277" s="73"/>
      <c r="D277" s="73"/>
      <c r="E277" s="73"/>
      <c r="F277" s="73"/>
      <c r="G277" s="73"/>
      <c r="I277" s="73"/>
    </row>
    <row r="278" spans="1:9" ht="15.75" customHeight="1">
      <c r="A278" s="73"/>
      <c r="B278" s="73"/>
      <c r="C278" s="73"/>
      <c r="D278" s="73"/>
      <c r="E278" s="73"/>
      <c r="F278" s="73"/>
      <c r="G278" s="73"/>
      <c r="I278" s="73"/>
    </row>
    <row r="279" spans="1:9" ht="15.75" customHeight="1">
      <c r="A279" s="73"/>
      <c r="B279" s="73"/>
      <c r="C279" s="73"/>
      <c r="D279" s="73"/>
      <c r="E279" s="73"/>
      <c r="F279" s="73"/>
      <c r="G279" s="73"/>
      <c r="I279" s="73"/>
    </row>
    <row r="280" spans="1:9" ht="15.75" customHeight="1">
      <c r="A280" s="73"/>
      <c r="B280" s="73"/>
      <c r="C280" s="73"/>
      <c r="D280" s="73"/>
      <c r="E280" s="73"/>
      <c r="F280" s="73"/>
      <c r="G280" s="73"/>
      <c r="I280" s="73"/>
    </row>
    <row r="281" spans="1:9" ht="15.75" customHeight="1">
      <c r="A281" s="73"/>
      <c r="B281" s="73"/>
      <c r="C281" s="73"/>
      <c r="D281" s="73"/>
      <c r="E281" s="73"/>
      <c r="F281" s="73"/>
      <c r="G281" s="73"/>
      <c r="I281" s="73"/>
    </row>
    <row r="282" spans="1:9" ht="15.75" customHeight="1">
      <c r="A282" s="73"/>
      <c r="B282" s="73"/>
      <c r="C282" s="73"/>
      <c r="D282" s="73"/>
      <c r="E282" s="73"/>
      <c r="F282" s="73"/>
      <c r="G282" s="73"/>
      <c r="I282" s="73"/>
    </row>
    <row r="283" spans="1:9" ht="15.75" customHeight="1">
      <c r="A283" s="73"/>
      <c r="B283" s="73"/>
      <c r="C283" s="73"/>
      <c r="D283" s="73"/>
      <c r="E283" s="73"/>
      <c r="F283" s="73"/>
      <c r="G283" s="73"/>
      <c r="I283" s="73"/>
    </row>
    <row r="284" spans="1:9" ht="15.75" customHeight="1">
      <c r="A284" s="73"/>
      <c r="B284" s="73"/>
      <c r="C284" s="73"/>
      <c r="D284" s="73"/>
      <c r="E284" s="73"/>
      <c r="F284" s="73"/>
      <c r="G284" s="73"/>
      <c r="I284" s="73"/>
    </row>
    <row r="285" spans="1:9" ht="15.75" customHeight="1">
      <c r="A285" s="73"/>
      <c r="B285" s="73"/>
      <c r="C285" s="73"/>
      <c r="D285" s="73"/>
      <c r="E285" s="73"/>
      <c r="F285" s="73"/>
      <c r="G285" s="73"/>
      <c r="I285" s="73"/>
    </row>
    <row r="286" spans="1:9" ht="15.75" customHeight="1">
      <c r="A286" s="73"/>
      <c r="B286" s="73"/>
      <c r="C286" s="73"/>
      <c r="D286" s="73"/>
      <c r="E286" s="73"/>
      <c r="F286" s="73"/>
      <c r="G286" s="73"/>
      <c r="I286" s="73"/>
    </row>
    <row r="287" spans="1:9" ht="15.75" customHeight="1">
      <c r="A287" s="73"/>
      <c r="B287" s="73"/>
      <c r="C287" s="73"/>
      <c r="D287" s="73"/>
      <c r="E287" s="73"/>
      <c r="F287" s="73"/>
      <c r="G287" s="73"/>
      <c r="I287" s="73"/>
    </row>
    <row r="288" spans="1:9" ht="15.75" customHeight="1">
      <c r="A288" s="73"/>
      <c r="B288" s="73"/>
      <c r="C288" s="73"/>
      <c r="D288" s="73"/>
      <c r="E288" s="73"/>
      <c r="F288" s="73"/>
      <c r="G288" s="73"/>
      <c r="I288" s="73"/>
    </row>
    <row r="289" spans="1:9" ht="15.75" customHeight="1">
      <c r="A289" s="73"/>
      <c r="B289" s="73"/>
      <c r="C289" s="73"/>
      <c r="D289" s="73"/>
      <c r="E289" s="73"/>
      <c r="F289" s="73"/>
      <c r="G289" s="73"/>
      <c r="I289" s="73"/>
    </row>
    <row r="290" spans="1:9" ht="15.75" customHeight="1">
      <c r="A290" s="73"/>
      <c r="B290" s="73"/>
      <c r="C290" s="73"/>
      <c r="D290" s="73"/>
      <c r="E290" s="73"/>
      <c r="F290" s="73"/>
      <c r="G290" s="73"/>
      <c r="I290" s="73"/>
    </row>
    <row r="291" spans="1:9" ht="15.75" customHeight="1">
      <c r="A291" s="73"/>
      <c r="B291" s="73"/>
      <c r="C291" s="73"/>
      <c r="D291" s="73"/>
      <c r="E291" s="73"/>
      <c r="F291" s="73"/>
      <c r="G291" s="73"/>
      <c r="I291" s="73"/>
    </row>
    <row r="292" spans="1:9" ht="15.75" customHeight="1">
      <c r="A292" s="73"/>
      <c r="B292" s="73"/>
      <c r="C292" s="73"/>
      <c r="D292" s="73"/>
      <c r="E292" s="73"/>
      <c r="F292" s="73"/>
      <c r="G292" s="73"/>
      <c r="I292" s="73"/>
    </row>
    <row r="293" spans="1:9" ht="15.75" customHeight="1">
      <c r="A293" s="73"/>
      <c r="B293" s="73"/>
      <c r="C293" s="73"/>
      <c r="D293" s="73"/>
      <c r="E293" s="73"/>
      <c r="F293" s="73"/>
      <c r="G293" s="73"/>
      <c r="I293" s="73"/>
    </row>
    <row r="294" spans="1:9" ht="15.75" customHeight="1">
      <c r="A294" s="73"/>
      <c r="B294" s="73"/>
      <c r="C294" s="73"/>
      <c r="D294" s="73"/>
      <c r="E294" s="73"/>
      <c r="F294" s="73"/>
      <c r="G294" s="73"/>
      <c r="I294" s="73"/>
    </row>
    <row r="295" spans="1:9" ht="15.75" customHeight="1">
      <c r="A295" s="73"/>
      <c r="B295" s="73"/>
      <c r="C295" s="73"/>
      <c r="D295" s="73"/>
      <c r="E295" s="73"/>
      <c r="F295" s="73"/>
      <c r="G295" s="73"/>
      <c r="I295" s="73"/>
    </row>
    <row r="296" spans="1:9" ht="15.75" customHeight="1">
      <c r="A296" s="73"/>
      <c r="B296" s="73"/>
      <c r="C296" s="73"/>
      <c r="D296" s="73"/>
      <c r="E296" s="73"/>
      <c r="F296" s="73"/>
      <c r="G296" s="73"/>
      <c r="I296" s="73"/>
    </row>
    <row r="297" spans="1:9" ht="15.75" customHeight="1">
      <c r="A297" s="73"/>
      <c r="B297" s="73"/>
      <c r="C297" s="73"/>
      <c r="D297" s="73"/>
      <c r="E297" s="73"/>
      <c r="F297" s="73"/>
      <c r="G297" s="73"/>
      <c r="I297" s="73"/>
    </row>
    <row r="298" spans="1:9" ht="15.75" customHeight="1">
      <c r="A298" s="73"/>
      <c r="B298" s="73"/>
      <c r="C298" s="73"/>
      <c r="D298" s="73"/>
      <c r="E298" s="73"/>
      <c r="F298" s="73"/>
      <c r="G298" s="73"/>
      <c r="I298" s="73"/>
    </row>
    <row r="299" spans="1:9" ht="15.75" customHeight="1">
      <c r="A299" s="73"/>
      <c r="B299" s="73"/>
      <c r="C299" s="73"/>
      <c r="D299" s="73"/>
      <c r="E299" s="73"/>
      <c r="F299" s="73"/>
      <c r="G299" s="73"/>
      <c r="I299" s="73"/>
    </row>
    <row r="300" spans="1:9" ht="15.75" customHeight="1">
      <c r="A300" s="73"/>
      <c r="B300" s="73"/>
      <c r="C300" s="73"/>
      <c r="D300" s="73"/>
      <c r="E300" s="73"/>
      <c r="F300" s="73"/>
      <c r="G300" s="73"/>
      <c r="I300" s="73"/>
    </row>
    <row r="301" spans="1:9" ht="15.75" customHeight="1">
      <c r="A301" s="73"/>
      <c r="B301" s="73"/>
      <c r="C301" s="73"/>
      <c r="D301" s="73"/>
      <c r="E301" s="73"/>
      <c r="F301" s="73"/>
      <c r="G301" s="73"/>
      <c r="I301" s="73"/>
    </row>
    <row r="302" spans="1:9" ht="15.75" customHeight="1">
      <c r="A302" s="73"/>
      <c r="B302" s="73"/>
      <c r="C302" s="73"/>
      <c r="D302" s="73"/>
      <c r="E302" s="73"/>
      <c r="F302" s="73"/>
      <c r="G302" s="73"/>
      <c r="I302" s="73"/>
    </row>
    <row r="303" spans="1:9" ht="15.75" customHeight="1">
      <c r="A303" s="73"/>
      <c r="B303" s="73"/>
      <c r="C303" s="73"/>
      <c r="D303" s="73"/>
      <c r="E303" s="73"/>
      <c r="F303" s="73"/>
      <c r="G303" s="73"/>
      <c r="I303" s="73"/>
    </row>
    <row r="304" spans="1:9" ht="15.75" customHeight="1">
      <c r="A304" s="73"/>
      <c r="B304" s="73"/>
      <c r="C304" s="73"/>
      <c r="D304" s="73"/>
      <c r="E304" s="73"/>
      <c r="F304" s="73"/>
      <c r="G304" s="73"/>
      <c r="I304" s="73"/>
    </row>
    <row r="305" spans="1:9" ht="15.75" customHeight="1">
      <c r="A305" s="73"/>
      <c r="B305" s="73"/>
      <c r="C305" s="73"/>
      <c r="D305" s="73"/>
      <c r="E305" s="73"/>
      <c r="F305" s="73"/>
      <c r="G305" s="73"/>
      <c r="I305" s="73"/>
    </row>
    <row r="306" spans="1:9" ht="15.75" customHeight="1">
      <c r="A306" s="73"/>
      <c r="B306" s="73"/>
      <c r="C306" s="73"/>
      <c r="D306" s="73"/>
      <c r="E306" s="73"/>
      <c r="F306" s="73"/>
      <c r="G306" s="73"/>
      <c r="I306" s="73"/>
    </row>
    <row r="307" spans="1:9" ht="15.75" customHeight="1">
      <c r="A307" s="73"/>
      <c r="B307" s="73"/>
      <c r="C307" s="73"/>
      <c r="D307" s="73"/>
      <c r="E307" s="73"/>
      <c r="F307" s="73"/>
      <c r="G307" s="73"/>
      <c r="I307" s="73"/>
    </row>
    <row r="308" spans="1:9" ht="15.75" customHeight="1">
      <c r="A308" s="73"/>
      <c r="B308" s="73"/>
      <c r="C308" s="73"/>
      <c r="D308" s="73"/>
      <c r="E308" s="73"/>
      <c r="F308" s="73"/>
      <c r="G308" s="73"/>
      <c r="I308" s="73"/>
    </row>
    <row r="309" spans="1:9" ht="15.75" customHeight="1">
      <c r="A309" s="73"/>
      <c r="B309" s="73"/>
      <c r="C309" s="73"/>
      <c r="D309" s="73"/>
      <c r="E309" s="73"/>
      <c r="F309" s="73"/>
      <c r="G309" s="73"/>
      <c r="I309" s="73"/>
    </row>
    <row r="310" spans="1:9" ht="15.75" customHeight="1">
      <c r="A310" s="73"/>
      <c r="B310" s="73"/>
      <c r="C310" s="73"/>
      <c r="D310" s="73"/>
      <c r="E310" s="73"/>
      <c r="F310" s="73"/>
      <c r="G310" s="73"/>
      <c r="I310" s="73"/>
    </row>
    <row r="311" spans="1:9" ht="15.75" customHeight="1">
      <c r="A311" s="73"/>
      <c r="B311" s="73"/>
      <c r="C311" s="73"/>
      <c r="D311" s="73"/>
      <c r="E311" s="73"/>
      <c r="F311" s="73"/>
      <c r="G311" s="73"/>
      <c r="I311" s="73"/>
    </row>
    <row r="312" spans="1:9" ht="15.75" customHeight="1">
      <c r="A312" s="73"/>
      <c r="B312" s="73"/>
      <c r="C312" s="73"/>
      <c r="D312" s="73"/>
      <c r="E312" s="73"/>
      <c r="F312" s="73"/>
      <c r="G312" s="73"/>
      <c r="I312" s="73"/>
    </row>
    <row r="313" spans="1:9" ht="15.75" customHeight="1">
      <c r="A313" s="73"/>
      <c r="B313" s="73"/>
      <c r="C313" s="73"/>
      <c r="D313" s="73"/>
      <c r="E313" s="73"/>
      <c r="F313" s="73"/>
      <c r="G313" s="73"/>
      <c r="I313" s="73"/>
    </row>
    <row r="314" spans="1:9" ht="15.75" customHeight="1">
      <c r="A314" s="73"/>
      <c r="B314" s="73"/>
      <c r="C314" s="73"/>
      <c r="D314" s="73"/>
      <c r="E314" s="73"/>
      <c r="F314" s="73"/>
      <c r="G314" s="73"/>
      <c r="I314" s="73"/>
    </row>
    <row r="315" spans="1:9" ht="15.75" customHeight="1">
      <c r="A315" s="73"/>
      <c r="B315" s="73"/>
      <c r="C315" s="73"/>
      <c r="D315" s="73"/>
      <c r="E315" s="73"/>
      <c r="F315" s="73"/>
      <c r="G315" s="73"/>
      <c r="I315" s="73"/>
    </row>
    <row r="316" spans="1:9" ht="15.75" customHeight="1">
      <c r="A316" s="73"/>
      <c r="B316" s="73"/>
      <c r="C316" s="73"/>
      <c r="D316" s="73"/>
      <c r="E316" s="73"/>
      <c r="F316" s="73"/>
      <c r="G316" s="73"/>
      <c r="I316" s="73"/>
    </row>
    <row r="317" spans="1:9" ht="15.75" customHeight="1">
      <c r="A317" s="73"/>
      <c r="B317" s="73"/>
      <c r="C317" s="73"/>
      <c r="D317" s="73"/>
      <c r="E317" s="73"/>
      <c r="F317" s="73"/>
      <c r="G317" s="73"/>
      <c r="I317" s="73"/>
    </row>
    <row r="318" spans="1:9" ht="15.75" customHeight="1">
      <c r="A318" s="73"/>
      <c r="B318" s="73"/>
      <c r="C318" s="73"/>
      <c r="D318" s="73"/>
      <c r="E318" s="73"/>
      <c r="F318" s="73"/>
      <c r="G318" s="73"/>
      <c r="I318" s="73"/>
    </row>
    <row r="319" spans="1:9" ht="15.75" customHeight="1">
      <c r="A319" s="73"/>
      <c r="B319" s="73"/>
      <c r="C319" s="73"/>
      <c r="D319" s="73"/>
      <c r="E319" s="73"/>
      <c r="F319" s="73"/>
      <c r="G319" s="73"/>
      <c r="I319" s="73"/>
    </row>
    <row r="320" spans="1:9" ht="15.75" customHeight="1">
      <c r="A320" s="73"/>
      <c r="B320" s="73"/>
      <c r="C320" s="73"/>
      <c r="D320" s="73"/>
      <c r="E320" s="73"/>
      <c r="F320" s="73"/>
      <c r="G320" s="73"/>
      <c r="I320" s="73"/>
    </row>
    <row r="321" spans="1:9" ht="15.75" customHeight="1">
      <c r="A321" s="73"/>
      <c r="B321" s="73"/>
      <c r="C321" s="73"/>
      <c r="D321" s="73"/>
      <c r="E321" s="73"/>
      <c r="F321" s="73"/>
      <c r="G321" s="73"/>
      <c r="I321" s="73"/>
    </row>
    <row r="322" spans="1:9" ht="15.75" customHeight="1">
      <c r="A322" s="73"/>
      <c r="B322" s="73"/>
      <c r="C322" s="73"/>
      <c r="D322" s="73"/>
      <c r="E322" s="73"/>
      <c r="F322" s="73"/>
      <c r="G322" s="73"/>
      <c r="I322" s="73"/>
    </row>
    <row r="323" spans="1:9" ht="15.75" customHeight="1">
      <c r="A323" s="73"/>
      <c r="B323" s="73"/>
      <c r="C323" s="73"/>
      <c r="D323" s="73"/>
      <c r="E323" s="73"/>
      <c r="F323" s="73"/>
      <c r="G323" s="73"/>
      <c r="I323" s="73"/>
    </row>
    <row r="324" spans="1:9" ht="15.75" customHeight="1">
      <c r="A324" s="73"/>
      <c r="B324" s="73"/>
      <c r="C324" s="73"/>
      <c r="D324" s="73"/>
      <c r="E324" s="73"/>
      <c r="F324" s="73"/>
      <c r="G324" s="73"/>
      <c r="I324" s="73"/>
    </row>
    <row r="325" spans="1:9" ht="15.75" customHeight="1">
      <c r="A325" s="73"/>
      <c r="B325" s="73"/>
      <c r="C325" s="73"/>
      <c r="D325" s="73"/>
      <c r="E325" s="73"/>
      <c r="F325" s="73"/>
      <c r="G325" s="73"/>
      <c r="I325" s="73"/>
    </row>
    <row r="326" spans="1:9" ht="15.75" customHeight="1">
      <c r="A326" s="73"/>
      <c r="B326" s="73"/>
      <c r="C326" s="73"/>
      <c r="D326" s="73"/>
      <c r="E326" s="73"/>
      <c r="F326" s="73"/>
      <c r="G326" s="73"/>
      <c r="I326" s="73"/>
    </row>
    <row r="327" spans="1:9" ht="15.75" customHeight="1">
      <c r="A327" s="73"/>
      <c r="B327" s="73"/>
      <c r="C327" s="73"/>
      <c r="D327" s="73"/>
      <c r="E327" s="73"/>
      <c r="F327" s="73"/>
      <c r="G327" s="73"/>
      <c r="I327" s="73"/>
    </row>
    <row r="328" spans="1:9" ht="15.75" customHeight="1">
      <c r="A328" s="73"/>
      <c r="B328" s="73"/>
      <c r="C328" s="73"/>
      <c r="D328" s="73"/>
      <c r="E328" s="73"/>
      <c r="F328" s="73"/>
      <c r="G328" s="73"/>
      <c r="I328" s="73"/>
    </row>
    <row r="329" spans="1:9" ht="15.75" customHeight="1">
      <c r="A329" s="73"/>
      <c r="B329" s="73"/>
      <c r="C329" s="73"/>
      <c r="D329" s="73"/>
      <c r="E329" s="73"/>
      <c r="F329" s="73"/>
      <c r="G329" s="73"/>
      <c r="I329" s="73"/>
    </row>
    <row r="330" spans="1:9" ht="15.75" customHeight="1">
      <c r="A330" s="73"/>
      <c r="B330" s="73"/>
      <c r="C330" s="73"/>
      <c r="D330" s="73"/>
      <c r="E330" s="73"/>
      <c r="F330" s="73"/>
      <c r="G330" s="73"/>
      <c r="I330" s="73"/>
    </row>
    <row r="331" spans="1:9" ht="15.75" customHeight="1">
      <c r="A331" s="73"/>
      <c r="B331" s="73"/>
      <c r="C331" s="73"/>
      <c r="D331" s="73"/>
      <c r="E331" s="73"/>
      <c r="F331" s="73"/>
      <c r="G331" s="73"/>
      <c r="I331" s="73"/>
    </row>
    <row r="332" spans="1:9" ht="15.75" customHeight="1">
      <c r="A332" s="73"/>
      <c r="B332" s="73"/>
      <c r="C332" s="73"/>
      <c r="D332" s="73"/>
      <c r="E332" s="73"/>
      <c r="F332" s="73"/>
      <c r="G332" s="73"/>
      <c r="I332" s="73"/>
    </row>
    <row r="333" spans="1:9" ht="15.75" customHeight="1">
      <c r="A333" s="73"/>
      <c r="B333" s="73"/>
      <c r="C333" s="73"/>
      <c r="D333" s="73"/>
      <c r="E333" s="73"/>
      <c r="F333" s="73"/>
      <c r="G333" s="73"/>
      <c r="I333" s="73"/>
    </row>
    <row r="334" spans="1:9" ht="15.75" customHeight="1">
      <c r="A334" s="73"/>
      <c r="B334" s="73"/>
      <c r="C334" s="73"/>
      <c r="D334" s="73"/>
      <c r="E334" s="73"/>
      <c r="F334" s="73"/>
      <c r="G334" s="73"/>
      <c r="I334" s="73"/>
    </row>
    <row r="335" spans="1:9" ht="15.75" customHeight="1">
      <c r="A335" s="73"/>
      <c r="B335" s="73"/>
      <c r="C335" s="73"/>
      <c r="D335" s="73"/>
      <c r="E335" s="73"/>
      <c r="F335" s="73"/>
      <c r="G335" s="73"/>
      <c r="I335" s="73"/>
    </row>
    <row r="336" spans="1:9" ht="15.75" customHeight="1">
      <c r="A336" s="73"/>
      <c r="B336" s="73"/>
      <c r="C336" s="73"/>
      <c r="D336" s="73"/>
      <c r="E336" s="73"/>
      <c r="F336" s="73"/>
      <c r="G336" s="73"/>
      <c r="I336" s="73"/>
    </row>
    <row r="337" spans="1:9" ht="15.75" customHeight="1">
      <c r="A337" s="73"/>
      <c r="B337" s="73"/>
      <c r="C337" s="73"/>
      <c r="D337" s="73"/>
      <c r="E337" s="73"/>
      <c r="F337" s="73"/>
      <c r="G337" s="73"/>
      <c r="I337" s="73"/>
    </row>
    <row r="338" spans="1:9" ht="15.75" customHeight="1">
      <c r="A338" s="73"/>
      <c r="B338" s="73"/>
      <c r="C338" s="73"/>
      <c r="D338" s="73"/>
      <c r="E338" s="73"/>
      <c r="F338" s="73"/>
      <c r="G338" s="73"/>
      <c r="I338" s="73"/>
    </row>
    <row r="339" spans="1:9" ht="15.75" customHeight="1">
      <c r="A339" s="73"/>
      <c r="B339" s="73"/>
      <c r="C339" s="73"/>
      <c r="D339" s="73"/>
      <c r="E339" s="73"/>
      <c r="F339" s="73"/>
      <c r="G339" s="73"/>
      <c r="I339" s="73"/>
    </row>
    <row r="340" spans="1:9" ht="15.75" customHeight="1">
      <c r="A340" s="73"/>
      <c r="B340" s="73"/>
      <c r="C340" s="73"/>
      <c r="D340" s="73"/>
      <c r="E340" s="73"/>
      <c r="F340" s="73"/>
      <c r="G340" s="73"/>
      <c r="I340" s="73"/>
    </row>
    <row r="341" spans="1:9" ht="15.75" customHeight="1">
      <c r="A341" s="73"/>
      <c r="B341" s="73"/>
      <c r="C341" s="73"/>
      <c r="D341" s="73"/>
      <c r="E341" s="73"/>
      <c r="F341" s="73"/>
      <c r="G341" s="73"/>
      <c r="I341" s="73"/>
    </row>
    <row r="342" spans="1:9" ht="15.75" customHeight="1">
      <c r="A342" s="73"/>
      <c r="B342" s="73"/>
      <c r="C342" s="73"/>
      <c r="D342" s="73"/>
      <c r="E342" s="73"/>
      <c r="F342" s="73"/>
      <c r="G342" s="73"/>
      <c r="I342" s="73"/>
    </row>
    <row r="343" spans="1:9" ht="15.75" customHeight="1">
      <c r="A343" s="73"/>
      <c r="B343" s="73"/>
      <c r="C343" s="73"/>
      <c r="D343" s="73"/>
      <c r="E343" s="73"/>
      <c r="F343" s="73"/>
      <c r="G343" s="73"/>
      <c r="I343" s="73"/>
    </row>
    <row r="344" spans="1:9" ht="15.75" customHeight="1">
      <c r="A344" s="73"/>
      <c r="B344" s="73"/>
      <c r="C344" s="73"/>
      <c r="D344" s="73"/>
      <c r="E344" s="73"/>
      <c r="F344" s="73"/>
      <c r="G344" s="73"/>
      <c r="I344" s="73"/>
    </row>
    <row r="345" spans="1:9" ht="15.75" customHeight="1">
      <c r="A345" s="73"/>
      <c r="B345" s="73"/>
      <c r="C345" s="73"/>
      <c r="D345" s="73"/>
      <c r="E345" s="73"/>
      <c r="F345" s="73"/>
      <c r="G345" s="73"/>
      <c r="I345" s="73"/>
    </row>
    <row r="346" spans="1:9" ht="15.75" customHeight="1">
      <c r="A346" s="73"/>
      <c r="B346" s="73"/>
      <c r="C346" s="73"/>
      <c r="D346" s="73"/>
      <c r="E346" s="73"/>
      <c r="F346" s="73"/>
      <c r="G346" s="73"/>
      <c r="I346" s="73"/>
    </row>
    <row r="347" spans="1:9" ht="15.75" customHeight="1">
      <c r="A347" s="73"/>
      <c r="B347" s="73"/>
      <c r="C347" s="73"/>
      <c r="D347" s="73"/>
      <c r="E347" s="73"/>
      <c r="F347" s="73"/>
      <c r="G347" s="73"/>
      <c r="I347" s="73"/>
    </row>
    <row r="348" spans="1:9" ht="15.75" customHeight="1">
      <c r="A348" s="73"/>
      <c r="B348" s="73"/>
      <c r="C348" s="73"/>
      <c r="D348" s="73"/>
      <c r="E348" s="73"/>
      <c r="F348" s="73"/>
      <c r="G348" s="73"/>
      <c r="I348" s="73"/>
    </row>
    <row r="349" spans="1:9" ht="15.75" customHeight="1">
      <c r="A349" s="73"/>
      <c r="B349" s="73"/>
      <c r="C349" s="73"/>
      <c r="D349" s="73"/>
      <c r="E349" s="73"/>
      <c r="F349" s="73"/>
      <c r="G349" s="73"/>
      <c r="I349" s="73"/>
    </row>
    <row r="350" spans="1:9" ht="15.75" customHeight="1">
      <c r="A350" s="73"/>
      <c r="B350" s="73"/>
      <c r="C350" s="73"/>
      <c r="D350" s="73"/>
      <c r="E350" s="73"/>
      <c r="F350" s="73"/>
      <c r="G350" s="73"/>
      <c r="I350" s="73"/>
    </row>
    <row r="351" spans="1:9" ht="15.75" customHeight="1">
      <c r="A351" s="73"/>
      <c r="B351" s="73"/>
      <c r="C351" s="73"/>
      <c r="D351" s="73"/>
      <c r="E351" s="73"/>
      <c r="F351" s="73"/>
      <c r="G351" s="73"/>
      <c r="I351" s="73"/>
    </row>
    <row r="352" spans="1:9" ht="15.75" customHeight="1">
      <c r="A352" s="73"/>
      <c r="B352" s="73"/>
      <c r="C352" s="73"/>
      <c r="D352" s="73"/>
      <c r="E352" s="73"/>
      <c r="F352" s="73"/>
      <c r="G352" s="73"/>
      <c r="I352" s="73"/>
    </row>
    <row r="353" spans="1:9" ht="15.75" customHeight="1">
      <c r="A353" s="73"/>
      <c r="B353" s="73"/>
      <c r="C353" s="73"/>
      <c r="D353" s="73"/>
      <c r="E353" s="73"/>
      <c r="F353" s="73"/>
      <c r="G353" s="73"/>
      <c r="I353" s="73"/>
    </row>
    <row r="354" spans="1:9" ht="15.75" customHeight="1">
      <c r="A354" s="73"/>
      <c r="B354" s="73"/>
      <c r="C354" s="73"/>
      <c r="D354" s="73"/>
      <c r="E354" s="73"/>
      <c r="F354" s="73"/>
      <c r="G354" s="73"/>
      <c r="I354" s="73"/>
    </row>
    <row r="355" spans="1:9" ht="15.75" customHeight="1">
      <c r="A355" s="73"/>
      <c r="B355" s="73"/>
      <c r="C355" s="73"/>
      <c r="D355" s="73"/>
      <c r="E355" s="73"/>
      <c r="F355" s="73"/>
      <c r="G355" s="73"/>
      <c r="I355" s="73"/>
    </row>
    <row r="356" spans="1:9" ht="15.75" customHeight="1">
      <c r="A356" s="73"/>
      <c r="B356" s="73"/>
      <c r="C356" s="73"/>
      <c r="D356" s="73"/>
      <c r="E356" s="73"/>
      <c r="F356" s="73"/>
      <c r="G356" s="73"/>
      <c r="I356" s="73"/>
    </row>
    <row r="357" spans="1:9" ht="15.75" customHeight="1">
      <c r="A357" s="73"/>
      <c r="B357" s="73"/>
      <c r="C357" s="73"/>
      <c r="D357" s="73"/>
      <c r="E357" s="73"/>
      <c r="F357" s="73"/>
      <c r="G357" s="73"/>
      <c r="I357" s="73"/>
    </row>
    <row r="358" spans="1:9" ht="15.75" customHeight="1">
      <c r="A358" s="73"/>
      <c r="B358" s="73"/>
      <c r="C358" s="73"/>
      <c r="D358" s="73"/>
      <c r="E358" s="73"/>
      <c r="F358" s="73"/>
      <c r="G358" s="73"/>
      <c r="I358" s="73"/>
    </row>
    <row r="359" spans="1:9" ht="15.75" customHeight="1">
      <c r="A359" s="73"/>
      <c r="B359" s="73"/>
      <c r="C359" s="73"/>
      <c r="D359" s="73"/>
      <c r="E359" s="73"/>
      <c r="F359" s="73"/>
      <c r="G359" s="73"/>
      <c r="I359" s="73"/>
    </row>
    <row r="360" spans="1:9" ht="15.75" customHeight="1">
      <c r="A360" s="73"/>
      <c r="B360" s="73"/>
      <c r="C360" s="73"/>
      <c r="D360" s="73"/>
      <c r="E360" s="73"/>
      <c r="F360" s="73"/>
      <c r="G360" s="73"/>
      <c r="I360" s="73"/>
    </row>
    <row r="361" spans="1:9" ht="15.75" customHeight="1">
      <c r="A361" s="73"/>
      <c r="B361" s="73"/>
      <c r="C361" s="73"/>
      <c r="D361" s="73"/>
      <c r="E361" s="73"/>
      <c r="F361" s="73"/>
      <c r="G361" s="73"/>
      <c r="I361" s="73"/>
    </row>
    <row r="362" spans="1:9" ht="15.75" customHeight="1">
      <c r="A362" s="73"/>
      <c r="B362" s="73"/>
      <c r="C362" s="73"/>
      <c r="D362" s="73"/>
      <c r="E362" s="73"/>
      <c r="F362" s="73"/>
      <c r="G362" s="73"/>
      <c r="I362" s="73"/>
    </row>
    <row r="363" spans="1:9" ht="15.75" customHeight="1">
      <c r="A363" s="73"/>
      <c r="B363" s="73"/>
      <c r="C363" s="73"/>
      <c r="D363" s="73"/>
      <c r="E363" s="73"/>
      <c r="F363" s="73"/>
      <c r="G363" s="73"/>
      <c r="I363" s="73"/>
    </row>
    <row r="364" spans="1:9" ht="15.75" customHeight="1">
      <c r="A364" s="73"/>
      <c r="B364" s="73"/>
      <c r="C364" s="73"/>
      <c r="D364" s="73"/>
      <c r="E364" s="73"/>
      <c r="F364" s="73"/>
      <c r="G364" s="73"/>
      <c r="I364" s="73"/>
    </row>
    <row r="365" spans="1:9" ht="15.75" customHeight="1">
      <c r="A365" s="73"/>
      <c r="B365" s="73"/>
      <c r="C365" s="73"/>
      <c r="D365" s="73"/>
      <c r="E365" s="73"/>
      <c r="F365" s="73"/>
      <c r="G365" s="73"/>
      <c r="I365" s="73"/>
    </row>
    <row r="366" spans="1:9" ht="15.75" customHeight="1">
      <c r="A366" s="73"/>
      <c r="B366" s="73"/>
      <c r="C366" s="73"/>
      <c r="D366" s="73"/>
      <c r="E366" s="73"/>
      <c r="F366" s="73"/>
      <c r="G366" s="73"/>
      <c r="I366" s="73"/>
    </row>
    <row r="367" spans="1:9" ht="15.75" customHeight="1">
      <c r="A367" s="73"/>
      <c r="B367" s="73"/>
      <c r="C367" s="73"/>
      <c r="D367" s="73"/>
      <c r="E367" s="73"/>
      <c r="F367" s="73"/>
      <c r="G367" s="73"/>
      <c r="I367" s="73"/>
    </row>
    <row r="368" spans="1:9" ht="15.75" customHeight="1">
      <c r="A368" s="73"/>
      <c r="B368" s="73"/>
      <c r="C368" s="73"/>
      <c r="D368" s="73"/>
      <c r="E368" s="73"/>
      <c r="F368" s="73"/>
      <c r="G368" s="73"/>
      <c r="I368" s="73"/>
    </row>
    <row r="369" spans="1:9" ht="15.75" customHeight="1">
      <c r="A369" s="73"/>
      <c r="B369" s="73"/>
      <c r="C369" s="73"/>
      <c r="D369" s="73"/>
      <c r="E369" s="73"/>
      <c r="F369" s="73"/>
      <c r="G369" s="73"/>
      <c r="I369" s="73"/>
    </row>
    <row r="370" spans="1:9" ht="15.75" customHeight="1">
      <c r="A370" s="73"/>
      <c r="B370" s="73"/>
      <c r="C370" s="73"/>
      <c r="D370" s="73"/>
      <c r="E370" s="73"/>
      <c r="F370" s="73"/>
      <c r="G370" s="73"/>
      <c r="I370" s="73"/>
    </row>
    <row r="371" spans="1:9" ht="15.75" customHeight="1">
      <c r="A371" s="73"/>
      <c r="B371" s="73"/>
      <c r="C371" s="73"/>
      <c r="D371" s="73"/>
      <c r="E371" s="73"/>
      <c r="F371" s="73"/>
      <c r="G371" s="73"/>
      <c r="I371" s="73"/>
    </row>
    <row r="372" spans="1:9" ht="15.75" customHeight="1">
      <c r="A372" s="73"/>
      <c r="B372" s="73"/>
      <c r="C372" s="73"/>
      <c r="D372" s="73"/>
      <c r="E372" s="73"/>
      <c r="F372" s="73"/>
      <c r="G372" s="73"/>
      <c r="I372" s="73"/>
    </row>
    <row r="373" spans="1:9" ht="15.75" customHeight="1">
      <c r="A373" s="73"/>
      <c r="B373" s="73"/>
      <c r="C373" s="73"/>
      <c r="D373" s="73"/>
      <c r="E373" s="73"/>
      <c r="F373" s="73"/>
      <c r="G373" s="73"/>
      <c r="I373" s="73"/>
    </row>
    <row r="374" spans="1:9" ht="15.75" customHeight="1">
      <c r="A374" s="73"/>
      <c r="B374" s="73"/>
      <c r="C374" s="73"/>
      <c r="D374" s="73"/>
      <c r="E374" s="73"/>
      <c r="F374" s="73"/>
      <c r="G374" s="73"/>
      <c r="I374" s="73"/>
    </row>
    <row r="375" spans="1:9" ht="15.75" customHeight="1">
      <c r="A375" s="73"/>
      <c r="B375" s="73"/>
      <c r="C375" s="73"/>
      <c r="D375" s="73"/>
      <c r="E375" s="73"/>
      <c r="F375" s="73"/>
      <c r="G375" s="73"/>
      <c r="I375" s="73"/>
    </row>
    <row r="376" spans="1:9" ht="15.75" customHeight="1">
      <c r="A376" s="73"/>
      <c r="B376" s="73"/>
      <c r="C376" s="73"/>
      <c r="D376" s="73"/>
      <c r="E376" s="73"/>
      <c r="F376" s="73"/>
      <c r="G376" s="73"/>
      <c r="I376" s="73"/>
    </row>
    <row r="377" spans="1:9" ht="15.75" customHeight="1">
      <c r="A377" s="73"/>
      <c r="B377" s="73"/>
      <c r="C377" s="73"/>
      <c r="D377" s="73"/>
      <c r="E377" s="73"/>
      <c r="F377" s="73"/>
      <c r="G377" s="73"/>
      <c r="I377" s="73"/>
    </row>
    <row r="378" spans="1:9" ht="15.75" customHeight="1">
      <c r="A378" s="73"/>
      <c r="B378" s="73"/>
      <c r="C378" s="73"/>
      <c r="D378" s="73"/>
      <c r="E378" s="73"/>
      <c r="F378" s="73"/>
      <c r="G378" s="73"/>
      <c r="I378" s="73"/>
    </row>
    <row r="379" spans="1:9" ht="15.75" customHeight="1">
      <c r="A379" s="73"/>
      <c r="B379" s="73"/>
      <c r="C379" s="73"/>
      <c r="D379" s="73"/>
      <c r="E379" s="73"/>
      <c r="F379" s="73"/>
      <c r="G379" s="73"/>
      <c r="I379" s="73"/>
    </row>
    <row r="380" spans="1:9" ht="15.75" customHeight="1">
      <c r="A380" s="73"/>
      <c r="B380" s="73"/>
      <c r="C380" s="73"/>
      <c r="D380" s="73"/>
      <c r="E380" s="73"/>
      <c r="F380" s="73"/>
      <c r="G380" s="73"/>
      <c r="I380" s="73"/>
    </row>
    <row r="381" spans="1:9" ht="15.75" customHeight="1">
      <c r="A381" s="73"/>
      <c r="B381" s="73"/>
      <c r="C381" s="73"/>
      <c r="D381" s="73"/>
      <c r="E381" s="73"/>
      <c r="F381" s="73"/>
      <c r="G381" s="73"/>
      <c r="I381" s="73"/>
    </row>
    <row r="382" spans="1:9" ht="15.75" customHeight="1">
      <c r="A382" s="73"/>
      <c r="B382" s="73"/>
      <c r="C382" s="73"/>
      <c r="D382" s="73"/>
      <c r="E382" s="73"/>
      <c r="F382" s="73"/>
      <c r="G382" s="73"/>
      <c r="I382" s="73"/>
    </row>
    <row r="383" spans="1:9" ht="15.75" customHeight="1">
      <c r="A383" s="73"/>
      <c r="B383" s="73"/>
      <c r="C383" s="73"/>
      <c r="D383" s="73"/>
      <c r="E383" s="73"/>
      <c r="F383" s="73"/>
      <c r="G383" s="73"/>
      <c r="I383" s="73"/>
    </row>
    <row r="384" spans="1:9" ht="15.75" customHeight="1">
      <c r="A384" s="73"/>
      <c r="B384" s="73"/>
      <c r="C384" s="73"/>
      <c r="D384" s="73"/>
      <c r="E384" s="73"/>
      <c r="F384" s="73"/>
      <c r="G384" s="73"/>
      <c r="I384" s="73"/>
    </row>
    <row r="385" spans="1:9" ht="15.75" customHeight="1">
      <c r="A385" s="73"/>
      <c r="B385" s="73"/>
      <c r="C385" s="73"/>
      <c r="D385" s="73"/>
      <c r="E385" s="73"/>
      <c r="F385" s="73"/>
      <c r="G385" s="73"/>
      <c r="I385" s="73"/>
    </row>
    <row r="386" spans="1:9" ht="15.75" customHeight="1">
      <c r="A386" s="73"/>
      <c r="B386" s="73"/>
      <c r="C386" s="73"/>
      <c r="D386" s="73"/>
      <c r="E386" s="73"/>
      <c r="F386" s="73"/>
      <c r="G386" s="73"/>
      <c r="I386" s="73"/>
    </row>
    <row r="387" spans="1:9" ht="15.75" customHeight="1">
      <c r="A387" s="73"/>
      <c r="B387" s="73"/>
      <c r="C387" s="73"/>
      <c r="D387" s="73"/>
      <c r="E387" s="73"/>
      <c r="F387" s="73"/>
      <c r="G387" s="73"/>
      <c r="I387" s="73"/>
    </row>
    <row r="388" spans="1:9" ht="15.75" customHeight="1">
      <c r="A388" s="73"/>
      <c r="B388" s="73"/>
      <c r="C388" s="73"/>
      <c r="D388" s="73"/>
      <c r="E388" s="73"/>
      <c r="F388" s="73"/>
      <c r="G388" s="73"/>
      <c r="I388" s="73"/>
    </row>
    <row r="389" spans="1:9" ht="15.75" customHeight="1">
      <c r="A389" s="73"/>
      <c r="B389" s="73"/>
      <c r="C389" s="73"/>
      <c r="D389" s="73"/>
      <c r="E389" s="73"/>
      <c r="F389" s="73"/>
      <c r="G389" s="73"/>
      <c r="I389" s="73"/>
    </row>
    <row r="390" spans="1:9" ht="15.75" customHeight="1">
      <c r="A390" s="73"/>
      <c r="B390" s="73"/>
      <c r="C390" s="73"/>
      <c r="D390" s="73"/>
      <c r="E390" s="73"/>
      <c r="F390" s="73"/>
      <c r="G390" s="73"/>
      <c r="I390" s="73"/>
    </row>
    <row r="391" spans="1:9" ht="15.75" customHeight="1">
      <c r="A391" s="73"/>
      <c r="B391" s="73"/>
      <c r="C391" s="73"/>
      <c r="D391" s="73"/>
      <c r="E391" s="73"/>
      <c r="F391" s="73"/>
      <c r="G391" s="73"/>
      <c r="I391" s="73"/>
    </row>
    <row r="392" spans="1:9" ht="15.75" customHeight="1">
      <c r="A392" s="73"/>
      <c r="B392" s="73"/>
      <c r="C392" s="73"/>
      <c r="D392" s="73"/>
      <c r="E392" s="73"/>
      <c r="F392" s="73"/>
      <c r="G392" s="73"/>
      <c r="I392" s="73"/>
    </row>
    <row r="393" spans="1:9" ht="15.75" customHeight="1">
      <c r="A393" s="73"/>
      <c r="B393" s="73"/>
      <c r="C393" s="73"/>
      <c r="D393" s="73"/>
      <c r="E393" s="73"/>
      <c r="F393" s="73"/>
      <c r="G393" s="73"/>
      <c r="I393" s="73"/>
    </row>
    <row r="394" spans="1:9" ht="15.75" customHeight="1">
      <c r="A394" s="73"/>
      <c r="B394" s="73"/>
      <c r="C394" s="73"/>
      <c r="D394" s="73"/>
      <c r="E394" s="73"/>
      <c r="F394" s="73"/>
      <c r="G394" s="73"/>
      <c r="I394" s="73"/>
    </row>
    <row r="395" spans="1:9" ht="15.75" customHeight="1">
      <c r="A395" s="73"/>
      <c r="B395" s="73"/>
      <c r="C395" s="73"/>
      <c r="D395" s="73"/>
      <c r="E395" s="73"/>
      <c r="F395" s="73"/>
      <c r="G395" s="73"/>
      <c r="I395" s="73"/>
    </row>
    <row r="396" spans="1:9" ht="15.75" customHeight="1">
      <c r="A396" s="73"/>
      <c r="B396" s="73"/>
      <c r="C396" s="73"/>
      <c r="D396" s="73"/>
      <c r="E396" s="73"/>
      <c r="F396" s="73"/>
      <c r="G396" s="73"/>
      <c r="I396" s="73"/>
    </row>
    <row r="397" spans="1:9" ht="15.75" customHeight="1">
      <c r="A397" s="73"/>
      <c r="B397" s="73"/>
      <c r="C397" s="73"/>
      <c r="D397" s="73"/>
      <c r="E397" s="73"/>
      <c r="F397" s="73"/>
      <c r="G397" s="73"/>
      <c r="I397" s="73"/>
    </row>
    <row r="398" spans="1:9" ht="15.75" customHeight="1">
      <c r="A398" s="73"/>
      <c r="B398" s="73"/>
      <c r="C398" s="73"/>
      <c r="D398" s="73"/>
      <c r="E398" s="73"/>
      <c r="F398" s="73"/>
      <c r="G398" s="73"/>
      <c r="I398" s="73"/>
    </row>
    <row r="399" spans="1:9" ht="15.75" customHeight="1">
      <c r="A399" s="73"/>
      <c r="B399" s="73"/>
      <c r="C399" s="73"/>
      <c r="D399" s="73"/>
      <c r="E399" s="73"/>
      <c r="F399" s="73"/>
      <c r="G399" s="73"/>
      <c r="I399" s="73"/>
    </row>
    <row r="400" spans="1:9" ht="15.75" customHeight="1">
      <c r="A400" s="73"/>
      <c r="B400" s="73"/>
      <c r="C400" s="73"/>
      <c r="D400" s="73"/>
      <c r="E400" s="73"/>
      <c r="F400" s="73"/>
      <c r="G400" s="73"/>
      <c r="I400" s="73"/>
    </row>
    <row r="401" spans="1:9" ht="15.75" customHeight="1">
      <c r="A401" s="73"/>
      <c r="B401" s="73"/>
      <c r="C401" s="73"/>
      <c r="D401" s="73"/>
      <c r="E401" s="73"/>
      <c r="F401" s="73"/>
      <c r="G401" s="73"/>
      <c r="I401" s="73"/>
    </row>
    <row r="402" spans="1:9" ht="15.75" customHeight="1">
      <c r="A402" s="73"/>
      <c r="B402" s="73"/>
      <c r="C402" s="73"/>
      <c r="D402" s="73"/>
      <c r="E402" s="73"/>
      <c r="F402" s="73"/>
      <c r="G402" s="73"/>
      <c r="I402" s="73"/>
    </row>
    <row r="403" spans="1:9" ht="15.75" customHeight="1">
      <c r="A403" s="73"/>
      <c r="B403" s="73"/>
      <c r="C403" s="73"/>
      <c r="D403" s="73"/>
      <c r="E403" s="73"/>
      <c r="F403" s="73"/>
      <c r="G403" s="73"/>
      <c r="I403" s="73"/>
    </row>
    <row r="404" spans="1:9" ht="15.75" customHeight="1">
      <c r="A404" s="73"/>
      <c r="B404" s="73"/>
      <c r="C404" s="73"/>
      <c r="D404" s="73"/>
      <c r="E404" s="73"/>
      <c r="F404" s="73"/>
      <c r="G404" s="73"/>
      <c r="I404" s="73"/>
    </row>
    <row r="405" spans="1:9" ht="15.75" customHeight="1">
      <c r="A405" s="73"/>
      <c r="B405" s="73"/>
      <c r="C405" s="73"/>
      <c r="D405" s="73"/>
      <c r="E405" s="73"/>
      <c r="F405" s="73"/>
      <c r="G405" s="73"/>
      <c r="I405" s="73"/>
    </row>
    <row r="406" spans="1:9" ht="15.75" customHeight="1">
      <c r="A406" s="73"/>
      <c r="B406" s="73"/>
      <c r="C406" s="73"/>
      <c r="D406" s="73"/>
      <c r="E406" s="73"/>
      <c r="F406" s="73"/>
      <c r="G406" s="73"/>
      <c r="I406" s="73"/>
    </row>
    <row r="407" spans="1:9" ht="15.75" customHeight="1">
      <c r="A407" s="73"/>
      <c r="B407" s="73"/>
      <c r="C407" s="73"/>
      <c r="D407" s="73"/>
      <c r="E407" s="73"/>
      <c r="F407" s="73"/>
      <c r="G407" s="73"/>
      <c r="I407" s="73"/>
    </row>
    <row r="408" spans="1:9" ht="15.75" customHeight="1">
      <c r="A408" s="73"/>
      <c r="B408" s="73"/>
      <c r="C408" s="73"/>
      <c r="D408" s="73"/>
      <c r="E408" s="73"/>
      <c r="F408" s="73"/>
      <c r="G408" s="73"/>
      <c r="I408" s="73"/>
    </row>
    <row r="409" spans="1:9" ht="15.75" customHeight="1">
      <c r="A409" s="73"/>
      <c r="B409" s="73"/>
      <c r="C409" s="73"/>
      <c r="D409" s="73"/>
      <c r="E409" s="73"/>
      <c r="F409" s="73"/>
      <c r="G409" s="73"/>
      <c r="I409" s="73"/>
    </row>
    <row r="410" spans="1:9" ht="15.75" customHeight="1">
      <c r="A410" s="73"/>
      <c r="B410" s="73"/>
      <c r="C410" s="73"/>
      <c r="D410" s="73"/>
      <c r="E410" s="73"/>
      <c r="F410" s="73"/>
      <c r="G410" s="73"/>
      <c r="I410" s="73"/>
    </row>
    <row r="411" spans="1:9" ht="15.75" customHeight="1">
      <c r="A411" s="73"/>
      <c r="B411" s="73"/>
      <c r="C411" s="73"/>
      <c r="D411" s="73"/>
      <c r="E411" s="73"/>
      <c r="F411" s="73"/>
      <c r="G411" s="73"/>
      <c r="I411" s="73"/>
    </row>
    <row r="412" spans="1:9" ht="15.75" customHeight="1">
      <c r="A412" s="73"/>
      <c r="B412" s="73"/>
      <c r="C412" s="73"/>
      <c r="D412" s="73"/>
      <c r="E412" s="73"/>
      <c r="F412" s="73"/>
      <c r="G412" s="73"/>
      <c r="I412" s="73"/>
    </row>
    <row r="413" spans="1:9" ht="15.75" customHeight="1">
      <c r="A413" s="73"/>
      <c r="B413" s="73"/>
      <c r="C413" s="73"/>
      <c r="D413" s="73"/>
      <c r="E413" s="73"/>
      <c r="F413" s="73"/>
      <c r="G413" s="73"/>
      <c r="I413" s="73"/>
    </row>
    <row r="414" spans="1:9" ht="15.75" customHeight="1">
      <c r="A414" s="73"/>
      <c r="B414" s="73"/>
      <c r="C414" s="73"/>
      <c r="D414" s="73"/>
      <c r="E414" s="73"/>
      <c r="F414" s="73"/>
      <c r="G414" s="73"/>
      <c r="I414" s="73"/>
    </row>
    <row r="415" spans="1:9" ht="15.75" customHeight="1">
      <c r="A415" s="73"/>
      <c r="B415" s="73"/>
      <c r="C415" s="73"/>
      <c r="D415" s="73"/>
      <c r="E415" s="73"/>
      <c r="F415" s="73"/>
      <c r="G415" s="73"/>
      <c r="I415" s="73"/>
    </row>
    <row r="416" spans="1:9" ht="15.75" customHeight="1">
      <c r="A416" s="73"/>
      <c r="B416" s="73"/>
      <c r="C416" s="73"/>
      <c r="D416" s="73"/>
      <c r="E416" s="73"/>
      <c r="F416" s="73"/>
      <c r="G416" s="73"/>
      <c r="I416" s="73"/>
    </row>
    <row r="417" spans="1:9" ht="15.75" customHeight="1">
      <c r="A417" s="73"/>
      <c r="B417" s="73"/>
      <c r="C417" s="73"/>
      <c r="D417" s="73"/>
      <c r="E417" s="73"/>
      <c r="F417" s="73"/>
      <c r="G417" s="73"/>
      <c r="I417" s="73"/>
    </row>
    <row r="418" spans="1:9" ht="15.75" customHeight="1">
      <c r="A418" s="73"/>
      <c r="B418" s="73"/>
      <c r="C418" s="73"/>
      <c r="D418" s="73"/>
      <c r="E418" s="73"/>
      <c r="F418" s="73"/>
      <c r="G418" s="73"/>
      <c r="I418" s="73"/>
    </row>
    <row r="419" spans="1:9" ht="15.75" customHeight="1">
      <c r="A419" s="73"/>
      <c r="B419" s="73"/>
      <c r="C419" s="73"/>
      <c r="D419" s="73"/>
      <c r="E419" s="73"/>
      <c r="F419" s="73"/>
      <c r="G419" s="73"/>
      <c r="I419" s="73"/>
    </row>
    <row r="420" spans="1:9" ht="15.75" customHeight="1">
      <c r="A420" s="73"/>
      <c r="B420" s="73"/>
      <c r="C420" s="73"/>
      <c r="D420" s="73"/>
      <c r="E420" s="73"/>
      <c r="F420" s="73"/>
      <c r="G420" s="73"/>
      <c r="I420" s="73"/>
    </row>
    <row r="421" spans="1:9" ht="15.75" customHeight="1">
      <c r="A421" s="73"/>
      <c r="B421" s="73"/>
      <c r="C421" s="73"/>
      <c r="D421" s="73"/>
      <c r="E421" s="73"/>
      <c r="F421" s="73"/>
      <c r="G421" s="73"/>
      <c r="I421" s="73"/>
    </row>
    <row r="422" spans="1:9" ht="15.75" customHeight="1">
      <c r="A422" s="73"/>
      <c r="B422" s="73"/>
      <c r="C422" s="73"/>
      <c r="D422" s="73"/>
      <c r="E422" s="73"/>
      <c r="F422" s="73"/>
      <c r="G422" s="73"/>
      <c r="I422" s="73"/>
    </row>
    <row r="423" spans="1:9" ht="15.75" customHeight="1">
      <c r="A423" s="73"/>
      <c r="B423" s="73"/>
      <c r="C423" s="73"/>
      <c r="D423" s="73"/>
      <c r="E423" s="73"/>
      <c r="F423" s="73"/>
      <c r="G423" s="73"/>
      <c r="I423" s="73"/>
    </row>
    <row r="424" spans="1:9" ht="15.75" customHeight="1">
      <c r="A424" s="73"/>
      <c r="B424" s="73"/>
      <c r="C424" s="73"/>
      <c r="D424" s="73"/>
      <c r="E424" s="73"/>
      <c r="F424" s="73"/>
      <c r="G424" s="73"/>
      <c r="I424" s="73"/>
    </row>
    <row r="425" spans="1:9" ht="15.75" customHeight="1">
      <c r="A425" s="73"/>
      <c r="B425" s="73"/>
      <c r="C425" s="73"/>
      <c r="D425" s="73"/>
      <c r="E425" s="73"/>
      <c r="F425" s="73"/>
      <c r="G425" s="73"/>
      <c r="I425" s="73"/>
    </row>
    <row r="426" spans="1:9" ht="15.75" customHeight="1">
      <c r="A426" s="73"/>
      <c r="B426" s="73"/>
      <c r="C426" s="73"/>
      <c r="D426" s="73"/>
      <c r="E426" s="73"/>
      <c r="F426" s="73"/>
      <c r="G426" s="73"/>
      <c r="I426" s="73"/>
    </row>
    <row r="427" spans="1:9" ht="15.75" customHeight="1">
      <c r="A427" s="73"/>
      <c r="B427" s="73"/>
      <c r="C427" s="73"/>
      <c r="D427" s="73"/>
      <c r="E427" s="73"/>
      <c r="F427" s="73"/>
      <c r="G427" s="73"/>
      <c r="I427" s="73"/>
    </row>
    <row r="428" spans="1:9" ht="15.75" customHeight="1">
      <c r="A428" s="73"/>
      <c r="B428" s="73"/>
      <c r="C428" s="73"/>
      <c r="D428" s="73"/>
      <c r="E428" s="73"/>
      <c r="F428" s="73"/>
      <c r="G428" s="73"/>
      <c r="I428" s="73"/>
    </row>
    <row r="429" spans="1:9" ht="15.75" customHeight="1">
      <c r="A429" s="73"/>
      <c r="B429" s="73"/>
      <c r="C429" s="73"/>
      <c r="D429" s="73"/>
      <c r="E429" s="73"/>
      <c r="F429" s="73"/>
      <c r="G429" s="73"/>
      <c r="I429" s="73"/>
    </row>
    <row r="430" spans="1:9" ht="15.75" customHeight="1">
      <c r="A430" s="73"/>
      <c r="B430" s="73"/>
      <c r="C430" s="73"/>
      <c r="D430" s="73"/>
      <c r="E430" s="73"/>
      <c r="F430" s="73"/>
      <c r="G430" s="73"/>
      <c r="I430" s="73"/>
    </row>
    <row r="431" spans="1:9" ht="15.75" customHeight="1">
      <c r="A431" s="73"/>
      <c r="B431" s="73"/>
      <c r="C431" s="73"/>
      <c r="D431" s="73"/>
      <c r="E431" s="73"/>
      <c r="F431" s="73"/>
      <c r="G431" s="73"/>
      <c r="I431" s="73"/>
    </row>
    <row r="432" spans="1:9" ht="15.75" customHeight="1">
      <c r="A432" s="73"/>
      <c r="B432" s="73"/>
      <c r="C432" s="73"/>
      <c r="D432" s="73"/>
      <c r="E432" s="73"/>
      <c r="F432" s="73"/>
      <c r="G432" s="73"/>
      <c r="I432" s="73"/>
    </row>
    <row r="433" spans="1:9" ht="15.75" customHeight="1">
      <c r="A433" s="73"/>
      <c r="B433" s="73"/>
      <c r="C433" s="73"/>
      <c r="D433" s="73"/>
      <c r="E433" s="73"/>
      <c r="F433" s="73"/>
      <c r="G433" s="73"/>
      <c r="I433" s="73"/>
    </row>
    <row r="434" spans="1:9" ht="15.75" customHeight="1">
      <c r="A434" s="73"/>
      <c r="B434" s="73"/>
      <c r="C434" s="73"/>
      <c r="D434" s="73"/>
      <c r="E434" s="73"/>
      <c r="F434" s="73"/>
      <c r="G434" s="73"/>
      <c r="I434" s="73"/>
    </row>
    <row r="435" spans="1:9" ht="15.75" customHeight="1">
      <c r="A435" s="73"/>
      <c r="B435" s="73"/>
      <c r="C435" s="73"/>
      <c r="D435" s="73"/>
      <c r="E435" s="73"/>
      <c r="F435" s="73"/>
      <c r="G435" s="73"/>
      <c r="I435" s="73"/>
    </row>
    <row r="436" spans="1:9" ht="15.75" customHeight="1">
      <c r="A436" s="73"/>
      <c r="B436" s="73"/>
      <c r="C436" s="73"/>
      <c r="D436" s="73"/>
      <c r="E436" s="73"/>
      <c r="F436" s="73"/>
      <c r="G436" s="73"/>
      <c r="I436" s="73"/>
    </row>
    <row r="437" spans="1:9" ht="15.75" customHeight="1">
      <c r="A437" s="73"/>
      <c r="B437" s="73"/>
      <c r="C437" s="73"/>
      <c r="D437" s="73"/>
      <c r="E437" s="73"/>
      <c r="F437" s="73"/>
      <c r="G437" s="73"/>
      <c r="I437" s="73"/>
    </row>
    <row r="438" spans="1:9" ht="15.75" customHeight="1">
      <c r="A438" s="73"/>
      <c r="B438" s="73"/>
      <c r="C438" s="73"/>
      <c r="D438" s="73"/>
      <c r="E438" s="73"/>
      <c r="F438" s="73"/>
      <c r="G438" s="73"/>
      <c r="I438" s="73"/>
    </row>
    <row r="439" spans="1:9" ht="15.75" customHeight="1">
      <c r="A439" s="73"/>
      <c r="B439" s="73"/>
      <c r="C439" s="73"/>
      <c r="D439" s="73"/>
      <c r="E439" s="73"/>
      <c r="F439" s="73"/>
      <c r="G439" s="73"/>
      <c r="I439" s="73"/>
    </row>
    <row r="440" spans="1:9" ht="15.75" customHeight="1">
      <c r="A440" s="73"/>
      <c r="B440" s="73"/>
      <c r="C440" s="73"/>
      <c r="D440" s="73"/>
      <c r="E440" s="73"/>
      <c r="F440" s="73"/>
      <c r="G440" s="73"/>
      <c r="I440" s="73"/>
    </row>
    <row r="441" spans="1:9" ht="15.75" customHeight="1">
      <c r="A441" s="73"/>
      <c r="B441" s="73"/>
      <c r="C441" s="73"/>
      <c r="D441" s="73"/>
      <c r="E441" s="73"/>
      <c r="F441" s="73"/>
      <c r="G441" s="73"/>
      <c r="I441" s="73"/>
    </row>
    <row r="442" spans="1:9" ht="15.75" customHeight="1">
      <c r="A442" s="73"/>
      <c r="B442" s="73"/>
      <c r="C442" s="73"/>
      <c r="D442" s="73"/>
      <c r="E442" s="73"/>
      <c r="F442" s="73"/>
      <c r="G442" s="73"/>
      <c r="I442" s="73"/>
    </row>
    <row r="443" spans="1:9" ht="15.75" customHeight="1">
      <c r="A443" s="73"/>
      <c r="B443" s="73"/>
      <c r="C443" s="73"/>
      <c r="D443" s="73"/>
      <c r="E443" s="73"/>
      <c r="F443" s="73"/>
      <c r="G443" s="73"/>
      <c r="I443" s="73"/>
    </row>
    <row r="444" spans="1:9" ht="15.75" customHeight="1">
      <c r="A444" s="73"/>
      <c r="B444" s="73"/>
      <c r="C444" s="73"/>
      <c r="D444" s="73"/>
      <c r="E444" s="73"/>
      <c r="F444" s="73"/>
      <c r="G444" s="73"/>
      <c r="I444" s="73"/>
    </row>
    <row r="445" spans="1:9" ht="15.75" customHeight="1">
      <c r="A445" s="73"/>
      <c r="B445" s="73"/>
      <c r="C445" s="73"/>
      <c r="D445" s="73"/>
      <c r="E445" s="73"/>
      <c r="F445" s="73"/>
      <c r="G445" s="73"/>
      <c r="I445" s="73"/>
    </row>
    <row r="446" spans="1:9" ht="15.75" customHeight="1">
      <c r="A446" s="73"/>
      <c r="B446" s="73"/>
      <c r="C446" s="73"/>
      <c r="D446" s="73"/>
      <c r="E446" s="73"/>
      <c r="F446" s="73"/>
      <c r="G446" s="73"/>
      <c r="I446" s="73"/>
    </row>
    <row r="447" spans="1:9" ht="15.75" customHeight="1">
      <c r="A447" s="73"/>
      <c r="B447" s="73"/>
      <c r="C447" s="73"/>
      <c r="D447" s="73"/>
      <c r="E447" s="73"/>
      <c r="F447" s="73"/>
      <c r="G447" s="73"/>
      <c r="I447" s="73"/>
    </row>
    <row r="448" spans="1:9" ht="15.75" customHeight="1">
      <c r="A448" s="73"/>
      <c r="B448" s="73"/>
      <c r="C448" s="73"/>
      <c r="D448" s="73"/>
      <c r="E448" s="73"/>
      <c r="F448" s="73"/>
      <c r="G448" s="73"/>
      <c r="I448" s="73"/>
    </row>
    <row r="449" spans="1:9" ht="15.75" customHeight="1">
      <c r="A449" s="73"/>
      <c r="B449" s="73"/>
      <c r="C449" s="73"/>
      <c r="D449" s="73"/>
      <c r="E449" s="73"/>
      <c r="F449" s="73"/>
      <c r="G449" s="73"/>
      <c r="I449" s="73"/>
    </row>
    <row r="450" spans="1:9" ht="15.75" customHeight="1">
      <c r="A450" s="73"/>
      <c r="B450" s="73"/>
      <c r="C450" s="73"/>
      <c r="D450" s="73"/>
      <c r="E450" s="73"/>
      <c r="F450" s="73"/>
      <c r="G450" s="73"/>
      <c r="I450" s="73"/>
    </row>
    <row r="451" spans="1:9" ht="15.75" customHeight="1">
      <c r="A451" s="73"/>
      <c r="B451" s="73"/>
      <c r="C451" s="73"/>
      <c r="D451" s="73"/>
      <c r="E451" s="73"/>
      <c r="F451" s="73"/>
      <c r="G451" s="73"/>
      <c r="I451" s="73"/>
    </row>
    <row r="452" spans="1:9" ht="15.75" customHeight="1">
      <c r="A452" s="73"/>
      <c r="B452" s="73"/>
      <c r="C452" s="73"/>
      <c r="D452" s="73"/>
      <c r="E452" s="73"/>
      <c r="F452" s="73"/>
      <c r="G452" s="73"/>
      <c r="I452" s="73"/>
    </row>
    <row r="453" spans="1:9" ht="15.75" customHeight="1">
      <c r="A453" s="73"/>
      <c r="B453" s="73"/>
      <c r="C453" s="73"/>
      <c r="D453" s="73"/>
      <c r="E453" s="73"/>
      <c r="F453" s="73"/>
      <c r="G453" s="73"/>
      <c r="I453" s="73"/>
    </row>
    <row r="454" spans="1:9" ht="15.75" customHeight="1">
      <c r="A454" s="73"/>
      <c r="B454" s="73"/>
      <c r="C454" s="73"/>
      <c r="D454" s="73"/>
      <c r="E454" s="73"/>
      <c r="F454" s="73"/>
      <c r="G454" s="73"/>
      <c r="I454" s="73"/>
    </row>
    <row r="455" spans="1:9" ht="15.75" customHeight="1">
      <c r="A455" s="73"/>
      <c r="B455" s="73"/>
      <c r="C455" s="73"/>
      <c r="D455" s="73"/>
      <c r="E455" s="73"/>
      <c r="F455" s="73"/>
      <c r="G455" s="73"/>
      <c r="I455" s="73"/>
    </row>
    <row r="456" spans="1:9" ht="15.75" customHeight="1">
      <c r="A456" s="73"/>
      <c r="B456" s="73"/>
      <c r="C456" s="73"/>
      <c r="D456" s="73"/>
      <c r="E456" s="73"/>
      <c r="F456" s="73"/>
      <c r="G456" s="73"/>
      <c r="I456" s="73"/>
    </row>
    <row r="457" spans="1:9" ht="15.75" customHeight="1">
      <c r="A457" s="73"/>
      <c r="B457" s="73"/>
      <c r="C457" s="73"/>
      <c r="D457" s="73"/>
      <c r="E457" s="73"/>
      <c r="F457" s="73"/>
      <c r="G457" s="73"/>
      <c r="I457" s="73"/>
    </row>
    <row r="458" spans="1:9" ht="15.75" customHeight="1">
      <c r="A458" s="73"/>
      <c r="B458" s="73"/>
      <c r="C458" s="73"/>
      <c r="D458" s="73"/>
      <c r="E458" s="73"/>
      <c r="F458" s="73"/>
      <c r="G458" s="73"/>
      <c r="I458" s="73"/>
    </row>
    <row r="459" spans="1:9" ht="15.75" customHeight="1">
      <c r="A459" s="73"/>
      <c r="B459" s="73"/>
      <c r="C459" s="73"/>
      <c r="D459" s="73"/>
      <c r="E459" s="73"/>
      <c r="F459" s="73"/>
      <c r="G459" s="73"/>
      <c r="I459" s="73"/>
    </row>
    <row r="460" spans="1:9" ht="15.75" customHeight="1">
      <c r="A460" s="73"/>
      <c r="B460" s="73"/>
      <c r="C460" s="73"/>
      <c r="D460" s="73"/>
      <c r="E460" s="73"/>
      <c r="F460" s="73"/>
      <c r="G460" s="73"/>
      <c r="I460" s="73"/>
    </row>
    <row r="461" spans="1:9" ht="15.75" customHeight="1">
      <c r="A461" s="73"/>
      <c r="B461" s="73"/>
      <c r="C461" s="73"/>
      <c r="D461" s="73"/>
      <c r="E461" s="73"/>
      <c r="F461" s="73"/>
      <c r="G461" s="73"/>
      <c r="I461" s="73"/>
    </row>
    <row r="462" spans="1:9" ht="15.75" customHeight="1">
      <c r="A462" s="73"/>
      <c r="B462" s="73"/>
      <c r="C462" s="73"/>
      <c r="D462" s="73"/>
      <c r="E462" s="73"/>
      <c r="F462" s="73"/>
      <c r="G462" s="73"/>
      <c r="I462" s="73"/>
    </row>
    <row r="463" spans="1:9" ht="15.75" customHeight="1">
      <c r="A463" s="73"/>
      <c r="B463" s="73"/>
      <c r="C463" s="73"/>
      <c r="D463" s="73"/>
      <c r="E463" s="73"/>
      <c r="F463" s="73"/>
      <c r="G463" s="73"/>
      <c r="I463" s="73"/>
    </row>
    <row r="464" spans="1:9" ht="15.75" customHeight="1">
      <c r="A464" s="73"/>
      <c r="B464" s="73"/>
      <c r="C464" s="73"/>
      <c r="D464" s="73"/>
      <c r="E464" s="73"/>
      <c r="F464" s="73"/>
      <c r="G464" s="73"/>
      <c r="I464" s="73"/>
    </row>
    <row r="465" spans="1:9" ht="15.75" customHeight="1">
      <c r="A465" s="73"/>
      <c r="B465" s="73"/>
      <c r="C465" s="73"/>
      <c r="D465" s="73"/>
      <c r="E465" s="73"/>
      <c r="F465" s="73"/>
      <c r="G465" s="73"/>
      <c r="I465" s="73"/>
    </row>
    <row r="466" spans="1:9" ht="15.75" customHeight="1">
      <c r="A466" s="73"/>
      <c r="B466" s="73"/>
      <c r="C466" s="73"/>
      <c r="D466" s="73"/>
      <c r="E466" s="73"/>
      <c r="F466" s="73"/>
      <c r="G466" s="73"/>
      <c r="I466" s="73"/>
    </row>
    <row r="467" spans="1:9" ht="15.75" customHeight="1">
      <c r="A467" s="73"/>
      <c r="B467" s="73"/>
      <c r="C467" s="73"/>
      <c r="D467" s="73"/>
      <c r="E467" s="73"/>
      <c r="F467" s="73"/>
      <c r="G467" s="73"/>
      <c r="I467" s="73"/>
    </row>
    <row r="468" spans="1:9" ht="15.75" customHeight="1">
      <c r="A468" s="73"/>
      <c r="B468" s="73"/>
      <c r="C468" s="73"/>
      <c r="D468" s="73"/>
      <c r="E468" s="73"/>
      <c r="F468" s="73"/>
      <c r="G468" s="73"/>
      <c r="I468" s="73"/>
    </row>
    <row r="469" spans="1:9" ht="15.75" customHeight="1">
      <c r="A469" s="73"/>
      <c r="B469" s="73"/>
      <c r="C469" s="73"/>
      <c r="D469" s="73"/>
      <c r="E469" s="73"/>
      <c r="F469" s="73"/>
      <c r="G469" s="73"/>
      <c r="I469" s="73"/>
    </row>
    <row r="470" spans="1:9" ht="15.75" customHeight="1">
      <c r="A470" s="73"/>
      <c r="B470" s="73"/>
      <c r="C470" s="73"/>
      <c r="D470" s="73"/>
      <c r="E470" s="73"/>
      <c r="F470" s="73"/>
      <c r="G470" s="73"/>
      <c r="I470" s="73"/>
    </row>
    <row r="471" spans="1:9" ht="15.75" customHeight="1">
      <c r="A471" s="73"/>
      <c r="B471" s="73"/>
      <c r="C471" s="73"/>
      <c r="D471" s="73"/>
      <c r="E471" s="73"/>
      <c r="F471" s="73"/>
      <c r="G471" s="73"/>
      <c r="I471" s="73"/>
    </row>
    <row r="472" spans="1:9" ht="15.75" customHeight="1">
      <c r="A472" s="73"/>
      <c r="B472" s="73"/>
      <c r="C472" s="73"/>
      <c r="D472" s="73"/>
      <c r="E472" s="73"/>
      <c r="F472" s="73"/>
      <c r="G472" s="73"/>
      <c r="I472" s="73"/>
    </row>
    <row r="473" spans="1:9" ht="15.75" customHeight="1">
      <c r="A473" s="73"/>
      <c r="B473" s="73"/>
      <c r="C473" s="73"/>
      <c r="D473" s="73"/>
      <c r="E473" s="73"/>
      <c r="F473" s="73"/>
      <c r="G473" s="73"/>
      <c r="I473" s="73"/>
    </row>
    <row r="474" spans="1:9" ht="15.75" customHeight="1">
      <c r="A474" s="73"/>
      <c r="B474" s="73"/>
      <c r="C474" s="73"/>
      <c r="D474" s="73"/>
      <c r="E474" s="73"/>
      <c r="F474" s="73"/>
      <c r="G474" s="73"/>
      <c r="I474" s="73"/>
    </row>
    <row r="475" spans="1:9" ht="15.75" customHeight="1">
      <c r="A475" s="73"/>
      <c r="B475" s="73"/>
      <c r="C475" s="73"/>
      <c r="D475" s="73"/>
      <c r="E475" s="73"/>
      <c r="F475" s="73"/>
      <c r="G475" s="73"/>
      <c r="I475" s="73"/>
    </row>
    <row r="476" spans="1:9" ht="15.75" customHeight="1">
      <c r="A476" s="73"/>
      <c r="B476" s="73"/>
      <c r="C476" s="73"/>
      <c r="D476" s="73"/>
      <c r="E476" s="73"/>
      <c r="F476" s="73"/>
      <c r="G476" s="73"/>
      <c r="I476" s="73"/>
    </row>
    <row r="477" spans="1:9" ht="15.75" customHeight="1">
      <c r="A477" s="73"/>
      <c r="B477" s="73"/>
      <c r="C477" s="73"/>
      <c r="D477" s="73"/>
      <c r="E477" s="73"/>
      <c r="F477" s="73"/>
      <c r="G477" s="73"/>
      <c r="I477" s="73"/>
    </row>
    <row r="478" spans="1:9" ht="15.75" customHeight="1">
      <c r="A478" s="73"/>
      <c r="B478" s="73"/>
      <c r="C478" s="73"/>
      <c r="D478" s="73"/>
      <c r="E478" s="73"/>
      <c r="F478" s="73"/>
      <c r="G478" s="73"/>
      <c r="I478" s="73"/>
    </row>
    <row r="479" spans="1:9" ht="15.75" customHeight="1">
      <c r="A479" s="73"/>
      <c r="B479" s="73"/>
      <c r="C479" s="73"/>
      <c r="D479" s="73"/>
      <c r="E479" s="73"/>
      <c r="F479" s="73"/>
      <c r="G479" s="73"/>
      <c r="I479" s="73"/>
    </row>
    <row r="480" spans="1:9" ht="15.75" customHeight="1">
      <c r="A480" s="73"/>
      <c r="B480" s="73"/>
      <c r="C480" s="73"/>
      <c r="D480" s="73"/>
      <c r="E480" s="73"/>
      <c r="F480" s="73"/>
      <c r="G480" s="73"/>
      <c r="I480" s="73"/>
    </row>
    <row r="481" spans="1:9" ht="15.75" customHeight="1">
      <c r="A481" s="73"/>
      <c r="B481" s="73"/>
      <c r="C481" s="73"/>
      <c r="D481" s="73"/>
      <c r="E481" s="73"/>
      <c r="F481" s="73"/>
      <c r="G481" s="73"/>
      <c r="I481" s="73"/>
    </row>
    <row r="482" spans="1:9" ht="15.75" customHeight="1">
      <c r="A482" s="73"/>
      <c r="B482" s="73"/>
      <c r="C482" s="73"/>
      <c r="D482" s="73"/>
      <c r="E482" s="73"/>
      <c r="F482" s="73"/>
      <c r="G482" s="73"/>
      <c r="I482" s="73"/>
    </row>
    <row r="483" spans="1:9" ht="15.75" customHeight="1">
      <c r="A483" s="73"/>
      <c r="B483" s="73"/>
      <c r="C483" s="73"/>
      <c r="D483" s="73"/>
      <c r="E483" s="73"/>
      <c r="F483" s="73"/>
      <c r="G483" s="73"/>
      <c r="I483" s="73"/>
    </row>
    <row r="484" spans="1:9" ht="15.75" customHeight="1">
      <c r="A484" s="73"/>
      <c r="B484" s="73"/>
      <c r="C484" s="73"/>
      <c r="D484" s="73"/>
      <c r="E484" s="73"/>
      <c r="F484" s="73"/>
      <c r="G484" s="73"/>
      <c r="I484" s="73"/>
    </row>
    <row r="485" spans="1:9" ht="15.75" customHeight="1">
      <c r="A485" s="73"/>
      <c r="B485" s="73"/>
      <c r="C485" s="73"/>
      <c r="D485" s="73"/>
      <c r="E485" s="73"/>
      <c r="F485" s="73"/>
      <c r="G485" s="73"/>
      <c r="I485" s="73"/>
    </row>
    <row r="486" spans="1:9" ht="15.75" customHeight="1">
      <c r="A486" s="73"/>
      <c r="B486" s="73"/>
      <c r="C486" s="73"/>
      <c r="D486" s="73"/>
      <c r="E486" s="73"/>
      <c r="F486" s="73"/>
      <c r="G486" s="73"/>
      <c r="I486" s="73"/>
    </row>
    <row r="487" spans="1:9" ht="15.75" customHeight="1">
      <c r="A487" s="73"/>
      <c r="B487" s="73"/>
      <c r="C487" s="73"/>
      <c r="D487" s="73"/>
      <c r="E487" s="73"/>
      <c r="F487" s="73"/>
      <c r="G487" s="73"/>
      <c r="I487" s="73"/>
    </row>
    <row r="488" spans="1:9" ht="15.75" customHeight="1">
      <c r="A488" s="73"/>
      <c r="B488" s="73"/>
      <c r="C488" s="73"/>
      <c r="D488" s="73"/>
      <c r="E488" s="73"/>
      <c r="F488" s="73"/>
      <c r="G488" s="73"/>
      <c r="I488" s="73"/>
    </row>
    <row r="489" spans="1:9" ht="15.75" customHeight="1">
      <c r="A489" s="73"/>
      <c r="B489" s="73"/>
      <c r="C489" s="73"/>
      <c r="D489" s="73"/>
      <c r="E489" s="73"/>
      <c r="F489" s="73"/>
      <c r="G489" s="73"/>
      <c r="I489" s="73"/>
    </row>
    <row r="490" spans="1:9" ht="15.75" customHeight="1">
      <c r="A490" s="73"/>
      <c r="B490" s="73"/>
      <c r="C490" s="73"/>
      <c r="D490" s="73"/>
      <c r="E490" s="73"/>
      <c r="F490" s="73"/>
      <c r="G490" s="73"/>
      <c r="I490" s="73"/>
    </row>
    <row r="491" spans="1:9" ht="15.75" customHeight="1">
      <c r="A491" s="73"/>
      <c r="B491" s="73"/>
      <c r="C491" s="73"/>
      <c r="D491" s="73"/>
      <c r="E491" s="73"/>
      <c r="F491" s="73"/>
      <c r="G491" s="73"/>
      <c r="I491" s="73"/>
    </row>
    <row r="492" spans="1:9" ht="15.75" customHeight="1">
      <c r="A492" s="73"/>
      <c r="B492" s="73"/>
      <c r="C492" s="73"/>
      <c r="D492" s="73"/>
      <c r="E492" s="73"/>
      <c r="F492" s="73"/>
      <c r="G492" s="73"/>
      <c r="I492" s="73"/>
    </row>
    <row r="493" spans="1:9" ht="15.75" customHeight="1">
      <c r="A493" s="73"/>
      <c r="B493" s="73"/>
      <c r="C493" s="73"/>
      <c r="D493" s="73"/>
      <c r="E493" s="73"/>
      <c r="F493" s="73"/>
      <c r="G493" s="73"/>
      <c r="I493" s="73"/>
    </row>
    <row r="494" spans="1:9" ht="15.75" customHeight="1">
      <c r="A494" s="73"/>
      <c r="B494" s="73"/>
      <c r="C494" s="73"/>
      <c r="D494" s="73"/>
      <c r="E494" s="73"/>
      <c r="F494" s="73"/>
      <c r="G494" s="73"/>
      <c r="I494" s="73"/>
    </row>
    <row r="495" spans="1:9" ht="15.75" customHeight="1">
      <c r="A495" s="73"/>
      <c r="B495" s="73"/>
      <c r="C495" s="73"/>
      <c r="D495" s="73"/>
      <c r="E495" s="73"/>
      <c r="F495" s="73"/>
      <c r="G495" s="73"/>
      <c r="I495" s="73"/>
    </row>
    <row r="496" spans="1:9" ht="15.75" customHeight="1">
      <c r="A496" s="73"/>
      <c r="B496" s="73"/>
      <c r="C496" s="73"/>
      <c r="D496" s="73"/>
      <c r="E496" s="73"/>
      <c r="F496" s="73"/>
      <c r="G496" s="73"/>
      <c r="I496" s="73"/>
    </row>
    <row r="497" spans="1:9" ht="15.75" customHeight="1">
      <c r="A497" s="73"/>
      <c r="B497" s="73"/>
      <c r="C497" s="73"/>
      <c r="D497" s="73"/>
      <c r="E497" s="73"/>
      <c r="F497" s="73"/>
      <c r="G497" s="73"/>
      <c r="I497" s="73"/>
    </row>
    <row r="498" spans="1:9" ht="15.75" customHeight="1">
      <c r="A498" s="73"/>
      <c r="B498" s="73"/>
      <c r="C498" s="73"/>
      <c r="D498" s="73"/>
      <c r="E498" s="73"/>
      <c r="F498" s="73"/>
      <c r="G498" s="73"/>
      <c r="I498" s="73"/>
    </row>
    <row r="499" spans="1:9" ht="15.75" customHeight="1">
      <c r="A499" s="73"/>
      <c r="B499" s="73"/>
      <c r="C499" s="73"/>
      <c r="D499" s="73"/>
      <c r="E499" s="73"/>
      <c r="F499" s="73"/>
      <c r="G499" s="73"/>
      <c r="I499" s="73"/>
    </row>
    <row r="500" spans="1:9" ht="15.75" customHeight="1">
      <c r="A500" s="73"/>
      <c r="B500" s="73"/>
      <c r="C500" s="73"/>
      <c r="D500" s="73"/>
      <c r="E500" s="73"/>
      <c r="F500" s="73"/>
      <c r="G500" s="73"/>
      <c r="I500" s="73"/>
    </row>
    <row r="501" spans="1:9" ht="15.75" customHeight="1">
      <c r="A501" s="73"/>
      <c r="B501" s="73"/>
      <c r="C501" s="73"/>
      <c r="D501" s="73"/>
      <c r="E501" s="73"/>
      <c r="F501" s="73"/>
      <c r="G501" s="73"/>
      <c r="I501" s="73"/>
    </row>
    <row r="502" spans="1:9" ht="15.75" customHeight="1">
      <c r="A502" s="73"/>
      <c r="B502" s="73"/>
      <c r="C502" s="73"/>
      <c r="D502" s="73"/>
      <c r="E502" s="73"/>
      <c r="F502" s="73"/>
      <c r="G502" s="73"/>
      <c r="I502" s="73"/>
    </row>
    <row r="503" spans="1:9" ht="15.75" customHeight="1">
      <c r="A503" s="73"/>
      <c r="B503" s="73"/>
      <c r="C503" s="73"/>
      <c r="D503" s="73"/>
      <c r="E503" s="73"/>
      <c r="F503" s="73"/>
      <c r="G503" s="73"/>
      <c r="I503" s="73"/>
    </row>
    <row r="504" spans="1:9" ht="15.75" customHeight="1">
      <c r="A504" s="73"/>
      <c r="B504" s="73"/>
      <c r="C504" s="73"/>
      <c r="D504" s="73"/>
      <c r="E504" s="73"/>
      <c r="F504" s="73"/>
      <c r="G504" s="73"/>
      <c r="I504" s="73"/>
    </row>
    <row r="505" spans="1:9" ht="15.75" customHeight="1">
      <c r="A505" s="73"/>
      <c r="B505" s="73"/>
      <c r="C505" s="73"/>
      <c r="D505" s="73"/>
      <c r="E505" s="73"/>
      <c r="F505" s="73"/>
      <c r="G505" s="73"/>
      <c r="I505" s="73"/>
    </row>
    <row r="506" spans="1:9" ht="15.75" customHeight="1">
      <c r="A506" s="73"/>
      <c r="B506" s="73"/>
      <c r="C506" s="73"/>
      <c r="D506" s="73"/>
      <c r="E506" s="73"/>
      <c r="F506" s="73"/>
      <c r="G506" s="73"/>
      <c r="I506" s="73"/>
    </row>
    <row r="507" spans="1:9" ht="15.75" customHeight="1">
      <c r="A507" s="73"/>
      <c r="B507" s="73"/>
      <c r="C507" s="73"/>
      <c r="D507" s="73"/>
      <c r="E507" s="73"/>
      <c r="F507" s="73"/>
      <c r="G507" s="73"/>
      <c r="I507" s="73"/>
    </row>
    <row r="508" spans="1:9" ht="15.75" customHeight="1">
      <c r="A508" s="73"/>
      <c r="B508" s="73"/>
      <c r="C508" s="73"/>
      <c r="D508" s="73"/>
      <c r="E508" s="73"/>
      <c r="F508" s="73"/>
      <c r="G508" s="73"/>
      <c r="I508" s="73"/>
    </row>
    <row r="509" spans="1:9" ht="15.75" customHeight="1">
      <c r="A509" s="73"/>
      <c r="B509" s="73"/>
      <c r="C509" s="73"/>
      <c r="D509" s="73"/>
      <c r="E509" s="73"/>
      <c r="F509" s="73"/>
      <c r="G509" s="73"/>
      <c r="I509" s="73"/>
    </row>
    <row r="510" spans="1:9" ht="15.75" customHeight="1">
      <c r="A510" s="73"/>
      <c r="B510" s="73"/>
      <c r="C510" s="73"/>
      <c r="D510" s="73"/>
      <c r="E510" s="73"/>
      <c r="F510" s="73"/>
      <c r="G510" s="73"/>
      <c r="I510" s="73"/>
    </row>
    <row r="511" spans="1:9" ht="15.75" customHeight="1">
      <c r="A511" s="73"/>
      <c r="B511" s="73"/>
      <c r="C511" s="73"/>
      <c r="D511" s="73"/>
      <c r="E511" s="73"/>
      <c r="F511" s="73"/>
      <c r="G511" s="73"/>
      <c r="I511" s="73"/>
    </row>
    <row r="512" spans="1:9" ht="15.75" customHeight="1">
      <c r="A512" s="73"/>
      <c r="B512" s="73"/>
      <c r="C512" s="73"/>
      <c r="D512" s="73"/>
      <c r="E512" s="73"/>
      <c r="F512" s="73"/>
      <c r="G512" s="73"/>
      <c r="I512" s="73"/>
    </row>
    <row r="513" spans="1:9" ht="15.75" customHeight="1">
      <c r="A513" s="73"/>
      <c r="B513" s="73"/>
      <c r="C513" s="73"/>
      <c r="D513" s="73"/>
      <c r="E513" s="73"/>
      <c r="F513" s="73"/>
      <c r="G513" s="73"/>
      <c r="I513" s="73"/>
    </row>
    <row r="514" spans="1:9" ht="15.75" customHeight="1">
      <c r="A514" s="73"/>
      <c r="B514" s="73"/>
      <c r="C514" s="73"/>
      <c r="D514" s="73"/>
      <c r="E514" s="73"/>
      <c r="F514" s="73"/>
      <c r="G514" s="73"/>
      <c r="I514" s="73"/>
    </row>
    <row r="515" spans="1:9" ht="15.75" customHeight="1">
      <c r="A515" s="73"/>
      <c r="B515" s="73"/>
      <c r="C515" s="73"/>
      <c r="D515" s="73"/>
      <c r="E515" s="73"/>
      <c r="F515" s="73"/>
      <c r="G515" s="73"/>
      <c r="I515" s="73"/>
    </row>
    <row r="516" spans="1:9" ht="15.75" customHeight="1">
      <c r="A516" s="73"/>
      <c r="B516" s="73"/>
      <c r="C516" s="73"/>
      <c r="D516" s="73"/>
      <c r="E516" s="73"/>
      <c r="F516" s="73"/>
      <c r="G516" s="73"/>
      <c r="I516" s="73"/>
    </row>
    <row r="517" spans="1:9" ht="15.75" customHeight="1">
      <c r="A517" s="73"/>
      <c r="B517" s="73"/>
      <c r="C517" s="73"/>
      <c r="D517" s="73"/>
      <c r="E517" s="73"/>
      <c r="F517" s="73"/>
      <c r="G517" s="73"/>
      <c r="I517" s="73"/>
    </row>
    <row r="518" spans="1:9" ht="15.75" customHeight="1">
      <c r="A518" s="73"/>
      <c r="B518" s="73"/>
      <c r="C518" s="73"/>
      <c r="D518" s="73"/>
      <c r="E518" s="73"/>
      <c r="F518" s="73"/>
      <c r="G518" s="73"/>
      <c r="I518" s="73"/>
    </row>
    <row r="519" spans="1:9" ht="15.75" customHeight="1">
      <c r="A519" s="73"/>
      <c r="B519" s="73"/>
      <c r="C519" s="73"/>
      <c r="D519" s="73"/>
      <c r="E519" s="73"/>
      <c r="F519" s="73"/>
      <c r="G519" s="73"/>
      <c r="I519" s="73"/>
    </row>
    <row r="520" spans="1:9" ht="15.75" customHeight="1">
      <c r="A520" s="73"/>
      <c r="B520" s="73"/>
      <c r="C520" s="73"/>
      <c r="D520" s="73"/>
      <c r="E520" s="73"/>
      <c r="F520" s="73"/>
      <c r="G520" s="73"/>
      <c r="I520" s="73"/>
    </row>
    <row r="521" spans="1:9" ht="15.75" customHeight="1">
      <c r="A521" s="73"/>
      <c r="B521" s="73"/>
      <c r="C521" s="73"/>
      <c r="D521" s="73"/>
      <c r="E521" s="73"/>
      <c r="F521" s="73"/>
      <c r="G521" s="73"/>
      <c r="I521" s="73"/>
    </row>
    <row r="522" spans="1:9" ht="15.75" customHeight="1">
      <c r="A522" s="73"/>
      <c r="B522" s="73"/>
      <c r="C522" s="73"/>
      <c r="D522" s="73"/>
      <c r="E522" s="73"/>
      <c r="F522" s="73"/>
      <c r="G522" s="73"/>
      <c r="I522" s="73"/>
    </row>
    <row r="523" spans="1:9" ht="15.75" customHeight="1">
      <c r="A523" s="73"/>
      <c r="B523" s="73"/>
      <c r="C523" s="73"/>
      <c r="D523" s="73"/>
      <c r="E523" s="73"/>
      <c r="F523" s="73"/>
      <c r="G523" s="73"/>
      <c r="I523" s="73"/>
    </row>
    <row r="524" spans="1:9" ht="15.75" customHeight="1">
      <c r="A524" s="73"/>
      <c r="B524" s="73"/>
      <c r="C524" s="73"/>
      <c r="D524" s="73"/>
      <c r="E524" s="73"/>
      <c r="F524" s="73"/>
      <c r="G524" s="73"/>
      <c r="I524" s="73"/>
    </row>
    <row r="525" spans="1:9" ht="15.75" customHeight="1">
      <c r="A525" s="73"/>
      <c r="B525" s="73"/>
      <c r="C525" s="73"/>
      <c r="D525" s="73"/>
      <c r="E525" s="73"/>
      <c r="F525" s="73"/>
      <c r="G525" s="73"/>
      <c r="I525" s="73"/>
    </row>
    <row r="526" spans="1:9" ht="15.75" customHeight="1">
      <c r="A526" s="73"/>
      <c r="B526" s="73"/>
      <c r="C526" s="73"/>
      <c r="D526" s="73"/>
      <c r="E526" s="73"/>
      <c r="F526" s="73"/>
      <c r="G526" s="73"/>
      <c r="I526" s="73"/>
    </row>
    <row r="527" spans="1:9" ht="15.75" customHeight="1">
      <c r="A527" s="73"/>
      <c r="B527" s="73"/>
      <c r="C527" s="73"/>
      <c r="D527" s="73"/>
      <c r="E527" s="73"/>
      <c r="F527" s="73"/>
      <c r="G527" s="73"/>
      <c r="I527" s="73"/>
    </row>
    <row r="528" spans="1:9" ht="15.75" customHeight="1">
      <c r="A528" s="73"/>
      <c r="B528" s="73"/>
      <c r="C528" s="73"/>
      <c r="D528" s="73"/>
      <c r="E528" s="73"/>
      <c r="F528" s="73"/>
      <c r="G528" s="73"/>
      <c r="I528" s="73"/>
    </row>
    <row r="529" spans="1:9" ht="15.75" customHeight="1">
      <c r="A529" s="73"/>
      <c r="B529" s="73"/>
      <c r="C529" s="73"/>
      <c r="D529" s="73"/>
      <c r="E529" s="73"/>
      <c r="F529" s="73"/>
      <c r="G529" s="73"/>
      <c r="I529" s="73"/>
    </row>
    <row r="530" spans="1:9" ht="15.75" customHeight="1">
      <c r="A530" s="73"/>
      <c r="B530" s="73"/>
      <c r="C530" s="73"/>
      <c r="D530" s="73"/>
      <c r="E530" s="73"/>
      <c r="F530" s="73"/>
      <c r="G530" s="73"/>
      <c r="I530" s="73"/>
    </row>
    <row r="531" spans="1:9" ht="15.75" customHeight="1">
      <c r="A531" s="73"/>
      <c r="B531" s="73"/>
      <c r="C531" s="73"/>
      <c r="D531" s="73"/>
      <c r="E531" s="73"/>
      <c r="F531" s="73"/>
      <c r="G531" s="73"/>
      <c r="I531" s="73"/>
    </row>
    <row r="532" spans="1:9" ht="15.75" customHeight="1">
      <c r="A532" s="73"/>
      <c r="B532" s="73"/>
      <c r="C532" s="73"/>
      <c r="D532" s="73"/>
      <c r="E532" s="73"/>
      <c r="F532" s="73"/>
      <c r="G532" s="73"/>
      <c r="I532" s="73"/>
    </row>
    <row r="533" spans="1:9" ht="15.75" customHeight="1">
      <c r="A533" s="73"/>
      <c r="B533" s="73"/>
      <c r="C533" s="73"/>
      <c r="D533" s="73"/>
      <c r="E533" s="73"/>
      <c r="F533" s="73"/>
      <c r="G533" s="73"/>
      <c r="I533" s="73"/>
    </row>
    <row r="534" spans="1:9" ht="15.75" customHeight="1">
      <c r="A534" s="73"/>
      <c r="B534" s="73"/>
      <c r="C534" s="73"/>
      <c r="D534" s="73"/>
      <c r="E534" s="73"/>
      <c r="F534" s="73"/>
      <c r="G534" s="73"/>
      <c r="I534" s="73"/>
    </row>
    <row r="535" spans="1:9" ht="15.75" customHeight="1">
      <c r="A535" s="73"/>
      <c r="B535" s="73"/>
      <c r="C535" s="73"/>
      <c r="D535" s="73"/>
      <c r="E535" s="73"/>
      <c r="F535" s="73"/>
      <c r="G535" s="73"/>
      <c r="I535" s="73"/>
    </row>
    <row r="536" spans="1:9" ht="15.75" customHeight="1">
      <c r="A536" s="73"/>
      <c r="B536" s="73"/>
      <c r="C536" s="73"/>
      <c r="D536" s="73"/>
      <c r="E536" s="73"/>
      <c r="F536" s="73"/>
      <c r="G536" s="73"/>
      <c r="I536" s="73"/>
    </row>
    <row r="537" spans="1:9" ht="15.75" customHeight="1">
      <c r="A537" s="73"/>
      <c r="B537" s="73"/>
      <c r="C537" s="73"/>
      <c r="D537" s="73"/>
      <c r="E537" s="73"/>
      <c r="F537" s="73"/>
      <c r="G537" s="73"/>
      <c r="I537" s="73"/>
    </row>
    <row r="538" spans="1:9" ht="15.75" customHeight="1">
      <c r="A538" s="73"/>
      <c r="B538" s="73"/>
      <c r="C538" s="73"/>
      <c r="D538" s="73"/>
      <c r="E538" s="73"/>
      <c r="F538" s="73"/>
      <c r="G538" s="73"/>
      <c r="I538" s="73"/>
    </row>
    <row r="539" spans="1:9" ht="15.75" customHeight="1">
      <c r="A539" s="73"/>
      <c r="B539" s="73"/>
      <c r="C539" s="73"/>
      <c r="D539" s="73"/>
      <c r="E539" s="73"/>
      <c r="F539" s="73"/>
      <c r="G539" s="73"/>
      <c r="I539" s="73"/>
    </row>
    <row r="540" spans="1:9" ht="15.75" customHeight="1">
      <c r="A540" s="73"/>
      <c r="B540" s="73"/>
      <c r="C540" s="73"/>
      <c r="D540" s="73"/>
      <c r="E540" s="73"/>
      <c r="F540" s="73"/>
      <c r="G540" s="73"/>
      <c r="I540" s="73"/>
    </row>
    <row r="541" spans="1:9" ht="15.75" customHeight="1">
      <c r="A541" s="73"/>
      <c r="B541" s="73"/>
      <c r="C541" s="73"/>
      <c r="D541" s="73"/>
      <c r="E541" s="73"/>
      <c r="F541" s="73"/>
      <c r="G541" s="73"/>
      <c r="I541" s="73"/>
    </row>
    <row r="542" spans="1:9" ht="15.75" customHeight="1">
      <c r="A542" s="73"/>
      <c r="B542" s="73"/>
      <c r="C542" s="73"/>
      <c r="D542" s="73"/>
      <c r="E542" s="73"/>
      <c r="F542" s="73"/>
      <c r="G542" s="73"/>
      <c r="I542" s="73"/>
    </row>
    <row r="543" spans="1:9" ht="15.75" customHeight="1">
      <c r="A543" s="73"/>
      <c r="B543" s="73"/>
      <c r="C543" s="73"/>
      <c r="D543" s="73"/>
      <c r="E543" s="73"/>
      <c r="F543" s="73"/>
      <c r="G543" s="73"/>
      <c r="I543" s="73"/>
    </row>
    <row r="544" spans="1:9" ht="15.75" customHeight="1">
      <c r="A544" s="73"/>
      <c r="B544" s="73"/>
      <c r="C544" s="73"/>
      <c r="D544" s="73"/>
      <c r="E544" s="73"/>
      <c r="F544" s="73"/>
      <c r="G544" s="73"/>
      <c r="I544" s="73"/>
    </row>
    <row r="545" spans="1:9" ht="15.75" customHeight="1">
      <c r="A545" s="73"/>
      <c r="B545" s="73"/>
      <c r="C545" s="73"/>
      <c r="D545" s="73"/>
      <c r="E545" s="73"/>
      <c r="F545" s="73"/>
      <c r="G545" s="73"/>
      <c r="I545" s="73"/>
    </row>
    <row r="546" spans="1:9" ht="15.75" customHeight="1">
      <c r="A546" s="73"/>
      <c r="B546" s="73"/>
      <c r="C546" s="73"/>
      <c r="D546" s="73"/>
      <c r="E546" s="73"/>
      <c r="F546" s="73"/>
      <c r="G546" s="73"/>
      <c r="I546" s="73"/>
    </row>
    <row r="547" spans="1:9" ht="15.75" customHeight="1">
      <c r="A547" s="73"/>
      <c r="B547" s="73"/>
      <c r="C547" s="73"/>
      <c r="D547" s="73"/>
      <c r="E547" s="73"/>
      <c r="F547" s="73"/>
      <c r="G547" s="73"/>
      <c r="I547" s="73"/>
    </row>
    <row r="548" spans="1:9" ht="15.75" customHeight="1">
      <c r="A548" s="73"/>
      <c r="B548" s="73"/>
      <c r="C548" s="73"/>
      <c r="D548" s="73"/>
      <c r="E548" s="73"/>
      <c r="F548" s="73"/>
      <c r="G548" s="73"/>
      <c r="I548" s="73"/>
    </row>
    <row r="549" spans="1:9" ht="15.75" customHeight="1">
      <c r="A549" s="73"/>
      <c r="B549" s="73"/>
      <c r="C549" s="73"/>
      <c r="D549" s="73"/>
      <c r="E549" s="73"/>
      <c r="F549" s="73"/>
      <c r="G549" s="73"/>
      <c r="I549" s="73"/>
    </row>
    <row r="550" spans="1:9" ht="15.75" customHeight="1">
      <c r="A550" s="73"/>
      <c r="B550" s="73"/>
      <c r="C550" s="73"/>
      <c r="D550" s="73"/>
      <c r="E550" s="73"/>
      <c r="F550" s="73"/>
      <c r="G550" s="73"/>
      <c r="I550" s="73"/>
    </row>
    <row r="551" spans="1:9" ht="15.75" customHeight="1">
      <c r="A551" s="73"/>
      <c r="B551" s="73"/>
      <c r="C551" s="73"/>
      <c r="D551" s="73"/>
      <c r="E551" s="73"/>
      <c r="F551" s="73"/>
      <c r="G551" s="73"/>
      <c r="I551" s="73"/>
    </row>
    <row r="552" spans="1:9" ht="15.75" customHeight="1">
      <c r="A552" s="73"/>
      <c r="B552" s="73"/>
      <c r="C552" s="73"/>
      <c r="D552" s="73"/>
      <c r="E552" s="73"/>
      <c r="F552" s="73"/>
      <c r="G552" s="73"/>
      <c r="I552" s="73"/>
    </row>
    <row r="553" spans="1:9" ht="15.75" customHeight="1">
      <c r="A553" s="73"/>
      <c r="B553" s="73"/>
      <c r="C553" s="73"/>
      <c r="D553" s="73"/>
      <c r="E553" s="73"/>
      <c r="F553" s="73"/>
      <c r="G553" s="73"/>
      <c r="I553" s="73"/>
    </row>
    <row r="554" spans="1:9" ht="15.75" customHeight="1">
      <c r="A554" s="73"/>
      <c r="B554" s="73"/>
      <c r="C554" s="73"/>
      <c r="D554" s="73"/>
      <c r="E554" s="73"/>
      <c r="F554" s="73"/>
      <c r="G554" s="73"/>
      <c r="I554" s="73"/>
    </row>
    <row r="555" spans="1:9" ht="15.75" customHeight="1">
      <c r="A555" s="73"/>
      <c r="B555" s="73"/>
      <c r="C555" s="73"/>
      <c r="D555" s="73"/>
      <c r="E555" s="73"/>
      <c r="F555" s="73"/>
      <c r="G555" s="73"/>
      <c r="I555" s="73"/>
    </row>
    <row r="556" spans="1:9" ht="15.75" customHeight="1">
      <c r="A556" s="73"/>
      <c r="B556" s="73"/>
      <c r="C556" s="73"/>
      <c r="D556" s="73"/>
      <c r="E556" s="73"/>
      <c r="F556" s="73"/>
      <c r="G556" s="73"/>
      <c r="I556" s="73"/>
    </row>
    <row r="557" spans="1:9" ht="15.75" customHeight="1">
      <c r="A557" s="73"/>
      <c r="B557" s="73"/>
      <c r="C557" s="73"/>
      <c r="D557" s="73"/>
      <c r="E557" s="73"/>
      <c r="F557" s="73"/>
      <c r="G557" s="73"/>
      <c r="I557" s="73"/>
    </row>
    <row r="558" spans="1:9" ht="15.75" customHeight="1">
      <c r="A558" s="73"/>
      <c r="B558" s="73"/>
      <c r="C558" s="73"/>
      <c r="D558" s="73"/>
      <c r="E558" s="73"/>
      <c r="F558" s="73"/>
      <c r="G558" s="73"/>
      <c r="I558" s="73"/>
    </row>
    <row r="559" spans="1:9" ht="15.75" customHeight="1">
      <c r="A559" s="73"/>
      <c r="B559" s="73"/>
      <c r="C559" s="73"/>
      <c r="D559" s="73"/>
      <c r="E559" s="73"/>
      <c r="F559" s="73"/>
      <c r="G559" s="73"/>
      <c r="I559" s="73"/>
    </row>
    <row r="560" spans="1:9" ht="15.75" customHeight="1">
      <c r="A560" s="73"/>
      <c r="B560" s="73"/>
      <c r="C560" s="73"/>
      <c r="D560" s="73"/>
      <c r="E560" s="73"/>
      <c r="F560" s="73"/>
      <c r="G560" s="73"/>
      <c r="I560" s="73"/>
    </row>
    <row r="561" spans="1:9" ht="15.75" customHeight="1">
      <c r="A561" s="73"/>
      <c r="B561" s="73"/>
      <c r="C561" s="73"/>
      <c r="D561" s="73"/>
      <c r="E561" s="73"/>
      <c r="F561" s="73"/>
      <c r="G561" s="73"/>
      <c r="I561" s="73"/>
    </row>
    <row r="562" spans="1:9" ht="15.75" customHeight="1">
      <c r="A562" s="73"/>
      <c r="B562" s="73"/>
      <c r="C562" s="73"/>
      <c r="D562" s="73"/>
      <c r="E562" s="73"/>
      <c r="F562" s="73"/>
      <c r="G562" s="73"/>
      <c r="I562" s="73"/>
    </row>
    <row r="563" spans="1:9" ht="15.75" customHeight="1">
      <c r="A563" s="73"/>
      <c r="B563" s="73"/>
      <c r="C563" s="73"/>
      <c r="D563" s="73"/>
      <c r="E563" s="73"/>
      <c r="F563" s="73"/>
      <c r="G563" s="73"/>
      <c r="I563" s="73"/>
    </row>
    <row r="564" spans="1:9" ht="15.75" customHeight="1">
      <c r="A564" s="73"/>
      <c r="B564" s="73"/>
      <c r="C564" s="73"/>
      <c r="D564" s="73"/>
      <c r="E564" s="73"/>
      <c r="F564" s="73"/>
      <c r="G564" s="73"/>
      <c r="I564" s="73"/>
    </row>
    <row r="565" spans="1:9" ht="15.75" customHeight="1">
      <c r="A565" s="73"/>
      <c r="B565" s="73"/>
      <c r="C565" s="73"/>
      <c r="D565" s="73"/>
      <c r="E565" s="73"/>
      <c r="F565" s="73"/>
      <c r="G565" s="73"/>
      <c r="I565" s="73"/>
    </row>
    <row r="566" spans="1:9" ht="15.75" customHeight="1">
      <c r="A566" s="73"/>
      <c r="B566" s="73"/>
      <c r="C566" s="73"/>
      <c r="D566" s="73"/>
      <c r="E566" s="73"/>
      <c r="F566" s="73"/>
      <c r="G566" s="73"/>
      <c r="I566" s="73"/>
    </row>
    <row r="567" spans="1:9" ht="15.75" customHeight="1">
      <c r="A567" s="73"/>
      <c r="B567" s="73"/>
      <c r="C567" s="73"/>
      <c r="D567" s="73"/>
      <c r="E567" s="73"/>
      <c r="F567" s="73"/>
      <c r="G567" s="73"/>
      <c r="I567" s="73"/>
    </row>
    <row r="568" spans="1:9" ht="15.75" customHeight="1">
      <c r="A568" s="73"/>
      <c r="B568" s="73"/>
      <c r="C568" s="73"/>
      <c r="D568" s="73"/>
      <c r="E568" s="73"/>
      <c r="F568" s="73"/>
      <c r="G568" s="73"/>
      <c r="I568" s="73"/>
    </row>
    <row r="569" spans="1:9" ht="15.75" customHeight="1">
      <c r="A569" s="73"/>
      <c r="B569" s="73"/>
      <c r="C569" s="73"/>
      <c r="D569" s="73"/>
      <c r="E569" s="73"/>
      <c r="F569" s="73"/>
      <c r="G569" s="73"/>
      <c r="I569" s="73"/>
    </row>
    <row r="570" spans="1:9" ht="15.75" customHeight="1">
      <c r="A570" s="73"/>
      <c r="B570" s="73"/>
      <c r="C570" s="73"/>
      <c r="D570" s="73"/>
      <c r="E570" s="73"/>
      <c r="F570" s="73"/>
      <c r="G570" s="73"/>
      <c r="I570" s="73"/>
    </row>
    <row r="571" spans="1:9" ht="15.75" customHeight="1">
      <c r="A571" s="73"/>
      <c r="B571" s="73"/>
      <c r="C571" s="73"/>
      <c r="D571" s="73"/>
      <c r="E571" s="73"/>
      <c r="F571" s="73"/>
      <c r="G571" s="73"/>
      <c r="I571" s="73"/>
    </row>
    <row r="572" spans="1:9" ht="15.75" customHeight="1">
      <c r="A572" s="73"/>
      <c r="B572" s="73"/>
      <c r="C572" s="73"/>
      <c r="D572" s="73"/>
      <c r="E572" s="73"/>
      <c r="F572" s="73"/>
      <c r="G572" s="73"/>
      <c r="I572" s="73"/>
    </row>
    <row r="573" spans="1:9" ht="15.75" customHeight="1">
      <c r="A573" s="73"/>
      <c r="B573" s="73"/>
      <c r="C573" s="73"/>
      <c r="D573" s="73"/>
      <c r="E573" s="73"/>
      <c r="F573" s="73"/>
      <c r="G573" s="73"/>
      <c r="I573" s="73"/>
    </row>
    <row r="574" spans="1:9" ht="15.75" customHeight="1">
      <c r="A574" s="73"/>
      <c r="B574" s="73"/>
      <c r="C574" s="73"/>
      <c r="D574" s="73"/>
      <c r="E574" s="73"/>
      <c r="F574" s="73"/>
      <c r="G574" s="73"/>
      <c r="I574" s="73"/>
    </row>
    <row r="575" spans="1:9" ht="15.75" customHeight="1">
      <c r="A575" s="73"/>
      <c r="B575" s="73"/>
      <c r="C575" s="73"/>
      <c r="D575" s="73"/>
      <c r="E575" s="73"/>
      <c r="F575" s="73"/>
      <c r="G575" s="73"/>
      <c r="I575" s="73"/>
    </row>
    <row r="576" spans="1:9" ht="15.75" customHeight="1">
      <c r="A576" s="73"/>
      <c r="B576" s="73"/>
      <c r="C576" s="73"/>
      <c r="D576" s="73"/>
      <c r="E576" s="73"/>
      <c r="F576" s="73"/>
      <c r="G576" s="73"/>
      <c r="I576" s="73"/>
    </row>
    <row r="577" spans="1:9" ht="15.75" customHeight="1">
      <c r="A577" s="73"/>
      <c r="B577" s="73"/>
      <c r="C577" s="73"/>
      <c r="D577" s="73"/>
      <c r="E577" s="73"/>
      <c r="F577" s="73"/>
      <c r="G577" s="73"/>
      <c r="I577" s="73"/>
    </row>
    <row r="578" spans="1:9" ht="15.75" customHeight="1">
      <c r="A578" s="73"/>
      <c r="B578" s="73"/>
      <c r="C578" s="73"/>
      <c r="D578" s="73"/>
      <c r="E578" s="73"/>
      <c r="F578" s="73"/>
      <c r="G578" s="73"/>
      <c r="I578" s="73"/>
    </row>
    <row r="579" spans="1:9" ht="15.75" customHeight="1">
      <c r="A579" s="73"/>
      <c r="B579" s="73"/>
      <c r="C579" s="73"/>
      <c r="D579" s="73"/>
      <c r="E579" s="73"/>
      <c r="F579" s="73"/>
      <c r="G579" s="73"/>
      <c r="I579" s="73"/>
    </row>
    <row r="580" spans="1:9" ht="15.75" customHeight="1">
      <c r="A580" s="73"/>
      <c r="B580" s="73"/>
      <c r="C580" s="73"/>
      <c r="D580" s="73"/>
      <c r="E580" s="73"/>
      <c r="F580" s="73"/>
      <c r="G580" s="73"/>
      <c r="I580" s="73"/>
    </row>
    <row r="581" spans="1:9" ht="15.75" customHeight="1">
      <c r="A581" s="73"/>
      <c r="B581" s="73"/>
      <c r="C581" s="73"/>
      <c r="D581" s="73"/>
      <c r="E581" s="73"/>
      <c r="F581" s="73"/>
      <c r="G581" s="73"/>
      <c r="I581" s="73"/>
    </row>
    <row r="582" spans="1:9" ht="15.75" customHeight="1">
      <c r="A582" s="73"/>
      <c r="B582" s="73"/>
      <c r="C582" s="73"/>
      <c r="D582" s="73"/>
      <c r="E582" s="73"/>
      <c r="F582" s="73"/>
      <c r="G582" s="73"/>
      <c r="I582" s="73"/>
    </row>
    <row r="583" spans="1:9" ht="15.75" customHeight="1">
      <c r="A583" s="73"/>
      <c r="B583" s="73"/>
      <c r="C583" s="73"/>
      <c r="D583" s="73"/>
      <c r="E583" s="73"/>
      <c r="F583" s="73"/>
      <c r="G583" s="73"/>
      <c r="I583" s="73"/>
    </row>
    <row r="584" spans="1:9" ht="15.75" customHeight="1">
      <c r="A584" s="73"/>
      <c r="B584" s="73"/>
      <c r="C584" s="73"/>
      <c r="D584" s="73"/>
      <c r="E584" s="73"/>
      <c r="F584" s="73"/>
      <c r="G584" s="73"/>
      <c r="I584" s="73"/>
    </row>
    <row r="585" spans="1:9" ht="15.75" customHeight="1">
      <c r="A585" s="73"/>
      <c r="B585" s="73"/>
      <c r="C585" s="73"/>
      <c r="D585" s="73"/>
      <c r="E585" s="73"/>
      <c r="F585" s="73"/>
      <c r="G585" s="73"/>
      <c r="I585" s="73"/>
    </row>
    <row r="586" spans="1:9" ht="15.75" customHeight="1">
      <c r="A586" s="73"/>
      <c r="B586" s="73"/>
      <c r="C586" s="73"/>
      <c r="D586" s="73"/>
      <c r="E586" s="73"/>
      <c r="F586" s="73"/>
      <c r="G586" s="73"/>
      <c r="I586" s="73"/>
    </row>
    <row r="587" spans="1:9" ht="15.75" customHeight="1">
      <c r="A587" s="73"/>
      <c r="B587" s="73"/>
      <c r="C587" s="73"/>
      <c r="D587" s="73"/>
      <c r="E587" s="73"/>
      <c r="F587" s="73"/>
      <c r="G587" s="73"/>
      <c r="I587" s="73"/>
    </row>
    <row r="588" spans="1:9" ht="15.75" customHeight="1">
      <c r="A588" s="73"/>
      <c r="B588" s="73"/>
      <c r="C588" s="73"/>
      <c r="D588" s="73"/>
      <c r="E588" s="73"/>
      <c r="F588" s="73"/>
      <c r="G588" s="73"/>
      <c r="I588" s="73"/>
    </row>
    <row r="589" spans="1:9" ht="15.75" customHeight="1">
      <c r="A589" s="73"/>
      <c r="B589" s="73"/>
      <c r="C589" s="73"/>
      <c r="D589" s="73"/>
      <c r="E589" s="73"/>
      <c r="F589" s="73"/>
      <c r="G589" s="73"/>
      <c r="I589" s="73"/>
    </row>
    <row r="590" spans="1:9" ht="15.75" customHeight="1">
      <c r="A590" s="73"/>
      <c r="B590" s="73"/>
      <c r="C590" s="73"/>
      <c r="D590" s="73"/>
      <c r="E590" s="73"/>
      <c r="F590" s="73"/>
      <c r="G590" s="73"/>
      <c r="I590" s="73"/>
    </row>
    <row r="591" spans="1:9" ht="15.75" customHeight="1">
      <c r="A591" s="73"/>
      <c r="B591" s="73"/>
      <c r="C591" s="73"/>
      <c r="D591" s="73"/>
      <c r="E591" s="73"/>
      <c r="F591" s="73"/>
      <c r="G591" s="73"/>
      <c r="I591" s="73"/>
    </row>
    <row r="592" spans="1:9" ht="15.75" customHeight="1">
      <c r="A592" s="73"/>
      <c r="B592" s="73"/>
      <c r="C592" s="73"/>
      <c r="D592" s="73"/>
      <c r="E592" s="73"/>
      <c r="F592" s="73"/>
      <c r="G592" s="73"/>
      <c r="I592" s="73"/>
    </row>
    <row r="593" spans="1:9" ht="15.75" customHeight="1">
      <c r="A593" s="73"/>
      <c r="B593" s="73"/>
      <c r="C593" s="73"/>
      <c r="D593" s="73"/>
      <c r="E593" s="73"/>
      <c r="F593" s="73"/>
      <c r="G593" s="73"/>
      <c r="I593" s="73"/>
    </row>
    <row r="594" spans="1:9" ht="15.75" customHeight="1">
      <c r="A594" s="73"/>
      <c r="B594" s="73"/>
      <c r="C594" s="73"/>
      <c r="D594" s="73"/>
      <c r="E594" s="73"/>
      <c r="F594" s="73"/>
      <c r="G594" s="73"/>
      <c r="I594" s="73"/>
    </row>
    <row r="595" spans="1:9" ht="15.75" customHeight="1">
      <c r="A595" s="73"/>
      <c r="B595" s="73"/>
      <c r="C595" s="73"/>
      <c r="D595" s="73"/>
      <c r="E595" s="73"/>
      <c r="F595" s="73"/>
      <c r="G595" s="73"/>
      <c r="I595" s="73"/>
    </row>
    <row r="596" spans="1:9" ht="15.75" customHeight="1">
      <c r="A596" s="73"/>
      <c r="B596" s="73"/>
      <c r="C596" s="73"/>
      <c r="D596" s="73"/>
      <c r="E596" s="73"/>
      <c r="F596" s="73"/>
      <c r="G596" s="73"/>
      <c r="I596" s="73"/>
    </row>
    <row r="597" spans="1:9" ht="15.75" customHeight="1">
      <c r="A597" s="73"/>
      <c r="B597" s="73"/>
      <c r="C597" s="73"/>
      <c r="D597" s="73"/>
      <c r="E597" s="73"/>
      <c r="F597" s="73"/>
      <c r="G597" s="73"/>
      <c r="I597" s="73"/>
    </row>
    <row r="598" spans="1:9" ht="15.75" customHeight="1">
      <c r="A598" s="73"/>
      <c r="B598" s="73"/>
      <c r="C598" s="73"/>
      <c r="D598" s="73"/>
      <c r="E598" s="73"/>
      <c r="F598" s="73"/>
      <c r="G598" s="73"/>
      <c r="I598" s="73"/>
    </row>
    <row r="599" spans="1:9" ht="15.75" customHeight="1">
      <c r="A599" s="73"/>
      <c r="B599" s="73"/>
      <c r="C599" s="73"/>
      <c r="D599" s="73"/>
      <c r="E599" s="73"/>
      <c r="F599" s="73"/>
      <c r="G599" s="73"/>
      <c r="I599" s="73"/>
    </row>
    <row r="600" spans="1:9" ht="15.75" customHeight="1">
      <c r="A600" s="73"/>
      <c r="B600" s="73"/>
      <c r="C600" s="73"/>
      <c r="D600" s="73"/>
      <c r="E600" s="73"/>
      <c r="F600" s="73"/>
      <c r="G600" s="73"/>
      <c r="I600" s="73"/>
    </row>
    <row r="601" spans="1:9" ht="15.75" customHeight="1">
      <c r="A601" s="73"/>
      <c r="B601" s="73"/>
      <c r="C601" s="73"/>
      <c r="D601" s="73"/>
      <c r="E601" s="73"/>
      <c r="F601" s="73"/>
      <c r="G601" s="73"/>
      <c r="I601" s="73"/>
    </row>
    <row r="602" spans="1:9" ht="15.75" customHeight="1">
      <c r="A602" s="73"/>
      <c r="B602" s="73"/>
      <c r="C602" s="73"/>
      <c r="D602" s="73"/>
      <c r="E602" s="73"/>
      <c r="F602" s="73"/>
      <c r="G602" s="73"/>
      <c r="I602" s="73"/>
    </row>
    <row r="603" spans="1:9" ht="15.75" customHeight="1">
      <c r="A603" s="73"/>
      <c r="B603" s="73"/>
      <c r="C603" s="73"/>
      <c r="D603" s="73"/>
      <c r="E603" s="73"/>
      <c r="F603" s="73"/>
      <c r="G603" s="73"/>
      <c r="I603" s="73"/>
    </row>
    <row r="604" spans="1:9" ht="15.75" customHeight="1">
      <c r="A604" s="73"/>
      <c r="B604" s="73"/>
      <c r="C604" s="73"/>
      <c r="D604" s="73"/>
      <c r="E604" s="73"/>
      <c r="F604" s="73"/>
      <c r="G604" s="73"/>
      <c r="I604" s="73"/>
    </row>
    <row r="605" spans="1:9" ht="15.75" customHeight="1">
      <c r="A605" s="73"/>
      <c r="B605" s="73"/>
      <c r="C605" s="73"/>
      <c r="D605" s="73"/>
      <c r="E605" s="73"/>
      <c r="F605" s="73"/>
      <c r="G605" s="73"/>
      <c r="I605" s="73"/>
    </row>
    <row r="606" spans="1:9" ht="15.75" customHeight="1">
      <c r="A606" s="73"/>
      <c r="B606" s="73"/>
      <c r="C606" s="73"/>
      <c r="D606" s="73"/>
      <c r="E606" s="73"/>
      <c r="F606" s="73"/>
      <c r="G606" s="73"/>
      <c r="I606" s="73"/>
    </row>
    <row r="607" spans="1:9" ht="15.75" customHeight="1">
      <c r="A607" s="73"/>
      <c r="B607" s="73"/>
      <c r="C607" s="73"/>
      <c r="D607" s="73"/>
      <c r="E607" s="73"/>
      <c r="F607" s="73"/>
      <c r="G607" s="73"/>
      <c r="I607" s="73"/>
    </row>
    <row r="608" spans="1:9" ht="15.75" customHeight="1">
      <c r="A608" s="73"/>
      <c r="B608" s="73"/>
      <c r="C608" s="73"/>
      <c r="D608" s="73"/>
      <c r="E608" s="73"/>
      <c r="F608" s="73"/>
      <c r="G608" s="73"/>
      <c r="I608" s="73"/>
    </row>
    <row r="609" spans="1:9" ht="15.75" customHeight="1">
      <c r="A609" s="73"/>
      <c r="B609" s="73"/>
      <c r="C609" s="73"/>
      <c r="D609" s="73"/>
      <c r="E609" s="73"/>
      <c r="F609" s="73"/>
      <c r="G609" s="73"/>
      <c r="I609" s="73"/>
    </row>
    <row r="610" spans="1:9" ht="15.75" customHeight="1">
      <c r="A610" s="73"/>
      <c r="B610" s="73"/>
      <c r="C610" s="73"/>
      <c r="D610" s="73"/>
      <c r="E610" s="73"/>
      <c r="F610" s="73"/>
      <c r="G610" s="73"/>
      <c r="I610" s="73"/>
    </row>
    <row r="611" spans="1:9" ht="15.75" customHeight="1">
      <c r="A611" s="73"/>
      <c r="B611" s="73"/>
      <c r="C611" s="73"/>
      <c r="D611" s="73"/>
      <c r="E611" s="73"/>
      <c r="F611" s="73"/>
      <c r="G611" s="73"/>
      <c r="I611" s="73"/>
    </row>
    <row r="612" spans="1:9" ht="15.75" customHeight="1">
      <c r="A612" s="73"/>
      <c r="B612" s="73"/>
      <c r="C612" s="73"/>
      <c r="D612" s="73"/>
      <c r="E612" s="73"/>
      <c r="F612" s="73"/>
      <c r="G612" s="73"/>
      <c r="I612" s="73"/>
    </row>
    <row r="613" spans="1:9" ht="15.75" customHeight="1">
      <c r="A613" s="73"/>
      <c r="B613" s="73"/>
      <c r="C613" s="73"/>
      <c r="D613" s="73"/>
      <c r="E613" s="73"/>
      <c r="F613" s="73"/>
      <c r="G613" s="73"/>
      <c r="I613" s="73"/>
    </row>
    <row r="614" spans="1:9" ht="15.75" customHeight="1">
      <c r="A614" s="73"/>
      <c r="B614" s="73"/>
      <c r="C614" s="73"/>
      <c r="D614" s="73"/>
      <c r="E614" s="73"/>
      <c r="F614" s="73"/>
      <c r="G614" s="73"/>
      <c r="I614" s="73"/>
    </row>
    <row r="615" spans="1:9" ht="15.75" customHeight="1">
      <c r="A615" s="73"/>
      <c r="B615" s="73"/>
      <c r="C615" s="73"/>
      <c r="D615" s="73"/>
      <c r="E615" s="73"/>
      <c r="F615" s="73"/>
      <c r="G615" s="73"/>
      <c r="I615" s="73"/>
    </row>
    <row r="616" spans="1:9" ht="15.75" customHeight="1">
      <c r="A616" s="73"/>
      <c r="B616" s="73"/>
      <c r="C616" s="73"/>
      <c r="D616" s="73"/>
      <c r="E616" s="73"/>
      <c r="F616" s="73"/>
      <c r="G616" s="73"/>
      <c r="I616" s="73"/>
    </row>
    <row r="617" spans="1:9" ht="15.75" customHeight="1">
      <c r="A617" s="73"/>
      <c r="B617" s="73"/>
      <c r="C617" s="73"/>
      <c r="D617" s="73"/>
      <c r="E617" s="73"/>
      <c r="F617" s="73"/>
      <c r="G617" s="73"/>
      <c r="I617" s="73"/>
    </row>
    <row r="618" spans="1:9" ht="15.75" customHeight="1">
      <c r="A618" s="73"/>
      <c r="B618" s="73"/>
      <c r="C618" s="73"/>
      <c r="D618" s="73"/>
      <c r="E618" s="73"/>
      <c r="F618" s="73"/>
      <c r="G618" s="73"/>
      <c r="I618" s="73"/>
    </row>
    <row r="619" spans="1:9" ht="15.75" customHeight="1">
      <c r="A619" s="73"/>
      <c r="B619" s="73"/>
      <c r="C619" s="73"/>
      <c r="D619" s="73"/>
      <c r="E619" s="73"/>
      <c r="F619" s="73"/>
      <c r="G619" s="73"/>
      <c r="I619" s="73"/>
    </row>
    <row r="620" spans="1:9" ht="15.75" customHeight="1">
      <c r="A620" s="73"/>
      <c r="B620" s="73"/>
      <c r="C620" s="73"/>
      <c r="D620" s="73"/>
      <c r="E620" s="73"/>
      <c r="F620" s="73"/>
      <c r="G620" s="73"/>
      <c r="I620" s="73"/>
    </row>
    <row r="621" spans="1:9" ht="15.75" customHeight="1">
      <c r="A621" s="73"/>
      <c r="B621" s="73"/>
      <c r="C621" s="73"/>
      <c r="D621" s="73"/>
      <c r="E621" s="73"/>
      <c r="F621" s="73"/>
      <c r="G621" s="73"/>
      <c r="I621" s="73"/>
    </row>
    <row r="622" spans="1:9" ht="15.75" customHeight="1">
      <c r="A622" s="73"/>
      <c r="B622" s="73"/>
      <c r="C622" s="73"/>
      <c r="D622" s="73"/>
      <c r="E622" s="73"/>
      <c r="F622" s="73"/>
      <c r="G622" s="73"/>
      <c r="I622" s="73"/>
    </row>
    <row r="623" spans="1:9" ht="15.75" customHeight="1">
      <c r="A623" s="73"/>
      <c r="B623" s="73"/>
      <c r="C623" s="73"/>
      <c r="D623" s="73"/>
      <c r="E623" s="73"/>
      <c r="F623" s="73"/>
      <c r="G623" s="73"/>
      <c r="I623" s="73"/>
    </row>
    <row r="624" spans="1:9" ht="15.75" customHeight="1">
      <c r="A624" s="73"/>
      <c r="B624" s="73"/>
      <c r="C624" s="73"/>
      <c r="D624" s="73"/>
      <c r="E624" s="73"/>
      <c r="F624" s="73"/>
      <c r="G624" s="73"/>
      <c r="I624" s="73"/>
    </row>
    <row r="625" spans="1:9" ht="15.75" customHeight="1">
      <c r="A625" s="73"/>
      <c r="B625" s="73"/>
      <c r="C625" s="73"/>
      <c r="D625" s="73"/>
      <c r="E625" s="73"/>
      <c r="F625" s="73"/>
      <c r="G625" s="73"/>
      <c r="I625" s="73"/>
    </row>
    <row r="626" spans="1:9" ht="15.75" customHeight="1">
      <c r="A626" s="73"/>
      <c r="B626" s="73"/>
      <c r="C626" s="73"/>
      <c r="D626" s="73"/>
      <c r="E626" s="73"/>
      <c r="F626" s="73"/>
      <c r="G626" s="73"/>
      <c r="I626" s="73"/>
    </row>
    <row r="627" spans="1:9" ht="15.75" customHeight="1">
      <c r="A627" s="73"/>
      <c r="B627" s="73"/>
      <c r="C627" s="73"/>
      <c r="D627" s="73"/>
      <c r="E627" s="73"/>
      <c r="F627" s="73"/>
      <c r="G627" s="73"/>
      <c r="I627" s="73"/>
    </row>
    <row r="628" spans="1:9" ht="15.75" customHeight="1">
      <c r="A628" s="73"/>
      <c r="B628" s="73"/>
      <c r="C628" s="73"/>
      <c r="D628" s="73"/>
      <c r="E628" s="73"/>
      <c r="F628" s="73"/>
      <c r="G628" s="73"/>
      <c r="I628" s="73"/>
    </row>
    <row r="629" spans="1:9" ht="15.75" customHeight="1">
      <c r="A629" s="73"/>
      <c r="B629" s="73"/>
      <c r="C629" s="73"/>
      <c r="D629" s="73"/>
      <c r="E629" s="73"/>
      <c r="F629" s="73"/>
      <c r="G629" s="73"/>
      <c r="I629" s="73"/>
    </row>
    <row r="630" spans="1:9" ht="15.75" customHeight="1">
      <c r="A630" s="73"/>
      <c r="B630" s="73"/>
      <c r="C630" s="73"/>
      <c r="D630" s="73"/>
      <c r="E630" s="73"/>
      <c r="F630" s="73"/>
      <c r="G630" s="73"/>
      <c r="I630" s="73"/>
    </row>
    <row r="631" spans="1:9" ht="15.75" customHeight="1">
      <c r="A631" s="73"/>
      <c r="B631" s="73"/>
      <c r="C631" s="73"/>
      <c r="D631" s="73"/>
      <c r="E631" s="73"/>
      <c r="F631" s="73"/>
      <c r="G631" s="73"/>
      <c r="I631" s="73"/>
    </row>
    <row r="632" spans="1:9" ht="15.75" customHeight="1">
      <c r="A632" s="73"/>
      <c r="B632" s="73"/>
      <c r="C632" s="73"/>
      <c r="D632" s="73"/>
      <c r="E632" s="73"/>
      <c r="F632" s="73"/>
      <c r="G632" s="73"/>
      <c r="I632" s="73"/>
    </row>
    <row r="633" spans="1:9" ht="15.75" customHeight="1">
      <c r="A633" s="73"/>
      <c r="B633" s="73"/>
      <c r="C633" s="73"/>
      <c r="D633" s="73"/>
      <c r="E633" s="73"/>
      <c r="F633" s="73"/>
      <c r="G633" s="73"/>
      <c r="I633" s="73"/>
    </row>
    <row r="634" spans="1:9" ht="15.75" customHeight="1">
      <c r="A634" s="73"/>
      <c r="B634" s="73"/>
      <c r="C634" s="73"/>
      <c r="D634" s="73"/>
      <c r="E634" s="73"/>
      <c r="F634" s="73"/>
      <c r="G634" s="73"/>
      <c r="I634" s="73"/>
    </row>
    <row r="635" spans="1:9" ht="15.75" customHeight="1">
      <c r="A635" s="73"/>
      <c r="B635" s="73"/>
      <c r="C635" s="73"/>
      <c r="D635" s="73"/>
      <c r="E635" s="73"/>
      <c r="F635" s="73"/>
      <c r="G635" s="73"/>
      <c r="I635" s="73"/>
    </row>
    <row r="636" spans="1:9" ht="15.75" customHeight="1">
      <c r="A636" s="73"/>
      <c r="B636" s="73"/>
      <c r="C636" s="73"/>
      <c r="D636" s="73"/>
      <c r="E636" s="73"/>
      <c r="F636" s="73"/>
      <c r="G636" s="73"/>
      <c r="I636" s="73"/>
    </row>
    <row r="637" spans="1:9" ht="15.75" customHeight="1">
      <c r="A637" s="73"/>
      <c r="B637" s="73"/>
      <c r="C637" s="73"/>
      <c r="D637" s="73"/>
      <c r="E637" s="73"/>
      <c r="F637" s="73"/>
      <c r="G637" s="73"/>
      <c r="I637" s="73"/>
    </row>
    <row r="638" spans="1:9" ht="15.75" customHeight="1">
      <c r="A638" s="73"/>
      <c r="B638" s="73"/>
      <c r="C638" s="73"/>
      <c r="D638" s="73"/>
      <c r="E638" s="73"/>
      <c r="F638" s="73"/>
      <c r="G638" s="73"/>
      <c r="I638" s="73"/>
    </row>
    <row r="639" spans="1:9" ht="15.75" customHeight="1">
      <c r="A639" s="73"/>
      <c r="B639" s="73"/>
      <c r="C639" s="73"/>
      <c r="D639" s="73"/>
      <c r="E639" s="73"/>
      <c r="F639" s="73"/>
      <c r="G639" s="73"/>
      <c r="I639" s="73"/>
    </row>
    <row r="640" spans="1:9" ht="15.75" customHeight="1">
      <c r="A640" s="73"/>
      <c r="B640" s="73"/>
      <c r="C640" s="73"/>
      <c r="D640" s="73"/>
      <c r="E640" s="73"/>
      <c r="F640" s="73"/>
      <c r="G640" s="73"/>
      <c r="I640" s="73"/>
    </row>
    <row r="641" spans="1:9" ht="15.75" customHeight="1">
      <c r="A641" s="73"/>
      <c r="B641" s="73"/>
      <c r="C641" s="73"/>
      <c r="D641" s="73"/>
      <c r="E641" s="73"/>
      <c r="F641" s="73"/>
      <c r="G641" s="73"/>
      <c r="I641" s="73"/>
    </row>
    <row r="642" spans="1:9" ht="15.75" customHeight="1">
      <c r="A642" s="73"/>
      <c r="B642" s="73"/>
      <c r="C642" s="73"/>
      <c r="D642" s="73"/>
      <c r="E642" s="73"/>
      <c r="F642" s="73"/>
      <c r="G642" s="73"/>
      <c r="I642" s="73"/>
    </row>
    <row r="643" spans="1:9" ht="15.75" customHeight="1">
      <c r="A643" s="73"/>
      <c r="B643" s="73"/>
      <c r="C643" s="73"/>
      <c r="D643" s="73"/>
      <c r="E643" s="73"/>
      <c r="F643" s="73"/>
      <c r="G643" s="73"/>
      <c r="I643" s="73"/>
    </row>
    <row r="644" spans="1:9" ht="15.75" customHeight="1">
      <c r="A644" s="73"/>
      <c r="B644" s="73"/>
      <c r="C644" s="73"/>
      <c r="D644" s="73"/>
      <c r="E644" s="73"/>
      <c r="F644" s="73"/>
      <c r="G644" s="73"/>
      <c r="I644" s="73"/>
    </row>
    <row r="645" spans="1:9" ht="15.75" customHeight="1">
      <c r="A645" s="73"/>
      <c r="B645" s="73"/>
      <c r="C645" s="73"/>
      <c r="D645" s="73"/>
      <c r="E645" s="73"/>
      <c r="F645" s="73"/>
      <c r="G645" s="73"/>
      <c r="I645" s="73"/>
    </row>
    <row r="646" spans="1:9" ht="15.75" customHeight="1">
      <c r="A646" s="73"/>
      <c r="B646" s="73"/>
      <c r="C646" s="73"/>
      <c r="D646" s="73"/>
      <c r="E646" s="73"/>
      <c r="F646" s="73"/>
      <c r="G646" s="73"/>
      <c r="I646" s="73"/>
    </row>
    <row r="647" spans="1:9" ht="15.75" customHeight="1">
      <c r="A647" s="73"/>
      <c r="B647" s="73"/>
      <c r="C647" s="73"/>
      <c r="D647" s="73"/>
      <c r="E647" s="73"/>
      <c r="F647" s="73"/>
      <c r="G647" s="73"/>
      <c r="I647" s="73"/>
    </row>
    <row r="648" spans="1:9" ht="15.75" customHeight="1">
      <c r="A648" s="73"/>
      <c r="B648" s="73"/>
      <c r="C648" s="73"/>
      <c r="D648" s="73"/>
      <c r="E648" s="73"/>
      <c r="F648" s="73"/>
      <c r="G648" s="73"/>
      <c r="I648" s="73"/>
    </row>
    <row r="649" spans="1:9" ht="15.75" customHeight="1">
      <c r="A649" s="73"/>
      <c r="B649" s="73"/>
      <c r="C649" s="73"/>
      <c r="D649" s="73"/>
      <c r="E649" s="73"/>
      <c r="F649" s="73"/>
      <c r="G649" s="73"/>
      <c r="I649" s="73"/>
    </row>
    <row r="650" spans="1:9" ht="15.75" customHeight="1">
      <c r="A650" s="73"/>
      <c r="B650" s="73"/>
      <c r="C650" s="73"/>
      <c r="D650" s="73"/>
      <c r="E650" s="73"/>
      <c r="F650" s="73"/>
      <c r="G650" s="73"/>
      <c r="I650" s="73"/>
    </row>
    <row r="651" spans="1:9" ht="15.75" customHeight="1">
      <c r="A651" s="73"/>
      <c r="B651" s="73"/>
      <c r="C651" s="73"/>
      <c r="D651" s="73"/>
      <c r="E651" s="73"/>
      <c r="F651" s="73"/>
      <c r="G651" s="73"/>
      <c r="I651" s="73"/>
    </row>
    <row r="652" spans="1:9" ht="15.75" customHeight="1">
      <c r="A652" s="73"/>
      <c r="B652" s="73"/>
      <c r="C652" s="73"/>
      <c r="D652" s="73"/>
      <c r="E652" s="73"/>
      <c r="F652" s="73"/>
      <c r="G652" s="73"/>
      <c r="I652" s="73"/>
    </row>
    <row r="653" spans="1:9" ht="15.75" customHeight="1">
      <c r="A653" s="73"/>
      <c r="B653" s="73"/>
      <c r="C653" s="73"/>
      <c r="D653" s="73"/>
      <c r="E653" s="73"/>
      <c r="F653" s="73"/>
      <c r="G653" s="73"/>
      <c r="I653" s="73"/>
    </row>
    <row r="654" spans="1:9" ht="15.75" customHeight="1">
      <c r="A654" s="73"/>
      <c r="B654" s="73"/>
      <c r="C654" s="73"/>
      <c r="D654" s="73"/>
      <c r="E654" s="73"/>
      <c r="F654" s="73"/>
      <c r="G654" s="73"/>
      <c r="I654" s="73"/>
    </row>
    <row r="655" spans="1:9" ht="15.75" customHeight="1">
      <c r="A655" s="73"/>
      <c r="B655" s="73"/>
      <c r="C655" s="73"/>
      <c r="D655" s="73"/>
      <c r="E655" s="73"/>
      <c r="F655" s="73"/>
      <c r="G655" s="73"/>
      <c r="I655" s="73"/>
    </row>
    <row r="656" spans="1:9" ht="15.75" customHeight="1">
      <c r="A656" s="73"/>
      <c r="B656" s="73"/>
      <c r="C656" s="73"/>
      <c r="D656" s="73"/>
      <c r="E656" s="73"/>
      <c r="F656" s="73"/>
      <c r="G656" s="73"/>
      <c r="I656" s="73"/>
    </row>
    <row r="657" spans="1:9" ht="15.75" customHeight="1">
      <c r="A657" s="73"/>
      <c r="B657" s="73"/>
      <c r="C657" s="73"/>
      <c r="D657" s="73"/>
      <c r="E657" s="73"/>
      <c r="F657" s="73"/>
      <c r="G657" s="73"/>
      <c r="I657" s="73"/>
    </row>
    <row r="658" spans="1:9" ht="15.75" customHeight="1">
      <c r="A658" s="73"/>
      <c r="B658" s="73"/>
      <c r="C658" s="73"/>
      <c r="D658" s="73"/>
      <c r="E658" s="73"/>
      <c r="F658" s="73"/>
      <c r="G658" s="73"/>
      <c r="I658" s="73"/>
    </row>
    <row r="659" spans="1:9" ht="15.75" customHeight="1">
      <c r="A659" s="73"/>
      <c r="B659" s="73"/>
      <c r="C659" s="73"/>
      <c r="D659" s="73"/>
      <c r="E659" s="73"/>
      <c r="F659" s="73"/>
      <c r="G659" s="73"/>
      <c r="I659" s="73"/>
    </row>
    <row r="660" spans="1:9" ht="15.75" customHeight="1">
      <c r="A660" s="73"/>
      <c r="B660" s="73"/>
      <c r="C660" s="73"/>
      <c r="D660" s="73"/>
      <c r="E660" s="73"/>
      <c r="F660" s="73"/>
      <c r="G660" s="73"/>
      <c r="I660" s="73"/>
    </row>
    <row r="661" spans="1:9" ht="15.75" customHeight="1">
      <c r="A661" s="73"/>
      <c r="B661" s="73"/>
      <c r="C661" s="73"/>
      <c r="D661" s="73"/>
      <c r="E661" s="73"/>
      <c r="F661" s="73"/>
      <c r="G661" s="73"/>
      <c r="I661" s="73"/>
    </row>
    <row r="662" spans="1:9" ht="15.75" customHeight="1">
      <c r="A662" s="73"/>
      <c r="B662" s="73"/>
      <c r="C662" s="73"/>
      <c r="D662" s="73"/>
      <c r="E662" s="73"/>
      <c r="F662" s="73"/>
      <c r="G662" s="73"/>
      <c r="I662" s="73"/>
    </row>
    <row r="663" spans="1:9" ht="15.75" customHeight="1">
      <c r="A663" s="73"/>
      <c r="B663" s="73"/>
      <c r="C663" s="73"/>
      <c r="D663" s="73"/>
      <c r="E663" s="73"/>
      <c r="F663" s="73"/>
      <c r="G663" s="73"/>
      <c r="I663" s="73"/>
    </row>
    <row r="664" spans="1:9" ht="15.75" customHeight="1">
      <c r="A664" s="73"/>
      <c r="B664" s="73"/>
      <c r="C664" s="73"/>
      <c r="D664" s="73"/>
      <c r="E664" s="73"/>
      <c r="F664" s="73"/>
      <c r="G664" s="73"/>
      <c r="I664" s="73"/>
    </row>
    <row r="665" spans="1:9" ht="15.75" customHeight="1">
      <c r="A665" s="73"/>
      <c r="B665" s="73"/>
      <c r="C665" s="73"/>
      <c r="D665" s="73"/>
      <c r="E665" s="73"/>
      <c r="F665" s="73"/>
      <c r="G665" s="73"/>
      <c r="I665" s="73"/>
    </row>
    <row r="666" spans="1:9" ht="15.75" customHeight="1">
      <c r="A666" s="73"/>
      <c r="B666" s="73"/>
      <c r="C666" s="73"/>
      <c r="D666" s="73"/>
      <c r="E666" s="73"/>
      <c r="F666" s="73"/>
      <c r="G666" s="73"/>
      <c r="I666" s="73"/>
    </row>
    <row r="667" spans="1:9" ht="15.75" customHeight="1">
      <c r="A667" s="73"/>
      <c r="B667" s="73"/>
      <c r="C667" s="73"/>
      <c r="D667" s="73"/>
      <c r="E667" s="73"/>
      <c r="F667" s="73"/>
      <c r="G667" s="73"/>
      <c r="I667" s="73"/>
    </row>
    <row r="668" spans="1:9" ht="15.75" customHeight="1">
      <c r="A668" s="73"/>
      <c r="B668" s="73"/>
      <c r="C668" s="73"/>
      <c r="D668" s="73"/>
      <c r="E668" s="73"/>
      <c r="F668" s="73"/>
      <c r="G668" s="73"/>
      <c r="I668" s="73"/>
    </row>
    <row r="669" spans="1:9" ht="15.75" customHeight="1">
      <c r="A669" s="73"/>
      <c r="B669" s="73"/>
      <c r="C669" s="73"/>
      <c r="D669" s="73"/>
      <c r="E669" s="73"/>
      <c r="F669" s="73"/>
      <c r="G669" s="73"/>
      <c r="I669" s="73"/>
    </row>
    <row r="670" spans="1:9" ht="15.75" customHeight="1">
      <c r="A670" s="73"/>
      <c r="B670" s="73"/>
      <c r="C670" s="73"/>
      <c r="D670" s="73"/>
      <c r="E670" s="73"/>
      <c r="F670" s="73"/>
      <c r="G670" s="73"/>
      <c r="I670" s="73"/>
    </row>
    <row r="671" spans="1:9" ht="15.75" customHeight="1">
      <c r="A671" s="73"/>
      <c r="B671" s="73"/>
      <c r="C671" s="73"/>
      <c r="D671" s="73"/>
      <c r="E671" s="73"/>
      <c r="F671" s="73"/>
      <c r="G671" s="73"/>
      <c r="I671" s="73"/>
    </row>
    <row r="672" spans="1:9" ht="15.75" customHeight="1">
      <c r="A672" s="73"/>
      <c r="B672" s="73"/>
      <c r="C672" s="73"/>
      <c r="D672" s="73"/>
      <c r="E672" s="73"/>
      <c r="F672" s="73"/>
      <c r="G672" s="73"/>
      <c r="I672" s="73"/>
    </row>
    <row r="673" spans="1:9" ht="15.75" customHeight="1">
      <c r="A673" s="73"/>
      <c r="B673" s="73"/>
      <c r="C673" s="73"/>
      <c r="D673" s="73"/>
      <c r="E673" s="73"/>
      <c r="F673" s="73"/>
      <c r="G673" s="73"/>
      <c r="I673" s="73"/>
    </row>
    <row r="674" spans="1:9" ht="15.75" customHeight="1">
      <c r="A674" s="73"/>
      <c r="B674" s="73"/>
      <c r="C674" s="73"/>
      <c r="D674" s="73"/>
      <c r="E674" s="73"/>
      <c r="F674" s="73"/>
      <c r="G674" s="73"/>
      <c r="I674" s="73"/>
    </row>
    <row r="675" spans="1:9" ht="15.75" customHeight="1">
      <c r="A675" s="73"/>
      <c r="B675" s="73"/>
      <c r="C675" s="73"/>
      <c r="D675" s="73"/>
      <c r="E675" s="73"/>
      <c r="F675" s="73"/>
      <c r="G675" s="73"/>
      <c r="I675" s="73"/>
    </row>
    <row r="676" spans="1:9" ht="15.75" customHeight="1">
      <c r="A676" s="73"/>
      <c r="B676" s="73"/>
      <c r="C676" s="73"/>
      <c r="D676" s="73"/>
      <c r="E676" s="73"/>
      <c r="F676" s="73"/>
      <c r="G676" s="73"/>
      <c r="I676" s="73"/>
    </row>
    <row r="677" spans="1:9" ht="15.75" customHeight="1">
      <c r="A677" s="73"/>
      <c r="B677" s="73"/>
      <c r="C677" s="73"/>
      <c r="D677" s="73"/>
      <c r="E677" s="73"/>
      <c r="F677" s="73"/>
      <c r="G677" s="73"/>
      <c r="I677" s="73"/>
    </row>
    <row r="678" spans="1:9" ht="15.75" customHeight="1">
      <c r="A678" s="73"/>
      <c r="B678" s="73"/>
      <c r="C678" s="73"/>
      <c r="D678" s="73"/>
      <c r="E678" s="73"/>
      <c r="F678" s="73"/>
      <c r="G678" s="73"/>
      <c r="I678" s="73"/>
    </row>
    <row r="679" spans="1:9" ht="15.75" customHeight="1">
      <c r="A679" s="73"/>
      <c r="B679" s="73"/>
      <c r="C679" s="73"/>
      <c r="D679" s="73"/>
      <c r="E679" s="73"/>
      <c r="F679" s="73"/>
      <c r="G679" s="73"/>
      <c r="I679" s="73"/>
    </row>
    <row r="680" spans="1:9" ht="15.75" customHeight="1">
      <c r="A680" s="73"/>
      <c r="B680" s="73"/>
      <c r="C680" s="73"/>
      <c r="D680" s="73"/>
      <c r="E680" s="73"/>
      <c r="F680" s="73"/>
      <c r="G680" s="73"/>
      <c r="I680" s="73"/>
    </row>
    <row r="681" spans="1:9" ht="15.75" customHeight="1">
      <c r="A681" s="73"/>
      <c r="B681" s="73"/>
      <c r="C681" s="73"/>
      <c r="D681" s="73"/>
      <c r="E681" s="73"/>
      <c r="F681" s="73"/>
      <c r="G681" s="73"/>
      <c r="I681" s="73"/>
    </row>
    <row r="682" spans="1:9" ht="15.75" customHeight="1">
      <c r="A682" s="73"/>
      <c r="B682" s="73"/>
      <c r="C682" s="73"/>
      <c r="D682" s="73"/>
      <c r="E682" s="73"/>
      <c r="F682" s="73"/>
      <c r="G682" s="73"/>
      <c r="I682" s="73"/>
    </row>
    <row r="683" spans="1:9" ht="15.75" customHeight="1">
      <c r="A683" s="73"/>
      <c r="B683" s="73"/>
      <c r="C683" s="73"/>
      <c r="D683" s="73"/>
      <c r="E683" s="73"/>
      <c r="F683" s="73"/>
      <c r="G683" s="73"/>
      <c r="I683" s="73"/>
    </row>
    <row r="684" spans="1:9" ht="15.75" customHeight="1">
      <c r="A684" s="73"/>
      <c r="B684" s="73"/>
      <c r="C684" s="73"/>
      <c r="D684" s="73"/>
      <c r="E684" s="73"/>
      <c r="F684" s="73"/>
      <c r="G684" s="73"/>
      <c r="I684" s="73"/>
    </row>
    <row r="685" spans="1:9" ht="15.75" customHeight="1">
      <c r="A685" s="73"/>
      <c r="B685" s="73"/>
      <c r="C685" s="73"/>
      <c r="D685" s="73"/>
      <c r="E685" s="73"/>
      <c r="F685" s="73"/>
      <c r="G685" s="73"/>
      <c r="I685" s="73"/>
    </row>
    <row r="686" spans="1:9" ht="15.75" customHeight="1">
      <c r="A686" s="73"/>
      <c r="B686" s="73"/>
      <c r="C686" s="73"/>
      <c r="D686" s="73"/>
      <c r="E686" s="73"/>
      <c r="F686" s="73"/>
      <c r="G686" s="73"/>
      <c r="I686" s="73"/>
    </row>
    <row r="687" spans="1:9" ht="15.75" customHeight="1">
      <c r="A687" s="73"/>
      <c r="B687" s="73"/>
      <c r="C687" s="73"/>
      <c r="D687" s="73"/>
      <c r="E687" s="73"/>
      <c r="F687" s="73"/>
      <c r="G687" s="73"/>
      <c r="I687" s="73"/>
    </row>
    <row r="688" spans="1:9" ht="15.75" customHeight="1">
      <c r="A688" s="73"/>
      <c r="B688" s="73"/>
      <c r="C688" s="73"/>
      <c r="D688" s="73"/>
      <c r="E688" s="73"/>
      <c r="F688" s="73"/>
      <c r="G688" s="73"/>
      <c r="I688" s="73"/>
    </row>
    <row r="689" spans="1:9" ht="15.75" customHeight="1">
      <c r="A689" s="73"/>
      <c r="B689" s="73"/>
      <c r="C689" s="73"/>
      <c r="D689" s="73"/>
      <c r="E689" s="73"/>
      <c r="F689" s="73"/>
      <c r="G689" s="73"/>
      <c r="I689" s="73"/>
    </row>
    <row r="690" spans="1:9" ht="15.75" customHeight="1">
      <c r="A690" s="73"/>
      <c r="B690" s="73"/>
      <c r="C690" s="73"/>
      <c r="D690" s="73"/>
      <c r="E690" s="73"/>
      <c r="F690" s="73"/>
      <c r="G690" s="73"/>
      <c r="I690" s="73"/>
    </row>
    <row r="691" spans="1:9" ht="15.75" customHeight="1">
      <c r="A691" s="73"/>
      <c r="B691" s="73"/>
      <c r="C691" s="73"/>
      <c r="D691" s="73"/>
      <c r="E691" s="73"/>
      <c r="F691" s="73"/>
      <c r="G691" s="73"/>
      <c r="I691" s="73"/>
    </row>
    <row r="692" spans="1:9" ht="15.75" customHeight="1">
      <c r="A692" s="73"/>
      <c r="B692" s="73"/>
      <c r="C692" s="73"/>
      <c r="D692" s="73"/>
      <c r="E692" s="73"/>
      <c r="F692" s="73"/>
      <c r="G692" s="73"/>
      <c r="I692" s="73"/>
    </row>
    <row r="693" spans="1:9" ht="15.75" customHeight="1">
      <c r="A693" s="73"/>
      <c r="B693" s="73"/>
      <c r="C693" s="73"/>
      <c r="D693" s="73"/>
      <c r="E693" s="73"/>
      <c r="F693" s="73"/>
      <c r="G693" s="73"/>
      <c r="I693" s="73"/>
    </row>
    <row r="694" spans="1:9" ht="15.75" customHeight="1">
      <c r="A694" s="73"/>
      <c r="B694" s="73"/>
      <c r="C694" s="73"/>
      <c r="D694" s="73"/>
      <c r="E694" s="73"/>
      <c r="F694" s="73"/>
      <c r="G694" s="73"/>
      <c r="I694" s="73"/>
    </row>
    <row r="695" spans="1:9" ht="15.75" customHeight="1">
      <c r="A695" s="73"/>
      <c r="B695" s="73"/>
      <c r="C695" s="73"/>
      <c r="D695" s="73"/>
      <c r="E695" s="73"/>
      <c r="F695" s="73"/>
      <c r="G695" s="73"/>
      <c r="I695" s="73"/>
    </row>
    <row r="696" spans="1:9" ht="15.75" customHeight="1">
      <c r="A696" s="73"/>
      <c r="B696" s="73"/>
      <c r="C696" s="73"/>
      <c r="D696" s="73"/>
      <c r="E696" s="73"/>
      <c r="F696" s="73"/>
      <c r="G696" s="73"/>
      <c r="I696" s="73"/>
    </row>
    <row r="697" spans="1:9" ht="15.75" customHeight="1">
      <c r="A697" s="73"/>
      <c r="B697" s="73"/>
      <c r="C697" s="73"/>
      <c r="D697" s="73"/>
      <c r="E697" s="73"/>
      <c r="F697" s="73"/>
      <c r="G697" s="73"/>
      <c r="I697" s="73"/>
    </row>
    <row r="698" spans="1:9" ht="15.75" customHeight="1">
      <c r="A698" s="73"/>
      <c r="B698" s="73"/>
      <c r="C698" s="73"/>
      <c r="D698" s="73"/>
      <c r="E698" s="73"/>
      <c r="F698" s="73"/>
      <c r="G698" s="73"/>
      <c r="I698" s="73"/>
    </row>
    <row r="699" spans="1:9" ht="15.75" customHeight="1">
      <c r="A699" s="73"/>
      <c r="B699" s="73"/>
      <c r="C699" s="73"/>
      <c r="D699" s="73"/>
      <c r="E699" s="73"/>
      <c r="F699" s="73"/>
      <c r="G699" s="73"/>
      <c r="I699" s="73"/>
    </row>
    <row r="700" spans="1:9" ht="15.75" customHeight="1">
      <c r="A700" s="73"/>
      <c r="B700" s="73"/>
      <c r="C700" s="73"/>
      <c r="D700" s="73"/>
      <c r="E700" s="73"/>
      <c r="F700" s="73"/>
      <c r="G700" s="73"/>
      <c r="I700" s="73"/>
    </row>
    <row r="701" spans="1:9" ht="15.75" customHeight="1">
      <c r="A701" s="73"/>
      <c r="B701" s="73"/>
      <c r="C701" s="73"/>
      <c r="D701" s="73"/>
      <c r="E701" s="73"/>
      <c r="F701" s="73"/>
      <c r="G701" s="73"/>
      <c r="I701" s="73"/>
    </row>
    <row r="702" spans="1:9" ht="15.75" customHeight="1">
      <c r="A702" s="73"/>
      <c r="B702" s="73"/>
      <c r="C702" s="73"/>
      <c r="D702" s="73"/>
      <c r="E702" s="73"/>
      <c r="F702" s="73"/>
      <c r="G702" s="73"/>
      <c r="I702" s="73"/>
    </row>
    <row r="703" spans="1:9" ht="15.75" customHeight="1">
      <c r="A703" s="73"/>
      <c r="B703" s="73"/>
      <c r="C703" s="73"/>
      <c r="D703" s="73"/>
      <c r="E703" s="73"/>
      <c r="F703" s="73"/>
      <c r="G703" s="73"/>
      <c r="I703" s="73"/>
    </row>
    <row r="704" spans="1:9" ht="15.75" customHeight="1">
      <c r="A704" s="73"/>
      <c r="B704" s="73"/>
      <c r="C704" s="73"/>
      <c r="D704" s="73"/>
      <c r="E704" s="73"/>
      <c r="F704" s="73"/>
      <c r="G704" s="73"/>
      <c r="I704" s="73"/>
    </row>
    <row r="705" spans="1:9" ht="15.75" customHeight="1">
      <c r="A705" s="73"/>
      <c r="B705" s="73"/>
      <c r="C705" s="73"/>
      <c r="D705" s="73"/>
      <c r="E705" s="73"/>
      <c r="F705" s="73"/>
      <c r="G705" s="73"/>
      <c r="I705" s="73"/>
    </row>
    <row r="706" spans="1:9" ht="15.75" customHeight="1">
      <c r="A706" s="73"/>
      <c r="B706" s="73"/>
      <c r="C706" s="73"/>
      <c r="D706" s="73"/>
      <c r="E706" s="73"/>
      <c r="F706" s="73"/>
      <c r="G706" s="73"/>
      <c r="I706" s="73"/>
    </row>
    <row r="707" spans="1:9" ht="15.75" customHeight="1">
      <c r="A707" s="73"/>
      <c r="B707" s="73"/>
      <c r="C707" s="73"/>
      <c r="D707" s="73"/>
      <c r="E707" s="73"/>
      <c r="F707" s="73"/>
      <c r="G707" s="73"/>
      <c r="I707" s="73"/>
    </row>
    <row r="708" spans="1:9" ht="15.75" customHeight="1">
      <c r="A708" s="73"/>
      <c r="B708" s="73"/>
      <c r="C708" s="73"/>
      <c r="D708" s="73"/>
      <c r="E708" s="73"/>
      <c r="F708" s="73"/>
      <c r="G708" s="73"/>
      <c r="I708" s="73"/>
    </row>
    <row r="709" spans="1:9" ht="15.75" customHeight="1">
      <c r="A709" s="73"/>
      <c r="B709" s="73"/>
      <c r="C709" s="73"/>
      <c r="D709" s="73"/>
      <c r="E709" s="73"/>
      <c r="F709" s="73"/>
      <c r="G709" s="73"/>
      <c r="I709" s="73"/>
    </row>
    <row r="710" spans="1:9" ht="15.75" customHeight="1">
      <c r="A710" s="73"/>
      <c r="B710" s="73"/>
      <c r="C710" s="73"/>
      <c r="D710" s="73"/>
      <c r="E710" s="73"/>
      <c r="F710" s="73"/>
      <c r="G710" s="73"/>
      <c r="I710" s="73"/>
    </row>
    <row r="711" spans="1:9" ht="15.75" customHeight="1">
      <c r="A711" s="73"/>
      <c r="B711" s="73"/>
      <c r="C711" s="73"/>
      <c r="D711" s="73"/>
      <c r="E711" s="73"/>
      <c r="F711" s="73"/>
      <c r="G711" s="73"/>
      <c r="I711" s="73"/>
    </row>
    <row r="712" spans="1:9" ht="15.75" customHeight="1">
      <c r="A712" s="73"/>
      <c r="B712" s="73"/>
      <c r="C712" s="73"/>
      <c r="D712" s="73"/>
      <c r="E712" s="73"/>
      <c r="F712" s="73"/>
      <c r="G712" s="73"/>
      <c r="I712" s="73"/>
    </row>
    <row r="713" spans="1:9" ht="15.75" customHeight="1">
      <c r="A713" s="73"/>
      <c r="B713" s="73"/>
      <c r="C713" s="73"/>
      <c r="D713" s="73"/>
      <c r="E713" s="73"/>
      <c r="F713" s="73"/>
      <c r="G713" s="73"/>
      <c r="I713" s="73"/>
    </row>
    <row r="714" spans="1:9" ht="15.75" customHeight="1">
      <c r="A714" s="73"/>
      <c r="B714" s="73"/>
      <c r="C714" s="73"/>
      <c r="D714" s="73"/>
      <c r="E714" s="73"/>
      <c r="F714" s="73"/>
      <c r="G714" s="73"/>
      <c r="I714" s="73"/>
    </row>
    <row r="715" spans="1:9" ht="15.75" customHeight="1">
      <c r="A715" s="73"/>
      <c r="B715" s="73"/>
      <c r="C715" s="73"/>
      <c r="D715" s="73"/>
      <c r="E715" s="73"/>
      <c r="F715" s="73"/>
      <c r="G715" s="73"/>
      <c r="I715" s="73"/>
    </row>
    <row r="716" spans="1:9" ht="15.75" customHeight="1">
      <c r="A716" s="73"/>
      <c r="B716" s="73"/>
      <c r="C716" s="73"/>
      <c r="D716" s="73"/>
      <c r="E716" s="73"/>
      <c r="F716" s="73"/>
      <c r="G716" s="73"/>
      <c r="I716" s="73"/>
    </row>
    <row r="717" spans="1:9" ht="15.75" customHeight="1">
      <c r="A717" s="73"/>
      <c r="B717" s="73"/>
      <c r="C717" s="73"/>
      <c r="D717" s="73"/>
      <c r="E717" s="73"/>
      <c r="F717" s="73"/>
      <c r="G717" s="73"/>
      <c r="I717" s="73"/>
    </row>
    <row r="718" spans="1:9" ht="15.75" customHeight="1">
      <c r="A718" s="73"/>
      <c r="B718" s="73"/>
      <c r="C718" s="73"/>
      <c r="D718" s="73"/>
      <c r="E718" s="73"/>
      <c r="F718" s="73"/>
      <c r="G718" s="73"/>
      <c r="I718" s="73"/>
    </row>
    <row r="719" spans="1:9" ht="15.75" customHeight="1">
      <c r="A719" s="73"/>
      <c r="B719" s="73"/>
      <c r="C719" s="73"/>
      <c r="D719" s="73"/>
      <c r="E719" s="73"/>
      <c r="F719" s="73"/>
      <c r="G719" s="73"/>
      <c r="I719" s="73"/>
    </row>
    <row r="720" spans="1:9" ht="15.75" customHeight="1">
      <c r="A720" s="73"/>
      <c r="B720" s="73"/>
      <c r="C720" s="73"/>
      <c r="D720" s="73"/>
      <c r="E720" s="73"/>
      <c r="F720" s="73"/>
      <c r="G720" s="73"/>
      <c r="I720" s="73"/>
    </row>
    <row r="721" spans="1:9" ht="15.75" customHeight="1">
      <c r="A721" s="73"/>
      <c r="B721" s="73"/>
      <c r="C721" s="73"/>
      <c r="D721" s="73"/>
      <c r="E721" s="73"/>
      <c r="F721" s="73"/>
      <c r="G721" s="73"/>
      <c r="I721" s="73"/>
    </row>
    <row r="722" spans="1:9" ht="15.75" customHeight="1">
      <c r="A722" s="73"/>
      <c r="B722" s="73"/>
      <c r="C722" s="73"/>
      <c r="D722" s="73"/>
      <c r="E722" s="73"/>
      <c r="F722" s="73"/>
      <c r="G722" s="73"/>
      <c r="I722" s="73"/>
    </row>
    <row r="723" spans="1:9" ht="15.75" customHeight="1">
      <c r="A723" s="73"/>
      <c r="B723" s="73"/>
      <c r="C723" s="73"/>
      <c r="D723" s="73"/>
      <c r="E723" s="73"/>
      <c r="F723" s="73"/>
      <c r="G723" s="73"/>
      <c r="I723" s="73"/>
    </row>
    <row r="724" spans="1:9" ht="15.75" customHeight="1">
      <c r="A724" s="73"/>
      <c r="B724" s="73"/>
      <c r="C724" s="73"/>
      <c r="D724" s="73"/>
      <c r="E724" s="73"/>
      <c r="F724" s="73"/>
      <c r="G724" s="73"/>
      <c r="I724" s="73"/>
    </row>
    <row r="725" spans="1:9" ht="15.75" customHeight="1">
      <c r="A725" s="73"/>
      <c r="B725" s="73"/>
      <c r="C725" s="73"/>
      <c r="D725" s="73"/>
      <c r="E725" s="73"/>
      <c r="F725" s="73"/>
      <c r="G725" s="73"/>
      <c r="I725" s="73"/>
    </row>
    <row r="726" spans="1:9" ht="15.75" customHeight="1">
      <c r="A726" s="73"/>
      <c r="B726" s="73"/>
      <c r="C726" s="73"/>
      <c r="D726" s="73"/>
      <c r="E726" s="73"/>
      <c r="F726" s="73"/>
      <c r="G726" s="73"/>
      <c r="I726" s="73"/>
    </row>
    <row r="727" spans="1:9" ht="15.75" customHeight="1">
      <c r="A727" s="73"/>
      <c r="B727" s="73"/>
      <c r="C727" s="73"/>
      <c r="D727" s="73"/>
      <c r="E727" s="73"/>
      <c r="F727" s="73"/>
      <c r="G727" s="73"/>
      <c r="I727" s="73"/>
    </row>
    <row r="728" spans="1:9" ht="15.75" customHeight="1">
      <c r="A728" s="73"/>
      <c r="B728" s="73"/>
      <c r="C728" s="73"/>
      <c r="D728" s="73"/>
      <c r="E728" s="73"/>
      <c r="F728" s="73"/>
      <c r="G728" s="73"/>
      <c r="I728" s="73"/>
    </row>
    <row r="729" spans="1:9" ht="15.75" customHeight="1">
      <c r="A729" s="73"/>
      <c r="B729" s="73"/>
      <c r="C729" s="73"/>
      <c r="D729" s="73"/>
      <c r="E729" s="73"/>
      <c r="F729" s="73"/>
      <c r="G729" s="73"/>
      <c r="I729" s="73"/>
    </row>
    <row r="730" spans="1:9" ht="15.75" customHeight="1">
      <c r="A730" s="73"/>
      <c r="B730" s="73"/>
      <c r="C730" s="73"/>
      <c r="D730" s="73"/>
      <c r="E730" s="73"/>
      <c r="F730" s="73"/>
      <c r="G730" s="73"/>
      <c r="I730" s="73"/>
    </row>
    <row r="731" spans="1:9" ht="15.75" customHeight="1">
      <c r="A731" s="73"/>
      <c r="B731" s="73"/>
      <c r="C731" s="73"/>
      <c r="D731" s="73"/>
      <c r="E731" s="73"/>
      <c r="F731" s="73"/>
      <c r="G731" s="73"/>
      <c r="I731" s="73"/>
    </row>
    <row r="732" spans="1:9" ht="15.75" customHeight="1">
      <c r="A732" s="73"/>
      <c r="B732" s="73"/>
      <c r="C732" s="73"/>
      <c r="D732" s="73"/>
      <c r="E732" s="73"/>
      <c r="F732" s="73"/>
      <c r="G732" s="73"/>
      <c r="I732" s="73"/>
    </row>
    <row r="733" spans="1:9" ht="15.75" customHeight="1">
      <c r="A733" s="73"/>
      <c r="B733" s="73"/>
      <c r="C733" s="73"/>
      <c r="D733" s="73"/>
      <c r="E733" s="73"/>
      <c r="F733" s="73"/>
      <c r="G733" s="73"/>
      <c r="I733" s="73"/>
    </row>
    <row r="734" spans="1:9" ht="15.75" customHeight="1">
      <c r="A734" s="73"/>
      <c r="B734" s="73"/>
      <c r="C734" s="73"/>
      <c r="D734" s="73"/>
      <c r="E734" s="73"/>
      <c r="F734" s="73"/>
      <c r="G734" s="73"/>
      <c r="I734" s="73"/>
    </row>
    <row r="735" spans="1:9" ht="15.75" customHeight="1">
      <c r="A735" s="73"/>
      <c r="B735" s="73"/>
      <c r="C735" s="73"/>
      <c r="D735" s="73"/>
      <c r="E735" s="73"/>
      <c r="F735" s="73"/>
      <c r="G735" s="73"/>
      <c r="I735" s="73"/>
    </row>
    <row r="736" spans="1:9" ht="15.75" customHeight="1">
      <c r="A736" s="73"/>
      <c r="B736" s="73"/>
      <c r="C736" s="73"/>
      <c r="D736" s="73"/>
      <c r="E736" s="73"/>
      <c r="F736" s="73"/>
      <c r="G736" s="73"/>
      <c r="I736" s="73"/>
    </row>
    <row r="737" spans="1:9" ht="15.75" customHeight="1">
      <c r="A737" s="73"/>
      <c r="B737" s="73"/>
      <c r="C737" s="73"/>
      <c r="D737" s="73"/>
      <c r="E737" s="73"/>
      <c r="F737" s="73"/>
      <c r="G737" s="73"/>
      <c r="I737" s="73"/>
    </row>
    <row r="738" spans="1:9" ht="15.75" customHeight="1">
      <c r="A738" s="73"/>
      <c r="B738" s="73"/>
      <c r="C738" s="73"/>
      <c r="D738" s="73"/>
      <c r="E738" s="73"/>
      <c r="F738" s="73"/>
      <c r="G738" s="73"/>
      <c r="I738" s="73"/>
    </row>
    <row r="739" spans="1:9" ht="15.75" customHeight="1">
      <c r="A739" s="73"/>
      <c r="B739" s="73"/>
      <c r="C739" s="73"/>
      <c r="D739" s="73"/>
      <c r="E739" s="73"/>
      <c r="F739" s="73"/>
      <c r="G739" s="73"/>
      <c r="I739" s="73"/>
    </row>
    <row r="740" spans="1:9" ht="15.75" customHeight="1">
      <c r="A740" s="73"/>
      <c r="B740" s="73"/>
      <c r="C740" s="73"/>
      <c r="D740" s="73"/>
      <c r="E740" s="73"/>
      <c r="F740" s="73"/>
      <c r="G740" s="73"/>
      <c r="I740" s="73"/>
    </row>
    <row r="741" spans="1:9" ht="15.75" customHeight="1">
      <c r="A741" s="73"/>
      <c r="B741" s="73"/>
      <c r="C741" s="73"/>
      <c r="D741" s="73"/>
      <c r="E741" s="73"/>
      <c r="F741" s="73"/>
      <c r="G741" s="73"/>
      <c r="I741" s="73"/>
    </row>
    <row r="742" spans="1:9" ht="15.75" customHeight="1">
      <c r="A742" s="73"/>
      <c r="B742" s="73"/>
      <c r="C742" s="73"/>
      <c r="D742" s="73"/>
      <c r="E742" s="73"/>
      <c r="F742" s="73"/>
      <c r="G742" s="73"/>
      <c r="I742" s="73"/>
    </row>
    <row r="743" spans="1:9" ht="15.75" customHeight="1">
      <c r="A743" s="73"/>
      <c r="B743" s="73"/>
      <c r="C743" s="73"/>
      <c r="D743" s="73"/>
      <c r="E743" s="73"/>
      <c r="F743" s="73"/>
      <c r="G743" s="73"/>
      <c r="I743" s="73"/>
    </row>
    <row r="744" spans="1:9" ht="15.75" customHeight="1">
      <c r="A744" s="73"/>
      <c r="B744" s="73"/>
      <c r="C744" s="73"/>
      <c r="D744" s="73"/>
      <c r="E744" s="73"/>
      <c r="F744" s="73"/>
      <c r="G744" s="73"/>
      <c r="I744" s="73"/>
    </row>
    <row r="745" spans="1:9" ht="15.75" customHeight="1">
      <c r="A745" s="73"/>
      <c r="B745" s="73"/>
      <c r="C745" s="73"/>
      <c r="D745" s="73"/>
      <c r="E745" s="73"/>
      <c r="F745" s="73"/>
      <c r="G745" s="73"/>
      <c r="I745" s="73"/>
    </row>
    <row r="746" spans="1:9" ht="15.75" customHeight="1">
      <c r="A746" s="73"/>
      <c r="B746" s="73"/>
      <c r="C746" s="73"/>
      <c r="D746" s="73"/>
      <c r="E746" s="73"/>
      <c r="F746" s="73"/>
      <c r="G746" s="73"/>
      <c r="I746" s="73"/>
    </row>
    <row r="747" spans="1:9" ht="15.75" customHeight="1">
      <c r="A747" s="73"/>
      <c r="B747" s="73"/>
      <c r="C747" s="73"/>
      <c r="D747" s="73"/>
      <c r="E747" s="73"/>
      <c r="F747" s="73"/>
      <c r="G747" s="73"/>
      <c r="I747" s="73"/>
    </row>
    <row r="748" spans="1:9" ht="15.75" customHeight="1">
      <c r="A748" s="73"/>
      <c r="B748" s="73"/>
      <c r="C748" s="73"/>
      <c r="D748" s="73"/>
      <c r="E748" s="73"/>
      <c r="F748" s="73"/>
      <c r="G748" s="73"/>
      <c r="I748" s="73"/>
    </row>
    <row r="749" spans="1:9" ht="15.75" customHeight="1">
      <c r="A749" s="73"/>
      <c r="B749" s="73"/>
      <c r="C749" s="73"/>
      <c r="D749" s="73"/>
      <c r="E749" s="73"/>
      <c r="F749" s="73"/>
      <c r="G749" s="73"/>
      <c r="I749" s="73"/>
    </row>
    <row r="750" spans="1:9" ht="15.75" customHeight="1">
      <c r="A750" s="73"/>
      <c r="B750" s="73"/>
      <c r="C750" s="73"/>
      <c r="D750" s="73"/>
      <c r="E750" s="73"/>
      <c r="F750" s="73"/>
      <c r="G750" s="73"/>
      <c r="I750" s="73"/>
    </row>
    <row r="751" spans="1:9" ht="15.75" customHeight="1">
      <c r="A751" s="73"/>
      <c r="B751" s="73"/>
      <c r="C751" s="73"/>
      <c r="D751" s="73"/>
      <c r="E751" s="73"/>
      <c r="F751" s="73"/>
      <c r="G751" s="73"/>
      <c r="I751" s="73"/>
    </row>
    <row r="752" spans="1:9" ht="15.75" customHeight="1">
      <c r="A752" s="73"/>
      <c r="B752" s="73"/>
      <c r="C752" s="73"/>
      <c r="D752" s="73"/>
      <c r="E752" s="73"/>
      <c r="F752" s="73"/>
      <c r="G752" s="73"/>
      <c r="I752" s="73"/>
    </row>
    <row r="753" spans="1:9" ht="15.75" customHeight="1">
      <c r="A753" s="73"/>
      <c r="B753" s="73"/>
      <c r="C753" s="73"/>
      <c r="D753" s="73"/>
      <c r="E753" s="73"/>
      <c r="F753" s="73"/>
      <c r="G753" s="73"/>
      <c r="I753" s="73"/>
    </row>
    <row r="754" spans="1:9" ht="15.75" customHeight="1">
      <c r="A754" s="73"/>
      <c r="B754" s="73"/>
      <c r="C754" s="73"/>
      <c r="D754" s="73"/>
      <c r="E754" s="73"/>
      <c r="F754" s="73"/>
      <c r="G754" s="73"/>
      <c r="I754" s="73"/>
    </row>
    <row r="755" spans="1:9" ht="15.75" customHeight="1">
      <c r="A755" s="73"/>
      <c r="B755" s="73"/>
      <c r="C755" s="73"/>
      <c r="D755" s="73"/>
      <c r="E755" s="73"/>
      <c r="F755" s="73"/>
      <c r="G755" s="73"/>
      <c r="I755" s="73"/>
    </row>
    <row r="756" spans="1:9" ht="15.75" customHeight="1">
      <c r="A756" s="73"/>
      <c r="B756" s="73"/>
      <c r="C756" s="73"/>
      <c r="D756" s="73"/>
      <c r="E756" s="73"/>
      <c r="F756" s="73"/>
      <c r="G756" s="73"/>
      <c r="I756" s="73"/>
    </row>
    <row r="757" spans="1:9" ht="15.75" customHeight="1">
      <c r="A757" s="73"/>
      <c r="B757" s="73"/>
      <c r="C757" s="73"/>
      <c r="D757" s="73"/>
      <c r="E757" s="73"/>
      <c r="F757" s="73"/>
      <c r="G757" s="73"/>
      <c r="I757" s="73"/>
    </row>
    <row r="758" spans="1:9" ht="15.75" customHeight="1">
      <c r="A758" s="73"/>
      <c r="B758" s="73"/>
      <c r="C758" s="73"/>
      <c r="D758" s="73"/>
      <c r="E758" s="73"/>
      <c r="F758" s="73"/>
      <c r="G758" s="73"/>
      <c r="I758" s="73"/>
    </row>
    <row r="759" spans="1:9" ht="15.75" customHeight="1">
      <c r="A759" s="73"/>
      <c r="B759" s="73"/>
      <c r="C759" s="73"/>
      <c r="D759" s="73"/>
      <c r="E759" s="73"/>
      <c r="F759" s="73"/>
      <c r="G759" s="73"/>
      <c r="I759" s="73"/>
    </row>
    <row r="760" spans="1:9" ht="15.75" customHeight="1">
      <c r="A760" s="73"/>
      <c r="B760" s="73"/>
      <c r="C760" s="73"/>
      <c r="D760" s="73"/>
      <c r="E760" s="73"/>
      <c r="F760" s="73"/>
      <c r="G760" s="73"/>
      <c r="I760" s="73"/>
    </row>
    <row r="761" spans="1:9" ht="15.75" customHeight="1">
      <c r="A761" s="73"/>
      <c r="B761" s="73"/>
      <c r="C761" s="73"/>
      <c r="D761" s="73"/>
      <c r="E761" s="73"/>
      <c r="F761" s="73"/>
      <c r="G761" s="73"/>
      <c r="I761" s="73"/>
    </row>
    <row r="762" spans="1:9" ht="15.75" customHeight="1">
      <c r="A762" s="73"/>
      <c r="B762" s="73"/>
      <c r="C762" s="73"/>
      <c r="D762" s="73"/>
      <c r="E762" s="73"/>
      <c r="F762" s="73"/>
      <c r="G762" s="73"/>
      <c r="I762" s="73"/>
    </row>
    <row r="763" spans="1:9" ht="15.75" customHeight="1">
      <c r="A763" s="73"/>
      <c r="B763" s="73"/>
      <c r="C763" s="73"/>
      <c r="D763" s="73"/>
      <c r="E763" s="73"/>
      <c r="F763" s="73"/>
      <c r="G763" s="73"/>
      <c r="I763" s="73"/>
    </row>
    <row r="764" spans="1:9" ht="15.75" customHeight="1">
      <c r="A764" s="73"/>
      <c r="B764" s="73"/>
      <c r="C764" s="73"/>
      <c r="D764" s="73"/>
      <c r="E764" s="73"/>
      <c r="F764" s="73"/>
      <c r="G764" s="73"/>
      <c r="I764" s="73"/>
    </row>
    <row r="765" spans="1:9" ht="15.75" customHeight="1">
      <c r="A765" s="73"/>
      <c r="B765" s="73"/>
      <c r="C765" s="73"/>
      <c r="D765" s="73"/>
      <c r="E765" s="73"/>
      <c r="F765" s="73"/>
      <c r="G765" s="73"/>
      <c r="I765" s="73"/>
    </row>
    <row r="766" spans="1:9" ht="15.75" customHeight="1">
      <c r="A766" s="73"/>
      <c r="B766" s="73"/>
      <c r="C766" s="73"/>
      <c r="D766" s="73"/>
      <c r="E766" s="73"/>
      <c r="F766" s="73"/>
      <c r="G766" s="73"/>
      <c r="I766" s="73"/>
    </row>
    <row r="767" spans="1:9" ht="15.75" customHeight="1">
      <c r="A767" s="73"/>
      <c r="B767" s="73"/>
      <c r="C767" s="73"/>
      <c r="D767" s="73"/>
      <c r="E767" s="73"/>
      <c r="F767" s="73"/>
      <c r="G767" s="73"/>
      <c r="I767" s="73"/>
    </row>
    <row r="768" spans="1:9" ht="15.75" customHeight="1">
      <c r="A768" s="73"/>
      <c r="B768" s="73"/>
      <c r="C768" s="73"/>
      <c r="D768" s="73"/>
      <c r="E768" s="73"/>
      <c r="F768" s="73"/>
      <c r="G768" s="73"/>
      <c r="I768" s="73"/>
    </row>
    <row r="769" spans="1:9" ht="15.75" customHeight="1">
      <c r="A769" s="73"/>
      <c r="B769" s="73"/>
      <c r="C769" s="73"/>
      <c r="D769" s="73"/>
      <c r="E769" s="73"/>
      <c r="F769" s="73"/>
      <c r="G769" s="73"/>
      <c r="I769" s="73"/>
    </row>
    <row r="770" spans="1:9" ht="15.75" customHeight="1">
      <c r="A770" s="73"/>
      <c r="B770" s="73"/>
      <c r="C770" s="73"/>
      <c r="D770" s="73"/>
      <c r="E770" s="73"/>
      <c r="F770" s="73"/>
      <c r="G770" s="73"/>
      <c r="I770" s="73"/>
    </row>
    <row r="771" spans="1:9" ht="15.75" customHeight="1">
      <c r="A771" s="73"/>
      <c r="B771" s="73"/>
      <c r="C771" s="73"/>
      <c r="D771" s="73"/>
      <c r="E771" s="73"/>
      <c r="F771" s="73"/>
      <c r="G771" s="73"/>
      <c r="I771" s="73"/>
    </row>
    <row r="772" spans="1:9" ht="15.75" customHeight="1">
      <c r="A772" s="73"/>
      <c r="B772" s="73"/>
      <c r="C772" s="73"/>
      <c r="D772" s="73"/>
      <c r="E772" s="73"/>
      <c r="F772" s="73"/>
      <c r="G772" s="73"/>
      <c r="I772" s="73"/>
    </row>
    <row r="773" spans="1:9" ht="15.75" customHeight="1">
      <c r="A773" s="73"/>
      <c r="B773" s="73"/>
      <c r="C773" s="73"/>
      <c r="D773" s="73"/>
      <c r="E773" s="73"/>
      <c r="F773" s="73"/>
      <c r="G773" s="73"/>
      <c r="I773" s="73"/>
    </row>
    <row r="774" spans="1:9" ht="15.75" customHeight="1">
      <c r="A774" s="73"/>
      <c r="B774" s="73"/>
      <c r="C774" s="73"/>
      <c r="D774" s="73"/>
      <c r="E774" s="73"/>
      <c r="F774" s="73"/>
      <c r="G774" s="73"/>
      <c r="I774" s="73"/>
    </row>
    <row r="775" spans="1:9" ht="15.75" customHeight="1">
      <c r="A775" s="73"/>
      <c r="B775" s="73"/>
      <c r="C775" s="73"/>
      <c r="D775" s="73"/>
      <c r="E775" s="73"/>
      <c r="F775" s="73"/>
      <c r="G775" s="73"/>
      <c r="I775" s="73"/>
    </row>
    <row r="776" spans="1:9" ht="15.75" customHeight="1">
      <c r="A776" s="73"/>
      <c r="B776" s="73"/>
      <c r="C776" s="73"/>
      <c r="D776" s="73"/>
      <c r="E776" s="73"/>
      <c r="F776" s="73"/>
      <c r="G776" s="73"/>
      <c r="I776" s="73"/>
    </row>
    <row r="777" spans="1:9" ht="15.75" customHeight="1">
      <c r="A777" s="73"/>
      <c r="B777" s="73"/>
      <c r="C777" s="73"/>
      <c r="D777" s="73"/>
      <c r="E777" s="73"/>
      <c r="F777" s="73"/>
      <c r="G777" s="73"/>
      <c r="I777" s="73"/>
    </row>
    <row r="778" spans="1:9" ht="15.75" customHeight="1">
      <c r="A778" s="73"/>
      <c r="B778" s="73"/>
      <c r="C778" s="73"/>
      <c r="D778" s="73"/>
      <c r="E778" s="73"/>
      <c r="F778" s="73"/>
      <c r="G778" s="73"/>
      <c r="I778" s="73"/>
    </row>
    <row r="779" spans="1:9" ht="15.75" customHeight="1">
      <c r="A779" s="73"/>
      <c r="B779" s="73"/>
      <c r="C779" s="73"/>
      <c r="D779" s="73"/>
      <c r="E779" s="73"/>
      <c r="F779" s="73"/>
      <c r="G779" s="73"/>
      <c r="I779" s="73"/>
    </row>
    <row r="780" spans="1:9" ht="15.75" customHeight="1">
      <c r="A780" s="73"/>
      <c r="B780" s="73"/>
      <c r="C780" s="73"/>
      <c r="D780" s="73"/>
      <c r="E780" s="73"/>
      <c r="F780" s="73"/>
      <c r="G780" s="73"/>
      <c r="I780" s="73"/>
    </row>
    <row r="781" spans="1:9" ht="15.75" customHeight="1">
      <c r="A781" s="73"/>
      <c r="B781" s="73"/>
      <c r="C781" s="73"/>
      <c r="D781" s="73"/>
      <c r="E781" s="73"/>
      <c r="F781" s="73"/>
      <c r="G781" s="73"/>
      <c r="I781" s="73"/>
    </row>
    <row r="782" spans="1:9" ht="15.75" customHeight="1">
      <c r="A782" s="73"/>
      <c r="B782" s="73"/>
      <c r="C782" s="73"/>
      <c r="D782" s="73"/>
      <c r="E782" s="73"/>
      <c r="F782" s="73"/>
      <c r="G782" s="73"/>
      <c r="I782" s="73"/>
    </row>
    <row r="783" spans="1:9" ht="15.75" customHeight="1">
      <c r="A783" s="73"/>
      <c r="B783" s="73"/>
      <c r="C783" s="73"/>
      <c r="D783" s="73"/>
      <c r="E783" s="73"/>
      <c r="F783" s="73"/>
      <c r="G783" s="73"/>
      <c r="I783" s="73"/>
    </row>
    <row r="784" spans="1:9" ht="15.75" customHeight="1">
      <c r="A784" s="73"/>
      <c r="B784" s="73"/>
      <c r="C784" s="73"/>
      <c r="D784" s="73"/>
      <c r="E784" s="73"/>
      <c r="F784" s="73"/>
      <c r="G784" s="73"/>
      <c r="I784" s="73"/>
    </row>
    <row r="785" spans="1:9" ht="15.75" customHeight="1">
      <c r="A785" s="73"/>
      <c r="B785" s="73"/>
      <c r="C785" s="73"/>
      <c r="D785" s="73"/>
      <c r="E785" s="73"/>
      <c r="F785" s="73"/>
      <c r="G785" s="73"/>
      <c r="I785" s="73"/>
    </row>
    <row r="786" spans="1:9" ht="15.75" customHeight="1">
      <c r="A786" s="73"/>
      <c r="B786" s="73"/>
      <c r="C786" s="73"/>
      <c r="D786" s="73"/>
      <c r="E786" s="73"/>
      <c r="F786" s="73"/>
      <c r="G786" s="73"/>
      <c r="I786" s="73"/>
    </row>
    <row r="787" spans="1:9" ht="15.75" customHeight="1">
      <c r="A787" s="73"/>
      <c r="B787" s="73"/>
      <c r="C787" s="73"/>
      <c r="D787" s="73"/>
      <c r="E787" s="73"/>
      <c r="F787" s="73"/>
      <c r="G787" s="73"/>
      <c r="I787" s="73"/>
    </row>
    <row r="788" spans="1:9" ht="15.75" customHeight="1">
      <c r="A788" s="73"/>
      <c r="B788" s="73"/>
      <c r="C788" s="73"/>
      <c r="D788" s="73"/>
      <c r="E788" s="73"/>
      <c r="F788" s="73"/>
      <c r="G788" s="73"/>
      <c r="I788" s="73"/>
    </row>
    <row r="789" spans="1:9" ht="15.75" customHeight="1">
      <c r="A789" s="73"/>
      <c r="B789" s="73"/>
      <c r="C789" s="73"/>
      <c r="D789" s="73"/>
      <c r="E789" s="73"/>
      <c r="F789" s="73"/>
      <c r="G789" s="73"/>
      <c r="I789" s="73"/>
    </row>
    <row r="790" spans="1:9" ht="15.75" customHeight="1">
      <c r="A790" s="73"/>
      <c r="B790" s="73"/>
      <c r="C790" s="73"/>
      <c r="D790" s="73"/>
      <c r="E790" s="73"/>
      <c r="F790" s="73"/>
      <c r="G790" s="73"/>
      <c r="I790" s="73"/>
    </row>
    <row r="791" spans="1:9" ht="15.75" customHeight="1">
      <c r="A791" s="73"/>
      <c r="B791" s="73"/>
      <c r="C791" s="73"/>
      <c r="D791" s="73"/>
      <c r="E791" s="73"/>
      <c r="F791" s="73"/>
      <c r="G791" s="73"/>
      <c r="I791" s="73"/>
    </row>
    <row r="792" spans="1:9" ht="15.75" customHeight="1">
      <c r="A792" s="73"/>
      <c r="B792" s="73"/>
      <c r="C792" s="73"/>
      <c r="D792" s="73"/>
      <c r="E792" s="73"/>
      <c r="F792" s="73"/>
      <c r="G792" s="73"/>
      <c r="I792" s="73"/>
    </row>
    <row r="793" spans="1:9" ht="15.75" customHeight="1">
      <c r="A793" s="73"/>
      <c r="B793" s="73"/>
      <c r="C793" s="73"/>
      <c r="D793" s="73"/>
      <c r="E793" s="73"/>
      <c r="F793" s="73"/>
      <c r="G793" s="73"/>
      <c r="I793" s="73"/>
    </row>
    <row r="794" spans="1:9" ht="15.75" customHeight="1">
      <c r="A794" s="73"/>
      <c r="B794" s="73"/>
      <c r="C794" s="73"/>
      <c r="D794" s="73"/>
      <c r="E794" s="73"/>
      <c r="F794" s="73"/>
      <c r="G794" s="73"/>
      <c r="I794" s="73"/>
    </row>
    <row r="795" spans="1:9" ht="15.75" customHeight="1">
      <c r="A795" s="73"/>
      <c r="B795" s="73"/>
      <c r="C795" s="73"/>
      <c r="D795" s="73"/>
      <c r="E795" s="73"/>
      <c r="F795" s="73"/>
      <c r="G795" s="73"/>
      <c r="I795" s="73"/>
    </row>
    <row r="796" spans="1:9" ht="15.75" customHeight="1">
      <c r="A796" s="73"/>
      <c r="B796" s="73"/>
      <c r="C796" s="73"/>
      <c r="D796" s="73"/>
      <c r="E796" s="73"/>
      <c r="F796" s="73"/>
      <c r="G796" s="73"/>
      <c r="I796" s="73"/>
    </row>
    <row r="797" spans="1:9" ht="15.75" customHeight="1">
      <c r="A797" s="73"/>
      <c r="B797" s="73"/>
      <c r="C797" s="73"/>
      <c r="D797" s="73"/>
      <c r="E797" s="73"/>
      <c r="F797" s="73"/>
      <c r="G797" s="73"/>
      <c r="I797" s="73"/>
    </row>
    <row r="798" spans="1:9" ht="15.75" customHeight="1">
      <c r="A798" s="73"/>
      <c r="B798" s="73"/>
      <c r="C798" s="73"/>
      <c r="D798" s="73"/>
      <c r="E798" s="73"/>
      <c r="F798" s="73"/>
      <c r="G798" s="73"/>
      <c r="I798" s="73"/>
    </row>
    <row r="799" spans="1:9" ht="15.75" customHeight="1">
      <c r="A799" s="73"/>
      <c r="B799" s="73"/>
      <c r="C799" s="73"/>
      <c r="D799" s="73"/>
      <c r="E799" s="73"/>
      <c r="F799" s="73"/>
      <c r="G799" s="73"/>
      <c r="I799" s="73"/>
    </row>
    <row r="800" spans="1:9" ht="15.75" customHeight="1">
      <c r="A800" s="73"/>
      <c r="B800" s="73"/>
      <c r="C800" s="73"/>
      <c r="D800" s="73"/>
      <c r="E800" s="73"/>
      <c r="F800" s="73"/>
      <c r="G800" s="73"/>
      <c r="I800" s="73"/>
    </row>
    <row r="801" spans="1:9" ht="15.75" customHeight="1">
      <c r="A801" s="73"/>
      <c r="B801" s="73"/>
      <c r="C801" s="73"/>
      <c r="D801" s="73"/>
      <c r="E801" s="73"/>
      <c r="F801" s="73"/>
      <c r="G801" s="73"/>
      <c r="I801" s="73"/>
    </row>
    <row r="802" spans="1:9" ht="15.75" customHeight="1">
      <c r="A802" s="73"/>
      <c r="B802" s="73"/>
      <c r="C802" s="73"/>
      <c r="D802" s="73"/>
      <c r="E802" s="73"/>
      <c r="F802" s="73"/>
      <c r="G802" s="73"/>
      <c r="I802" s="73"/>
    </row>
    <row r="803" spans="1:9" ht="15.75" customHeight="1">
      <c r="A803" s="73"/>
      <c r="B803" s="73"/>
      <c r="C803" s="73"/>
      <c r="D803" s="73"/>
      <c r="E803" s="73"/>
      <c r="F803" s="73"/>
      <c r="G803" s="73"/>
      <c r="I803" s="73"/>
    </row>
    <row r="804" spans="1:9" ht="15.75" customHeight="1">
      <c r="A804" s="73"/>
      <c r="B804" s="73"/>
      <c r="C804" s="73"/>
      <c r="D804" s="73"/>
      <c r="E804" s="73"/>
      <c r="F804" s="73"/>
      <c r="G804" s="73"/>
      <c r="I804" s="73"/>
    </row>
    <row r="805" spans="1:9" ht="15.75" customHeight="1">
      <c r="A805" s="73"/>
      <c r="B805" s="73"/>
      <c r="C805" s="73"/>
      <c r="D805" s="73"/>
      <c r="E805" s="73"/>
      <c r="F805" s="73"/>
      <c r="G805" s="73"/>
      <c r="I805" s="73"/>
    </row>
    <row r="806" spans="1:9" ht="15.75" customHeight="1">
      <c r="A806" s="73"/>
      <c r="B806" s="73"/>
      <c r="C806" s="73"/>
      <c r="D806" s="73"/>
      <c r="E806" s="73"/>
      <c r="F806" s="73"/>
      <c r="G806" s="73"/>
      <c r="I806" s="73"/>
    </row>
    <row r="807" spans="1:9" ht="15.75" customHeight="1">
      <c r="A807" s="73"/>
      <c r="B807" s="73"/>
      <c r="C807" s="73"/>
      <c r="D807" s="73"/>
      <c r="E807" s="73"/>
      <c r="F807" s="73"/>
      <c r="G807" s="73"/>
      <c r="I807" s="73"/>
    </row>
    <row r="808" spans="1:9" ht="15.75" customHeight="1">
      <c r="A808" s="73"/>
      <c r="B808" s="73"/>
      <c r="C808" s="73"/>
      <c r="D808" s="73"/>
      <c r="E808" s="73"/>
      <c r="F808" s="73"/>
      <c r="G808" s="73"/>
      <c r="I808" s="73"/>
    </row>
    <row r="809" spans="1:9" ht="15.75" customHeight="1">
      <c r="A809" s="73"/>
      <c r="B809" s="73"/>
      <c r="C809" s="73"/>
      <c r="D809" s="73"/>
      <c r="E809" s="73"/>
      <c r="F809" s="73"/>
      <c r="G809" s="73"/>
      <c r="I809" s="73"/>
    </row>
    <row r="810" spans="1:9" ht="15.75" customHeight="1">
      <c r="A810" s="73"/>
      <c r="B810" s="73"/>
      <c r="C810" s="73"/>
      <c r="D810" s="73"/>
      <c r="E810" s="73"/>
      <c r="F810" s="73"/>
      <c r="G810" s="73"/>
      <c r="I810" s="73"/>
    </row>
    <row r="811" spans="1:9" ht="15.75" customHeight="1">
      <c r="A811" s="73"/>
      <c r="B811" s="73"/>
      <c r="C811" s="73"/>
      <c r="D811" s="73"/>
      <c r="E811" s="73"/>
      <c r="F811" s="73"/>
      <c r="G811" s="73"/>
      <c r="I811" s="73"/>
    </row>
    <row r="812" spans="1:9" ht="15.75" customHeight="1">
      <c r="A812" s="73"/>
      <c r="B812" s="73"/>
      <c r="C812" s="73"/>
      <c r="D812" s="73"/>
      <c r="E812" s="73"/>
      <c r="F812" s="73"/>
      <c r="G812" s="73"/>
      <c r="I812" s="73"/>
    </row>
    <row r="813" spans="1:9" ht="15.75" customHeight="1">
      <c r="A813" s="73"/>
      <c r="B813" s="73"/>
      <c r="C813" s="73"/>
      <c r="D813" s="73"/>
      <c r="E813" s="73"/>
      <c r="F813" s="73"/>
      <c r="G813" s="73"/>
      <c r="I813" s="73"/>
    </row>
    <row r="814" spans="1:9" ht="15.75" customHeight="1">
      <c r="A814" s="73"/>
      <c r="B814" s="73"/>
      <c r="C814" s="73"/>
      <c r="D814" s="73"/>
      <c r="E814" s="73"/>
      <c r="F814" s="73"/>
      <c r="G814" s="73"/>
      <c r="I814" s="73"/>
    </row>
    <row r="815" spans="1:9" ht="15.75" customHeight="1">
      <c r="A815" s="73"/>
      <c r="B815" s="73"/>
      <c r="C815" s="73"/>
      <c r="D815" s="73"/>
      <c r="E815" s="73"/>
      <c r="F815" s="73"/>
      <c r="G815" s="73"/>
      <c r="I815" s="73"/>
    </row>
    <row r="816" spans="1:9" ht="15.75" customHeight="1">
      <c r="A816" s="73"/>
      <c r="B816" s="73"/>
      <c r="C816" s="73"/>
      <c r="D816" s="73"/>
      <c r="E816" s="73"/>
      <c r="F816" s="73"/>
      <c r="G816" s="73"/>
      <c r="I816" s="73"/>
    </row>
    <row r="817" spans="1:9" ht="15.75" customHeight="1">
      <c r="A817" s="73"/>
      <c r="B817" s="73"/>
      <c r="C817" s="73"/>
      <c r="D817" s="73"/>
      <c r="E817" s="73"/>
      <c r="F817" s="73"/>
      <c r="G817" s="73"/>
      <c r="I817" s="73"/>
    </row>
    <row r="818" spans="1:9" ht="15.75" customHeight="1">
      <c r="A818" s="73"/>
      <c r="B818" s="73"/>
      <c r="C818" s="73"/>
      <c r="D818" s="73"/>
      <c r="E818" s="73"/>
      <c r="F818" s="73"/>
      <c r="G818" s="73"/>
      <c r="I818" s="73"/>
    </row>
    <row r="819" spans="1:9" ht="15.75" customHeight="1">
      <c r="A819" s="73"/>
      <c r="B819" s="73"/>
      <c r="C819" s="73"/>
      <c r="D819" s="73"/>
      <c r="E819" s="73"/>
      <c r="F819" s="73"/>
      <c r="G819" s="73"/>
      <c r="I819" s="73"/>
    </row>
    <row r="820" spans="1:9" ht="15.75" customHeight="1">
      <c r="A820" s="73"/>
      <c r="B820" s="73"/>
      <c r="C820" s="73"/>
      <c r="D820" s="73"/>
      <c r="E820" s="73"/>
      <c r="F820" s="73"/>
      <c r="G820" s="73"/>
      <c r="I820" s="73"/>
    </row>
    <row r="821" spans="1:9" ht="15.75" customHeight="1">
      <c r="A821" s="73"/>
      <c r="B821" s="73"/>
      <c r="C821" s="73"/>
      <c r="D821" s="73"/>
      <c r="E821" s="73"/>
      <c r="F821" s="73"/>
      <c r="G821" s="73"/>
      <c r="I821" s="73"/>
    </row>
    <row r="822" spans="1:9" ht="15.75" customHeight="1">
      <c r="A822" s="73"/>
      <c r="B822" s="73"/>
      <c r="C822" s="73"/>
      <c r="D822" s="73"/>
      <c r="E822" s="73"/>
      <c r="F822" s="73"/>
      <c r="G822" s="73"/>
      <c r="I822" s="73"/>
    </row>
    <row r="823" spans="1:9" ht="15.75" customHeight="1">
      <c r="A823" s="73"/>
      <c r="B823" s="73"/>
      <c r="C823" s="73"/>
      <c r="D823" s="73"/>
      <c r="E823" s="73"/>
      <c r="F823" s="73"/>
      <c r="G823" s="73"/>
      <c r="I823" s="73"/>
    </row>
    <row r="824" spans="1:9" ht="15.75" customHeight="1">
      <c r="A824" s="73"/>
      <c r="B824" s="73"/>
      <c r="C824" s="73"/>
      <c r="D824" s="73"/>
      <c r="E824" s="73"/>
      <c r="F824" s="73"/>
      <c r="G824" s="73"/>
      <c r="I824" s="73"/>
    </row>
    <row r="825" spans="1:9" ht="15.75" customHeight="1">
      <c r="A825" s="73"/>
      <c r="B825" s="73"/>
      <c r="C825" s="73"/>
      <c r="D825" s="73"/>
      <c r="E825" s="73"/>
      <c r="F825" s="73"/>
      <c r="G825" s="73"/>
      <c r="I825" s="73"/>
    </row>
    <row r="826" spans="1:9" ht="15.75" customHeight="1">
      <c r="A826" s="73"/>
      <c r="B826" s="73"/>
      <c r="C826" s="73"/>
      <c r="D826" s="73"/>
      <c r="E826" s="73"/>
      <c r="F826" s="73"/>
      <c r="G826" s="73"/>
      <c r="I826" s="73"/>
    </row>
    <row r="827" spans="1:9" ht="15.75" customHeight="1">
      <c r="A827" s="73"/>
      <c r="B827" s="73"/>
      <c r="C827" s="73"/>
      <c r="D827" s="73"/>
      <c r="E827" s="73"/>
      <c r="F827" s="73"/>
      <c r="G827" s="73"/>
      <c r="I827" s="73"/>
    </row>
    <row r="828" spans="1:9" ht="15.75" customHeight="1">
      <c r="A828" s="73"/>
      <c r="B828" s="73"/>
      <c r="C828" s="73"/>
      <c r="D828" s="73"/>
      <c r="E828" s="73"/>
      <c r="F828" s="73"/>
      <c r="G828" s="73"/>
      <c r="I828" s="73"/>
    </row>
    <row r="829" spans="1:9" ht="15.75" customHeight="1">
      <c r="A829" s="73"/>
      <c r="B829" s="73"/>
      <c r="C829" s="73"/>
      <c r="D829" s="73"/>
      <c r="E829" s="73"/>
      <c r="F829" s="73"/>
      <c r="G829" s="73"/>
      <c r="I829" s="73"/>
    </row>
    <row r="830" spans="1:9" ht="15.75" customHeight="1">
      <c r="A830" s="73"/>
      <c r="B830" s="73"/>
      <c r="C830" s="73"/>
      <c r="D830" s="73"/>
      <c r="E830" s="73"/>
      <c r="F830" s="73"/>
      <c r="G830" s="73"/>
      <c r="I830" s="73"/>
    </row>
    <row r="831" spans="1:9" ht="15.75" customHeight="1">
      <c r="A831" s="73"/>
      <c r="B831" s="73"/>
      <c r="C831" s="73"/>
      <c r="D831" s="73"/>
      <c r="E831" s="73"/>
      <c r="F831" s="73"/>
      <c r="G831" s="73"/>
      <c r="I831" s="73"/>
    </row>
    <row r="832" spans="1:9" ht="15.75" customHeight="1">
      <c r="A832" s="73"/>
      <c r="B832" s="73"/>
      <c r="C832" s="73"/>
      <c r="D832" s="73"/>
      <c r="E832" s="73"/>
      <c r="F832" s="73"/>
      <c r="G832" s="73"/>
      <c r="I832" s="73"/>
    </row>
    <row r="833" spans="1:9" ht="15.75" customHeight="1">
      <c r="A833" s="73"/>
      <c r="B833" s="73"/>
      <c r="C833" s="73"/>
      <c r="D833" s="73"/>
      <c r="E833" s="73"/>
      <c r="F833" s="73"/>
      <c r="G833" s="73"/>
      <c r="I833" s="73"/>
    </row>
    <row r="834" spans="1:9" ht="15.75" customHeight="1">
      <c r="A834" s="73"/>
      <c r="B834" s="73"/>
      <c r="C834" s="73"/>
      <c r="D834" s="73"/>
      <c r="E834" s="73"/>
      <c r="F834" s="73"/>
      <c r="G834" s="73"/>
      <c r="I834" s="73"/>
    </row>
    <row r="835" spans="1:9" ht="15.75" customHeight="1">
      <c r="A835" s="73"/>
      <c r="B835" s="73"/>
      <c r="C835" s="73"/>
      <c r="D835" s="73"/>
      <c r="E835" s="73"/>
      <c r="F835" s="73"/>
      <c r="G835" s="73"/>
      <c r="I835" s="73"/>
    </row>
    <row r="836" spans="1:9" ht="15.75" customHeight="1">
      <c r="A836" s="73"/>
      <c r="B836" s="73"/>
      <c r="C836" s="73"/>
      <c r="D836" s="73"/>
      <c r="E836" s="73"/>
      <c r="F836" s="73"/>
      <c r="G836" s="73"/>
      <c r="I836" s="73"/>
    </row>
    <row r="837" spans="1:9" ht="15.75" customHeight="1">
      <c r="A837" s="73"/>
      <c r="B837" s="73"/>
      <c r="C837" s="73"/>
      <c r="D837" s="73"/>
      <c r="E837" s="73"/>
      <c r="F837" s="73"/>
      <c r="G837" s="73"/>
      <c r="I837" s="73"/>
    </row>
    <row r="838" spans="1:9" ht="15.75" customHeight="1">
      <c r="A838" s="73"/>
      <c r="B838" s="73"/>
      <c r="C838" s="73"/>
      <c r="D838" s="73"/>
      <c r="E838" s="73"/>
      <c r="F838" s="73"/>
      <c r="G838" s="73"/>
      <c r="I838" s="73"/>
    </row>
    <row r="839" spans="1:9" ht="15.75" customHeight="1">
      <c r="A839" s="73"/>
      <c r="B839" s="73"/>
      <c r="C839" s="73"/>
      <c r="D839" s="73"/>
      <c r="E839" s="73"/>
      <c r="F839" s="73"/>
      <c r="G839" s="73"/>
      <c r="I839" s="73"/>
    </row>
    <row r="840" spans="1:9" ht="15.75" customHeight="1">
      <c r="A840" s="73"/>
      <c r="B840" s="73"/>
      <c r="C840" s="73"/>
      <c r="D840" s="73"/>
      <c r="E840" s="73"/>
      <c r="F840" s="73"/>
      <c r="G840" s="73"/>
      <c r="I840" s="73"/>
    </row>
    <row r="841" spans="1:9" ht="15.75" customHeight="1">
      <c r="A841" s="73"/>
      <c r="B841" s="73"/>
      <c r="C841" s="73"/>
      <c r="D841" s="73"/>
      <c r="E841" s="73"/>
      <c r="F841" s="73"/>
      <c r="G841" s="73"/>
      <c r="I841" s="73"/>
    </row>
    <row r="842" spans="1:9" ht="15.75" customHeight="1">
      <c r="A842" s="73"/>
      <c r="B842" s="73"/>
      <c r="C842" s="73"/>
      <c r="D842" s="73"/>
      <c r="E842" s="73"/>
      <c r="F842" s="73"/>
      <c r="G842" s="73"/>
      <c r="I842" s="73"/>
    </row>
    <row r="843" spans="1:9" ht="15.75" customHeight="1">
      <c r="A843" s="73"/>
      <c r="B843" s="73"/>
      <c r="C843" s="73"/>
      <c r="D843" s="73"/>
      <c r="E843" s="73"/>
      <c r="F843" s="73"/>
      <c r="G843" s="73"/>
      <c r="I843" s="73"/>
    </row>
    <row r="844" spans="1:9" ht="15.75" customHeight="1">
      <c r="A844" s="73"/>
      <c r="B844" s="73"/>
      <c r="C844" s="73"/>
      <c r="D844" s="73"/>
      <c r="E844" s="73"/>
      <c r="F844" s="73"/>
      <c r="G844" s="73"/>
      <c r="I844" s="73"/>
    </row>
    <row r="845" spans="1:9" ht="15.75" customHeight="1">
      <c r="A845" s="73"/>
      <c r="B845" s="73"/>
      <c r="C845" s="73"/>
      <c r="D845" s="73"/>
      <c r="E845" s="73"/>
      <c r="F845" s="73"/>
      <c r="G845" s="73"/>
      <c r="I845" s="73"/>
    </row>
    <row r="846" spans="1:9" ht="15.75" customHeight="1">
      <c r="A846" s="73"/>
      <c r="B846" s="73"/>
      <c r="C846" s="73"/>
      <c r="D846" s="73"/>
      <c r="E846" s="73"/>
      <c r="F846" s="73"/>
      <c r="G846" s="73"/>
      <c r="I846" s="73"/>
    </row>
    <row r="847" spans="1:9" ht="15.75" customHeight="1">
      <c r="A847" s="73"/>
      <c r="B847" s="73"/>
      <c r="C847" s="73"/>
      <c r="D847" s="73"/>
      <c r="E847" s="73"/>
      <c r="F847" s="73"/>
      <c r="G847" s="73"/>
      <c r="I847" s="73"/>
    </row>
    <row r="848" spans="1:9" ht="15.75" customHeight="1">
      <c r="A848" s="73"/>
      <c r="B848" s="73"/>
      <c r="C848" s="73"/>
      <c r="D848" s="73"/>
      <c r="E848" s="73"/>
      <c r="F848" s="73"/>
      <c r="G848" s="73"/>
      <c r="I848" s="73"/>
    </row>
    <row r="849" spans="1:9" ht="15.75" customHeight="1">
      <c r="A849" s="73"/>
      <c r="B849" s="73"/>
      <c r="C849" s="73"/>
      <c r="D849" s="73"/>
      <c r="E849" s="73"/>
      <c r="F849" s="73"/>
      <c r="G849" s="73"/>
      <c r="I849" s="73"/>
    </row>
    <row r="850" spans="1:9" ht="15.75" customHeight="1">
      <c r="A850" s="73"/>
      <c r="B850" s="73"/>
      <c r="C850" s="73"/>
      <c r="D850" s="73"/>
      <c r="E850" s="73"/>
      <c r="F850" s="73"/>
      <c r="G850" s="73"/>
      <c r="I850" s="73"/>
    </row>
    <row r="851" spans="1:9" ht="15.75" customHeight="1">
      <c r="A851" s="73"/>
      <c r="B851" s="73"/>
      <c r="C851" s="73"/>
      <c r="D851" s="73"/>
      <c r="E851" s="73"/>
      <c r="F851" s="73"/>
      <c r="G851" s="73"/>
      <c r="I851" s="73"/>
    </row>
    <row r="852" spans="1:9" ht="15.75" customHeight="1">
      <c r="A852" s="73"/>
      <c r="B852" s="73"/>
      <c r="C852" s="73"/>
      <c r="D852" s="73"/>
      <c r="E852" s="73"/>
      <c r="F852" s="73"/>
      <c r="G852" s="73"/>
      <c r="I852" s="73"/>
    </row>
    <row r="853" spans="1:9" ht="15.75" customHeight="1">
      <c r="A853" s="73"/>
      <c r="B853" s="73"/>
      <c r="C853" s="73"/>
      <c r="D853" s="73"/>
      <c r="E853" s="73"/>
      <c r="F853" s="73"/>
      <c r="G853" s="73"/>
      <c r="I853" s="73"/>
    </row>
    <row r="854" spans="1:9" ht="15.75" customHeight="1">
      <c r="A854" s="73"/>
      <c r="B854" s="73"/>
      <c r="C854" s="73"/>
      <c r="D854" s="73"/>
      <c r="E854" s="73"/>
      <c r="F854" s="73"/>
      <c r="G854" s="73"/>
      <c r="I854" s="73"/>
    </row>
    <row r="855" spans="1:9" ht="15.75" customHeight="1">
      <c r="A855" s="73"/>
      <c r="B855" s="73"/>
      <c r="C855" s="73"/>
      <c r="D855" s="73"/>
      <c r="E855" s="73"/>
      <c r="F855" s="73"/>
      <c r="G855" s="73"/>
      <c r="I855" s="73"/>
    </row>
    <row r="856" spans="1:9" ht="15.75" customHeight="1">
      <c r="A856" s="73"/>
      <c r="B856" s="73"/>
      <c r="C856" s="73"/>
      <c r="D856" s="73"/>
      <c r="E856" s="73"/>
      <c r="F856" s="73"/>
      <c r="G856" s="73"/>
      <c r="I856" s="73"/>
    </row>
    <row r="857" spans="1:9" ht="15.75" customHeight="1">
      <c r="A857" s="73"/>
      <c r="B857" s="73"/>
      <c r="C857" s="73"/>
      <c r="D857" s="73"/>
      <c r="E857" s="73"/>
      <c r="F857" s="73"/>
      <c r="G857" s="73"/>
      <c r="I857" s="73"/>
    </row>
    <row r="858" spans="1:9" ht="15.75" customHeight="1">
      <c r="A858" s="73"/>
      <c r="B858" s="73"/>
      <c r="C858" s="73"/>
      <c r="D858" s="73"/>
      <c r="E858" s="73"/>
      <c r="F858" s="73"/>
      <c r="G858" s="73"/>
      <c r="I858" s="73"/>
    </row>
    <row r="859" spans="1:9" ht="15.75" customHeight="1">
      <c r="A859" s="73"/>
      <c r="B859" s="73"/>
      <c r="C859" s="73"/>
      <c r="D859" s="73"/>
      <c r="E859" s="73"/>
      <c r="F859" s="73"/>
      <c r="G859" s="73"/>
      <c r="I859" s="73"/>
    </row>
    <row r="860" spans="1:9" ht="15.75" customHeight="1">
      <c r="A860" s="73"/>
      <c r="B860" s="73"/>
      <c r="C860" s="73"/>
      <c r="D860" s="73"/>
      <c r="E860" s="73"/>
      <c r="F860" s="73"/>
      <c r="G860" s="73"/>
      <c r="I860" s="73"/>
    </row>
    <row r="861" spans="1:9" ht="15.75" customHeight="1">
      <c r="A861" s="73"/>
      <c r="B861" s="73"/>
      <c r="C861" s="73"/>
      <c r="D861" s="73"/>
      <c r="E861" s="73"/>
      <c r="F861" s="73"/>
      <c r="G861" s="73"/>
      <c r="I861" s="73"/>
    </row>
    <row r="862" spans="1:9" ht="15.75" customHeight="1">
      <c r="A862" s="73"/>
      <c r="B862" s="73"/>
      <c r="C862" s="73"/>
      <c r="D862" s="73"/>
      <c r="E862" s="73"/>
      <c r="F862" s="73"/>
      <c r="G862" s="73"/>
      <c r="I862" s="73"/>
    </row>
    <row r="863" spans="1:9" ht="15.75" customHeight="1">
      <c r="A863" s="73"/>
      <c r="B863" s="73"/>
      <c r="C863" s="73"/>
      <c r="D863" s="73"/>
      <c r="E863" s="73"/>
      <c r="F863" s="73"/>
      <c r="G863" s="73"/>
      <c r="I863" s="73"/>
    </row>
    <row r="864" spans="1:9" ht="15.75" customHeight="1">
      <c r="A864" s="73"/>
      <c r="B864" s="73"/>
      <c r="C864" s="73"/>
      <c r="D864" s="73"/>
      <c r="E864" s="73"/>
      <c r="F864" s="73"/>
      <c r="G864" s="73"/>
      <c r="I864" s="73"/>
    </row>
    <row r="865" spans="1:9" ht="15.75" customHeight="1">
      <c r="A865" s="73"/>
      <c r="B865" s="73"/>
      <c r="C865" s="73"/>
      <c r="D865" s="73"/>
      <c r="E865" s="73"/>
      <c r="F865" s="73"/>
      <c r="G865" s="73"/>
      <c r="I865" s="73"/>
    </row>
    <row r="866" spans="1:9" ht="15.75" customHeight="1">
      <c r="A866" s="73"/>
      <c r="B866" s="73"/>
      <c r="C866" s="73"/>
      <c r="D866" s="73"/>
      <c r="E866" s="73"/>
      <c r="F866" s="73"/>
      <c r="G866" s="73"/>
      <c r="I866" s="73"/>
    </row>
    <row r="867" spans="1:9" ht="15.75" customHeight="1">
      <c r="A867" s="73"/>
      <c r="B867" s="73"/>
      <c r="C867" s="73"/>
      <c r="D867" s="73"/>
      <c r="E867" s="73"/>
      <c r="F867" s="73"/>
      <c r="G867" s="73"/>
      <c r="I867" s="73"/>
    </row>
    <row r="868" spans="1:9" ht="15.75" customHeight="1">
      <c r="A868" s="73"/>
      <c r="B868" s="73"/>
      <c r="C868" s="73"/>
      <c r="D868" s="73"/>
      <c r="E868" s="73"/>
      <c r="F868" s="73"/>
      <c r="G868" s="73"/>
      <c r="I868" s="73"/>
    </row>
    <row r="869" spans="1:9" ht="15.75" customHeight="1">
      <c r="A869" s="73"/>
      <c r="B869" s="73"/>
      <c r="C869" s="73"/>
      <c r="D869" s="73"/>
      <c r="E869" s="73"/>
      <c r="F869" s="73"/>
      <c r="G869" s="73"/>
      <c r="I869" s="73"/>
    </row>
    <row r="870" spans="1:9" ht="15.75" customHeight="1">
      <c r="A870" s="73"/>
      <c r="B870" s="73"/>
      <c r="C870" s="73"/>
      <c r="D870" s="73"/>
      <c r="E870" s="73"/>
      <c r="F870" s="73"/>
      <c r="G870" s="73"/>
      <c r="I870" s="73"/>
    </row>
    <row r="871" spans="1:9" ht="15.75" customHeight="1">
      <c r="A871" s="73"/>
      <c r="B871" s="73"/>
      <c r="C871" s="73"/>
      <c r="D871" s="73"/>
      <c r="E871" s="73"/>
      <c r="F871" s="73"/>
      <c r="G871" s="73"/>
      <c r="I871" s="73"/>
    </row>
    <row r="872" spans="1:9" ht="15.75" customHeight="1">
      <c r="A872" s="73"/>
      <c r="B872" s="73"/>
      <c r="C872" s="73"/>
      <c r="D872" s="73"/>
      <c r="E872" s="73"/>
      <c r="F872" s="73"/>
      <c r="G872" s="73"/>
      <c r="I872" s="73"/>
    </row>
    <row r="873" spans="1:9" ht="15.75" customHeight="1">
      <c r="A873" s="73"/>
      <c r="B873" s="73"/>
      <c r="C873" s="73"/>
      <c r="D873" s="73"/>
      <c r="E873" s="73"/>
      <c r="F873" s="73"/>
      <c r="G873" s="73"/>
      <c r="I873" s="73"/>
    </row>
    <row r="874" spans="1:9" ht="15.75" customHeight="1">
      <c r="A874" s="73"/>
      <c r="B874" s="73"/>
      <c r="C874" s="73"/>
      <c r="D874" s="73"/>
      <c r="E874" s="73"/>
      <c r="F874" s="73"/>
      <c r="G874" s="73"/>
      <c r="I874" s="73"/>
    </row>
    <row r="875" spans="1:9" ht="15.75" customHeight="1">
      <c r="A875" s="73"/>
      <c r="B875" s="73"/>
      <c r="C875" s="73"/>
      <c r="D875" s="73"/>
      <c r="E875" s="73"/>
      <c r="F875" s="73"/>
      <c r="G875" s="73"/>
      <c r="I875" s="73"/>
    </row>
    <row r="876" spans="1:9" ht="15.75" customHeight="1">
      <c r="A876" s="73"/>
      <c r="B876" s="73"/>
      <c r="C876" s="73"/>
      <c r="D876" s="73"/>
      <c r="E876" s="73"/>
      <c r="F876" s="73"/>
      <c r="G876" s="73"/>
      <c r="I876" s="73"/>
    </row>
    <row r="877" spans="1:9" ht="15.75" customHeight="1">
      <c r="A877" s="73"/>
      <c r="B877" s="73"/>
      <c r="C877" s="73"/>
      <c r="D877" s="73"/>
      <c r="E877" s="73"/>
      <c r="F877" s="73"/>
      <c r="G877" s="73"/>
      <c r="I877" s="73"/>
    </row>
    <row r="878" spans="1:9" ht="15.75" customHeight="1">
      <c r="A878" s="73"/>
      <c r="B878" s="73"/>
      <c r="C878" s="73"/>
      <c r="D878" s="73"/>
      <c r="E878" s="73"/>
      <c r="F878" s="73"/>
      <c r="G878" s="73"/>
      <c r="I878" s="73"/>
    </row>
    <row r="879" spans="1:9" ht="15.75" customHeight="1">
      <c r="A879" s="73"/>
      <c r="B879" s="73"/>
      <c r="C879" s="73"/>
      <c r="D879" s="73"/>
      <c r="E879" s="73"/>
      <c r="F879" s="73"/>
      <c r="G879" s="73"/>
      <c r="I879" s="73"/>
    </row>
    <row r="880" spans="1:9" ht="15.75" customHeight="1">
      <c r="A880" s="73"/>
      <c r="B880" s="73"/>
      <c r="C880" s="73"/>
      <c r="D880" s="73"/>
      <c r="E880" s="73"/>
      <c r="F880" s="73"/>
      <c r="G880" s="73"/>
      <c r="I880" s="73"/>
    </row>
    <row r="881" spans="1:9" ht="15.75" customHeight="1">
      <c r="A881" s="73"/>
      <c r="B881" s="73"/>
      <c r="C881" s="73"/>
      <c r="D881" s="73"/>
      <c r="E881" s="73"/>
      <c r="F881" s="73"/>
      <c r="G881" s="73"/>
      <c r="I881" s="73"/>
    </row>
    <row r="882" spans="1:9" ht="15.75" customHeight="1">
      <c r="A882" s="73"/>
      <c r="B882" s="73"/>
      <c r="C882" s="73"/>
      <c r="D882" s="73"/>
      <c r="E882" s="73"/>
      <c r="F882" s="73"/>
      <c r="G882" s="73"/>
      <c r="I882" s="73"/>
    </row>
    <row r="883" spans="1:9" ht="15.75" customHeight="1">
      <c r="A883" s="73"/>
      <c r="B883" s="73"/>
      <c r="C883" s="73"/>
      <c r="D883" s="73"/>
      <c r="E883" s="73"/>
      <c r="F883" s="73"/>
      <c r="G883" s="73"/>
      <c r="I883" s="73"/>
    </row>
    <row r="884" spans="1:9" ht="15.75" customHeight="1">
      <c r="A884" s="73"/>
      <c r="B884" s="73"/>
      <c r="C884" s="73"/>
      <c r="D884" s="73"/>
      <c r="E884" s="73"/>
      <c r="F884" s="73"/>
      <c r="G884" s="73"/>
      <c r="I884" s="73"/>
    </row>
    <row r="885" spans="1:9" ht="15.75" customHeight="1">
      <c r="A885" s="73"/>
      <c r="B885" s="73"/>
      <c r="C885" s="73"/>
      <c r="D885" s="73"/>
      <c r="E885" s="73"/>
      <c r="F885" s="73"/>
      <c r="G885" s="73"/>
      <c r="I885" s="73"/>
    </row>
    <row r="886" spans="1:9" ht="15.75" customHeight="1">
      <c r="A886" s="73"/>
      <c r="B886" s="73"/>
      <c r="C886" s="73"/>
      <c r="D886" s="73"/>
      <c r="E886" s="73"/>
      <c r="F886" s="73"/>
      <c r="G886" s="73"/>
      <c r="I886" s="73"/>
    </row>
    <row r="887" spans="1:9" ht="15.75" customHeight="1">
      <c r="A887" s="73"/>
      <c r="B887" s="73"/>
      <c r="C887" s="73"/>
      <c r="D887" s="73"/>
      <c r="E887" s="73"/>
      <c r="F887" s="73"/>
      <c r="G887" s="73"/>
      <c r="I887" s="73"/>
    </row>
    <row r="888" spans="1:9" ht="15.75" customHeight="1">
      <c r="A888" s="73"/>
      <c r="B888" s="73"/>
      <c r="C888" s="73"/>
      <c r="D888" s="73"/>
      <c r="E888" s="73"/>
      <c r="F888" s="73"/>
      <c r="G888" s="73"/>
      <c r="I888" s="73"/>
    </row>
    <row r="889" spans="1:9" ht="15.75" customHeight="1">
      <c r="A889" s="73"/>
      <c r="B889" s="73"/>
      <c r="C889" s="73"/>
      <c r="D889" s="73"/>
      <c r="E889" s="73"/>
      <c r="F889" s="73"/>
      <c r="G889" s="73"/>
      <c r="I889" s="73"/>
    </row>
    <row r="890" spans="1:9" ht="15.75" customHeight="1">
      <c r="A890" s="73"/>
      <c r="B890" s="73"/>
      <c r="C890" s="73"/>
      <c r="D890" s="73"/>
      <c r="E890" s="73"/>
      <c r="F890" s="73"/>
      <c r="G890" s="73"/>
      <c r="I890" s="73"/>
    </row>
    <row r="891" spans="1:9" ht="15.75" customHeight="1">
      <c r="A891" s="73"/>
      <c r="B891" s="73"/>
      <c r="C891" s="73"/>
      <c r="D891" s="73"/>
      <c r="E891" s="73"/>
      <c r="F891" s="73"/>
      <c r="G891" s="73"/>
      <c r="I891" s="73"/>
    </row>
    <row r="892" spans="1:9" ht="15.75" customHeight="1">
      <c r="A892" s="73"/>
      <c r="B892" s="73"/>
      <c r="C892" s="73"/>
      <c r="D892" s="73"/>
      <c r="E892" s="73"/>
      <c r="F892" s="73"/>
      <c r="G892" s="73"/>
      <c r="I892" s="73"/>
    </row>
    <row r="893" spans="1:9" ht="15.75" customHeight="1">
      <c r="A893" s="73"/>
      <c r="B893" s="73"/>
      <c r="C893" s="73"/>
      <c r="D893" s="73"/>
      <c r="E893" s="73"/>
      <c r="F893" s="73"/>
      <c r="G893" s="73"/>
      <c r="I893" s="73"/>
    </row>
    <row r="894" spans="1:9" ht="15.75" customHeight="1">
      <c r="A894" s="73"/>
      <c r="B894" s="73"/>
      <c r="C894" s="73"/>
      <c r="D894" s="73"/>
      <c r="E894" s="73"/>
      <c r="F894" s="73"/>
      <c r="G894" s="73"/>
      <c r="I894" s="73"/>
    </row>
    <row r="895" spans="1:9" ht="15.75" customHeight="1">
      <c r="A895" s="73"/>
      <c r="B895" s="73"/>
      <c r="C895" s="73"/>
      <c r="D895" s="73"/>
      <c r="E895" s="73"/>
      <c r="F895" s="73"/>
      <c r="G895" s="73"/>
      <c r="I895" s="73"/>
    </row>
    <row r="896" spans="1:9" ht="15.75" customHeight="1">
      <c r="A896" s="73"/>
      <c r="B896" s="73"/>
      <c r="C896" s="73"/>
      <c r="D896" s="73"/>
      <c r="E896" s="73"/>
      <c r="F896" s="73"/>
      <c r="G896" s="73"/>
      <c r="I896" s="73"/>
    </row>
    <row r="897" spans="1:9" ht="15.75" customHeight="1">
      <c r="A897" s="73"/>
      <c r="B897" s="73"/>
      <c r="C897" s="73"/>
      <c r="D897" s="73"/>
      <c r="E897" s="73"/>
      <c r="F897" s="73"/>
      <c r="G897" s="73"/>
      <c r="I897" s="73"/>
    </row>
    <row r="898" spans="1:9" ht="15.75" customHeight="1">
      <c r="A898" s="73"/>
      <c r="B898" s="73"/>
      <c r="C898" s="73"/>
      <c r="D898" s="73"/>
      <c r="E898" s="73"/>
      <c r="F898" s="73"/>
      <c r="G898" s="73"/>
      <c r="I898" s="73"/>
    </row>
    <row r="899" spans="1:9" ht="15.75" customHeight="1">
      <c r="A899" s="73"/>
      <c r="B899" s="73"/>
      <c r="C899" s="73"/>
      <c r="D899" s="73"/>
      <c r="E899" s="73"/>
      <c r="F899" s="73"/>
      <c r="G899" s="73"/>
      <c r="I899" s="73"/>
    </row>
    <row r="900" spans="1:9" ht="15.75" customHeight="1">
      <c r="A900" s="73"/>
      <c r="B900" s="73"/>
      <c r="C900" s="73"/>
      <c r="D900" s="73"/>
      <c r="E900" s="73"/>
      <c r="F900" s="73"/>
      <c r="G900" s="73"/>
      <c r="I900" s="73"/>
    </row>
    <row r="901" spans="1:9" ht="15.75" customHeight="1">
      <c r="A901" s="73"/>
      <c r="B901" s="73"/>
      <c r="C901" s="73"/>
      <c r="D901" s="73"/>
      <c r="E901" s="73"/>
      <c r="F901" s="73"/>
      <c r="G901" s="73"/>
      <c r="I901" s="73"/>
    </row>
    <row r="902" spans="1:9" ht="15.75" customHeight="1">
      <c r="A902" s="73"/>
      <c r="B902" s="73"/>
      <c r="C902" s="73"/>
      <c r="D902" s="73"/>
      <c r="E902" s="73"/>
      <c r="F902" s="73"/>
      <c r="G902" s="73"/>
      <c r="I902" s="73"/>
    </row>
    <row r="903" spans="1:9" ht="15.75" customHeight="1">
      <c r="A903" s="73"/>
      <c r="B903" s="73"/>
      <c r="C903" s="73"/>
      <c r="D903" s="73"/>
      <c r="E903" s="73"/>
      <c r="F903" s="73"/>
      <c r="G903" s="73"/>
      <c r="I903" s="73"/>
    </row>
    <row r="904" spans="1:9" ht="15.75" customHeight="1">
      <c r="A904" s="73"/>
      <c r="B904" s="73"/>
      <c r="C904" s="73"/>
      <c r="D904" s="73"/>
      <c r="E904" s="73"/>
      <c r="F904" s="73"/>
      <c r="G904" s="73"/>
      <c r="I904" s="73"/>
    </row>
    <row r="905" spans="1:9" ht="15.75" customHeight="1">
      <c r="A905" s="73"/>
      <c r="B905" s="73"/>
      <c r="C905" s="73"/>
      <c r="D905" s="73"/>
      <c r="E905" s="73"/>
      <c r="F905" s="73"/>
      <c r="G905" s="73"/>
      <c r="I905" s="73"/>
    </row>
    <row r="906" spans="1:9" ht="15.75" customHeight="1">
      <c r="A906" s="73"/>
      <c r="B906" s="73"/>
      <c r="C906" s="73"/>
      <c r="D906" s="73"/>
      <c r="E906" s="73"/>
      <c r="F906" s="73"/>
      <c r="G906" s="73"/>
      <c r="I906" s="73"/>
    </row>
    <row r="907" spans="1:9" ht="15.75" customHeight="1">
      <c r="A907" s="73"/>
      <c r="B907" s="73"/>
      <c r="C907" s="73"/>
      <c r="D907" s="73"/>
      <c r="E907" s="73"/>
      <c r="F907" s="73"/>
      <c r="G907" s="73"/>
      <c r="I907" s="73"/>
    </row>
    <row r="908" spans="1:9" ht="15.75" customHeight="1">
      <c r="A908" s="73"/>
      <c r="B908" s="73"/>
      <c r="C908" s="73"/>
      <c r="D908" s="73"/>
      <c r="E908" s="73"/>
      <c r="F908" s="73"/>
      <c r="G908" s="73"/>
      <c r="I908" s="73"/>
    </row>
    <row r="909" spans="1:9" ht="15.75" customHeight="1">
      <c r="A909" s="73"/>
      <c r="B909" s="73"/>
      <c r="C909" s="73"/>
      <c r="D909" s="73"/>
      <c r="E909" s="73"/>
      <c r="F909" s="73"/>
      <c r="G909" s="73"/>
      <c r="I909" s="73"/>
    </row>
    <row r="910" spans="1:9" ht="15.75" customHeight="1">
      <c r="A910" s="73"/>
      <c r="B910" s="73"/>
      <c r="C910" s="73"/>
      <c r="D910" s="73"/>
      <c r="E910" s="73"/>
      <c r="F910" s="73"/>
      <c r="G910" s="73"/>
      <c r="I910" s="73"/>
    </row>
    <row r="911" spans="1:9" ht="15.75" customHeight="1">
      <c r="A911" s="73"/>
      <c r="B911" s="73"/>
      <c r="C911" s="73"/>
      <c r="D911" s="73"/>
      <c r="E911" s="73"/>
      <c r="F911" s="73"/>
      <c r="G911" s="73"/>
      <c r="I911" s="73"/>
    </row>
    <row r="912" spans="1:9" ht="15.75" customHeight="1">
      <c r="A912" s="73"/>
      <c r="B912" s="73"/>
      <c r="C912" s="73"/>
      <c r="D912" s="73"/>
      <c r="E912" s="73"/>
      <c r="F912" s="73"/>
      <c r="G912" s="73"/>
      <c r="I912" s="73"/>
    </row>
    <row r="913" spans="1:9" ht="15.75" customHeight="1">
      <c r="A913" s="73"/>
      <c r="B913" s="73"/>
      <c r="C913" s="73"/>
      <c r="D913" s="73"/>
      <c r="E913" s="73"/>
      <c r="F913" s="73"/>
      <c r="G913" s="73"/>
      <c r="I913" s="73"/>
    </row>
    <row r="914" spans="1:9" ht="15.75" customHeight="1">
      <c r="A914" s="73"/>
      <c r="B914" s="73"/>
      <c r="C914" s="73"/>
      <c r="D914" s="73"/>
      <c r="E914" s="73"/>
      <c r="F914" s="73"/>
      <c r="G914" s="73"/>
      <c r="I914" s="73"/>
    </row>
    <row r="915" spans="1:9" ht="15.75" customHeight="1">
      <c r="A915" s="73"/>
      <c r="B915" s="73"/>
      <c r="C915" s="73"/>
      <c r="D915" s="73"/>
      <c r="E915" s="73"/>
      <c r="F915" s="73"/>
      <c r="G915" s="73"/>
      <c r="I915" s="73"/>
    </row>
    <row r="916" spans="1:9" ht="15.75" customHeight="1">
      <c r="A916" s="73"/>
      <c r="B916" s="73"/>
      <c r="C916" s="73"/>
      <c r="D916" s="73"/>
      <c r="E916" s="73"/>
      <c r="F916" s="73"/>
      <c r="G916" s="73"/>
      <c r="I916" s="73"/>
    </row>
    <row r="917" spans="1:9" ht="15.75" customHeight="1">
      <c r="A917" s="73"/>
      <c r="B917" s="73"/>
      <c r="C917" s="73"/>
      <c r="D917" s="73"/>
      <c r="E917" s="73"/>
      <c r="F917" s="73"/>
      <c r="G917" s="73"/>
      <c r="I917" s="73"/>
    </row>
    <row r="918" spans="1:9" ht="15.75" customHeight="1">
      <c r="A918" s="73"/>
      <c r="B918" s="73"/>
      <c r="C918" s="73"/>
      <c r="D918" s="73"/>
      <c r="E918" s="73"/>
      <c r="F918" s="73"/>
      <c r="G918" s="73"/>
      <c r="I918" s="73"/>
    </row>
    <row r="919" spans="1:9" ht="15.75" customHeight="1">
      <c r="A919" s="73"/>
      <c r="B919" s="73"/>
      <c r="C919" s="73"/>
      <c r="D919" s="73"/>
      <c r="E919" s="73"/>
      <c r="F919" s="73"/>
      <c r="G919" s="73"/>
      <c r="I919" s="73"/>
    </row>
    <row r="920" spans="1:9" ht="15.75" customHeight="1">
      <c r="A920" s="73"/>
      <c r="B920" s="73"/>
      <c r="C920" s="73"/>
      <c r="D920" s="73"/>
      <c r="E920" s="73"/>
      <c r="F920" s="73"/>
      <c r="G920" s="73"/>
      <c r="I920" s="73"/>
    </row>
    <row r="921" spans="1:9" ht="15.75" customHeight="1">
      <c r="A921" s="73"/>
      <c r="B921" s="73"/>
      <c r="C921" s="73"/>
      <c r="D921" s="73"/>
      <c r="E921" s="73"/>
      <c r="F921" s="73"/>
      <c r="G921" s="73"/>
      <c r="I921" s="73"/>
    </row>
    <row r="922" spans="1:9" ht="15.75" customHeight="1">
      <c r="A922" s="73"/>
      <c r="B922" s="73"/>
      <c r="C922" s="73"/>
      <c r="D922" s="73"/>
      <c r="E922" s="73"/>
      <c r="F922" s="73"/>
      <c r="G922" s="73"/>
      <c r="I922" s="73"/>
    </row>
    <row r="923" spans="1:9" ht="15.75" customHeight="1">
      <c r="A923" s="73"/>
      <c r="B923" s="73"/>
      <c r="C923" s="73"/>
      <c r="D923" s="73"/>
      <c r="E923" s="73"/>
      <c r="F923" s="73"/>
      <c r="G923" s="73"/>
      <c r="I923" s="73"/>
    </row>
    <row r="924" spans="1:9" ht="15.75" customHeight="1">
      <c r="A924" s="73"/>
      <c r="B924" s="73"/>
      <c r="C924" s="73"/>
      <c r="D924" s="73"/>
      <c r="E924" s="73"/>
      <c r="F924" s="73"/>
      <c r="G924" s="73"/>
      <c r="I924" s="73"/>
    </row>
    <row r="925" spans="1:9" ht="15.75" customHeight="1">
      <c r="A925" s="73"/>
      <c r="B925" s="73"/>
      <c r="C925" s="73"/>
      <c r="D925" s="73"/>
      <c r="E925" s="73"/>
      <c r="F925" s="73"/>
      <c r="G925" s="73"/>
      <c r="I925" s="73"/>
    </row>
    <row r="926" spans="1:9" ht="15.75" customHeight="1">
      <c r="A926" s="73"/>
      <c r="B926" s="73"/>
      <c r="C926" s="73"/>
      <c r="D926" s="73"/>
      <c r="E926" s="73"/>
      <c r="F926" s="73"/>
      <c r="G926" s="73"/>
      <c r="I926" s="73"/>
    </row>
    <row r="927" spans="1:9" ht="15.75" customHeight="1">
      <c r="A927" s="73"/>
      <c r="B927" s="73"/>
      <c r="C927" s="73"/>
      <c r="D927" s="73"/>
      <c r="E927" s="73"/>
      <c r="F927" s="73"/>
      <c r="G927" s="73"/>
      <c r="I927" s="73"/>
    </row>
    <row r="928" spans="1:9" ht="15.75" customHeight="1">
      <c r="A928" s="73"/>
      <c r="B928" s="73"/>
      <c r="C928" s="73"/>
      <c r="D928" s="73"/>
      <c r="E928" s="73"/>
      <c r="F928" s="73"/>
      <c r="G928" s="73"/>
      <c r="I928" s="73"/>
    </row>
    <row r="929" spans="1:9" ht="15.75" customHeight="1">
      <c r="A929" s="73"/>
      <c r="B929" s="73"/>
      <c r="C929" s="73"/>
      <c r="D929" s="73"/>
      <c r="E929" s="73"/>
      <c r="F929" s="73"/>
      <c r="G929" s="73"/>
      <c r="I929" s="73"/>
    </row>
    <row r="930" spans="1:9" ht="15.75" customHeight="1">
      <c r="A930" s="73"/>
      <c r="B930" s="73"/>
      <c r="C930" s="73"/>
      <c r="D930" s="73"/>
      <c r="E930" s="73"/>
      <c r="F930" s="73"/>
      <c r="G930" s="73"/>
      <c r="I930" s="73"/>
    </row>
    <row r="931" spans="1:9" ht="15.75" customHeight="1">
      <c r="A931" s="73"/>
      <c r="B931" s="73"/>
      <c r="C931" s="73"/>
      <c r="D931" s="73"/>
      <c r="E931" s="73"/>
      <c r="F931" s="73"/>
      <c r="G931" s="73"/>
      <c r="I931" s="73"/>
    </row>
    <row r="932" spans="1:9" ht="15.75" customHeight="1">
      <c r="A932" s="73"/>
      <c r="B932" s="73"/>
      <c r="C932" s="73"/>
      <c r="D932" s="73"/>
      <c r="E932" s="73"/>
      <c r="F932" s="73"/>
      <c r="G932" s="73"/>
      <c r="I932" s="73"/>
    </row>
    <row r="933" spans="1:9" ht="15.75" customHeight="1">
      <c r="A933" s="73"/>
      <c r="B933" s="73"/>
      <c r="C933" s="73"/>
      <c r="D933" s="73"/>
      <c r="E933" s="73"/>
      <c r="F933" s="73"/>
      <c r="G933" s="73"/>
      <c r="I933" s="73"/>
    </row>
    <row r="934" spans="1:9" ht="15.75" customHeight="1">
      <c r="A934" s="73"/>
      <c r="B934" s="73"/>
      <c r="C934" s="73"/>
      <c r="D934" s="73"/>
      <c r="E934" s="73"/>
      <c r="F934" s="73"/>
      <c r="G934" s="73"/>
      <c r="I934" s="73"/>
    </row>
    <row r="935" spans="1:9" ht="15.75" customHeight="1">
      <c r="A935" s="73"/>
      <c r="B935" s="73"/>
      <c r="C935" s="73"/>
      <c r="D935" s="73"/>
      <c r="E935" s="73"/>
      <c r="F935" s="73"/>
      <c r="G935" s="73"/>
      <c r="I935" s="73"/>
    </row>
    <row r="936" spans="1:9" ht="15.75" customHeight="1">
      <c r="A936" s="73"/>
      <c r="B936" s="73"/>
      <c r="C936" s="73"/>
      <c r="D936" s="73"/>
      <c r="E936" s="73"/>
      <c r="F936" s="73"/>
      <c r="G936" s="73"/>
      <c r="I936" s="73"/>
    </row>
    <row r="937" spans="1:9" ht="15.75" customHeight="1">
      <c r="A937" s="73"/>
      <c r="B937" s="73"/>
      <c r="C937" s="73"/>
      <c r="D937" s="73"/>
      <c r="E937" s="73"/>
      <c r="F937" s="73"/>
      <c r="G937" s="73"/>
      <c r="I937" s="73"/>
    </row>
    <row r="938" spans="1:9" ht="15.75" customHeight="1">
      <c r="A938" s="73"/>
      <c r="B938" s="73"/>
      <c r="C938" s="73"/>
      <c r="D938" s="73"/>
      <c r="E938" s="73"/>
      <c r="F938" s="73"/>
      <c r="G938" s="73"/>
      <c r="I938" s="73"/>
    </row>
    <row r="939" spans="1:9" ht="15.75" customHeight="1">
      <c r="A939" s="73"/>
      <c r="B939" s="73"/>
      <c r="C939" s="73"/>
      <c r="D939" s="73"/>
      <c r="E939" s="73"/>
      <c r="F939" s="73"/>
      <c r="G939" s="73"/>
      <c r="I939" s="73"/>
    </row>
    <row r="940" spans="1:9" ht="15.75" customHeight="1">
      <c r="A940" s="73"/>
      <c r="B940" s="73"/>
      <c r="C940" s="73"/>
      <c r="D940" s="73"/>
      <c r="E940" s="73"/>
      <c r="F940" s="73"/>
      <c r="G940" s="73"/>
      <c r="I940" s="73"/>
    </row>
    <row r="941" spans="1:9" ht="15.75" customHeight="1">
      <c r="A941" s="73"/>
      <c r="B941" s="73"/>
      <c r="C941" s="73"/>
      <c r="D941" s="73"/>
      <c r="E941" s="73"/>
      <c r="F941" s="73"/>
      <c r="G941" s="73"/>
      <c r="I941" s="73"/>
    </row>
    <row r="942" spans="1:9" ht="15.75" customHeight="1">
      <c r="A942" s="73"/>
      <c r="B942" s="73"/>
      <c r="C942" s="73"/>
      <c r="D942" s="73"/>
      <c r="E942" s="73"/>
      <c r="F942" s="73"/>
      <c r="G942" s="73"/>
      <c r="I942" s="73"/>
    </row>
    <row r="943" spans="1:9" ht="15.75" customHeight="1">
      <c r="A943" s="73"/>
      <c r="B943" s="73"/>
      <c r="C943" s="73"/>
      <c r="D943" s="73"/>
      <c r="E943" s="73"/>
      <c r="F943" s="73"/>
      <c r="G943" s="73"/>
      <c r="I943" s="73"/>
    </row>
    <row r="944" spans="1:9" ht="15.75" customHeight="1">
      <c r="A944" s="73"/>
      <c r="B944" s="73"/>
      <c r="C944" s="73"/>
      <c r="D944" s="73"/>
      <c r="E944" s="73"/>
      <c r="F944" s="73"/>
      <c r="G944" s="73"/>
      <c r="I944" s="73"/>
    </row>
    <row r="945" spans="1:9" ht="15.75" customHeight="1">
      <c r="A945" s="73"/>
      <c r="B945" s="73"/>
      <c r="C945" s="73"/>
      <c r="D945" s="73"/>
      <c r="E945" s="73"/>
      <c r="F945" s="73"/>
      <c r="G945" s="73"/>
      <c r="I945" s="73"/>
    </row>
    <row r="946" spans="1:9" ht="15.75" customHeight="1">
      <c r="A946" s="73"/>
      <c r="B946" s="73"/>
      <c r="C946" s="73"/>
      <c r="D946" s="73"/>
      <c r="E946" s="73"/>
      <c r="F946" s="73"/>
      <c r="G946" s="73"/>
      <c r="I946" s="73"/>
    </row>
    <row r="947" spans="1:9" ht="15.75" customHeight="1">
      <c r="A947" s="73"/>
      <c r="B947" s="73"/>
      <c r="C947" s="73"/>
      <c r="D947" s="73"/>
      <c r="E947" s="73"/>
      <c r="F947" s="73"/>
      <c r="G947" s="73"/>
      <c r="I947" s="73"/>
    </row>
    <row r="948" spans="1:9" ht="15.75" customHeight="1">
      <c r="A948" s="73"/>
      <c r="B948" s="73"/>
      <c r="C948" s="73"/>
      <c r="D948" s="73"/>
      <c r="E948" s="73"/>
      <c r="F948" s="73"/>
      <c r="G948" s="73"/>
      <c r="I948" s="73"/>
    </row>
    <row r="949" spans="1:9" ht="15.75" customHeight="1">
      <c r="A949" s="73"/>
      <c r="B949" s="73"/>
      <c r="C949" s="73"/>
      <c r="D949" s="73"/>
      <c r="E949" s="73"/>
      <c r="F949" s="73"/>
      <c r="G949" s="73"/>
      <c r="I949" s="73"/>
    </row>
    <row r="950" spans="1:9" ht="15.75" customHeight="1">
      <c r="A950" s="73"/>
      <c r="B950" s="73"/>
      <c r="C950" s="73"/>
      <c r="D950" s="73"/>
      <c r="E950" s="73"/>
      <c r="F950" s="73"/>
      <c r="G950" s="73"/>
      <c r="I950" s="73"/>
    </row>
    <row r="951" spans="1:9" ht="15.75" customHeight="1">
      <c r="A951" s="73"/>
      <c r="B951" s="73"/>
      <c r="C951" s="73"/>
      <c r="D951" s="73"/>
      <c r="E951" s="73"/>
      <c r="F951" s="73"/>
      <c r="G951" s="73"/>
      <c r="I951" s="73"/>
    </row>
    <row r="952" spans="1:9" ht="15.75" customHeight="1">
      <c r="A952" s="73"/>
      <c r="B952" s="73"/>
      <c r="C952" s="73"/>
      <c r="D952" s="73"/>
      <c r="E952" s="73"/>
      <c r="F952" s="73"/>
      <c r="G952" s="73"/>
      <c r="I952" s="73"/>
    </row>
    <row r="953" spans="1:9" ht="15.75" customHeight="1">
      <c r="A953" s="73"/>
      <c r="B953" s="73"/>
      <c r="C953" s="73"/>
      <c r="D953" s="73"/>
      <c r="E953" s="73"/>
      <c r="F953" s="73"/>
      <c r="G953" s="73"/>
      <c r="I953" s="73"/>
    </row>
    <row r="954" spans="1:9" ht="15.75" customHeight="1">
      <c r="A954" s="73"/>
      <c r="B954" s="73"/>
      <c r="C954" s="73"/>
      <c r="D954" s="73"/>
      <c r="E954" s="73"/>
      <c r="F954" s="73"/>
      <c r="G954" s="73"/>
      <c r="I954" s="73"/>
    </row>
    <row r="955" spans="1:9" ht="15.75" customHeight="1">
      <c r="A955" s="73"/>
      <c r="B955" s="73"/>
      <c r="C955" s="73"/>
      <c r="D955" s="73"/>
      <c r="E955" s="73"/>
      <c r="F955" s="73"/>
      <c r="G955" s="73"/>
      <c r="I955" s="73"/>
    </row>
    <row r="956" spans="1:9" ht="15.75" customHeight="1">
      <c r="A956" s="73"/>
      <c r="B956" s="73"/>
      <c r="C956" s="73"/>
      <c r="D956" s="73"/>
      <c r="E956" s="73"/>
      <c r="F956" s="73"/>
      <c r="G956" s="73"/>
      <c r="I956" s="73"/>
    </row>
    <row r="957" spans="1:9" ht="15.75" customHeight="1">
      <c r="A957" s="73"/>
      <c r="B957" s="73"/>
      <c r="C957" s="73"/>
      <c r="D957" s="73"/>
      <c r="E957" s="73"/>
      <c r="F957" s="73"/>
      <c r="G957" s="73"/>
      <c r="I957" s="73"/>
    </row>
    <row r="958" spans="1:9" ht="15.75" customHeight="1">
      <c r="A958" s="73"/>
      <c r="B958" s="73"/>
      <c r="C958" s="73"/>
      <c r="D958" s="73"/>
      <c r="E958" s="73"/>
      <c r="F958" s="73"/>
      <c r="G958" s="73"/>
      <c r="I958" s="73"/>
    </row>
    <row r="959" spans="1:9" ht="15.75" customHeight="1">
      <c r="A959" s="73"/>
      <c r="B959" s="73"/>
      <c r="C959" s="73"/>
      <c r="D959" s="73"/>
      <c r="E959" s="73"/>
      <c r="F959" s="73"/>
      <c r="G959" s="73"/>
      <c r="I959" s="73"/>
    </row>
    <row r="960" spans="1:9" ht="15.75" customHeight="1">
      <c r="A960" s="73"/>
      <c r="B960" s="73"/>
      <c r="C960" s="73"/>
      <c r="D960" s="73"/>
      <c r="E960" s="73"/>
      <c r="F960" s="73"/>
      <c r="G960" s="73"/>
      <c r="I960" s="73"/>
    </row>
    <row r="961" spans="1:9" ht="15.75" customHeight="1">
      <c r="A961" s="73"/>
      <c r="B961" s="73"/>
      <c r="C961" s="73"/>
      <c r="D961" s="73"/>
      <c r="E961" s="73"/>
      <c r="F961" s="73"/>
      <c r="G961" s="73"/>
      <c r="I961" s="73"/>
    </row>
    <row r="962" spans="1:9" ht="15.75" customHeight="1">
      <c r="A962" s="73"/>
      <c r="B962" s="73"/>
      <c r="C962" s="73"/>
      <c r="D962" s="73"/>
      <c r="E962" s="73"/>
      <c r="F962" s="73"/>
      <c r="G962" s="73"/>
      <c r="I962" s="73"/>
    </row>
    <row r="963" spans="1:9" ht="15.75" customHeight="1">
      <c r="A963" s="73"/>
      <c r="B963" s="73"/>
      <c r="C963" s="73"/>
      <c r="D963" s="73"/>
      <c r="E963" s="73"/>
      <c r="F963" s="73"/>
      <c r="G963" s="73"/>
      <c r="I963" s="73"/>
    </row>
    <row r="964" spans="1:9" ht="15.75" customHeight="1">
      <c r="A964" s="73"/>
      <c r="B964" s="73"/>
      <c r="C964" s="73"/>
      <c r="D964" s="73"/>
      <c r="E964" s="73"/>
      <c r="F964" s="73"/>
      <c r="G964" s="73"/>
      <c r="I964" s="73"/>
    </row>
    <row r="965" spans="1:9" ht="15.75" customHeight="1">
      <c r="A965" s="73"/>
      <c r="B965" s="73"/>
      <c r="C965" s="73"/>
      <c r="D965" s="73"/>
      <c r="E965" s="73"/>
      <c r="F965" s="73"/>
      <c r="G965" s="73"/>
      <c r="I965" s="73"/>
    </row>
    <row r="966" spans="1:9" ht="15.75" customHeight="1">
      <c r="A966" s="73"/>
      <c r="B966" s="73"/>
      <c r="C966" s="73"/>
      <c r="D966" s="73"/>
      <c r="E966" s="73"/>
      <c r="F966" s="73"/>
      <c r="G966" s="73"/>
      <c r="I966" s="73"/>
    </row>
    <row r="967" spans="1:9" ht="15.75" customHeight="1">
      <c r="A967" s="73"/>
      <c r="B967" s="73"/>
      <c r="C967" s="73"/>
      <c r="D967" s="73"/>
      <c r="E967" s="73"/>
      <c r="F967" s="73"/>
      <c r="G967" s="73"/>
      <c r="I967" s="73"/>
    </row>
    <row r="968" spans="1:9" ht="15.75" customHeight="1">
      <c r="A968" s="73"/>
      <c r="B968" s="73"/>
      <c r="C968" s="73"/>
      <c r="D968" s="73"/>
      <c r="E968" s="73"/>
      <c r="F968" s="73"/>
      <c r="G968" s="73"/>
      <c r="I968" s="73"/>
    </row>
    <row r="969" spans="1:9" ht="15.75" customHeight="1">
      <c r="A969" s="73"/>
      <c r="B969" s="73"/>
      <c r="C969" s="73"/>
      <c r="D969" s="73"/>
      <c r="E969" s="73"/>
      <c r="F969" s="73"/>
      <c r="G969" s="73"/>
      <c r="I969" s="73"/>
    </row>
    <row r="970" spans="1:9" ht="15.75" customHeight="1">
      <c r="A970" s="73"/>
      <c r="B970" s="73"/>
      <c r="C970" s="73"/>
      <c r="D970" s="73"/>
      <c r="E970" s="73"/>
      <c r="F970" s="73"/>
      <c r="G970" s="73"/>
      <c r="I970" s="73"/>
    </row>
    <row r="971" spans="1:9" ht="15.75" customHeight="1">
      <c r="A971" s="73"/>
      <c r="B971" s="73"/>
      <c r="C971" s="73"/>
      <c r="D971" s="73"/>
      <c r="E971" s="73"/>
      <c r="F971" s="73"/>
      <c r="G971" s="73"/>
      <c r="I971" s="73"/>
    </row>
    <row r="972" spans="1:9" ht="15.75" customHeight="1">
      <c r="A972" s="73"/>
      <c r="B972" s="73"/>
      <c r="C972" s="73"/>
      <c r="D972" s="73"/>
      <c r="E972" s="73"/>
      <c r="F972" s="73"/>
      <c r="G972" s="73"/>
      <c r="I972" s="73"/>
    </row>
    <row r="973" spans="1:9" ht="15.75" customHeight="1">
      <c r="A973" s="73"/>
      <c r="B973" s="73"/>
      <c r="C973" s="73"/>
      <c r="D973" s="73"/>
      <c r="E973" s="73"/>
      <c r="F973" s="73"/>
      <c r="G973" s="73"/>
      <c r="I973" s="73"/>
    </row>
    <row r="974" spans="1:9" ht="15.75" customHeight="1">
      <c r="A974" s="73"/>
      <c r="B974" s="73"/>
      <c r="C974" s="73"/>
      <c r="D974" s="73"/>
      <c r="E974" s="73"/>
      <c r="F974" s="73"/>
      <c r="G974" s="73"/>
      <c r="I974" s="73"/>
    </row>
    <row r="975" spans="1:9" ht="15.75" customHeight="1">
      <c r="A975" s="73"/>
      <c r="B975" s="73"/>
      <c r="C975" s="73"/>
      <c r="D975" s="73"/>
      <c r="E975" s="73"/>
      <c r="F975" s="73"/>
      <c r="G975" s="73"/>
      <c r="I975" s="73"/>
    </row>
    <row r="976" spans="1:9" ht="15.75" customHeight="1">
      <c r="A976" s="73"/>
      <c r="B976" s="73"/>
      <c r="C976" s="73"/>
      <c r="D976" s="73"/>
      <c r="E976" s="73"/>
      <c r="F976" s="73"/>
      <c r="G976" s="73"/>
      <c r="I976" s="73"/>
    </row>
    <row r="977" spans="1:9" ht="15.75" customHeight="1">
      <c r="A977" s="73"/>
      <c r="B977" s="73"/>
      <c r="C977" s="73"/>
      <c r="D977" s="73"/>
      <c r="E977" s="73"/>
      <c r="F977" s="73"/>
      <c r="G977" s="73"/>
      <c r="I977" s="73"/>
    </row>
    <row r="978" spans="1:9" ht="15.75" customHeight="1">
      <c r="A978" s="73"/>
      <c r="B978" s="73"/>
      <c r="C978" s="73"/>
      <c r="D978" s="73"/>
      <c r="E978" s="73"/>
      <c r="F978" s="73"/>
      <c r="G978" s="73"/>
      <c r="I978" s="73"/>
    </row>
    <row r="979" spans="1:9" ht="15.75" customHeight="1">
      <c r="A979" s="73"/>
      <c r="B979" s="73"/>
      <c r="C979" s="73"/>
      <c r="D979" s="73"/>
      <c r="E979" s="73"/>
      <c r="F979" s="73"/>
      <c r="G979" s="73"/>
      <c r="I979" s="73"/>
    </row>
    <row r="980" spans="1:9" ht="15.75" customHeight="1">
      <c r="A980" s="73"/>
      <c r="B980" s="73"/>
      <c r="C980" s="73"/>
      <c r="D980" s="73"/>
      <c r="E980" s="73"/>
      <c r="F980" s="73"/>
      <c r="G980" s="73"/>
      <c r="I980" s="73"/>
    </row>
    <row r="981" spans="1:9" ht="15.75" customHeight="1">
      <c r="A981" s="73"/>
      <c r="B981" s="73"/>
      <c r="C981" s="73"/>
      <c r="D981" s="73"/>
      <c r="E981" s="73"/>
      <c r="F981" s="73"/>
      <c r="G981" s="73"/>
      <c r="I981" s="73"/>
    </row>
    <row r="982" spans="1:9" ht="15.75" customHeight="1">
      <c r="A982" s="73"/>
      <c r="B982" s="73"/>
      <c r="C982" s="73"/>
      <c r="D982" s="73"/>
      <c r="E982" s="73"/>
      <c r="F982" s="73"/>
      <c r="G982" s="73"/>
      <c r="I982" s="73"/>
    </row>
    <row r="983" spans="1:9" ht="15.75" customHeight="1">
      <c r="A983" s="73"/>
      <c r="B983" s="73"/>
      <c r="C983" s="73"/>
      <c r="D983" s="73"/>
      <c r="E983" s="73"/>
      <c r="F983" s="73"/>
      <c r="G983" s="73"/>
      <c r="I983" s="73"/>
    </row>
    <row r="984" spans="1:9" ht="15.75" customHeight="1">
      <c r="A984" s="73"/>
      <c r="B984" s="73"/>
      <c r="C984" s="73"/>
      <c r="D984" s="73"/>
      <c r="E984" s="73"/>
      <c r="F984" s="73"/>
      <c r="G984" s="73"/>
      <c r="I984" s="73"/>
    </row>
    <row r="985" spans="1:9" ht="15.75" customHeight="1">
      <c r="A985" s="73"/>
      <c r="B985" s="73"/>
      <c r="C985" s="73"/>
      <c r="D985" s="73"/>
      <c r="E985" s="73"/>
      <c r="F985" s="73"/>
      <c r="G985" s="73"/>
      <c r="I985" s="73"/>
    </row>
    <row r="986" spans="1:9" ht="15.75" customHeight="1">
      <c r="A986" s="73"/>
      <c r="B986" s="73"/>
      <c r="C986" s="73"/>
      <c r="D986" s="73"/>
      <c r="E986" s="73"/>
      <c r="F986" s="73"/>
      <c r="G986" s="73"/>
      <c r="I986" s="73"/>
    </row>
    <row r="987" spans="1:9" ht="15.75" customHeight="1">
      <c r="A987" s="73"/>
      <c r="B987" s="73"/>
      <c r="C987" s="73"/>
      <c r="D987" s="73"/>
      <c r="E987" s="73"/>
      <c r="F987" s="73"/>
      <c r="G987" s="73"/>
      <c r="I987" s="73"/>
    </row>
    <row r="988" spans="1:9" ht="15.75" customHeight="1">
      <c r="A988" s="73"/>
      <c r="B988" s="73"/>
      <c r="C988" s="73"/>
      <c r="D988" s="73"/>
      <c r="E988" s="73"/>
      <c r="F988" s="73"/>
      <c r="G988" s="73"/>
      <c r="I988" s="73"/>
    </row>
    <row r="989" spans="1:9" ht="15.75" customHeight="1">
      <c r="A989" s="73"/>
      <c r="B989" s="73"/>
      <c r="C989" s="73"/>
      <c r="D989" s="73"/>
      <c r="E989" s="73"/>
      <c r="F989" s="73"/>
      <c r="G989" s="73"/>
      <c r="I989" s="73"/>
    </row>
    <row r="990" spans="1:9" ht="15.75" customHeight="1">
      <c r="A990" s="73"/>
      <c r="B990" s="73"/>
      <c r="C990" s="73"/>
      <c r="D990" s="73"/>
      <c r="E990" s="73"/>
      <c r="F990" s="73"/>
      <c r="G990" s="73"/>
      <c r="I990" s="73"/>
    </row>
    <row r="991" spans="1:9" ht="15.75" customHeight="1">
      <c r="A991" s="73"/>
      <c r="B991" s="73"/>
      <c r="C991" s="73"/>
      <c r="D991" s="73"/>
      <c r="E991" s="73"/>
      <c r="F991" s="73"/>
      <c r="G991" s="73"/>
      <c r="I991" s="73"/>
    </row>
    <row r="992" spans="1:9" ht="15.75" customHeight="1">
      <c r="A992" s="73"/>
      <c r="B992" s="73"/>
      <c r="C992" s="73"/>
      <c r="D992" s="73"/>
      <c r="E992" s="73"/>
      <c r="F992" s="73"/>
      <c r="G992" s="73"/>
      <c r="I992" s="73"/>
    </row>
    <row r="993" spans="1:9" ht="15.75" customHeight="1">
      <c r="A993" s="73"/>
      <c r="B993" s="73"/>
      <c r="C993" s="73"/>
      <c r="D993" s="73"/>
      <c r="E993" s="73"/>
      <c r="F993" s="73"/>
      <c r="G993" s="73"/>
      <c r="I993" s="73"/>
    </row>
    <row r="994" spans="1:9" ht="15.75" customHeight="1">
      <c r="A994" s="73"/>
      <c r="B994" s="73"/>
      <c r="C994" s="73"/>
      <c r="D994" s="73"/>
      <c r="E994" s="73"/>
      <c r="F994" s="73"/>
      <c r="G994" s="73"/>
      <c r="I994" s="73"/>
    </row>
    <row r="995" spans="1:9" ht="15.75" customHeight="1">
      <c r="A995" s="73"/>
      <c r="B995" s="73"/>
      <c r="C995" s="73"/>
      <c r="D995" s="73"/>
      <c r="E995" s="73"/>
      <c r="F995" s="73"/>
      <c r="G995" s="73"/>
      <c r="I995" s="73"/>
    </row>
    <row r="996" spans="1:9" ht="15.75" customHeight="1">
      <c r="A996" s="73"/>
      <c r="B996" s="73"/>
      <c r="C996" s="73"/>
      <c r="D996" s="73"/>
      <c r="E996" s="73"/>
      <c r="F996" s="73"/>
      <c r="G996" s="73"/>
      <c r="I996" s="73"/>
    </row>
    <row r="997" spans="1:9" ht="15.75" customHeight="1">
      <c r="A997" s="73"/>
      <c r="B997" s="73"/>
      <c r="C997" s="73"/>
      <c r="D997" s="73"/>
      <c r="E997" s="73"/>
      <c r="F997" s="73"/>
      <c r="G997" s="73"/>
      <c r="I997" s="73"/>
    </row>
    <row r="998" spans="1:9" ht="15.75" customHeight="1">
      <c r="A998" s="73"/>
      <c r="B998" s="73"/>
      <c r="C998" s="73"/>
      <c r="D998" s="73"/>
      <c r="E998" s="73"/>
      <c r="F998" s="73"/>
      <c r="G998" s="73"/>
      <c r="I998" s="73"/>
    </row>
    <row r="999" spans="1:9" ht="15.75" customHeight="1">
      <c r="A999" s="73"/>
      <c r="B999" s="73"/>
      <c r="C999" s="73"/>
      <c r="D999" s="73"/>
      <c r="E999" s="73"/>
      <c r="F999" s="73"/>
      <c r="G999" s="73"/>
      <c r="I999" s="73"/>
    </row>
    <row r="1000" spans="1:9" ht="15.75" customHeight="1">
      <c r="A1000" s="73"/>
      <c r="B1000" s="73"/>
      <c r="C1000" s="73"/>
      <c r="D1000" s="73"/>
      <c r="E1000" s="73"/>
      <c r="F1000" s="73"/>
      <c r="G1000" s="73"/>
      <c r="I1000" s="73"/>
    </row>
  </sheetData>
  <mergeCells count="30">
    <mergeCell ref="H19:H23"/>
    <mergeCell ref="H24:H26"/>
    <mergeCell ref="H3:H4"/>
    <mergeCell ref="I3:I4"/>
    <mergeCell ref="H5:H8"/>
    <mergeCell ref="H9:H14"/>
    <mergeCell ref="H15:H18"/>
    <mergeCell ref="H27:H32"/>
    <mergeCell ref="H33:H34"/>
    <mergeCell ref="H35:H36"/>
    <mergeCell ref="H37:H55"/>
    <mergeCell ref="A56:I60"/>
    <mergeCell ref="A37:A55"/>
    <mergeCell ref="D3:D4"/>
    <mergeCell ref="E3:E4"/>
    <mergeCell ref="A5:A10"/>
    <mergeCell ref="A11:A14"/>
    <mergeCell ref="A15:A18"/>
    <mergeCell ref="A19:A23"/>
    <mergeCell ref="A24:A26"/>
    <mergeCell ref="A3:B3"/>
    <mergeCell ref="C3:C4"/>
    <mergeCell ref="A27:A32"/>
    <mergeCell ref="A33:A34"/>
    <mergeCell ref="A35:A36"/>
    <mergeCell ref="A1:B2"/>
    <mergeCell ref="C1:C2"/>
    <mergeCell ref="D1:D2"/>
    <mergeCell ref="E1:E2"/>
    <mergeCell ref="F1:I2"/>
  </mergeCells>
  <phoneticPr fontId="30" type="noConversion"/>
  <pageMargins left="0.25" right="0.25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106.7109375" customWidth="1"/>
    <col min="3" max="3" width="20.42578125" customWidth="1"/>
    <col min="4" max="4" width="17.42578125" customWidth="1"/>
    <col min="5" max="5" width="11.7109375" customWidth="1"/>
    <col min="6" max="6" width="21.140625" customWidth="1"/>
    <col min="7" max="7" width="21.5703125" customWidth="1"/>
    <col min="9" max="9" width="49.7109375" customWidth="1"/>
  </cols>
  <sheetData>
    <row r="1" spans="1:26" ht="16.5" customHeight="1">
      <c r="A1" s="625" t="s">
        <v>180</v>
      </c>
      <c r="B1" s="611"/>
      <c r="C1" s="657" t="s">
        <v>94</v>
      </c>
      <c r="D1" s="658" t="s">
        <v>181</v>
      </c>
      <c r="E1" s="659" t="s">
        <v>182</v>
      </c>
      <c r="F1" s="629"/>
      <c r="G1" s="611"/>
      <c r="H1" s="611"/>
      <c r="I1" s="6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73"/>
    </row>
    <row r="2" spans="1:26" ht="16.5" customHeight="1">
      <c r="A2" s="608"/>
      <c r="B2" s="613"/>
      <c r="C2" s="606"/>
      <c r="D2" s="648"/>
      <c r="E2" s="606"/>
      <c r="F2" s="630"/>
      <c r="G2" s="631"/>
      <c r="H2" s="631"/>
      <c r="I2" s="6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73"/>
    </row>
    <row r="3" spans="1:26" ht="16.5" customHeight="1">
      <c r="A3" s="633"/>
      <c r="B3" s="634"/>
      <c r="C3" s="617"/>
      <c r="D3" s="619"/>
      <c r="E3" s="662"/>
      <c r="F3" s="3" t="s">
        <v>4</v>
      </c>
      <c r="G3" s="4" t="s">
        <v>5</v>
      </c>
      <c r="H3" s="617" t="s">
        <v>6</v>
      </c>
      <c r="I3" s="619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73"/>
    </row>
    <row r="4" spans="1:26" ht="16.5" customHeight="1">
      <c r="A4" s="5" t="s">
        <v>8</v>
      </c>
      <c r="B4" s="41" t="s">
        <v>9</v>
      </c>
      <c r="C4" s="618"/>
      <c r="D4" s="636"/>
      <c r="E4" s="601"/>
      <c r="F4" s="7" t="s">
        <v>10</v>
      </c>
      <c r="G4" s="7" t="s">
        <v>11</v>
      </c>
      <c r="H4" s="618"/>
      <c r="I4" s="60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73"/>
    </row>
    <row r="5" spans="1:26" ht="16.5" customHeight="1">
      <c r="A5" s="663" t="s">
        <v>183</v>
      </c>
      <c r="B5" s="74" t="s">
        <v>184</v>
      </c>
      <c r="C5" s="105">
        <v>390000</v>
      </c>
      <c r="D5" s="102">
        <f t="shared" ref="D5:D15" si="0">E5*2-1000</f>
        <v>697000</v>
      </c>
      <c r="E5" s="128">
        <v>349000</v>
      </c>
      <c r="F5" s="119"/>
      <c r="G5" s="76"/>
      <c r="H5" s="642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73"/>
    </row>
    <row r="6" spans="1:26" ht="16.5" customHeight="1">
      <c r="A6" s="638"/>
      <c r="B6" s="77" t="s">
        <v>185</v>
      </c>
      <c r="C6" s="68">
        <v>489000</v>
      </c>
      <c r="D6" s="79">
        <f t="shared" si="0"/>
        <v>797000</v>
      </c>
      <c r="E6" s="129">
        <v>399000</v>
      </c>
      <c r="F6" s="119"/>
      <c r="G6" s="48"/>
      <c r="H6" s="603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73"/>
    </row>
    <row r="7" spans="1:26" ht="16.5" customHeight="1">
      <c r="A7" s="638"/>
      <c r="B7" s="77" t="s">
        <v>186</v>
      </c>
      <c r="C7" s="130">
        <v>559000</v>
      </c>
      <c r="D7" s="79">
        <f t="shared" si="0"/>
        <v>997000</v>
      </c>
      <c r="E7" s="129">
        <v>499000</v>
      </c>
      <c r="F7" s="104"/>
      <c r="G7" s="72"/>
      <c r="H7" s="603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73"/>
    </row>
    <row r="8" spans="1:26" ht="16.5" customHeight="1">
      <c r="A8" s="638"/>
      <c r="B8" s="77" t="s">
        <v>187</v>
      </c>
      <c r="C8" s="130">
        <v>597000</v>
      </c>
      <c r="D8" s="79">
        <f t="shared" si="0"/>
        <v>997000</v>
      </c>
      <c r="E8" s="129">
        <v>499000</v>
      </c>
      <c r="F8" s="84"/>
      <c r="G8" s="72"/>
      <c r="H8" s="603"/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73"/>
    </row>
    <row r="9" spans="1:26" ht="16.5" customHeight="1">
      <c r="A9" s="638"/>
      <c r="B9" s="77" t="s">
        <v>188</v>
      </c>
      <c r="C9" s="130">
        <v>629000</v>
      </c>
      <c r="D9" s="79">
        <f t="shared" si="0"/>
        <v>1097000</v>
      </c>
      <c r="E9" s="129">
        <v>549000</v>
      </c>
      <c r="F9" s="84"/>
      <c r="G9" s="72"/>
      <c r="H9" s="621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73"/>
    </row>
    <row r="10" spans="1:26" ht="16.5" customHeight="1">
      <c r="A10" s="638"/>
      <c r="B10" s="77" t="s">
        <v>189</v>
      </c>
      <c r="C10" s="130">
        <v>749000</v>
      </c>
      <c r="D10" s="79">
        <f t="shared" si="0"/>
        <v>1397000</v>
      </c>
      <c r="E10" s="129">
        <v>699000</v>
      </c>
      <c r="F10" s="84"/>
      <c r="G10" s="50"/>
      <c r="H10" s="646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73"/>
    </row>
    <row r="11" spans="1:26" ht="16.5" customHeight="1">
      <c r="A11" s="639"/>
      <c r="B11" s="77" t="s">
        <v>190</v>
      </c>
      <c r="C11" s="131">
        <v>2000000</v>
      </c>
      <c r="D11" s="81">
        <f t="shared" si="0"/>
        <v>3297000</v>
      </c>
      <c r="E11" s="82">
        <v>1649000</v>
      </c>
      <c r="F11" s="104"/>
      <c r="G11" s="72"/>
      <c r="H11" s="603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73"/>
    </row>
    <row r="12" spans="1:26" ht="16.5" customHeight="1">
      <c r="A12" s="652" t="s">
        <v>191</v>
      </c>
      <c r="B12" s="86" t="s">
        <v>79</v>
      </c>
      <c r="C12" s="132">
        <v>129000</v>
      </c>
      <c r="D12" s="102">
        <f t="shared" si="0"/>
        <v>197000</v>
      </c>
      <c r="E12" s="132">
        <v>99000</v>
      </c>
      <c r="F12" s="84"/>
      <c r="G12" s="72"/>
      <c r="H12" s="603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73"/>
    </row>
    <row r="13" spans="1:26" ht="16.5" customHeight="1">
      <c r="A13" s="608"/>
      <c r="B13" s="88" t="s">
        <v>192</v>
      </c>
      <c r="C13" s="132">
        <v>248000</v>
      </c>
      <c r="D13" s="79">
        <f t="shared" si="0"/>
        <v>397000</v>
      </c>
      <c r="E13" s="39">
        <v>199000</v>
      </c>
      <c r="F13" s="84"/>
      <c r="G13" s="72"/>
      <c r="H13" s="603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73"/>
    </row>
    <row r="14" spans="1:26" ht="16.5" customHeight="1">
      <c r="A14" s="608"/>
      <c r="B14" s="88" t="s">
        <v>193</v>
      </c>
      <c r="C14" s="132">
        <v>268000</v>
      </c>
      <c r="D14" s="79">
        <f t="shared" si="0"/>
        <v>437000</v>
      </c>
      <c r="E14" s="39">
        <v>219000</v>
      </c>
      <c r="F14" s="84"/>
      <c r="G14" s="72"/>
      <c r="H14" s="603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73"/>
    </row>
    <row r="15" spans="1:26" ht="16.5" customHeight="1">
      <c r="A15" s="610"/>
      <c r="B15" s="89" t="s">
        <v>194</v>
      </c>
      <c r="C15" s="133">
        <f>360000+39000*3</f>
        <v>477000</v>
      </c>
      <c r="D15" s="81">
        <f t="shared" si="0"/>
        <v>717000</v>
      </c>
      <c r="E15" s="103">
        <v>359000</v>
      </c>
      <c r="F15" s="84"/>
      <c r="G15" s="72"/>
      <c r="H15" s="621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73"/>
    </row>
    <row r="16" spans="1:26" ht="16.5" customHeight="1">
      <c r="A16" s="652" t="s">
        <v>195</v>
      </c>
      <c r="B16" s="88" t="s">
        <v>196</v>
      </c>
      <c r="C16" s="87">
        <v>256000</v>
      </c>
      <c r="D16" s="102">
        <v>397000</v>
      </c>
      <c r="E16" s="87">
        <v>199000</v>
      </c>
      <c r="F16" s="84"/>
      <c r="G16" s="72"/>
      <c r="H16" s="641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73"/>
    </row>
    <row r="17" spans="1:26" ht="16.5" customHeight="1">
      <c r="A17" s="608"/>
      <c r="B17" s="88" t="s">
        <v>197</v>
      </c>
      <c r="C17" s="39">
        <v>398000</v>
      </c>
      <c r="D17" s="79">
        <v>637000</v>
      </c>
      <c r="E17" s="39">
        <v>319000</v>
      </c>
      <c r="F17" s="84"/>
      <c r="G17" s="50"/>
      <c r="H17" s="603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73"/>
    </row>
    <row r="18" spans="1:26" ht="16.5" customHeight="1">
      <c r="A18" s="608"/>
      <c r="B18" s="88" t="s">
        <v>198</v>
      </c>
      <c r="C18" s="39">
        <v>500000</v>
      </c>
      <c r="D18" s="79">
        <v>799000</v>
      </c>
      <c r="E18" s="39">
        <v>400000</v>
      </c>
      <c r="F18" s="104"/>
      <c r="G18" s="72"/>
      <c r="H18" s="603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73"/>
    </row>
    <row r="19" spans="1:26" ht="16.5" customHeight="1">
      <c r="A19" s="610"/>
      <c r="B19" s="89" t="s">
        <v>199</v>
      </c>
      <c r="C19" s="132">
        <v>658000</v>
      </c>
      <c r="D19" s="81">
        <v>1097000</v>
      </c>
      <c r="E19" s="39">
        <v>549000</v>
      </c>
      <c r="F19" s="84"/>
      <c r="G19" s="72"/>
      <c r="H19" s="601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73"/>
    </row>
    <row r="20" spans="1:26" ht="16.5" customHeight="1">
      <c r="A20" s="607" t="s">
        <v>27</v>
      </c>
      <c r="B20" s="61" t="s">
        <v>200</v>
      </c>
      <c r="C20" s="91">
        <v>79000</v>
      </c>
      <c r="D20" s="102">
        <v>97000</v>
      </c>
      <c r="E20" s="91">
        <v>49000</v>
      </c>
      <c r="F20" s="92"/>
      <c r="G20" s="60"/>
      <c r="H20" s="642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73"/>
    </row>
    <row r="21" spans="1:26" ht="16.5" customHeight="1">
      <c r="A21" s="608"/>
      <c r="B21" s="61" t="s">
        <v>201</v>
      </c>
      <c r="C21" s="93">
        <v>179000</v>
      </c>
      <c r="D21" s="79">
        <v>257000</v>
      </c>
      <c r="E21" s="93">
        <v>129000</v>
      </c>
      <c r="F21" s="92"/>
      <c r="G21" s="60"/>
      <c r="H21" s="603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73"/>
    </row>
    <row r="22" spans="1:26" ht="16.5" customHeight="1">
      <c r="A22" s="608"/>
      <c r="B22" s="61" t="s">
        <v>202</v>
      </c>
      <c r="C22" s="93">
        <v>179000</v>
      </c>
      <c r="D22" s="79">
        <v>257000</v>
      </c>
      <c r="E22" s="93">
        <v>129000</v>
      </c>
      <c r="F22" s="92"/>
      <c r="G22" s="60"/>
      <c r="H22" s="603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73"/>
    </row>
    <row r="23" spans="1:26" ht="16.5" customHeight="1">
      <c r="A23" s="608"/>
      <c r="B23" s="61" t="s">
        <v>203</v>
      </c>
      <c r="C23" s="93">
        <v>199000</v>
      </c>
      <c r="D23" s="79">
        <v>297000</v>
      </c>
      <c r="E23" s="93">
        <v>149000</v>
      </c>
      <c r="F23" s="92"/>
      <c r="G23" s="66"/>
      <c r="H23" s="603"/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73"/>
    </row>
    <row r="24" spans="1:26" ht="16.5" customHeight="1">
      <c r="A24" s="608"/>
      <c r="B24" s="61" t="s">
        <v>204</v>
      </c>
      <c r="C24" s="93">
        <v>240000</v>
      </c>
      <c r="D24" s="79">
        <v>377000</v>
      </c>
      <c r="E24" s="93">
        <v>189000</v>
      </c>
      <c r="F24" s="92"/>
      <c r="G24" s="60"/>
      <c r="H24" s="603"/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73"/>
    </row>
    <row r="25" spans="1:26" ht="16.5" customHeight="1">
      <c r="A25" s="608"/>
      <c r="B25" s="61" t="s">
        <v>205</v>
      </c>
      <c r="C25" s="93">
        <v>267000</v>
      </c>
      <c r="D25" s="79">
        <v>397000</v>
      </c>
      <c r="E25" s="93">
        <v>199000</v>
      </c>
      <c r="F25" s="92"/>
      <c r="G25" s="60"/>
      <c r="H25" s="603"/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73"/>
    </row>
    <row r="26" spans="1:26" ht="16.5" customHeight="1">
      <c r="A26" s="610"/>
      <c r="B26" s="56" t="s">
        <v>206</v>
      </c>
      <c r="C26" s="122">
        <v>308000</v>
      </c>
      <c r="D26" s="81">
        <v>537000</v>
      </c>
      <c r="E26" s="122">
        <v>269000</v>
      </c>
      <c r="F26" s="92"/>
      <c r="G26" s="60"/>
      <c r="H26" s="601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73"/>
    </row>
    <row r="27" spans="1:26" ht="16.5" customHeight="1">
      <c r="A27" s="604" t="s">
        <v>118</v>
      </c>
      <c r="B27" s="61" t="s">
        <v>169</v>
      </c>
      <c r="C27" s="91">
        <v>70000</v>
      </c>
      <c r="D27" s="102">
        <f t="shared" ref="D27:D68" si="1">E27*2-1000</f>
        <v>117000</v>
      </c>
      <c r="E27" s="91">
        <v>59000</v>
      </c>
      <c r="F27" s="99"/>
      <c r="G27" s="69"/>
      <c r="H27" s="643"/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73"/>
    </row>
    <row r="28" spans="1:26" ht="16.5" customHeight="1">
      <c r="A28" s="605"/>
      <c r="B28" s="61" t="s">
        <v>170</v>
      </c>
      <c r="C28" s="93">
        <v>99000</v>
      </c>
      <c r="D28" s="79">
        <f t="shared" si="1"/>
        <v>177000</v>
      </c>
      <c r="E28" s="93">
        <v>89000</v>
      </c>
      <c r="F28" s="99"/>
      <c r="G28" s="69"/>
      <c r="H28" s="603"/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73"/>
    </row>
    <row r="29" spans="1:26" ht="16.5" customHeight="1">
      <c r="A29" s="606"/>
      <c r="B29" s="61" t="s">
        <v>171</v>
      </c>
      <c r="C29" s="122">
        <v>157000</v>
      </c>
      <c r="D29" s="81">
        <f t="shared" si="1"/>
        <v>197000</v>
      </c>
      <c r="E29" s="122">
        <v>99000</v>
      </c>
      <c r="F29" s="84"/>
      <c r="G29" s="72"/>
      <c r="H29" s="621"/>
      <c r="I29" s="1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73"/>
    </row>
    <row r="30" spans="1:26" ht="16.5" customHeight="1">
      <c r="A30" s="660" t="s">
        <v>207</v>
      </c>
      <c r="B30" s="134" t="s">
        <v>208</v>
      </c>
      <c r="C30" s="135">
        <v>1190000</v>
      </c>
      <c r="D30" s="102">
        <f t="shared" si="1"/>
        <v>2179000</v>
      </c>
      <c r="E30" s="136">
        <v>1090000</v>
      </c>
      <c r="F30" s="84"/>
      <c r="G30" s="72"/>
      <c r="H30" s="137"/>
      <c r="I30" s="10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73"/>
    </row>
    <row r="31" spans="1:26" ht="16.5" customHeight="1">
      <c r="A31" s="605"/>
      <c r="B31" s="138" t="s">
        <v>209</v>
      </c>
      <c r="C31" s="139">
        <v>1440000</v>
      </c>
      <c r="D31" s="79">
        <f t="shared" si="1"/>
        <v>2779000</v>
      </c>
      <c r="E31" s="140">
        <v>1390000</v>
      </c>
      <c r="F31" s="72"/>
      <c r="G31" s="72"/>
      <c r="H31" s="137"/>
      <c r="I31" s="10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73"/>
    </row>
    <row r="32" spans="1:26" ht="16.5" customHeight="1">
      <c r="A32" s="605"/>
      <c r="B32" s="138" t="s">
        <v>210</v>
      </c>
      <c r="C32" s="139">
        <v>2100000</v>
      </c>
      <c r="D32" s="79">
        <f t="shared" si="1"/>
        <v>3979000</v>
      </c>
      <c r="E32" s="140">
        <v>1990000</v>
      </c>
      <c r="F32" s="72"/>
      <c r="G32" s="72"/>
      <c r="H32" s="137"/>
      <c r="I32" s="10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73"/>
    </row>
    <row r="33" spans="1:26" ht="16.5" customHeight="1">
      <c r="A33" s="605"/>
      <c r="B33" s="138" t="s">
        <v>211</v>
      </c>
      <c r="C33" s="139">
        <v>1900000</v>
      </c>
      <c r="D33" s="79">
        <f t="shared" si="1"/>
        <v>3599000</v>
      </c>
      <c r="E33" s="140">
        <v>1800000</v>
      </c>
      <c r="F33" s="72"/>
      <c r="G33" s="72"/>
      <c r="H33" s="137"/>
      <c r="I33" s="10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73"/>
    </row>
    <row r="34" spans="1:26" ht="16.5" customHeight="1">
      <c r="A34" s="605"/>
      <c r="B34" s="138" t="s">
        <v>212</v>
      </c>
      <c r="C34" s="139">
        <v>2700000</v>
      </c>
      <c r="D34" s="79">
        <f t="shared" si="1"/>
        <v>5199000</v>
      </c>
      <c r="E34" s="140">
        <v>2600000</v>
      </c>
      <c r="F34" s="72"/>
      <c r="G34" s="72"/>
      <c r="H34" s="137"/>
      <c r="I34" s="10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73"/>
    </row>
    <row r="35" spans="1:26" ht="16.5" customHeight="1">
      <c r="A35" s="605"/>
      <c r="B35" s="138" t="s">
        <v>213</v>
      </c>
      <c r="C35" s="139">
        <v>1750000</v>
      </c>
      <c r="D35" s="79">
        <f t="shared" si="1"/>
        <v>3299000</v>
      </c>
      <c r="E35" s="140">
        <v>1650000</v>
      </c>
      <c r="F35" s="72"/>
      <c r="G35" s="72"/>
      <c r="H35" s="137"/>
      <c r="I35" s="10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73"/>
    </row>
    <row r="36" spans="1:26" ht="16.5" customHeight="1">
      <c r="A36" s="605"/>
      <c r="B36" s="138" t="s">
        <v>214</v>
      </c>
      <c r="C36" s="139">
        <v>2450000</v>
      </c>
      <c r="D36" s="79">
        <f t="shared" si="1"/>
        <v>4699000</v>
      </c>
      <c r="E36" s="140">
        <v>2350000</v>
      </c>
      <c r="F36" s="72"/>
      <c r="G36" s="72"/>
      <c r="H36" s="137"/>
      <c r="I36" s="10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73"/>
    </row>
    <row r="37" spans="1:26" ht="16.5" customHeight="1">
      <c r="A37" s="605"/>
      <c r="B37" s="138" t="s">
        <v>215</v>
      </c>
      <c r="C37" s="139">
        <v>276000</v>
      </c>
      <c r="D37" s="79">
        <f t="shared" si="1"/>
        <v>499000</v>
      </c>
      <c r="E37" s="140">
        <v>250000</v>
      </c>
      <c r="F37" s="72"/>
      <c r="G37" s="72"/>
      <c r="H37" s="137"/>
      <c r="I37" s="10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73"/>
    </row>
    <row r="38" spans="1:26" ht="16.5" customHeight="1">
      <c r="A38" s="605"/>
      <c r="B38" s="138" t="s">
        <v>216</v>
      </c>
      <c r="C38" s="141"/>
      <c r="D38" s="79">
        <f t="shared" si="1"/>
        <v>399000</v>
      </c>
      <c r="E38" s="140">
        <v>200000</v>
      </c>
      <c r="F38" s="72"/>
      <c r="G38" s="72"/>
      <c r="H38" s="137"/>
      <c r="I38" s="10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73"/>
    </row>
    <row r="39" spans="1:26" ht="16.5" customHeight="1">
      <c r="A39" s="605"/>
      <c r="B39" s="142" t="s">
        <v>217</v>
      </c>
      <c r="C39" s="141"/>
      <c r="D39" s="79">
        <f t="shared" si="1"/>
        <v>299000</v>
      </c>
      <c r="E39" s="140">
        <v>150000</v>
      </c>
      <c r="F39" s="84"/>
      <c r="G39" s="72"/>
      <c r="H39" s="137"/>
      <c r="I39" s="10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73"/>
    </row>
    <row r="40" spans="1:26" ht="16.5" customHeight="1">
      <c r="A40" s="605"/>
      <c r="B40" s="142" t="s">
        <v>218</v>
      </c>
      <c r="C40" s="141"/>
      <c r="D40" s="79">
        <f t="shared" si="1"/>
        <v>199000</v>
      </c>
      <c r="E40" s="140">
        <v>100000</v>
      </c>
      <c r="F40" s="84"/>
      <c r="G40" s="72"/>
      <c r="H40" s="137"/>
      <c r="I40" s="10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73"/>
    </row>
    <row r="41" spans="1:26" ht="16.5" customHeight="1">
      <c r="A41" s="605"/>
      <c r="B41" s="142" t="s">
        <v>219</v>
      </c>
      <c r="C41" s="141"/>
      <c r="D41" s="79">
        <f t="shared" si="1"/>
        <v>359000</v>
      </c>
      <c r="E41" s="140">
        <v>180000</v>
      </c>
      <c r="F41" s="84"/>
      <c r="G41" s="72"/>
      <c r="H41" s="137"/>
      <c r="I41" s="10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73"/>
    </row>
    <row r="42" spans="1:26" ht="16.5" customHeight="1">
      <c r="A42" s="605"/>
      <c r="B42" s="142" t="s">
        <v>220</v>
      </c>
      <c r="C42" s="141"/>
      <c r="D42" s="79">
        <f t="shared" si="1"/>
        <v>399000</v>
      </c>
      <c r="E42" s="140">
        <v>200000</v>
      </c>
      <c r="F42" s="84"/>
      <c r="G42" s="72"/>
      <c r="H42" s="137"/>
      <c r="I42" s="10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73"/>
    </row>
    <row r="43" spans="1:26" ht="16.5" customHeight="1">
      <c r="A43" s="606"/>
      <c r="B43" s="142" t="s">
        <v>221</v>
      </c>
      <c r="C43" s="143"/>
      <c r="D43" s="81">
        <f t="shared" si="1"/>
        <v>799000</v>
      </c>
      <c r="E43" s="144">
        <v>400000</v>
      </c>
      <c r="F43" s="84"/>
      <c r="G43" s="72"/>
      <c r="H43" s="145"/>
      <c r="I43" s="10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73"/>
    </row>
    <row r="44" spans="1:26" ht="16.5" customHeight="1">
      <c r="A44" s="661" t="s">
        <v>172</v>
      </c>
      <c r="B44" s="134" t="s">
        <v>173</v>
      </c>
      <c r="C44" s="120">
        <v>500000</v>
      </c>
      <c r="D44" s="102">
        <f t="shared" si="1"/>
        <v>899000</v>
      </c>
      <c r="E44" s="111">
        <v>450000</v>
      </c>
      <c r="F44" s="84"/>
      <c r="G44" s="72"/>
      <c r="H44" s="137"/>
      <c r="I44" s="10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73"/>
    </row>
    <row r="45" spans="1:26" ht="16.5" customHeight="1">
      <c r="A45" s="654"/>
      <c r="B45" s="142" t="s">
        <v>174</v>
      </c>
      <c r="C45" s="121">
        <v>1400000</v>
      </c>
      <c r="D45" s="79">
        <f t="shared" si="1"/>
        <v>2399000</v>
      </c>
      <c r="E45" s="108">
        <v>1200000</v>
      </c>
      <c r="F45" s="84"/>
      <c r="G45" s="72"/>
      <c r="H45" s="137"/>
      <c r="I45" s="10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73"/>
    </row>
    <row r="46" spans="1:26" ht="16.5" customHeight="1">
      <c r="A46" s="654"/>
      <c r="B46" s="142" t="s">
        <v>175</v>
      </c>
      <c r="C46" s="121">
        <v>650000</v>
      </c>
      <c r="D46" s="79">
        <f t="shared" si="1"/>
        <v>1199000</v>
      </c>
      <c r="E46" s="108">
        <v>600000</v>
      </c>
      <c r="F46" s="84"/>
      <c r="G46" s="72"/>
      <c r="H46" s="137"/>
      <c r="I46" s="10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73"/>
    </row>
    <row r="47" spans="1:26" ht="16.5" customHeight="1">
      <c r="A47" s="654"/>
      <c r="B47" s="142" t="s">
        <v>176</v>
      </c>
      <c r="C47" s="121">
        <v>1100000</v>
      </c>
      <c r="D47" s="79">
        <f t="shared" si="1"/>
        <v>1999000</v>
      </c>
      <c r="E47" s="108">
        <v>1000000</v>
      </c>
      <c r="F47" s="84"/>
      <c r="G47" s="72"/>
      <c r="H47" s="137"/>
      <c r="I47" s="10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73"/>
    </row>
    <row r="48" spans="1:26" ht="16.5" customHeight="1">
      <c r="A48" s="654"/>
      <c r="B48" s="142" t="s">
        <v>177</v>
      </c>
      <c r="C48" s="121">
        <v>650000</v>
      </c>
      <c r="D48" s="79">
        <f t="shared" si="1"/>
        <v>1199000</v>
      </c>
      <c r="E48" s="108">
        <v>600000</v>
      </c>
      <c r="F48" s="84"/>
      <c r="G48" s="72"/>
      <c r="H48" s="137"/>
      <c r="I48" s="10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73"/>
    </row>
    <row r="49" spans="1:26" ht="16.5" customHeight="1">
      <c r="A49" s="655"/>
      <c r="B49" s="146" t="s">
        <v>178</v>
      </c>
      <c r="C49" s="123">
        <v>650000</v>
      </c>
      <c r="D49" s="81">
        <f t="shared" si="1"/>
        <v>1199000</v>
      </c>
      <c r="E49" s="117">
        <v>600000</v>
      </c>
      <c r="F49" s="84"/>
      <c r="G49" s="72"/>
      <c r="H49" s="145"/>
      <c r="I49" s="10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73"/>
    </row>
    <row r="50" spans="1:26" ht="16.5" customHeight="1">
      <c r="A50" s="609" t="s">
        <v>125</v>
      </c>
      <c r="B50" s="112" t="s">
        <v>126</v>
      </c>
      <c r="C50" s="147"/>
      <c r="D50" s="79">
        <f t="shared" si="1"/>
        <v>1199000</v>
      </c>
      <c r="E50" s="148">
        <v>600000</v>
      </c>
      <c r="F50" s="84"/>
      <c r="G50" s="50"/>
      <c r="H50" s="641"/>
      <c r="I50" s="10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73"/>
    </row>
    <row r="51" spans="1:26" ht="16.5" customHeight="1">
      <c r="A51" s="608"/>
      <c r="B51" s="114" t="s">
        <v>127</v>
      </c>
      <c r="C51" s="149"/>
      <c r="D51" s="79">
        <f t="shared" si="1"/>
        <v>1799000</v>
      </c>
      <c r="E51" s="150">
        <v>900000</v>
      </c>
      <c r="F51" s="84"/>
      <c r="G51" s="72"/>
      <c r="H51" s="603"/>
      <c r="I51" s="10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73"/>
    </row>
    <row r="52" spans="1:26" ht="16.5" customHeight="1">
      <c r="A52" s="608"/>
      <c r="B52" s="114" t="s">
        <v>128</v>
      </c>
      <c r="C52" s="149"/>
      <c r="D52" s="79">
        <f t="shared" si="1"/>
        <v>2199000</v>
      </c>
      <c r="E52" s="150">
        <v>1100000</v>
      </c>
      <c r="F52" s="84"/>
      <c r="G52" s="72"/>
      <c r="H52" s="603"/>
      <c r="I52" s="10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73"/>
    </row>
    <row r="53" spans="1:26" ht="16.5" customHeight="1">
      <c r="A53" s="608"/>
      <c r="B53" s="114" t="s">
        <v>129</v>
      </c>
      <c r="C53" s="149"/>
      <c r="D53" s="79">
        <f t="shared" si="1"/>
        <v>899000</v>
      </c>
      <c r="E53" s="150">
        <v>450000</v>
      </c>
      <c r="F53" s="84"/>
      <c r="G53" s="72"/>
      <c r="H53" s="603"/>
      <c r="I53" s="10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73"/>
    </row>
    <row r="54" spans="1:26" ht="16.5" customHeight="1">
      <c r="A54" s="608"/>
      <c r="B54" s="114" t="s">
        <v>130</v>
      </c>
      <c r="C54" s="149"/>
      <c r="D54" s="79">
        <f t="shared" si="1"/>
        <v>1599000</v>
      </c>
      <c r="E54" s="150">
        <v>800000</v>
      </c>
      <c r="F54" s="84"/>
      <c r="G54" s="72"/>
      <c r="H54" s="603"/>
      <c r="I54" s="10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73"/>
    </row>
    <row r="55" spans="1:26" ht="16.5" customHeight="1">
      <c r="A55" s="608"/>
      <c r="B55" s="114" t="s">
        <v>131</v>
      </c>
      <c r="C55" s="149"/>
      <c r="D55" s="79">
        <f t="shared" si="1"/>
        <v>2199000</v>
      </c>
      <c r="E55" s="150">
        <v>1100000</v>
      </c>
      <c r="F55" s="84"/>
      <c r="G55" s="72"/>
      <c r="H55" s="603"/>
      <c r="I55" s="10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73"/>
    </row>
    <row r="56" spans="1:26" ht="16.5" customHeight="1">
      <c r="A56" s="608"/>
      <c r="B56" s="114" t="s">
        <v>132</v>
      </c>
      <c r="C56" s="149"/>
      <c r="D56" s="79">
        <f t="shared" si="1"/>
        <v>1799000</v>
      </c>
      <c r="E56" s="150">
        <v>900000</v>
      </c>
      <c r="F56" s="84"/>
      <c r="G56" s="72"/>
      <c r="H56" s="603"/>
      <c r="I56" s="10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73"/>
    </row>
    <row r="57" spans="1:26" ht="16.5" customHeight="1">
      <c r="A57" s="608"/>
      <c r="B57" s="90" t="s">
        <v>133</v>
      </c>
      <c r="C57" s="149"/>
      <c r="D57" s="79">
        <f t="shared" si="1"/>
        <v>3399000</v>
      </c>
      <c r="E57" s="150">
        <v>1700000</v>
      </c>
      <c r="F57" s="84"/>
      <c r="G57" s="72"/>
      <c r="H57" s="603"/>
      <c r="I57" s="10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73"/>
    </row>
    <row r="58" spans="1:26" ht="16.5" customHeight="1">
      <c r="A58" s="608"/>
      <c r="B58" s="90" t="s">
        <v>134</v>
      </c>
      <c r="C58" s="149"/>
      <c r="D58" s="79">
        <f t="shared" si="1"/>
        <v>1599000</v>
      </c>
      <c r="E58" s="150">
        <v>800000</v>
      </c>
      <c r="F58" s="84"/>
      <c r="G58" s="72"/>
      <c r="H58" s="603"/>
      <c r="I58" s="10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73"/>
    </row>
    <row r="59" spans="1:26" ht="16.5" customHeight="1">
      <c r="A59" s="608"/>
      <c r="B59" s="90" t="s">
        <v>135</v>
      </c>
      <c r="C59" s="149"/>
      <c r="D59" s="79">
        <f t="shared" si="1"/>
        <v>2999000</v>
      </c>
      <c r="E59" s="150">
        <v>1500000</v>
      </c>
      <c r="F59" s="84"/>
      <c r="G59" s="72"/>
      <c r="H59" s="603"/>
      <c r="I59" s="10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73"/>
    </row>
    <row r="60" spans="1:26" ht="16.5" customHeight="1">
      <c r="A60" s="608"/>
      <c r="B60" s="90" t="s">
        <v>136</v>
      </c>
      <c r="C60" s="149"/>
      <c r="D60" s="79">
        <f t="shared" si="1"/>
        <v>1399000</v>
      </c>
      <c r="E60" s="150">
        <v>700000</v>
      </c>
      <c r="F60" s="84"/>
      <c r="G60" s="72"/>
      <c r="H60" s="603"/>
      <c r="I60" s="10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73"/>
    </row>
    <row r="61" spans="1:26" ht="16.5" customHeight="1">
      <c r="A61" s="608"/>
      <c r="B61" s="90" t="s">
        <v>137</v>
      </c>
      <c r="C61" s="149"/>
      <c r="D61" s="79">
        <f t="shared" si="1"/>
        <v>1799000</v>
      </c>
      <c r="E61" s="150">
        <v>900000</v>
      </c>
      <c r="F61" s="84"/>
      <c r="G61" s="72"/>
      <c r="H61" s="603"/>
      <c r="I61" s="10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73"/>
    </row>
    <row r="62" spans="1:26" ht="16.5" customHeight="1">
      <c r="A62" s="608"/>
      <c r="B62" s="90" t="s">
        <v>138</v>
      </c>
      <c r="C62" s="90"/>
      <c r="D62" s="79">
        <f t="shared" si="1"/>
        <v>499000</v>
      </c>
      <c r="E62" s="150">
        <v>250000</v>
      </c>
      <c r="F62" s="84"/>
      <c r="G62" s="72"/>
      <c r="H62" s="603"/>
      <c r="I62" s="10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73"/>
    </row>
    <row r="63" spans="1:26" ht="16.5" customHeight="1">
      <c r="A63" s="608"/>
      <c r="B63" s="90" t="s">
        <v>139</v>
      </c>
      <c r="C63" s="90"/>
      <c r="D63" s="79">
        <f t="shared" si="1"/>
        <v>399000</v>
      </c>
      <c r="E63" s="150">
        <v>200000</v>
      </c>
      <c r="F63" s="84"/>
      <c r="G63" s="72"/>
      <c r="H63" s="603"/>
      <c r="I63" s="10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73"/>
    </row>
    <row r="64" spans="1:26" ht="16.5" customHeight="1">
      <c r="A64" s="608"/>
      <c r="B64" s="90" t="s">
        <v>140</v>
      </c>
      <c r="C64" s="90"/>
      <c r="D64" s="79">
        <f t="shared" si="1"/>
        <v>299000</v>
      </c>
      <c r="E64" s="150">
        <v>150000</v>
      </c>
      <c r="F64" s="84"/>
      <c r="G64" s="72"/>
      <c r="H64" s="603"/>
      <c r="I64" s="10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73"/>
    </row>
    <row r="65" spans="1:26" ht="16.5" customHeight="1">
      <c r="A65" s="608"/>
      <c r="B65" s="90" t="s">
        <v>141</v>
      </c>
      <c r="C65" s="90"/>
      <c r="D65" s="79">
        <f t="shared" si="1"/>
        <v>199000</v>
      </c>
      <c r="E65" s="150">
        <v>100000</v>
      </c>
      <c r="F65" s="84"/>
      <c r="G65" s="72"/>
      <c r="H65" s="603"/>
      <c r="I65" s="10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73"/>
    </row>
    <row r="66" spans="1:26" ht="16.5" customHeight="1">
      <c r="A66" s="608"/>
      <c r="B66" s="90" t="s">
        <v>142</v>
      </c>
      <c r="C66" s="90"/>
      <c r="D66" s="79">
        <f t="shared" si="1"/>
        <v>319000</v>
      </c>
      <c r="E66" s="150">
        <v>160000</v>
      </c>
      <c r="F66" s="84"/>
      <c r="G66" s="72"/>
      <c r="H66" s="603"/>
      <c r="I66" s="10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73"/>
    </row>
    <row r="67" spans="1:26" ht="16.5" customHeight="1">
      <c r="A67" s="608"/>
      <c r="B67" s="90" t="s">
        <v>143</v>
      </c>
      <c r="C67" s="90"/>
      <c r="D67" s="79">
        <f t="shared" si="1"/>
        <v>359000</v>
      </c>
      <c r="E67" s="150">
        <v>180000</v>
      </c>
      <c r="F67" s="84"/>
      <c r="G67" s="72"/>
      <c r="H67" s="603"/>
      <c r="I67" s="10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73"/>
    </row>
    <row r="68" spans="1:26" ht="16.5" customHeight="1">
      <c r="A68" s="610"/>
      <c r="B68" s="94" t="s">
        <v>144</v>
      </c>
      <c r="C68" s="94"/>
      <c r="D68" s="81">
        <f t="shared" si="1"/>
        <v>799000</v>
      </c>
      <c r="E68" s="151">
        <v>400000</v>
      </c>
      <c r="F68" s="84"/>
      <c r="G68" s="72"/>
      <c r="H68" s="601"/>
      <c r="I68" s="10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73"/>
    </row>
    <row r="69" spans="1:26" ht="16.5" customHeight="1">
      <c r="A69" s="652" t="s">
        <v>222</v>
      </c>
      <c r="B69" s="611"/>
      <c r="C69" s="611"/>
      <c r="D69" s="611"/>
      <c r="E69" s="611"/>
      <c r="F69" s="611"/>
      <c r="G69" s="611"/>
      <c r="H69" s="611"/>
      <c r="I69" s="61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73"/>
    </row>
    <row r="70" spans="1:26" ht="16.5" customHeight="1">
      <c r="A70" s="608"/>
      <c r="B70" s="613"/>
      <c r="C70" s="613"/>
      <c r="D70" s="613"/>
      <c r="E70" s="613"/>
      <c r="F70" s="613"/>
      <c r="G70" s="613"/>
      <c r="H70" s="613"/>
      <c r="I70" s="61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73"/>
    </row>
    <row r="71" spans="1:26" ht="16.5" customHeight="1">
      <c r="A71" s="608"/>
      <c r="B71" s="613"/>
      <c r="C71" s="613"/>
      <c r="D71" s="613"/>
      <c r="E71" s="613"/>
      <c r="F71" s="613"/>
      <c r="G71" s="613"/>
      <c r="H71" s="613"/>
      <c r="I71" s="61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73"/>
    </row>
    <row r="72" spans="1:26" ht="16.5" customHeight="1">
      <c r="A72" s="608"/>
      <c r="B72" s="613"/>
      <c r="C72" s="613"/>
      <c r="D72" s="613"/>
      <c r="E72" s="613"/>
      <c r="F72" s="613"/>
      <c r="G72" s="613"/>
      <c r="H72" s="613"/>
      <c r="I72" s="61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73"/>
    </row>
    <row r="73" spans="1:26" ht="16.5" customHeight="1">
      <c r="A73" s="610"/>
      <c r="B73" s="615"/>
      <c r="C73" s="615"/>
      <c r="D73" s="615"/>
      <c r="E73" s="615"/>
      <c r="F73" s="615"/>
      <c r="G73" s="615"/>
      <c r="H73" s="615"/>
      <c r="I73" s="61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73"/>
    </row>
    <row r="74" spans="1:26" ht="16.5" customHeight="1">
      <c r="A74" s="1"/>
      <c r="B74" s="1"/>
      <c r="C74" s="36"/>
      <c r="D74" s="36"/>
      <c r="E74" s="36"/>
      <c r="F74" s="36"/>
      <c r="G74" s="37"/>
      <c r="H74" s="37"/>
      <c r="I74" s="3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73"/>
    </row>
    <row r="75" spans="1:26" ht="16.5" customHeight="1">
      <c r="A75" s="152" t="s">
        <v>122</v>
      </c>
      <c r="B75" s="1" t="s">
        <v>223</v>
      </c>
      <c r="C75" s="151">
        <v>600000</v>
      </c>
      <c r="D75" s="153">
        <f t="shared" ref="D75:D76" si="2">E75*2-1000</f>
        <v>1099000</v>
      </c>
      <c r="E75" s="151">
        <v>550000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73"/>
    </row>
    <row r="76" spans="1:26" ht="16.5" customHeight="1">
      <c r="A76" s="1"/>
      <c r="B76" s="1" t="s">
        <v>224</v>
      </c>
      <c r="C76" s="151">
        <v>1600000</v>
      </c>
      <c r="D76" s="153">
        <f t="shared" si="2"/>
        <v>2999000</v>
      </c>
      <c r="E76" s="151">
        <v>1500000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73"/>
    </row>
    <row r="77" spans="1:26" ht="16.5" customHeight="1">
      <c r="A77" s="1"/>
      <c r="B77" s="1"/>
      <c r="C77" s="36"/>
      <c r="D77" s="36"/>
      <c r="E77" s="36"/>
      <c r="F77" s="36"/>
      <c r="G77" s="37"/>
      <c r="H77" s="37"/>
      <c r="I77" s="3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73"/>
    </row>
    <row r="78" spans="1:26" ht="16.5" customHeight="1">
      <c r="A78" s="1"/>
      <c r="B78" s="1"/>
      <c r="C78" s="36"/>
      <c r="D78" s="36"/>
      <c r="E78" s="36"/>
      <c r="F78" s="36"/>
      <c r="G78" s="37"/>
      <c r="H78" s="37"/>
      <c r="I78" s="3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73"/>
    </row>
    <row r="79" spans="1:26" ht="16.5" customHeight="1">
      <c r="A79" s="1"/>
      <c r="B79" s="1"/>
      <c r="C79" s="36"/>
      <c r="D79" s="36"/>
      <c r="E79" s="36"/>
      <c r="F79" s="36"/>
      <c r="G79" s="37"/>
      <c r="H79" s="37"/>
      <c r="I79" s="3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73"/>
    </row>
    <row r="80" spans="1:26" ht="16.5" customHeight="1">
      <c r="A80" s="1"/>
      <c r="B80" s="1"/>
      <c r="C80" s="36"/>
      <c r="D80" s="36"/>
      <c r="E80" s="36"/>
      <c r="F80" s="36"/>
      <c r="G80" s="37"/>
      <c r="H80" s="37"/>
      <c r="I80" s="3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73"/>
    </row>
    <row r="81" spans="1:26" ht="16.5" customHeight="1">
      <c r="A81" s="1"/>
      <c r="B81" s="1"/>
      <c r="C81" s="36"/>
      <c r="D81" s="36"/>
      <c r="E81" s="36"/>
      <c r="F81" s="36"/>
      <c r="G81" s="37"/>
      <c r="H81" s="37"/>
      <c r="I81" s="3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73"/>
    </row>
    <row r="82" spans="1:26" ht="16.5" customHeight="1">
      <c r="A82" s="1"/>
      <c r="B82" s="1"/>
      <c r="C82" s="36"/>
      <c r="D82" s="36"/>
      <c r="E82" s="36"/>
      <c r="F82" s="36"/>
      <c r="G82" s="37"/>
      <c r="H82" s="37"/>
      <c r="I82" s="3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73"/>
    </row>
    <row r="83" spans="1:26" ht="16.5" customHeight="1">
      <c r="A83" s="1"/>
      <c r="B83" s="1"/>
      <c r="C83" s="36"/>
      <c r="D83" s="36"/>
      <c r="E83" s="36"/>
      <c r="F83" s="36"/>
      <c r="G83" s="37"/>
      <c r="H83" s="37"/>
      <c r="I83" s="3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73"/>
    </row>
    <row r="84" spans="1:26" ht="16.5" customHeight="1">
      <c r="A84" s="1"/>
      <c r="B84" s="1"/>
      <c r="C84" s="36"/>
      <c r="D84" s="36"/>
      <c r="E84" s="36"/>
      <c r="F84" s="36"/>
      <c r="G84" s="37"/>
      <c r="H84" s="37"/>
      <c r="I84" s="3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73"/>
    </row>
    <row r="85" spans="1:26" ht="16.5" customHeight="1">
      <c r="A85" s="1"/>
      <c r="B85" s="1"/>
      <c r="C85" s="36"/>
      <c r="D85" s="36"/>
      <c r="E85" s="36"/>
      <c r="F85" s="36"/>
      <c r="G85" s="37"/>
      <c r="H85" s="37"/>
      <c r="I85" s="3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73"/>
    </row>
    <row r="86" spans="1:26" ht="16.5" customHeight="1">
      <c r="A86" s="1"/>
      <c r="B86" s="1"/>
      <c r="C86" s="36"/>
      <c r="D86" s="36"/>
      <c r="E86" s="36"/>
      <c r="F86" s="36"/>
      <c r="G86" s="37"/>
      <c r="H86" s="37"/>
      <c r="I86" s="3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73"/>
    </row>
    <row r="87" spans="1:26" ht="16.5" customHeight="1">
      <c r="A87" s="1"/>
      <c r="B87" s="1"/>
      <c r="C87" s="36"/>
      <c r="D87" s="36"/>
      <c r="E87" s="36"/>
      <c r="F87" s="36"/>
      <c r="G87" s="37"/>
      <c r="H87" s="37"/>
      <c r="I87" s="3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73"/>
    </row>
    <row r="88" spans="1:26" ht="16.5" customHeight="1">
      <c r="A88" s="1"/>
      <c r="B88" s="1"/>
      <c r="C88" s="36"/>
      <c r="D88" s="36"/>
      <c r="E88" s="36"/>
      <c r="F88" s="36"/>
      <c r="G88" s="37"/>
      <c r="H88" s="37"/>
      <c r="I88" s="3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73"/>
    </row>
    <row r="89" spans="1:26" ht="16.5" customHeight="1">
      <c r="A89" s="1"/>
      <c r="B89" s="1"/>
      <c r="C89" s="36"/>
      <c r="D89" s="36"/>
      <c r="E89" s="36"/>
      <c r="F89" s="36"/>
      <c r="G89" s="37"/>
      <c r="H89" s="37"/>
      <c r="I89" s="3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73"/>
    </row>
    <row r="90" spans="1:26" ht="16.5" customHeight="1">
      <c r="A90" s="1"/>
      <c r="B90" s="1"/>
      <c r="C90" s="36"/>
      <c r="D90" s="36"/>
      <c r="E90" s="36"/>
      <c r="F90" s="36"/>
      <c r="G90" s="37"/>
      <c r="H90" s="37"/>
      <c r="I90" s="3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73"/>
    </row>
    <row r="91" spans="1:26" ht="16.5" customHeight="1">
      <c r="A91" s="1"/>
      <c r="B91" s="1"/>
      <c r="C91" s="36"/>
      <c r="D91" s="36"/>
      <c r="E91" s="36"/>
      <c r="F91" s="36"/>
      <c r="G91" s="37"/>
      <c r="H91" s="37"/>
      <c r="I91" s="3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73"/>
    </row>
    <row r="92" spans="1:26" ht="16.5" customHeight="1">
      <c r="A92" s="1"/>
      <c r="B92" s="1"/>
      <c r="C92" s="36"/>
      <c r="D92" s="36"/>
      <c r="E92" s="36"/>
      <c r="F92" s="36"/>
      <c r="G92" s="37"/>
      <c r="H92" s="37"/>
      <c r="I92" s="3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73"/>
    </row>
    <row r="93" spans="1:26" ht="16.5" customHeight="1">
      <c r="A93" s="1"/>
      <c r="B93" s="1"/>
      <c r="C93" s="36"/>
      <c r="D93" s="36"/>
      <c r="E93" s="36"/>
      <c r="F93" s="36"/>
      <c r="G93" s="37"/>
      <c r="H93" s="37"/>
      <c r="I93" s="3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73"/>
    </row>
    <row r="94" spans="1:26" ht="16.5" customHeight="1">
      <c r="A94" s="1"/>
      <c r="B94" s="1"/>
      <c r="C94" s="36"/>
      <c r="D94" s="36"/>
      <c r="E94" s="36"/>
      <c r="F94" s="36"/>
      <c r="G94" s="37"/>
      <c r="H94" s="37"/>
      <c r="I94" s="3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73"/>
    </row>
    <row r="95" spans="1:26" ht="16.5" customHeight="1">
      <c r="A95" s="1"/>
      <c r="B95" s="1"/>
      <c r="C95" s="36"/>
      <c r="D95" s="36"/>
      <c r="E95" s="36"/>
      <c r="F95" s="36"/>
      <c r="G95" s="37"/>
      <c r="H95" s="37"/>
      <c r="I95" s="3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73"/>
    </row>
    <row r="96" spans="1:26" ht="16.5" customHeight="1">
      <c r="A96" s="1"/>
      <c r="B96" s="1"/>
      <c r="C96" s="36"/>
      <c r="D96" s="36"/>
      <c r="E96" s="36"/>
      <c r="F96" s="36"/>
      <c r="G96" s="37"/>
      <c r="H96" s="37"/>
      <c r="I96" s="3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73"/>
    </row>
    <row r="97" spans="1:26" ht="16.5" customHeight="1">
      <c r="A97" s="1"/>
      <c r="B97" s="1"/>
      <c r="C97" s="36"/>
      <c r="D97" s="36"/>
      <c r="E97" s="36"/>
      <c r="F97" s="36"/>
      <c r="G97" s="37"/>
      <c r="H97" s="37"/>
      <c r="I97" s="3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73"/>
    </row>
    <row r="98" spans="1:26" ht="16.5" customHeight="1">
      <c r="A98" s="1"/>
      <c r="B98" s="1"/>
      <c r="C98" s="36"/>
      <c r="D98" s="36"/>
      <c r="E98" s="36"/>
      <c r="F98" s="36"/>
      <c r="G98" s="37"/>
      <c r="H98" s="37"/>
      <c r="I98" s="3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73"/>
    </row>
    <row r="99" spans="1:26" ht="16.5" customHeight="1">
      <c r="A99" s="1"/>
      <c r="B99" s="1"/>
      <c r="C99" s="36"/>
      <c r="D99" s="36"/>
      <c r="E99" s="36"/>
      <c r="F99" s="36"/>
      <c r="G99" s="37"/>
      <c r="H99" s="37"/>
      <c r="I99" s="3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73"/>
    </row>
    <row r="100" spans="1:26" ht="16.5" customHeight="1">
      <c r="A100" s="1"/>
      <c r="B100" s="1"/>
      <c r="C100" s="36"/>
      <c r="D100" s="36"/>
      <c r="E100" s="36"/>
      <c r="F100" s="36"/>
      <c r="G100" s="37"/>
      <c r="H100" s="37"/>
      <c r="I100" s="3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73"/>
    </row>
    <row r="101" spans="1:26" ht="16.5" customHeight="1">
      <c r="A101" s="1"/>
      <c r="B101" s="1"/>
      <c r="C101" s="36"/>
      <c r="D101" s="36"/>
      <c r="E101" s="36"/>
      <c r="F101" s="36"/>
      <c r="G101" s="37"/>
      <c r="H101" s="37"/>
      <c r="I101" s="3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73"/>
    </row>
    <row r="102" spans="1:26" ht="16.5" customHeight="1">
      <c r="A102" s="1"/>
      <c r="B102" s="1"/>
      <c r="C102" s="36"/>
      <c r="D102" s="36"/>
      <c r="E102" s="36"/>
      <c r="F102" s="36"/>
      <c r="G102" s="37"/>
      <c r="H102" s="37"/>
      <c r="I102" s="3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73"/>
    </row>
    <row r="103" spans="1:26" ht="16.5" customHeight="1">
      <c r="A103" s="1"/>
      <c r="B103" s="1"/>
      <c r="C103" s="36"/>
      <c r="D103" s="36"/>
      <c r="E103" s="36"/>
      <c r="F103" s="36"/>
      <c r="G103" s="37"/>
      <c r="H103" s="37"/>
      <c r="I103" s="3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73"/>
    </row>
    <row r="104" spans="1:26" ht="16.5" customHeight="1">
      <c r="A104" s="1"/>
      <c r="B104" s="1"/>
      <c r="C104" s="36"/>
      <c r="D104" s="36"/>
      <c r="E104" s="36"/>
      <c r="F104" s="36"/>
      <c r="G104" s="37"/>
      <c r="H104" s="37"/>
      <c r="I104" s="3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73"/>
    </row>
    <row r="105" spans="1:26" ht="16.5" customHeight="1">
      <c r="A105" s="1"/>
      <c r="B105" s="1"/>
      <c r="C105" s="36"/>
      <c r="D105" s="36"/>
      <c r="E105" s="36"/>
      <c r="F105" s="36"/>
      <c r="G105" s="37"/>
      <c r="H105" s="37"/>
      <c r="I105" s="3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73"/>
    </row>
    <row r="106" spans="1:26" ht="16.5" customHeight="1">
      <c r="A106" s="1"/>
      <c r="B106" s="1"/>
      <c r="C106" s="36"/>
      <c r="D106" s="36"/>
      <c r="E106" s="36"/>
      <c r="F106" s="36"/>
      <c r="G106" s="37"/>
      <c r="H106" s="37"/>
      <c r="I106" s="3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73"/>
    </row>
    <row r="107" spans="1:26" ht="16.5" customHeight="1">
      <c r="A107" s="1"/>
      <c r="B107" s="1"/>
      <c r="C107" s="36"/>
      <c r="D107" s="36"/>
      <c r="E107" s="36"/>
      <c r="F107" s="36"/>
      <c r="G107" s="37"/>
      <c r="H107" s="37"/>
      <c r="I107" s="3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73"/>
    </row>
    <row r="108" spans="1:26" ht="16.5" customHeight="1">
      <c r="A108" s="1"/>
      <c r="B108" s="1"/>
      <c r="C108" s="36"/>
      <c r="D108" s="36"/>
      <c r="E108" s="36"/>
      <c r="F108" s="36"/>
      <c r="G108" s="37"/>
      <c r="H108" s="37"/>
      <c r="I108" s="3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73"/>
    </row>
    <row r="109" spans="1:26" ht="16.5" customHeight="1">
      <c r="A109" s="1"/>
      <c r="B109" s="1"/>
      <c r="C109" s="36"/>
      <c r="D109" s="36"/>
      <c r="E109" s="36"/>
      <c r="F109" s="36"/>
      <c r="G109" s="37"/>
      <c r="H109" s="37"/>
      <c r="I109" s="3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73"/>
    </row>
    <row r="110" spans="1:26" ht="16.5" customHeight="1">
      <c r="A110" s="1"/>
      <c r="B110" s="1"/>
      <c r="C110" s="36"/>
      <c r="D110" s="36"/>
      <c r="E110" s="36"/>
      <c r="F110" s="36"/>
      <c r="G110" s="37"/>
      <c r="H110" s="37"/>
      <c r="I110" s="3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73"/>
    </row>
    <row r="111" spans="1:26" ht="16.5" customHeight="1">
      <c r="A111" s="1"/>
      <c r="B111" s="1"/>
      <c r="C111" s="36"/>
      <c r="D111" s="36"/>
      <c r="E111" s="36"/>
      <c r="F111" s="36"/>
      <c r="G111" s="37"/>
      <c r="H111" s="37"/>
      <c r="I111" s="3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73"/>
    </row>
    <row r="112" spans="1:26" ht="16.5" customHeight="1">
      <c r="A112" s="1"/>
      <c r="B112" s="1"/>
      <c r="C112" s="36"/>
      <c r="D112" s="36"/>
      <c r="E112" s="36"/>
      <c r="F112" s="36"/>
      <c r="G112" s="37"/>
      <c r="H112" s="37"/>
      <c r="I112" s="3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73"/>
    </row>
    <row r="113" spans="1:26" ht="16.5" customHeight="1">
      <c r="A113" s="1"/>
      <c r="B113" s="1"/>
      <c r="C113" s="36"/>
      <c r="D113" s="36"/>
      <c r="E113" s="36"/>
      <c r="F113" s="36"/>
      <c r="G113" s="37"/>
      <c r="H113" s="37"/>
      <c r="I113" s="3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73"/>
    </row>
    <row r="114" spans="1:26" ht="16.5" customHeight="1">
      <c r="A114" s="1"/>
      <c r="B114" s="1"/>
      <c r="C114" s="36"/>
      <c r="D114" s="36"/>
      <c r="E114" s="36"/>
      <c r="F114" s="36"/>
      <c r="G114" s="37"/>
      <c r="H114" s="37"/>
      <c r="I114" s="3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73"/>
    </row>
    <row r="115" spans="1:26" ht="16.5" customHeight="1">
      <c r="A115" s="1"/>
      <c r="B115" s="1"/>
      <c r="C115" s="36"/>
      <c r="D115" s="36"/>
      <c r="E115" s="36"/>
      <c r="F115" s="36"/>
      <c r="G115" s="37"/>
      <c r="H115" s="37"/>
      <c r="I115" s="3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73"/>
    </row>
    <row r="116" spans="1:26" ht="16.5" customHeight="1">
      <c r="A116" s="1"/>
      <c r="B116" s="1"/>
      <c r="C116" s="36"/>
      <c r="D116" s="36"/>
      <c r="E116" s="36"/>
      <c r="F116" s="36"/>
      <c r="G116" s="37"/>
      <c r="H116" s="37"/>
      <c r="I116" s="3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73"/>
    </row>
    <row r="117" spans="1:26" ht="16.5" customHeight="1">
      <c r="A117" s="1"/>
      <c r="B117" s="1"/>
      <c r="C117" s="36"/>
      <c r="D117" s="36"/>
      <c r="E117" s="36"/>
      <c r="F117" s="36"/>
      <c r="G117" s="37"/>
      <c r="H117" s="37"/>
      <c r="I117" s="3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73"/>
    </row>
    <row r="118" spans="1:26" ht="16.5" customHeight="1">
      <c r="A118" s="1"/>
      <c r="B118" s="1"/>
      <c r="C118" s="36"/>
      <c r="D118" s="36"/>
      <c r="E118" s="36"/>
      <c r="F118" s="36"/>
      <c r="G118" s="37"/>
      <c r="H118" s="37"/>
      <c r="I118" s="3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73"/>
    </row>
    <row r="119" spans="1:26" ht="16.5" customHeight="1">
      <c r="A119" s="1"/>
      <c r="B119" s="1"/>
      <c r="C119" s="36"/>
      <c r="D119" s="36"/>
      <c r="E119" s="36"/>
      <c r="F119" s="36"/>
      <c r="G119" s="37"/>
      <c r="H119" s="37"/>
      <c r="I119" s="3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73"/>
    </row>
    <row r="120" spans="1:26" ht="16.5" customHeight="1">
      <c r="A120" s="1"/>
      <c r="B120" s="1"/>
      <c r="C120" s="36"/>
      <c r="D120" s="36"/>
      <c r="E120" s="36"/>
      <c r="F120" s="36"/>
      <c r="G120" s="37"/>
      <c r="H120" s="37"/>
      <c r="I120" s="3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73"/>
    </row>
    <row r="121" spans="1:26" ht="16.5" customHeight="1">
      <c r="A121" s="1"/>
      <c r="B121" s="1"/>
      <c r="C121" s="36"/>
      <c r="D121" s="36"/>
      <c r="E121" s="36"/>
      <c r="F121" s="36"/>
      <c r="G121" s="37"/>
      <c r="H121" s="37"/>
      <c r="I121" s="3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73"/>
    </row>
    <row r="122" spans="1:26" ht="16.5" customHeight="1">
      <c r="A122" s="1"/>
      <c r="B122" s="1"/>
      <c r="C122" s="36"/>
      <c r="D122" s="36"/>
      <c r="E122" s="36"/>
      <c r="F122" s="36"/>
      <c r="G122" s="37"/>
      <c r="H122" s="37"/>
      <c r="I122" s="3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73"/>
    </row>
    <row r="123" spans="1:26" ht="16.5" customHeight="1">
      <c r="A123" s="1"/>
      <c r="B123" s="1"/>
      <c r="C123" s="36"/>
      <c r="D123" s="36"/>
      <c r="E123" s="36"/>
      <c r="F123" s="36"/>
      <c r="G123" s="37"/>
      <c r="H123" s="37"/>
      <c r="I123" s="3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73"/>
    </row>
    <row r="124" spans="1:26" ht="16.5" customHeight="1">
      <c r="A124" s="1"/>
      <c r="B124" s="1"/>
      <c r="C124" s="36"/>
      <c r="D124" s="36"/>
      <c r="E124" s="36"/>
      <c r="F124" s="36"/>
      <c r="G124" s="37"/>
      <c r="H124" s="37"/>
      <c r="I124" s="3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73"/>
    </row>
    <row r="125" spans="1:26" ht="16.5" customHeight="1">
      <c r="A125" s="1"/>
      <c r="B125" s="1"/>
      <c r="C125" s="36"/>
      <c r="D125" s="36"/>
      <c r="E125" s="36"/>
      <c r="F125" s="36"/>
      <c r="G125" s="37"/>
      <c r="H125" s="37"/>
      <c r="I125" s="3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73"/>
    </row>
    <row r="126" spans="1:26" ht="16.5" customHeight="1">
      <c r="A126" s="1"/>
      <c r="B126" s="1"/>
      <c r="C126" s="36"/>
      <c r="D126" s="36"/>
      <c r="E126" s="36"/>
      <c r="F126" s="36"/>
      <c r="G126" s="37"/>
      <c r="H126" s="37"/>
      <c r="I126" s="3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73"/>
    </row>
    <row r="127" spans="1:26" ht="16.5" customHeight="1">
      <c r="A127" s="1"/>
      <c r="B127" s="1"/>
      <c r="C127" s="36"/>
      <c r="D127" s="36"/>
      <c r="E127" s="36"/>
      <c r="F127" s="36"/>
      <c r="G127" s="37"/>
      <c r="H127" s="37"/>
      <c r="I127" s="3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73"/>
    </row>
    <row r="128" spans="1:26" ht="16.5" customHeight="1">
      <c r="A128" s="1"/>
      <c r="B128" s="1"/>
      <c r="C128" s="36"/>
      <c r="D128" s="36"/>
      <c r="E128" s="36"/>
      <c r="F128" s="36"/>
      <c r="G128" s="37"/>
      <c r="H128" s="37"/>
      <c r="I128" s="3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73"/>
    </row>
    <row r="129" spans="1:26" ht="16.5" customHeight="1">
      <c r="A129" s="1"/>
      <c r="B129" s="1"/>
      <c r="C129" s="36"/>
      <c r="D129" s="36"/>
      <c r="E129" s="36"/>
      <c r="F129" s="36"/>
      <c r="G129" s="37"/>
      <c r="H129" s="37"/>
      <c r="I129" s="3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73"/>
    </row>
    <row r="130" spans="1:26" ht="16.5" customHeight="1">
      <c r="A130" s="1"/>
      <c r="B130" s="1"/>
      <c r="C130" s="36"/>
      <c r="D130" s="36"/>
      <c r="E130" s="36"/>
      <c r="F130" s="36"/>
      <c r="G130" s="37"/>
      <c r="H130" s="37"/>
      <c r="I130" s="3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73"/>
    </row>
    <row r="131" spans="1:26" ht="16.5" customHeight="1">
      <c r="A131" s="1"/>
      <c r="B131" s="1"/>
      <c r="C131" s="36"/>
      <c r="D131" s="36"/>
      <c r="E131" s="36"/>
      <c r="F131" s="36"/>
      <c r="G131" s="37"/>
      <c r="H131" s="37"/>
      <c r="I131" s="3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73"/>
    </row>
    <row r="132" spans="1:26" ht="16.5" customHeight="1">
      <c r="A132" s="1"/>
      <c r="B132" s="1"/>
      <c r="C132" s="36"/>
      <c r="D132" s="36"/>
      <c r="E132" s="36"/>
      <c r="F132" s="36"/>
      <c r="G132" s="37"/>
      <c r="H132" s="37"/>
      <c r="I132" s="3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73"/>
    </row>
    <row r="133" spans="1:26" ht="16.5" customHeight="1">
      <c r="A133" s="1"/>
      <c r="B133" s="1"/>
      <c r="C133" s="36"/>
      <c r="D133" s="36"/>
      <c r="E133" s="36"/>
      <c r="F133" s="36"/>
      <c r="G133" s="37"/>
      <c r="H133" s="37"/>
      <c r="I133" s="3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73"/>
    </row>
    <row r="134" spans="1:26" ht="16.5" customHeight="1">
      <c r="A134" s="1"/>
      <c r="B134" s="1"/>
      <c r="C134" s="36"/>
      <c r="D134" s="36"/>
      <c r="E134" s="36"/>
      <c r="F134" s="36"/>
      <c r="G134" s="37"/>
      <c r="H134" s="37"/>
      <c r="I134" s="3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73"/>
    </row>
    <row r="135" spans="1:26" ht="16.5" customHeight="1">
      <c r="A135" s="1"/>
      <c r="B135" s="1"/>
      <c r="C135" s="36"/>
      <c r="D135" s="36"/>
      <c r="E135" s="36"/>
      <c r="F135" s="36"/>
      <c r="G135" s="37"/>
      <c r="H135" s="37"/>
      <c r="I135" s="3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73"/>
    </row>
    <row r="136" spans="1:26" ht="16.5" customHeight="1">
      <c r="A136" s="1"/>
      <c r="B136" s="1"/>
      <c r="C136" s="36"/>
      <c r="D136" s="36"/>
      <c r="E136" s="36"/>
      <c r="F136" s="36"/>
      <c r="G136" s="37"/>
      <c r="H136" s="37"/>
      <c r="I136" s="3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73"/>
    </row>
    <row r="137" spans="1:26" ht="16.5" customHeight="1">
      <c r="A137" s="1"/>
      <c r="B137" s="1"/>
      <c r="C137" s="36"/>
      <c r="D137" s="36"/>
      <c r="E137" s="36"/>
      <c r="F137" s="36"/>
      <c r="G137" s="37"/>
      <c r="H137" s="37"/>
      <c r="I137" s="3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73"/>
    </row>
    <row r="138" spans="1:26" ht="16.5" customHeight="1">
      <c r="A138" s="1"/>
      <c r="B138" s="1"/>
      <c r="C138" s="36"/>
      <c r="D138" s="36"/>
      <c r="E138" s="36"/>
      <c r="F138" s="36"/>
      <c r="G138" s="37"/>
      <c r="H138" s="37"/>
      <c r="I138" s="3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73"/>
    </row>
    <row r="139" spans="1:26" ht="16.5" customHeight="1">
      <c r="A139" s="1"/>
      <c r="B139" s="1"/>
      <c r="C139" s="36"/>
      <c r="D139" s="36"/>
      <c r="E139" s="36"/>
      <c r="F139" s="36"/>
      <c r="G139" s="37"/>
      <c r="H139" s="37"/>
      <c r="I139" s="3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73"/>
    </row>
    <row r="140" spans="1:26" ht="16.5" customHeight="1">
      <c r="A140" s="1"/>
      <c r="B140" s="1"/>
      <c r="C140" s="36"/>
      <c r="D140" s="36"/>
      <c r="E140" s="36"/>
      <c r="F140" s="36"/>
      <c r="G140" s="37"/>
      <c r="H140" s="37"/>
      <c r="I140" s="3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73"/>
    </row>
    <row r="141" spans="1:26" ht="15.75" customHeight="1">
      <c r="A141" s="1"/>
      <c r="B141" s="1"/>
      <c r="C141" s="36"/>
      <c r="D141" s="36"/>
      <c r="E141" s="36"/>
      <c r="F141" s="36"/>
      <c r="G141" s="37"/>
      <c r="H141" s="37"/>
      <c r="I141" s="3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73"/>
    </row>
    <row r="142" spans="1:26" ht="15.75" customHeight="1">
      <c r="A142" s="1"/>
      <c r="B142" s="1"/>
      <c r="C142" s="36"/>
      <c r="D142" s="36"/>
      <c r="E142" s="36"/>
      <c r="F142" s="36"/>
      <c r="G142" s="37"/>
      <c r="H142" s="37"/>
      <c r="I142" s="3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73"/>
    </row>
    <row r="143" spans="1:26" ht="15.75" customHeight="1">
      <c r="A143" s="1"/>
      <c r="B143" s="1"/>
      <c r="C143" s="36"/>
      <c r="D143" s="36"/>
      <c r="E143" s="36"/>
      <c r="F143" s="36"/>
      <c r="G143" s="37"/>
      <c r="H143" s="37"/>
      <c r="I143" s="3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73"/>
    </row>
    <row r="144" spans="1:26" ht="15.75" customHeight="1">
      <c r="A144" s="1"/>
      <c r="B144" s="1"/>
      <c r="C144" s="36"/>
      <c r="D144" s="36"/>
      <c r="E144" s="36"/>
      <c r="F144" s="36"/>
      <c r="G144" s="37"/>
      <c r="H144" s="37"/>
      <c r="I144" s="3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73"/>
    </row>
    <row r="145" spans="1:26" ht="15.75" customHeight="1">
      <c r="A145" s="1"/>
      <c r="B145" s="1"/>
      <c r="C145" s="36"/>
      <c r="D145" s="36"/>
      <c r="E145" s="36"/>
      <c r="F145" s="36"/>
      <c r="G145" s="37"/>
      <c r="H145" s="37"/>
      <c r="I145" s="3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73"/>
    </row>
    <row r="146" spans="1:26" ht="15.75" customHeight="1">
      <c r="A146" s="1"/>
      <c r="B146" s="1"/>
      <c r="C146" s="37"/>
      <c r="D146" s="37"/>
      <c r="E146" s="37"/>
      <c r="F146" s="37"/>
      <c r="G146" s="37"/>
      <c r="H146" s="37"/>
      <c r="I146" s="3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73"/>
    </row>
    <row r="147" spans="1:26" ht="15.75" customHeight="1">
      <c r="A147" s="1"/>
      <c r="B147" s="1"/>
      <c r="C147" s="37"/>
      <c r="D147" s="37"/>
      <c r="E147" s="37"/>
      <c r="F147" s="37"/>
      <c r="G147" s="37"/>
      <c r="H147" s="37"/>
      <c r="I147" s="3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73"/>
    </row>
    <row r="148" spans="1:26" ht="15.75" customHeight="1">
      <c r="A148" s="1"/>
      <c r="B148" s="1"/>
      <c r="C148" s="37"/>
      <c r="D148" s="37"/>
      <c r="E148" s="37"/>
      <c r="F148" s="37"/>
      <c r="G148" s="37"/>
      <c r="H148" s="37"/>
      <c r="I148" s="3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73"/>
    </row>
    <row r="149" spans="1:26" ht="15.75" customHeight="1">
      <c r="A149" s="1"/>
      <c r="B149" s="1"/>
      <c r="C149" s="37"/>
      <c r="D149" s="37"/>
      <c r="E149" s="37"/>
      <c r="F149" s="37"/>
      <c r="G149" s="37"/>
      <c r="H149" s="37"/>
      <c r="I149" s="3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73"/>
    </row>
    <row r="150" spans="1:26" ht="15.75" customHeight="1">
      <c r="A150" s="1"/>
      <c r="B150" s="1"/>
      <c r="C150" s="37"/>
      <c r="D150" s="37"/>
      <c r="E150" s="37"/>
      <c r="F150" s="37"/>
      <c r="G150" s="37"/>
      <c r="H150" s="37"/>
      <c r="I150" s="3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73"/>
    </row>
    <row r="151" spans="1:26" ht="15.75" customHeight="1">
      <c r="A151" s="1"/>
      <c r="B151" s="1"/>
      <c r="C151" s="37"/>
      <c r="D151" s="37"/>
      <c r="E151" s="37"/>
      <c r="F151" s="37"/>
      <c r="G151" s="37"/>
      <c r="H151" s="37"/>
      <c r="I151" s="3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73"/>
    </row>
    <row r="152" spans="1:26" ht="15.75" customHeight="1">
      <c r="A152" s="1"/>
      <c r="B152" s="1"/>
      <c r="C152" s="37"/>
      <c r="D152" s="37"/>
      <c r="E152" s="37"/>
      <c r="F152" s="37"/>
      <c r="G152" s="37"/>
      <c r="H152" s="37"/>
      <c r="I152" s="3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73"/>
    </row>
    <row r="153" spans="1:26" ht="15.75" customHeight="1">
      <c r="A153" s="1"/>
      <c r="B153" s="1"/>
      <c r="C153" s="37"/>
      <c r="D153" s="37"/>
      <c r="E153" s="37"/>
      <c r="F153" s="37"/>
      <c r="G153" s="37"/>
      <c r="H153" s="37"/>
      <c r="I153" s="3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73"/>
    </row>
    <row r="154" spans="1:26" ht="15.75" customHeight="1">
      <c r="A154" s="1"/>
      <c r="B154" s="1"/>
      <c r="C154" s="37"/>
      <c r="D154" s="37"/>
      <c r="E154" s="37"/>
      <c r="F154" s="37"/>
      <c r="G154" s="37"/>
      <c r="H154" s="37"/>
      <c r="I154" s="3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73"/>
    </row>
    <row r="155" spans="1:26" ht="15.75" customHeight="1">
      <c r="A155" s="1"/>
      <c r="B155" s="1"/>
      <c r="C155" s="37"/>
      <c r="D155" s="37"/>
      <c r="E155" s="37"/>
      <c r="F155" s="37"/>
      <c r="G155" s="37"/>
      <c r="H155" s="37"/>
      <c r="I155" s="3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73"/>
    </row>
    <row r="156" spans="1:26" ht="15.75" customHeight="1">
      <c r="A156" s="1"/>
      <c r="B156" s="1"/>
      <c r="C156" s="37"/>
      <c r="D156" s="37"/>
      <c r="E156" s="37"/>
      <c r="F156" s="37"/>
      <c r="G156" s="37"/>
      <c r="H156" s="37"/>
      <c r="I156" s="3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73"/>
    </row>
    <row r="157" spans="1:26" ht="15.75" customHeight="1">
      <c r="A157" s="1"/>
      <c r="B157" s="1"/>
      <c r="C157" s="37"/>
      <c r="D157" s="37"/>
      <c r="E157" s="37"/>
      <c r="F157" s="37"/>
      <c r="G157" s="37"/>
      <c r="H157" s="37"/>
      <c r="I157" s="3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73"/>
    </row>
    <row r="158" spans="1:26" ht="15.75" customHeight="1">
      <c r="A158" s="1"/>
      <c r="B158" s="1"/>
      <c r="C158" s="37"/>
      <c r="D158" s="37"/>
      <c r="E158" s="37"/>
      <c r="F158" s="37"/>
      <c r="G158" s="37"/>
      <c r="H158" s="37"/>
      <c r="I158" s="3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73"/>
    </row>
    <row r="159" spans="1:26" ht="15.75" customHeight="1">
      <c r="A159" s="1"/>
      <c r="B159" s="1"/>
      <c r="C159" s="37"/>
      <c r="D159" s="37"/>
      <c r="E159" s="37"/>
      <c r="F159" s="37"/>
      <c r="G159" s="37"/>
      <c r="H159" s="37"/>
      <c r="I159" s="3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73"/>
    </row>
    <row r="160" spans="1:26" ht="15.75" customHeight="1">
      <c r="A160" s="1"/>
      <c r="B160" s="1"/>
      <c r="C160" s="37"/>
      <c r="D160" s="37"/>
      <c r="E160" s="37"/>
      <c r="F160" s="37"/>
      <c r="G160" s="37"/>
      <c r="H160" s="37"/>
      <c r="I160" s="3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73"/>
    </row>
    <row r="161" spans="1:26" ht="15.75" customHeight="1">
      <c r="A161" s="1"/>
      <c r="B161" s="1"/>
      <c r="C161" s="37"/>
      <c r="D161" s="37"/>
      <c r="E161" s="37"/>
      <c r="F161" s="37"/>
      <c r="G161" s="37"/>
      <c r="H161" s="37"/>
      <c r="I161" s="3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73"/>
    </row>
    <row r="162" spans="1:26" ht="15.75" customHeight="1">
      <c r="A162" s="1"/>
      <c r="B162" s="1"/>
      <c r="C162" s="37"/>
      <c r="D162" s="37"/>
      <c r="E162" s="37"/>
      <c r="F162" s="37"/>
      <c r="G162" s="37"/>
      <c r="H162" s="37"/>
      <c r="I162" s="3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73"/>
    </row>
    <row r="163" spans="1:26" ht="15.75" customHeight="1">
      <c r="A163" s="1"/>
      <c r="B163" s="1"/>
      <c r="C163" s="37"/>
      <c r="D163" s="37"/>
      <c r="E163" s="37"/>
      <c r="F163" s="37"/>
      <c r="G163" s="37"/>
      <c r="H163" s="37"/>
      <c r="I163" s="3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73"/>
    </row>
    <row r="164" spans="1:26" ht="15.75" customHeight="1">
      <c r="A164" s="1"/>
      <c r="B164" s="1"/>
      <c r="C164" s="37"/>
      <c r="D164" s="37"/>
      <c r="E164" s="37"/>
      <c r="F164" s="37"/>
      <c r="G164" s="37"/>
      <c r="H164" s="37"/>
      <c r="I164" s="3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73"/>
    </row>
    <row r="165" spans="1:26" ht="15.75" customHeight="1">
      <c r="A165" s="1"/>
      <c r="B165" s="1"/>
      <c r="C165" s="37"/>
      <c r="D165" s="37"/>
      <c r="E165" s="37"/>
      <c r="F165" s="37"/>
      <c r="G165" s="37"/>
      <c r="H165" s="37"/>
      <c r="I165" s="3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73"/>
    </row>
    <row r="166" spans="1:26" ht="15.75" customHeight="1">
      <c r="A166" s="1"/>
      <c r="B166" s="1"/>
      <c r="C166" s="37"/>
      <c r="D166" s="37"/>
      <c r="E166" s="37"/>
      <c r="F166" s="37"/>
      <c r="G166" s="37"/>
      <c r="H166" s="37"/>
      <c r="I166" s="3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73"/>
    </row>
    <row r="167" spans="1:26" ht="15.75" customHeight="1">
      <c r="A167" s="1"/>
      <c r="B167" s="1"/>
      <c r="C167" s="37"/>
      <c r="D167" s="37"/>
      <c r="E167" s="37"/>
      <c r="F167" s="37"/>
      <c r="G167" s="37"/>
      <c r="H167" s="37"/>
      <c r="I167" s="3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73"/>
    </row>
    <row r="168" spans="1:26" ht="15.75" customHeight="1">
      <c r="A168" s="1"/>
      <c r="B168" s="1"/>
      <c r="C168" s="37"/>
      <c r="D168" s="37"/>
      <c r="E168" s="37"/>
      <c r="F168" s="37"/>
      <c r="G168" s="37"/>
      <c r="H168" s="37"/>
      <c r="I168" s="3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73"/>
    </row>
    <row r="169" spans="1:26" ht="15.75" customHeight="1">
      <c r="A169" s="1"/>
      <c r="B169" s="1"/>
      <c r="C169" s="37"/>
      <c r="D169" s="37"/>
      <c r="E169" s="37"/>
      <c r="F169" s="37"/>
      <c r="G169" s="37"/>
      <c r="H169" s="37"/>
      <c r="I169" s="3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73"/>
    </row>
    <row r="170" spans="1:26" ht="15.75" customHeight="1">
      <c r="A170" s="1"/>
      <c r="B170" s="1"/>
      <c r="C170" s="37"/>
      <c r="D170" s="37"/>
      <c r="E170" s="37"/>
      <c r="F170" s="37"/>
      <c r="G170" s="37"/>
      <c r="H170" s="37"/>
      <c r="I170" s="3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73"/>
    </row>
    <row r="171" spans="1:26" ht="15.75" customHeight="1">
      <c r="A171" s="1"/>
      <c r="B171" s="1"/>
      <c r="C171" s="37"/>
      <c r="D171" s="37"/>
      <c r="E171" s="37"/>
      <c r="F171" s="37"/>
      <c r="G171" s="37"/>
      <c r="H171" s="37"/>
      <c r="I171" s="3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73"/>
    </row>
    <row r="172" spans="1:26" ht="15.75" customHeight="1">
      <c r="A172" s="1"/>
      <c r="B172" s="1"/>
      <c r="C172" s="37"/>
      <c r="D172" s="37"/>
      <c r="E172" s="37"/>
      <c r="F172" s="37"/>
      <c r="G172" s="37"/>
      <c r="H172" s="37"/>
      <c r="I172" s="3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73"/>
    </row>
    <row r="173" spans="1:26" ht="15.75" customHeight="1">
      <c r="A173" s="1"/>
      <c r="B173" s="1"/>
      <c r="C173" s="37"/>
      <c r="D173" s="37"/>
      <c r="E173" s="37"/>
      <c r="F173" s="37"/>
      <c r="G173" s="37"/>
      <c r="H173" s="37"/>
      <c r="I173" s="3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73"/>
    </row>
    <row r="174" spans="1:26" ht="15.75" customHeight="1">
      <c r="A174" s="1"/>
      <c r="B174" s="1"/>
      <c r="C174" s="37"/>
      <c r="D174" s="37"/>
      <c r="E174" s="37"/>
      <c r="F174" s="37"/>
      <c r="G174" s="37"/>
      <c r="H174" s="37"/>
      <c r="I174" s="3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73"/>
    </row>
    <row r="175" spans="1:26" ht="15.75" customHeight="1">
      <c r="A175" s="1"/>
      <c r="B175" s="1"/>
      <c r="C175" s="37"/>
      <c r="D175" s="37"/>
      <c r="E175" s="37"/>
      <c r="F175" s="37"/>
      <c r="G175" s="37"/>
      <c r="H175" s="37"/>
      <c r="I175" s="3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73"/>
    </row>
    <row r="176" spans="1:26" ht="15.75" customHeight="1">
      <c r="A176" s="1"/>
      <c r="B176" s="1"/>
      <c r="C176" s="37"/>
      <c r="D176" s="37"/>
      <c r="E176" s="37"/>
      <c r="F176" s="37"/>
      <c r="G176" s="37"/>
      <c r="H176" s="37"/>
      <c r="I176" s="3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73"/>
    </row>
    <row r="177" spans="1:26" ht="15.75" customHeight="1">
      <c r="A177" s="1"/>
      <c r="B177" s="1"/>
      <c r="C177" s="37"/>
      <c r="D177" s="37"/>
      <c r="E177" s="37"/>
      <c r="F177" s="37"/>
      <c r="G177" s="37"/>
      <c r="H177" s="37"/>
      <c r="I177" s="3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73"/>
    </row>
    <row r="178" spans="1:26" ht="15.75" customHeight="1">
      <c r="A178" s="1"/>
      <c r="B178" s="1"/>
      <c r="C178" s="37"/>
      <c r="D178" s="37"/>
      <c r="E178" s="37"/>
      <c r="F178" s="37"/>
      <c r="G178" s="37"/>
      <c r="H178" s="37"/>
      <c r="I178" s="3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73"/>
    </row>
    <row r="179" spans="1:26" ht="15.75" customHeight="1">
      <c r="A179" s="1"/>
      <c r="B179" s="1"/>
      <c r="C179" s="37"/>
      <c r="D179" s="37"/>
      <c r="E179" s="37"/>
      <c r="F179" s="37"/>
      <c r="G179" s="37"/>
      <c r="H179" s="37"/>
      <c r="I179" s="3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73"/>
    </row>
    <row r="180" spans="1:26" ht="15.75" customHeight="1">
      <c r="A180" s="1"/>
      <c r="B180" s="1"/>
      <c r="C180" s="37"/>
      <c r="D180" s="37"/>
      <c r="E180" s="37"/>
      <c r="F180" s="37"/>
      <c r="G180" s="37"/>
      <c r="H180" s="37"/>
      <c r="I180" s="3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73"/>
    </row>
    <row r="181" spans="1:26" ht="15.75" customHeight="1">
      <c r="A181" s="1"/>
      <c r="B181" s="1"/>
      <c r="C181" s="37"/>
      <c r="D181" s="37"/>
      <c r="E181" s="37"/>
      <c r="F181" s="37"/>
      <c r="G181" s="37"/>
      <c r="H181" s="37"/>
      <c r="I181" s="3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73"/>
    </row>
    <row r="182" spans="1:26" ht="15.75" customHeight="1">
      <c r="A182" s="1"/>
      <c r="B182" s="1"/>
      <c r="C182" s="37"/>
      <c r="D182" s="37"/>
      <c r="E182" s="37"/>
      <c r="F182" s="37"/>
      <c r="G182" s="37"/>
      <c r="H182" s="37"/>
      <c r="I182" s="3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73"/>
    </row>
    <row r="183" spans="1:26" ht="15.75" customHeight="1">
      <c r="A183" s="1"/>
      <c r="B183" s="1"/>
      <c r="C183" s="37"/>
      <c r="D183" s="37"/>
      <c r="E183" s="37"/>
      <c r="F183" s="37"/>
      <c r="G183" s="37"/>
      <c r="H183" s="37"/>
      <c r="I183" s="3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73"/>
    </row>
    <row r="184" spans="1:26" ht="15.75" customHeight="1">
      <c r="A184" s="1"/>
      <c r="B184" s="1"/>
      <c r="C184" s="37"/>
      <c r="D184" s="37"/>
      <c r="E184" s="37"/>
      <c r="F184" s="37"/>
      <c r="G184" s="37"/>
      <c r="H184" s="37"/>
      <c r="I184" s="3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73"/>
    </row>
    <row r="185" spans="1:26" ht="15.75" customHeight="1">
      <c r="A185" s="1"/>
      <c r="B185" s="1"/>
      <c r="C185" s="37"/>
      <c r="D185" s="37"/>
      <c r="E185" s="37"/>
      <c r="F185" s="37"/>
      <c r="G185" s="37"/>
      <c r="H185" s="37"/>
      <c r="I185" s="3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73"/>
    </row>
    <row r="186" spans="1:26" ht="15.75" customHeight="1">
      <c r="A186" s="1"/>
      <c r="B186" s="1"/>
      <c r="C186" s="37"/>
      <c r="D186" s="37"/>
      <c r="E186" s="37"/>
      <c r="F186" s="37"/>
      <c r="G186" s="37"/>
      <c r="H186" s="37"/>
      <c r="I186" s="3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73"/>
    </row>
    <row r="187" spans="1:26" ht="15.75" customHeight="1">
      <c r="A187" s="1"/>
      <c r="B187" s="1"/>
      <c r="C187" s="37"/>
      <c r="D187" s="37"/>
      <c r="E187" s="37"/>
      <c r="F187" s="37"/>
      <c r="G187" s="37"/>
      <c r="H187" s="37"/>
      <c r="I187" s="3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73"/>
    </row>
    <row r="188" spans="1:26" ht="15.75" customHeight="1">
      <c r="A188" s="1"/>
      <c r="B188" s="1"/>
      <c r="C188" s="37"/>
      <c r="D188" s="37"/>
      <c r="E188" s="37"/>
      <c r="F188" s="37"/>
      <c r="G188" s="37"/>
      <c r="H188" s="37"/>
      <c r="I188" s="3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73"/>
    </row>
    <row r="189" spans="1:26" ht="15.75" customHeight="1">
      <c r="A189" s="1"/>
      <c r="B189" s="1"/>
      <c r="C189" s="37"/>
      <c r="D189" s="37"/>
      <c r="E189" s="37"/>
      <c r="F189" s="37"/>
      <c r="G189" s="37"/>
      <c r="H189" s="37"/>
      <c r="I189" s="3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73"/>
    </row>
    <row r="190" spans="1:26" ht="15.75" customHeight="1">
      <c r="A190" s="1"/>
      <c r="B190" s="1"/>
      <c r="C190" s="37"/>
      <c r="D190" s="37"/>
      <c r="E190" s="37"/>
      <c r="F190" s="37"/>
      <c r="G190" s="37"/>
      <c r="H190" s="37"/>
      <c r="I190" s="3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73"/>
    </row>
    <row r="191" spans="1:26" ht="15.75" customHeight="1">
      <c r="A191" s="1"/>
      <c r="B191" s="1"/>
      <c r="C191" s="37"/>
      <c r="D191" s="37"/>
      <c r="E191" s="37"/>
      <c r="F191" s="37"/>
      <c r="G191" s="37"/>
      <c r="H191" s="37"/>
      <c r="I191" s="3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73"/>
    </row>
    <row r="192" spans="1:26" ht="15.75" customHeight="1">
      <c r="A192" s="1"/>
      <c r="B192" s="1"/>
      <c r="C192" s="37"/>
      <c r="D192" s="37"/>
      <c r="E192" s="37"/>
      <c r="F192" s="37"/>
      <c r="G192" s="37"/>
      <c r="H192" s="37"/>
      <c r="I192" s="3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73"/>
    </row>
    <row r="193" spans="1:26" ht="15.75" customHeight="1">
      <c r="A193" s="1"/>
      <c r="B193" s="1"/>
      <c r="C193" s="37"/>
      <c r="D193" s="37"/>
      <c r="E193" s="37"/>
      <c r="F193" s="37"/>
      <c r="G193" s="37"/>
      <c r="H193" s="37"/>
      <c r="I193" s="3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73"/>
    </row>
    <row r="194" spans="1:26" ht="15.75" customHeight="1">
      <c r="A194" s="1"/>
      <c r="B194" s="1"/>
      <c r="C194" s="37"/>
      <c r="D194" s="37"/>
      <c r="E194" s="37"/>
      <c r="F194" s="37"/>
      <c r="G194" s="37"/>
      <c r="H194" s="37"/>
      <c r="I194" s="3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73"/>
    </row>
    <row r="195" spans="1:26" ht="15.75" customHeight="1">
      <c r="A195" s="1"/>
      <c r="B195" s="1"/>
      <c r="C195" s="37"/>
      <c r="D195" s="37"/>
      <c r="E195" s="37"/>
      <c r="F195" s="37"/>
      <c r="G195" s="37"/>
      <c r="H195" s="37"/>
      <c r="I195" s="3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73"/>
    </row>
    <row r="196" spans="1:26" ht="15.75" customHeight="1">
      <c r="A196" s="1"/>
      <c r="B196" s="1"/>
      <c r="C196" s="37"/>
      <c r="D196" s="37"/>
      <c r="E196" s="37"/>
      <c r="F196" s="37"/>
      <c r="G196" s="37"/>
      <c r="H196" s="37"/>
      <c r="I196" s="3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73"/>
    </row>
    <row r="197" spans="1:26" ht="15.75" customHeight="1">
      <c r="A197" s="1"/>
      <c r="B197" s="1"/>
      <c r="C197" s="37"/>
      <c r="D197" s="37"/>
      <c r="E197" s="37"/>
      <c r="F197" s="37"/>
      <c r="G197" s="37"/>
      <c r="H197" s="37"/>
      <c r="I197" s="3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73"/>
    </row>
    <row r="198" spans="1:26" ht="15.75" customHeight="1">
      <c r="A198" s="1"/>
      <c r="B198" s="1"/>
      <c r="C198" s="37"/>
      <c r="D198" s="37"/>
      <c r="E198" s="37"/>
      <c r="F198" s="37"/>
      <c r="G198" s="37"/>
      <c r="H198" s="37"/>
      <c r="I198" s="3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73"/>
    </row>
    <row r="199" spans="1:26" ht="15.75" customHeight="1">
      <c r="A199" s="1"/>
      <c r="B199" s="1"/>
      <c r="C199" s="37"/>
      <c r="D199" s="37"/>
      <c r="E199" s="37"/>
      <c r="F199" s="37"/>
      <c r="G199" s="37"/>
      <c r="H199" s="37"/>
      <c r="I199" s="3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73"/>
    </row>
    <row r="200" spans="1:26" ht="15.75" customHeight="1">
      <c r="A200" s="1"/>
      <c r="B200" s="1"/>
      <c r="C200" s="37"/>
      <c r="D200" s="37"/>
      <c r="E200" s="37"/>
      <c r="F200" s="37"/>
      <c r="G200" s="37"/>
      <c r="H200" s="37"/>
      <c r="I200" s="3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73"/>
    </row>
    <row r="201" spans="1:26" ht="15.75" customHeight="1">
      <c r="A201" s="1"/>
      <c r="B201" s="1"/>
      <c r="C201" s="37"/>
      <c r="D201" s="37"/>
      <c r="E201" s="37"/>
      <c r="F201" s="37"/>
      <c r="G201" s="37"/>
      <c r="H201" s="37"/>
      <c r="I201" s="3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73"/>
    </row>
    <row r="202" spans="1:26" ht="15.75" customHeight="1">
      <c r="A202" s="1"/>
      <c r="B202" s="1"/>
      <c r="C202" s="37"/>
      <c r="D202" s="37"/>
      <c r="E202" s="37"/>
      <c r="F202" s="37"/>
      <c r="G202" s="37"/>
      <c r="H202" s="37"/>
      <c r="I202" s="3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73"/>
    </row>
    <row r="203" spans="1:26" ht="15.75" customHeight="1">
      <c r="A203" s="1"/>
      <c r="B203" s="1"/>
      <c r="C203" s="37"/>
      <c r="D203" s="37"/>
      <c r="E203" s="37"/>
      <c r="F203" s="37"/>
      <c r="G203" s="37"/>
      <c r="H203" s="37"/>
      <c r="I203" s="3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73"/>
    </row>
    <row r="204" spans="1:26" ht="15.75" customHeight="1">
      <c r="A204" s="1"/>
      <c r="B204" s="1"/>
      <c r="C204" s="37"/>
      <c r="D204" s="37"/>
      <c r="E204" s="37"/>
      <c r="F204" s="37"/>
      <c r="G204" s="37"/>
      <c r="H204" s="37"/>
      <c r="I204" s="3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73"/>
    </row>
    <row r="205" spans="1:26" ht="15.75" customHeight="1">
      <c r="A205" s="1"/>
      <c r="B205" s="1"/>
      <c r="C205" s="37"/>
      <c r="D205" s="37"/>
      <c r="E205" s="37"/>
      <c r="F205" s="37"/>
      <c r="G205" s="37"/>
      <c r="H205" s="37"/>
      <c r="I205" s="3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73"/>
    </row>
    <row r="206" spans="1:26" ht="15.75" customHeight="1">
      <c r="A206" s="1"/>
      <c r="B206" s="1"/>
      <c r="C206" s="37"/>
      <c r="D206" s="37"/>
      <c r="E206" s="37"/>
      <c r="F206" s="37"/>
      <c r="G206" s="37"/>
      <c r="H206" s="37"/>
      <c r="I206" s="3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73"/>
    </row>
    <row r="207" spans="1:26" ht="15.75" customHeight="1">
      <c r="A207" s="1"/>
      <c r="B207" s="1"/>
      <c r="C207" s="37"/>
      <c r="D207" s="37"/>
      <c r="E207" s="37"/>
      <c r="F207" s="37"/>
      <c r="G207" s="37"/>
      <c r="H207" s="37"/>
      <c r="I207" s="3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73"/>
    </row>
    <row r="208" spans="1:26" ht="15.75" customHeight="1">
      <c r="A208" s="1"/>
      <c r="B208" s="1"/>
      <c r="C208" s="37"/>
      <c r="D208" s="37"/>
      <c r="E208" s="37"/>
      <c r="F208" s="37"/>
      <c r="G208" s="37"/>
      <c r="H208" s="37"/>
      <c r="I208" s="3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73"/>
    </row>
    <row r="209" spans="1:26" ht="15.75" customHeight="1">
      <c r="A209" s="1"/>
      <c r="B209" s="1"/>
      <c r="C209" s="37"/>
      <c r="D209" s="37"/>
      <c r="E209" s="37"/>
      <c r="F209" s="37"/>
      <c r="G209" s="37"/>
      <c r="H209" s="37"/>
      <c r="I209" s="3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73"/>
    </row>
    <row r="210" spans="1:26" ht="15.75" customHeight="1">
      <c r="A210" s="1"/>
      <c r="B210" s="1"/>
      <c r="C210" s="37"/>
      <c r="D210" s="37"/>
      <c r="E210" s="37"/>
      <c r="F210" s="37"/>
      <c r="G210" s="37"/>
      <c r="H210" s="37"/>
      <c r="I210" s="3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73"/>
    </row>
    <row r="211" spans="1:26" ht="15.75" customHeight="1">
      <c r="A211" s="1"/>
      <c r="B211" s="1"/>
      <c r="C211" s="37"/>
      <c r="D211" s="37"/>
      <c r="E211" s="37"/>
      <c r="F211" s="37"/>
      <c r="G211" s="37"/>
      <c r="H211" s="37"/>
      <c r="I211" s="3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73"/>
    </row>
    <row r="212" spans="1:26" ht="15.75" customHeight="1">
      <c r="A212" s="1"/>
      <c r="B212" s="1"/>
      <c r="C212" s="37"/>
      <c r="D212" s="37"/>
      <c r="E212" s="37"/>
      <c r="F212" s="37"/>
      <c r="G212" s="37"/>
      <c r="H212" s="37"/>
      <c r="I212" s="3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73"/>
    </row>
    <row r="213" spans="1:26" ht="15.75" customHeight="1">
      <c r="A213" s="1"/>
      <c r="B213" s="1"/>
      <c r="C213" s="37"/>
      <c r="D213" s="37"/>
      <c r="E213" s="37"/>
      <c r="F213" s="37"/>
      <c r="G213" s="37"/>
      <c r="H213" s="37"/>
      <c r="I213" s="3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73"/>
    </row>
    <row r="214" spans="1:26" ht="15.75" customHeight="1">
      <c r="A214" s="1"/>
      <c r="B214" s="1"/>
      <c r="C214" s="37"/>
      <c r="D214" s="37"/>
      <c r="E214" s="37"/>
      <c r="F214" s="37"/>
      <c r="G214" s="37"/>
      <c r="H214" s="37"/>
      <c r="I214" s="3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73"/>
    </row>
    <row r="215" spans="1:26" ht="15.75" customHeight="1">
      <c r="A215" s="1"/>
      <c r="B215" s="1"/>
      <c r="C215" s="37"/>
      <c r="D215" s="37"/>
      <c r="E215" s="37"/>
      <c r="F215" s="37"/>
      <c r="G215" s="37"/>
      <c r="H215" s="37"/>
      <c r="I215" s="3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73"/>
    </row>
    <row r="216" spans="1:26" ht="15.75" customHeight="1">
      <c r="A216" s="1"/>
      <c r="B216" s="1"/>
      <c r="C216" s="37"/>
      <c r="D216" s="37"/>
      <c r="E216" s="37"/>
      <c r="F216" s="37"/>
      <c r="G216" s="37"/>
      <c r="H216" s="37"/>
      <c r="I216" s="3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73"/>
    </row>
    <row r="217" spans="1:26" ht="15.75" customHeight="1">
      <c r="A217" s="1"/>
      <c r="B217" s="1"/>
      <c r="C217" s="37"/>
      <c r="D217" s="37"/>
      <c r="E217" s="37"/>
      <c r="F217" s="37"/>
      <c r="G217" s="37"/>
      <c r="H217" s="37"/>
      <c r="I217" s="3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73"/>
    </row>
    <row r="218" spans="1:26" ht="15.75" customHeight="1">
      <c r="A218" s="1"/>
      <c r="B218" s="1"/>
      <c r="C218" s="37"/>
      <c r="D218" s="37"/>
      <c r="E218" s="37"/>
      <c r="F218" s="37"/>
      <c r="G218" s="37"/>
      <c r="H218" s="37"/>
      <c r="I218" s="3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73"/>
    </row>
    <row r="219" spans="1:26" ht="15.75" customHeight="1">
      <c r="A219" s="1"/>
      <c r="B219" s="1"/>
      <c r="C219" s="37"/>
      <c r="D219" s="37"/>
      <c r="E219" s="37"/>
      <c r="F219" s="37"/>
      <c r="G219" s="37"/>
      <c r="H219" s="37"/>
      <c r="I219" s="3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73"/>
    </row>
    <row r="220" spans="1:26" ht="15.75" customHeight="1">
      <c r="A220" s="1"/>
      <c r="B220" s="1"/>
      <c r="C220" s="37"/>
      <c r="D220" s="37"/>
      <c r="E220" s="37"/>
      <c r="F220" s="37"/>
      <c r="G220" s="37"/>
      <c r="H220" s="37"/>
      <c r="I220" s="3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73"/>
    </row>
    <row r="221" spans="1:26" ht="15.75" customHeight="1">
      <c r="A221" s="1"/>
      <c r="B221" s="1"/>
      <c r="C221" s="37"/>
      <c r="D221" s="37"/>
      <c r="E221" s="37"/>
      <c r="F221" s="37"/>
      <c r="G221" s="37"/>
      <c r="H221" s="37"/>
      <c r="I221" s="3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73"/>
    </row>
    <row r="222" spans="1:26" ht="15.75" customHeight="1">
      <c r="A222" s="1"/>
      <c r="B222" s="1"/>
      <c r="C222" s="37"/>
      <c r="D222" s="37"/>
      <c r="E222" s="37"/>
      <c r="F222" s="37"/>
      <c r="G222" s="37"/>
      <c r="H222" s="37"/>
      <c r="I222" s="3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73"/>
    </row>
    <row r="223" spans="1:26" ht="15.75" customHeight="1">
      <c r="A223" s="1"/>
      <c r="B223" s="1"/>
      <c r="C223" s="37"/>
      <c r="D223" s="37"/>
      <c r="E223" s="37"/>
      <c r="F223" s="37"/>
      <c r="G223" s="37"/>
      <c r="H223" s="37"/>
      <c r="I223" s="3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73"/>
    </row>
    <row r="224" spans="1:26" ht="15.75" customHeight="1">
      <c r="A224" s="1"/>
      <c r="B224" s="1"/>
      <c r="C224" s="37"/>
      <c r="D224" s="37"/>
      <c r="E224" s="37"/>
      <c r="F224" s="37"/>
      <c r="G224" s="37"/>
      <c r="H224" s="37"/>
      <c r="I224" s="3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73"/>
    </row>
    <row r="225" spans="1:26" ht="15.75" customHeight="1">
      <c r="A225" s="1"/>
      <c r="B225" s="1"/>
      <c r="C225" s="37"/>
      <c r="D225" s="37"/>
      <c r="E225" s="37"/>
      <c r="F225" s="37"/>
      <c r="G225" s="37"/>
      <c r="H225" s="37"/>
      <c r="I225" s="3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73"/>
    </row>
    <row r="226" spans="1:26" ht="15.75" customHeight="1">
      <c r="A226" s="1"/>
      <c r="B226" s="1"/>
      <c r="C226" s="37"/>
      <c r="D226" s="37"/>
      <c r="E226" s="37"/>
      <c r="F226" s="37"/>
      <c r="G226" s="37"/>
      <c r="H226" s="37"/>
      <c r="I226" s="3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73"/>
    </row>
    <row r="227" spans="1:26" ht="15.75" customHeight="1">
      <c r="A227" s="1"/>
      <c r="B227" s="1"/>
      <c r="C227" s="37"/>
      <c r="D227" s="37"/>
      <c r="E227" s="37"/>
      <c r="F227" s="37"/>
      <c r="G227" s="37"/>
      <c r="H227" s="37"/>
      <c r="I227" s="3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73"/>
    </row>
    <row r="228" spans="1:26" ht="15.75" customHeight="1">
      <c r="A228" s="1"/>
      <c r="B228" s="1"/>
      <c r="C228" s="37"/>
      <c r="D228" s="37"/>
      <c r="E228" s="37"/>
      <c r="F228" s="37"/>
      <c r="G228" s="37"/>
      <c r="H228" s="37"/>
      <c r="I228" s="3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73"/>
    </row>
    <row r="229" spans="1:26" ht="15.75" customHeight="1">
      <c r="A229" s="1"/>
      <c r="B229" s="1"/>
      <c r="C229" s="37"/>
      <c r="D229" s="37"/>
      <c r="E229" s="37"/>
      <c r="F229" s="37"/>
      <c r="G229" s="37"/>
      <c r="H229" s="37"/>
      <c r="I229" s="3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73"/>
    </row>
    <row r="230" spans="1:26" ht="15.75" customHeight="1">
      <c r="A230" s="1"/>
      <c r="B230" s="1"/>
      <c r="C230" s="37"/>
      <c r="D230" s="37"/>
      <c r="E230" s="37"/>
      <c r="F230" s="37"/>
      <c r="G230" s="37"/>
      <c r="H230" s="37"/>
      <c r="I230" s="3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73"/>
    </row>
    <row r="231" spans="1:26" ht="15.75" customHeight="1">
      <c r="A231" s="1"/>
      <c r="B231" s="1"/>
      <c r="C231" s="37"/>
      <c r="D231" s="37"/>
      <c r="E231" s="37"/>
      <c r="F231" s="37"/>
      <c r="G231" s="37"/>
      <c r="H231" s="37"/>
      <c r="I231" s="3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73"/>
    </row>
    <row r="232" spans="1:26" ht="15.75" customHeight="1">
      <c r="A232" s="1"/>
      <c r="B232" s="1"/>
      <c r="C232" s="37"/>
      <c r="D232" s="37"/>
      <c r="E232" s="37"/>
      <c r="F232" s="37"/>
      <c r="G232" s="37"/>
      <c r="H232" s="37"/>
      <c r="I232" s="3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73"/>
    </row>
    <row r="233" spans="1:26" ht="15.75" customHeight="1">
      <c r="A233" s="1"/>
      <c r="B233" s="1"/>
      <c r="C233" s="37"/>
      <c r="D233" s="37"/>
      <c r="E233" s="37"/>
      <c r="F233" s="37"/>
      <c r="G233" s="37"/>
      <c r="H233" s="37"/>
      <c r="I233" s="3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73"/>
    </row>
    <row r="234" spans="1:26" ht="15.75" customHeight="1">
      <c r="A234" s="1"/>
      <c r="B234" s="1"/>
      <c r="C234" s="37"/>
      <c r="D234" s="37"/>
      <c r="E234" s="37"/>
      <c r="F234" s="37"/>
      <c r="G234" s="37"/>
      <c r="H234" s="37"/>
      <c r="I234" s="3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73"/>
    </row>
    <row r="235" spans="1:26" ht="15.75" customHeight="1">
      <c r="A235" s="1"/>
      <c r="B235" s="1"/>
      <c r="C235" s="37"/>
      <c r="D235" s="37"/>
      <c r="E235" s="37"/>
      <c r="F235" s="37"/>
      <c r="G235" s="37"/>
      <c r="H235" s="37"/>
      <c r="I235" s="3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73"/>
    </row>
    <row r="236" spans="1:26" ht="15.75" customHeight="1">
      <c r="A236" s="1"/>
      <c r="B236" s="1"/>
      <c r="C236" s="37"/>
      <c r="D236" s="37"/>
      <c r="E236" s="37"/>
      <c r="F236" s="37"/>
      <c r="G236" s="37"/>
      <c r="H236" s="37"/>
      <c r="I236" s="3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73"/>
    </row>
    <row r="237" spans="1:26" ht="15.75" customHeight="1">
      <c r="A237" s="1"/>
      <c r="B237" s="1"/>
      <c r="C237" s="37"/>
      <c r="D237" s="37"/>
      <c r="E237" s="37"/>
      <c r="F237" s="37"/>
      <c r="G237" s="37"/>
      <c r="H237" s="37"/>
      <c r="I237" s="3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73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73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73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73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73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73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73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73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73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73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73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73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73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73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73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73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73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73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73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73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73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73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73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73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73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73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73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73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73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73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73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73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73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73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73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73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73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73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73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73"/>
    </row>
    <row r="277" spans="1:26" ht="15.75" customHeight="1">
      <c r="A277" s="73"/>
      <c r="B277" s="73"/>
      <c r="C277" s="73"/>
      <c r="D277" s="73"/>
      <c r="E277" s="73"/>
      <c r="F277" s="73"/>
      <c r="G277" s="73"/>
      <c r="I277" s="73"/>
    </row>
    <row r="278" spans="1:26" ht="15.75" customHeight="1">
      <c r="A278" s="73"/>
      <c r="B278" s="73"/>
      <c r="C278" s="73"/>
      <c r="D278" s="73"/>
      <c r="E278" s="73"/>
      <c r="F278" s="73"/>
      <c r="G278" s="73"/>
      <c r="I278" s="73"/>
    </row>
    <row r="279" spans="1:26" ht="15.75" customHeight="1">
      <c r="A279" s="73"/>
      <c r="B279" s="73"/>
      <c r="C279" s="73"/>
      <c r="D279" s="73"/>
      <c r="E279" s="73"/>
      <c r="F279" s="73"/>
      <c r="G279" s="73"/>
      <c r="I279" s="73"/>
    </row>
    <row r="280" spans="1:26" ht="15.75" customHeight="1">
      <c r="A280" s="73"/>
      <c r="B280" s="73"/>
      <c r="C280" s="73"/>
      <c r="D280" s="73"/>
      <c r="E280" s="73"/>
      <c r="F280" s="73"/>
      <c r="G280" s="73"/>
      <c r="I280" s="73"/>
    </row>
    <row r="281" spans="1:26" ht="15.75" customHeight="1">
      <c r="A281" s="73"/>
      <c r="B281" s="73"/>
      <c r="C281" s="73"/>
      <c r="D281" s="73"/>
      <c r="E281" s="73"/>
      <c r="F281" s="73"/>
      <c r="G281" s="73"/>
      <c r="I281" s="73"/>
    </row>
    <row r="282" spans="1:26" ht="15.75" customHeight="1">
      <c r="A282" s="73"/>
      <c r="B282" s="73"/>
      <c r="C282" s="73"/>
      <c r="D282" s="73"/>
      <c r="E282" s="73"/>
      <c r="F282" s="73"/>
      <c r="G282" s="73"/>
      <c r="I282" s="73"/>
    </row>
    <row r="283" spans="1:26" ht="15.75" customHeight="1">
      <c r="A283" s="73"/>
      <c r="B283" s="73"/>
      <c r="C283" s="73"/>
      <c r="D283" s="73"/>
      <c r="E283" s="73"/>
      <c r="F283" s="73"/>
      <c r="G283" s="73"/>
      <c r="I283" s="73"/>
    </row>
    <row r="284" spans="1:26" ht="15.75" customHeight="1">
      <c r="A284" s="73"/>
      <c r="B284" s="73"/>
      <c r="C284" s="73"/>
      <c r="D284" s="73"/>
      <c r="E284" s="73"/>
      <c r="F284" s="73"/>
      <c r="G284" s="73"/>
      <c r="I284" s="73"/>
    </row>
    <row r="285" spans="1:26" ht="15.75" customHeight="1">
      <c r="A285" s="73"/>
      <c r="B285" s="73"/>
      <c r="C285" s="73"/>
      <c r="D285" s="73"/>
      <c r="E285" s="73"/>
      <c r="F285" s="73"/>
      <c r="G285" s="73"/>
      <c r="I285" s="73"/>
    </row>
    <row r="286" spans="1:26" ht="15.75" customHeight="1">
      <c r="A286" s="73"/>
      <c r="B286" s="73"/>
      <c r="C286" s="73"/>
      <c r="D286" s="73"/>
      <c r="E286" s="73"/>
      <c r="F286" s="73"/>
      <c r="G286" s="73"/>
      <c r="I286" s="73"/>
    </row>
    <row r="287" spans="1:26" ht="15.75" customHeight="1">
      <c r="A287" s="73"/>
      <c r="B287" s="73"/>
      <c r="C287" s="73"/>
      <c r="D287" s="73"/>
      <c r="E287" s="73"/>
      <c r="F287" s="73"/>
      <c r="G287" s="73"/>
      <c r="I287" s="73"/>
    </row>
    <row r="288" spans="1:26" ht="15.75" customHeight="1">
      <c r="A288" s="73"/>
      <c r="B288" s="73"/>
      <c r="C288" s="73"/>
      <c r="D288" s="73"/>
      <c r="E288" s="73"/>
      <c r="F288" s="73"/>
      <c r="G288" s="73"/>
      <c r="I288" s="73"/>
    </row>
    <row r="289" spans="1:9" ht="15.75" customHeight="1">
      <c r="A289" s="73"/>
      <c r="B289" s="73"/>
      <c r="C289" s="73"/>
      <c r="D289" s="73"/>
      <c r="E289" s="73"/>
      <c r="F289" s="73"/>
      <c r="G289" s="73"/>
      <c r="I289" s="73"/>
    </row>
    <row r="290" spans="1:9" ht="15.75" customHeight="1">
      <c r="A290" s="73"/>
      <c r="B290" s="73"/>
      <c r="C290" s="73"/>
      <c r="D290" s="73"/>
      <c r="E290" s="73"/>
      <c r="F290" s="73"/>
      <c r="G290" s="73"/>
      <c r="I290" s="73"/>
    </row>
    <row r="291" spans="1:9" ht="15.75" customHeight="1">
      <c r="A291" s="73"/>
      <c r="B291" s="73"/>
      <c r="C291" s="73"/>
      <c r="D291" s="73"/>
      <c r="E291" s="73"/>
      <c r="F291" s="73"/>
      <c r="G291" s="73"/>
      <c r="I291" s="73"/>
    </row>
    <row r="292" spans="1:9" ht="15.75" customHeight="1">
      <c r="A292" s="73"/>
      <c r="B292" s="73"/>
      <c r="C292" s="73"/>
      <c r="D292" s="73"/>
      <c r="E292" s="73"/>
      <c r="F292" s="73"/>
      <c r="G292" s="73"/>
      <c r="I292" s="73"/>
    </row>
    <row r="293" spans="1:9" ht="15.75" customHeight="1">
      <c r="A293" s="73"/>
      <c r="B293" s="73"/>
      <c r="C293" s="73"/>
      <c r="D293" s="73"/>
      <c r="E293" s="73"/>
      <c r="F293" s="73"/>
      <c r="G293" s="73"/>
      <c r="I293" s="73"/>
    </row>
    <row r="294" spans="1:9" ht="15.75" customHeight="1">
      <c r="A294" s="73"/>
      <c r="B294" s="73"/>
      <c r="C294" s="73"/>
      <c r="D294" s="73"/>
      <c r="E294" s="73"/>
      <c r="F294" s="73"/>
      <c r="G294" s="73"/>
      <c r="I294" s="73"/>
    </row>
    <row r="295" spans="1:9" ht="15.75" customHeight="1">
      <c r="A295" s="73"/>
      <c r="B295" s="73"/>
      <c r="C295" s="73"/>
      <c r="D295" s="73"/>
      <c r="E295" s="73"/>
      <c r="F295" s="73"/>
      <c r="G295" s="73"/>
      <c r="I295" s="73"/>
    </row>
    <row r="296" spans="1:9" ht="15.75" customHeight="1">
      <c r="A296" s="73"/>
      <c r="B296" s="73"/>
      <c r="C296" s="73"/>
      <c r="D296" s="73"/>
      <c r="E296" s="73"/>
      <c r="F296" s="73"/>
      <c r="G296" s="73"/>
      <c r="I296" s="73"/>
    </row>
    <row r="297" spans="1:9" ht="15.75" customHeight="1">
      <c r="A297" s="73"/>
      <c r="B297" s="73"/>
      <c r="C297" s="73"/>
      <c r="D297" s="73"/>
      <c r="E297" s="73"/>
      <c r="F297" s="73"/>
      <c r="G297" s="73"/>
      <c r="I297" s="73"/>
    </row>
    <row r="298" spans="1:9" ht="15.75" customHeight="1">
      <c r="A298" s="73"/>
      <c r="B298" s="73"/>
      <c r="C298" s="73"/>
      <c r="D298" s="73"/>
      <c r="E298" s="73"/>
      <c r="F298" s="73"/>
      <c r="G298" s="73"/>
      <c r="I298" s="73"/>
    </row>
    <row r="299" spans="1:9" ht="15.75" customHeight="1">
      <c r="A299" s="73"/>
      <c r="B299" s="73"/>
      <c r="C299" s="73"/>
      <c r="D299" s="73"/>
      <c r="E299" s="73"/>
      <c r="F299" s="73"/>
      <c r="G299" s="73"/>
      <c r="I299" s="73"/>
    </row>
    <row r="300" spans="1:9" ht="15.75" customHeight="1">
      <c r="A300" s="73"/>
      <c r="B300" s="73"/>
      <c r="C300" s="73"/>
      <c r="D300" s="73"/>
      <c r="E300" s="73"/>
      <c r="F300" s="73"/>
      <c r="G300" s="73"/>
      <c r="I300" s="73"/>
    </row>
    <row r="301" spans="1:9" ht="15.75" customHeight="1">
      <c r="A301" s="73"/>
      <c r="B301" s="73"/>
      <c r="C301" s="73"/>
      <c r="D301" s="73"/>
      <c r="E301" s="73"/>
      <c r="F301" s="73"/>
      <c r="G301" s="73"/>
      <c r="I301" s="73"/>
    </row>
    <row r="302" spans="1:9" ht="15.75" customHeight="1">
      <c r="A302" s="73"/>
      <c r="B302" s="73"/>
      <c r="C302" s="73"/>
      <c r="D302" s="73"/>
      <c r="E302" s="73"/>
      <c r="F302" s="73"/>
      <c r="G302" s="73"/>
      <c r="I302" s="73"/>
    </row>
    <row r="303" spans="1:9" ht="15.75" customHeight="1">
      <c r="A303" s="73"/>
      <c r="B303" s="73"/>
      <c r="C303" s="73"/>
      <c r="D303" s="73"/>
      <c r="E303" s="73"/>
      <c r="F303" s="73"/>
      <c r="G303" s="73"/>
      <c r="I303" s="73"/>
    </row>
    <row r="304" spans="1:9" ht="15.75" customHeight="1">
      <c r="A304" s="73"/>
      <c r="B304" s="73"/>
      <c r="C304" s="73"/>
      <c r="D304" s="73"/>
      <c r="E304" s="73"/>
      <c r="F304" s="73"/>
      <c r="G304" s="73"/>
      <c r="I304" s="73"/>
    </row>
    <row r="305" spans="1:9" ht="15.75" customHeight="1">
      <c r="A305" s="73"/>
      <c r="B305" s="73"/>
      <c r="C305" s="73"/>
      <c r="D305" s="73"/>
      <c r="E305" s="73"/>
      <c r="F305" s="73"/>
      <c r="G305" s="73"/>
      <c r="I305" s="73"/>
    </row>
    <row r="306" spans="1:9" ht="15.75" customHeight="1">
      <c r="A306" s="73"/>
      <c r="B306" s="73"/>
      <c r="C306" s="73"/>
      <c r="D306" s="73"/>
      <c r="E306" s="73"/>
      <c r="F306" s="73"/>
      <c r="G306" s="73"/>
      <c r="I306" s="73"/>
    </row>
    <row r="307" spans="1:9" ht="15.75" customHeight="1">
      <c r="A307" s="73"/>
      <c r="B307" s="73"/>
      <c r="C307" s="73"/>
      <c r="D307" s="73"/>
      <c r="E307" s="73"/>
      <c r="F307" s="73"/>
      <c r="G307" s="73"/>
      <c r="I307" s="73"/>
    </row>
    <row r="308" spans="1:9" ht="15.75" customHeight="1">
      <c r="A308" s="73"/>
      <c r="B308" s="73"/>
      <c r="C308" s="73"/>
      <c r="D308" s="73"/>
      <c r="E308" s="73"/>
      <c r="F308" s="73"/>
      <c r="G308" s="73"/>
      <c r="I308" s="73"/>
    </row>
    <row r="309" spans="1:9" ht="15.75" customHeight="1">
      <c r="A309" s="73"/>
      <c r="B309" s="73"/>
      <c r="C309" s="73"/>
      <c r="D309" s="73"/>
      <c r="E309" s="73"/>
      <c r="F309" s="73"/>
      <c r="G309" s="73"/>
      <c r="I309" s="73"/>
    </row>
    <row r="310" spans="1:9" ht="15.75" customHeight="1">
      <c r="A310" s="73"/>
      <c r="B310" s="73"/>
      <c r="C310" s="73"/>
      <c r="D310" s="73"/>
      <c r="E310" s="73"/>
      <c r="F310" s="73"/>
      <c r="G310" s="73"/>
      <c r="I310" s="73"/>
    </row>
    <row r="311" spans="1:9" ht="15.75" customHeight="1">
      <c r="A311" s="73"/>
      <c r="B311" s="73"/>
      <c r="C311" s="73"/>
      <c r="D311" s="73"/>
      <c r="E311" s="73"/>
      <c r="F311" s="73"/>
      <c r="G311" s="73"/>
      <c r="I311" s="73"/>
    </row>
    <row r="312" spans="1:9" ht="15.75" customHeight="1">
      <c r="A312" s="73"/>
      <c r="B312" s="73"/>
      <c r="C312" s="73"/>
      <c r="D312" s="73"/>
      <c r="E312" s="73"/>
      <c r="F312" s="73"/>
      <c r="G312" s="73"/>
      <c r="I312" s="73"/>
    </row>
    <row r="313" spans="1:9" ht="15.75" customHeight="1">
      <c r="A313" s="73"/>
      <c r="B313" s="73"/>
      <c r="C313" s="73"/>
      <c r="D313" s="73"/>
      <c r="E313" s="73"/>
      <c r="F313" s="73"/>
      <c r="G313" s="73"/>
      <c r="I313" s="73"/>
    </row>
    <row r="314" spans="1:9" ht="15.75" customHeight="1">
      <c r="A314" s="73"/>
      <c r="B314" s="73"/>
      <c r="C314" s="73"/>
      <c r="D314" s="73"/>
      <c r="E314" s="73"/>
      <c r="F314" s="73"/>
      <c r="G314" s="73"/>
      <c r="I314" s="73"/>
    </row>
    <row r="315" spans="1:9" ht="15.75" customHeight="1">
      <c r="A315" s="73"/>
      <c r="B315" s="73"/>
      <c r="C315" s="73"/>
      <c r="D315" s="73"/>
      <c r="E315" s="73"/>
      <c r="F315" s="73"/>
      <c r="G315" s="73"/>
      <c r="I315" s="73"/>
    </row>
    <row r="316" spans="1:9" ht="15.75" customHeight="1">
      <c r="A316" s="73"/>
      <c r="B316" s="73"/>
      <c r="C316" s="73"/>
      <c r="D316" s="73"/>
      <c r="E316" s="73"/>
      <c r="F316" s="73"/>
      <c r="G316" s="73"/>
      <c r="I316" s="73"/>
    </row>
    <row r="317" spans="1:9" ht="15.75" customHeight="1">
      <c r="A317" s="73"/>
      <c r="B317" s="73"/>
      <c r="C317" s="73"/>
      <c r="D317" s="73"/>
      <c r="E317" s="73"/>
      <c r="F317" s="73"/>
      <c r="G317" s="73"/>
      <c r="I317" s="73"/>
    </row>
    <row r="318" spans="1:9" ht="15.75" customHeight="1">
      <c r="A318" s="73"/>
      <c r="B318" s="73"/>
      <c r="C318" s="73"/>
      <c r="D318" s="73"/>
      <c r="E318" s="73"/>
      <c r="F318" s="73"/>
      <c r="G318" s="73"/>
      <c r="I318" s="73"/>
    </row>
    <row r="319" spans="1:9" ht="15.75" customHeight="1">
      <c r="A319" s="73"/>
      <c r="B319" s="73"/>
      <c r="C319" s="73"/>
      <c r="D319" s="73"/>
      <c r="E319" s="73"/>
      <c r="F319" s="73"/>
      <c r="G319" s="73"/>
      <c r="I319" s="73"/>
    </row>
    <row r="320" spans="1:9" ht="15.75" customHeight="1">
      <c r="A320" s="73"/>
      <c r="B320" s="73"/>
      <c r="C320" s="73"/>
      <c r="D320" s="73"/>
      <c r="E320" s="73"/>
      <c r="F320" s="73"/>
      <c r="G320" s="73"/>
      <c r="I320" s="73"/>
    </row>
    <row r="321" spans="1:9" ht="15.75" customHeight="1">
      <c r="A321" s="73"/>
      <c r="B321" s="73"/>
      <c r="C321" s="73"/>
      <c r="D321" s="73"/>
      <c r="E321" s="73"/>
      <c r="F321" s="73"/>
      <c r="G321" s="73"/>
      <c r="I321" s="73"/>
    </row>
    <row r="322" spans="1:9" ht="15.75" customHeight="1">
      <c r="A322" s="73"/>
      <c r="B322" s="73"/>
      <c r="C322" s="73"/>
      <c r="D322" s="73"/>
      <c r="E322" s="73"/>
      <c r="F322" s="73"/>
      <c r="G322" s="73"/>
      <c r="I322" s="73"/>
    </row>
    <row r="323" spans="1:9" ht="15.75" customHeight="1">
      <c r="A323" s="73"/>
      <c r="B323" s="73"/>
      <c r="C323" s="73"/>
      <c r="D323" s="73"/>
      <c r="E323" s="73"/>
      <c r="F323" s="73"/>
      <c r="G323" s="73"/>
      <c r="I323" s="73"/>
    </row>
    <row r="324" spans="1:9" ht="15.75" customHeight="1">
      <c r="A324" s="73"/>
      <c r="B324" s="73"/>
      <c r="C324" s="73"/>
      <c r="D324" s="73"/>
      <c r="E324" s="73"/>
      <c r="F324" s="73"/>
      <c r="G324" s="73"/>
      <c r="I324" s="73"/>
    </row>
    <row r="325" spans="1:9" ht="15.75" customHeight="1">
      <c r="A325" s="73"/>
      <c r="B325" s="73"/>
      <c r="C325" s="73"/>
      <c r="D325" s="73"/>
      <c r="E325" s="73"/>
      <c r="F325" s="73"/>
      <c r="G325" s="73"/>
      <c r="I325" s="73"/>
    </row>
    <row r="326" spans="1:9" ht="15.75" customHeight="1">
      <c r="A326" s="73"/>
      <c r="B326" s="73"/>
      <c r="C326" s="73"/>
      <c r="D326" s="73"/>
      <c r="E326" s="73"/>
      <c r="F326" s="73"/>
      <c r="G326" s="73"/>
      <c r="I326" s="73"/>
    </row>
    <row r="327" spans="1:9" ht="15.75" customHeight="1">
      <c r="A327" s="73"/>
      <c r="B327" s="73"/>
      <c r="C327" s="73"/>
      <c r="D327" s="73"/>
      <c r="E327" s="73"/>
      <c r="F327" s="73"/>
      <c r="G327" s="73"/>
      <c r="I327" s="73"/>
    </row>
    <row r="328" spans="1:9" ht="15.75" customHeight="1">
      <c r="A328" s="73"/>
      <c r="B328" s="73"/>
      <c r="C328" s="73"/>
      <c r="D328" s="73"/>
      <c r="E328" s="73"/>
      <c r="F328" s="73"/>
      <c r="G328" s="73"/>
      <c r="I328" s="73"/>
    </row>
    <row r="329" spans="1:9" ht="15.75" customHeight="1">
      <c r="A329" s="73"/>
      <c r="B329" s="73"/>
      <c r="C329" s="73"/>
      <c r="D329" s="73"/>
      <c r="E329" s="73"/>
      <c r="F329" s="73"/>
      <c r="G329" s="73"/>
      <c r="I329" s="73"/>
    </row>
    <row r="330" spans="1:9" ht="15.75" customHeight="1">
      <c r="A330" s="73"/>
      <c r="B330" s="73"/>
      <c r="C330" s="73"/>
      <c r="D330" s="73"/>
      <c r="E330" s="73"/>
      <c r="F330" s="73"/>
      <c r="G330" s="73"/>
      <c r="I330" s="73"/>
    </row>
    <row r="331" spans="1:9" ht="15.75" customHeight="1">
      <c r="A331" s="73"/>
      <c r="B331" s="73"/>
      <c r="C331" s="73"/>
      <c r="D331" s="73"/>
      <c r="E331" s="73"/>
      <c r="F331" s="73"/>
      <c r="G331" s="73"/>
      <c r="I331" s="73"/>
    </row>
    <row r="332" spans="1:9" ht="15.75" customHeight="1">
      <c r="A332" s="73"/>
      <c r="B332" s="73"/>
      <c r="C332" s="73"/>
      <c r="D332" s="73"/>
      <c r="E332" s="73"/>
      <c r="F332" s="73"/>
      <c r="G332" s="73"/>
      <c r="I332" s="73"/>
    </row>
    <row r="333" spans="1:9" ht="15.75" customHeight="1">
      <c r="A333" s="73"/>
      <c r="B333" s="73"/>
      <c r="C333" s="73"/>
      <c r="D333" s="73"/>
      <c r="E333" s="73"/>
      <c r="F333" s="73"/>
      <c r="G333" s="73"/>
      <c r="I333" s="73"/>
    </row>
    <row r="334" spans="1:9" ht="15.75" customHeight="1">
      <c r="A334" s="73"/>
      <c r="B334" s="73"/>
      <c r="C334" s="73"/>
      <c r="D334" s="73"/>
      <c r="E334" s="73"/>
      <c r="F334" s="73"/>
      <c r="G334" s="73"/>
      <c r="I334" s="73"/>
    </row>
    <row r="335" spans="1:9" ht="15.75" customHeight="1">
      <c r="A335" s="73"/>
      <c r="B335" s="73"/>
      <c r="C335" s="73"/>
      <c r="D335" s="73"/>
      <c r="E335" s="73"/>
      <c r="F335" s="73"/>
      <c r="G335" s="73"/>
      <c r="I335" s="73"/>
    </row>
    <row r="336" spans="1:9" ht="15.75" customHeight="1">
      <c r="A336" s="73"/>
      <c r="B336" s="73"/>
      <c r="C336" s="73"/>
      <c r="D336" s="73"/>
      <c r="E336" s="73"/>
      <c r="F336" s="73"/>
      <c r="G336" s="73"/>
      <c r="I336" s="73"/>
    </row>
    <row r="337" spans="1:9" ht="15.75" customHeight="1">
      <c r="A337" s="73"/>
      <c r="B337" s="73"/>
      <c r="C337" s="73"/>
      <c r="D337" s="73"/>
      <c r="E337" s="73"/>
      <c r="F337" s="73"/>
      <c r="G337" s="73"/>
      <c r="I337" s="73"/>
    </row>
    <row r="338" spans="1:9" ht="15.75" customHeight="1">
      <c r="A338" s="73"/>
      <c r="B338" s="73"/>
      <c r="C338" s="73"/>
      <c r="D338" s="73"/>
      <c r="E338" s="73"/>
      <c r="F338" s="73"/>
      <c r="G338" s="73"/>
      <c r="I338" s="73"/>
    </row>
    <row r="339" spans="1:9" ht="15.75" customHeight="1">
      <c r="A339" s="73"/>
      <c r="B339" s="73"/>
      <c r="C339" s="73"/>
      <c r="D339" s="73"/>
      <c r="E339" s="73"/>
      <c r="F339" s="73"/>
      <c r="G339" s="73"/>
      <c r="I339" s="73"/>
    </row>
    <row r="340" spans="1:9" ht="15.75" customHeight="1">
      <c r="A340" s="73"/>
      <c r="B340" s="73"/>
      <c r="C340" s="73"/>
      <c r="D340" s="73"/>
      <c r="E340" s="73"/>
      <c r="F340" s="73"/>
      <c r="G340" s="73"/>
      <c r="I340" s="73"/>
    </row>
    <row r="341" spans="1:9" ht="15.75" customHeight="1">
      <c r="A341" s="73"/>
      <c r="B341" s="73"/>
      <c r="C341" s="73"/>
      <c r="D341" s="73"/>
      <c r="E341" s="73"/>
      <c r="F341" s="73"/>
      <c r="G341" s="73"/>
      <c r="I341" s="73"/>
    </row>
    <row r="342" spans="1:9" ht="15.75" customHeight="1">
      <c r="A342" s="73"/>
      <c r="B342" s="73"/>
      <c r="C342" s="73"/>
      <c r="D342" s="73"/>
      <c r="E342" s="73"/>
      <c r="F342" s="73"/>
      <c r="G342" s="73"/>
      <c r="I342" s="73"/>
    </row>
    <row r="343" spans="1:9" ht="15.75" customHeight="1">
      <c r="A343" s="73"/>
      <c r="B343" s="73"/>
      <c r="C343" s="73"/>
      <c r="D343" s="73"/>
      <c r="E343" s="73"/>
      <c r="F343" s="73"/>
      <c r="G343" s="73"/>
      <c r="I343" s="73"/>
    </row>
    <row r="344" spans="1:9" ht="15.75" customHeight="1">
      <c r="A344" s="73"/>
      <c r="B344" s="73"/>
      <c r="C344" s="73"/>
      <c r="D344" s="73"/>
      <c r="E344" s="73"/>
      <c r="F344" s="73"/>
      <c r="G344" s="73"/>
      <c r="I344" s="73"/>
    </row>
    <row r="345" spans="1:9" ht="15.75" customHeight="1">
      <c r="A345" s="73"/>
      <c r="B345" s="73"/>
      <c r="C345" s="73"/>
      <c r="D345" s="73"/>
      <c r="E345" s="73"/>
      <c r="F345" s="73"/>
      <c r="G345" s="73"/>
      <c r="I345" s="73"/>
    </row>
    <row r="346" spans="1:9" ht="15.75" customHeight="1">
      <c r="A346" s="73"/>
      <c r="B346" s="73"/>
      <c r="C346" s="73"/>
      <c r="D346" s="73"/>
      <c r="E346" s="73"/>
      <c r="F346" s="73"/>
      <c r="G346" s="73"/>
      <c r="I346" s="73"/>
    </row>
    <row r="347" spans="1:9" ht="15.75" customHeight="1">
      <c r="A347" s="73"/>
      <c r="B347" s="73"/>
      <c r="C347" s="73"/>
      <c r="D347" s="73"/>
      <c r="E347" s="73"/>
      <c r="F347" s="73"/>
      <c r="G347" s="73"/>
      <c r="I347" s="73"/>
    </row>
    <row r="348" spans="1:9" ht="15.75" customHeight="1">
      <c r="A348" s="73"/>
      <c r="B348" s="73"/>
      <c r="C348" s="73"/>
      <c r="D348" s="73"/>
      <c r="E348" s="73"/>
      <c r="F348" s="73"/>
      <c r="G348" s="73"/>
      <c r="I348" s="73"/>
    </row>
    <row r="349" spans="1:9" ht="15.75" customHeight="1">
      <c r="A349" s="73"/>
      <c r="B349" s="73"/>
      <c r="C349" s="73"/>
      <c r="D349" s="73"/>
      <c r="E349" s="73"/>
      <c r="F349" s="73"/>
      <c r="G349" s="73"/>
      <c r="I349" s="73"/>
    </row>
    <row r="350" spans="1:9" ht="15.75" customHeight="1">
      <c r="A350" s="73"/>
      <c r="B350" s="73"/>
      <c r="C350" s="73"/>
      <c r="D350" s="73"/>
      <c r="E350" s="73"/>
      <c r="F350" s="73"/>
      <c r="G350" s="73"/>
      <c r="I350" s="73"/>
    </row>
    <row r="351" spans="1:9" ht="15.75" customHeight="1">
      <c r="A351" s="73"/>
      <c r="B351" s="73"/>
      <c r="C351" s="73"/>
      <c r="D351" s="73"/>
      <c r="E351" s="73"/>
      <c r="F351" s="73"/>
      <c r="G351" s="73"/>
      <c r="I351" s="73"/>
    </row>
    <row r="352" spans="1:9" ht="15.75" customHeight="1">
      <c r="A352" s="73"/>
      <c r="B352" s="73"/>
      <c r="C352" s="73"/>
      <c r="D352" s="73"/>
      <c r="E352" s="73"/>
      <c r="F352" s="73"/>
      <c r="G352" s="73"/>
      <c r="I352" s="73"/>
    </row>
    <row r="353" spans="1:9" ht="15.75" customHeight="1">
      <c r="A353" s="73"/>
      <c r="B353" s="73"/>
      <c r="C353" s="73"/>
      <c r="D353" s="73"/>
      <c r="E353" s="73"/>
      <c r="F353" s="73"/>
      <c r="G353" s="73"/>
      <c r="I353" s="73"/>
    </row>
    <row r="354" spans="1:9" ht="15.75" customHeight="1">
      <c r="A354" s="73"/>
      <c r="B354" s="73"/>
      <c r="C354" s="73"/>
      <c r="D354" s="73"/>
      <c r="E354" s="73"/>
      <c r="F354" s="73"/>
      <c r="G354" s="73"/>
      <c r="I354" s="73"/>
    </row>
    <row r="355" spans="1:9" ht="15.75" customHeight="1">
      <c r="A355" s="73"/>
      <c r="B355" s="73"/>
      <c r="C355" s="73"/>
      <c r="D355" s="73"/>
      <c r="E355" s="73"/>
      <c r="F355" s="73"/>
      <c r="G355" s="73"/>
      <c r="I355" s="73"/>
    </row>
    <row r="356" spans="1:9" ht="15.75" customHeight="1">
      <c r="A356" s="73"/>
      <c r="B356" s="73"/>
      <c r="C356" s="73"/>
      <c r="D356" s="73"/>
      <c r="E356" s="73"/>
      <c r="F356" s="73"/>
      <c r="G356" s="73"/>
      <c r="I356" s="73"/>
    </row>
    <row r="357" spans="1:9" ht="15.75" customHeight="1">
      <c r="A357" s="73"/>
      <c r="B357" s="73"/>
      <c r="C357" s="73"/>
      <c r="D357" s="73"/>
      <c r="E357" s="73"/>
      <c r="F357" s="73"/>
      <c r="G357" s="73"/>
      <c r="I357" s="73"/>
    </row>
    <row r="358" spans="1:9" ht="15.75" customHeight="1">
      <c r="A358" s="73"/>
      <c r="B358" s="73"/>
      <c r="C358" s="73"/>
      <c r="D358" s="73"/>
      <c r="E358" s="73"/>
      <c r="F358" s="73"/>
      <c r="G358" s="73"/>
      <c r="I358" s="73"/>
    </row>
    <row r="359" spans="1:9" ht="15.75" customHeight="1">
      <c r="A359" s="73"/>
      <c r="B359" s="73"/>
      <c r="C359" s="73"/>
      <c r="D359" s="73"/>
      <c r="E359" s="73"/>
      <c r="F359" s="73"/>
      <c r="G359" s="73"/>
      <c r="I359" s="73"/>
    </row>
    <row r="360" spans="1:9" ht="15.75" customHeight="1">
      <c r="A360" s="73"/>
      <c r="B360" s="73"/>
      <c r="C360" s="73"/>
      <c r="D360" s="73"/>
      <c r="E360" s="73"/>
      <c r="F360" s="73"/>
      <c r="G360" s="73"/>
      <c r="I360" s="73"/>
    </row>
    <row r="361" spans="1:9" ht="15.75" customHeight="1">
      <c r="A361" s="73"/>
      <c r="B361" s="73"/>
      <c r="C361" s="73"/>
      <c r="D361" s="73"/>
      <c r="E361" s="73"/>
      <c r="F361" s="73"/>
      <c r="G361" s="73"/>
      <c r="I361" s="73"/>
    </row>
    <row r="362" spans="1:9" ht="15.75" customHeight="1">
      <c r="A362" s="73"/>
      <c r="B362" s="73"/>
      <c r="C362" s="73"/>
      <c r="D362" s="73"/>
      <c r="E362" s="73"/>
      <c r="F362" s="73"/>
      <c r="G362" s="73"/>
      <c r="I362" s="73"/>
    </row>
    <row r="363" spans="1:9" ht="15.75" customHeight="1">
      <c r="A363" s="73"/>
      <c r="B363" s="73"/>
      <c r="C363" s="73"/>
      <c r="D363" s="73"/>
      <c r="E363" s="73"/>
      <c r="F363" s="73"/>
      <c r="G363" s="73"/>
      <c r="I363" s="73"/>
    </row>
    <row r="364" spans="1:9" ht="15.75" customHeight="1">
      <c r="A364" s="73"/>
      <c r="B364" s="73"/>
      <c r="C364" s="73"/>
      <c r="D364" s="73"/>
      <c r="E364" s="73"/>
      <c r="F364" s="73"/>
      <c r="G364" s="73"/>
      <c r="I364" s="73"/>
    </row>
    <row r="365" spans="1:9" ht="15.75" customHeight="1">
      <c r="A365" s="73"/>
      <c r="B365" s="73"/>
      <c r="C365" s="73"/>
      <c r="D365" s="73"/>
      <c r="E365" s="73"/>
      <c r="F365" s="73"/>
      <c r="G365" s="73"/>
      <c r="I365" s="73"/>
    </row>
    <row r="366" spans="1:9" ht="15.75" customHeight="1">
      <c r="A366" s="73"/>
      <c r="B366" s="73"/>
      <c r="C366" s="73"/>
      <c r="D366" s="73"/>
      <c r="E366" s="73"/>
      <c r="F366" s="73"/>
      <c r="G366" s="73"/>
      <c r="I366" s="73"/>
    </row>
    <row r="367" spans="1:9" ht="15.75" customHeight="1">
      <c r="A367" s="73"/>
      <c r="B367" s="73"/>
      <c r="C367" s="73"/>
      <c r="D367" s="73"/>
      <c r="E367" s="73"/>
      <c r="F367" s="73"/>
      <c r="G367" s="73"/>
      <c r="I367" s="73"/>
    </row>
    <row r="368" spans="1:9" ht="15.75" customHeight="1">
      <c r="A368" s="73"/>
      <c r="B368" s="73"/>
      <c r="C368" s="73"/>
      <c r="D368" s="73"/>
      <c r="E368" s="73"/>
      <c r="F368" s="73"/>
      <c r="G368" s="73"/>
      <c r="I368" s="73"/>
    </row>
    <row r="369" spans="1:9" ht="15.75" customHeight="1">
      <c r="A369" s="73"/>
      <c r="B369" s="73"/>
      <c r="C369" s="73"/>
      <c r="D369" s="73"/>
      <c r="E369" s="73"/>
      <c r="F369" s="73"/>
      <c r="G369" s="73"/>
      <c r="I369" s="73"/>
    </row>
    <row r="370" spans="1:9" ht="15.75" customHeight="1">
      <c r="A370" s="73"/>
      <c r="B370" s="73"/>
      <c r="C370" s="73"/>
      <c r="D370" s="73"/>
      <c r="E370" s="73"/>
      <c r="F370" s="73"/>
      <c r="G370" s="73"/>
      <c r="I370" s="73"/>
    </row>
    <row r="371" spans="1:9" ht="15.75" customHeight="1">
      <c r="A371" s="73"/>
      <c r="B371" s="73"/>
      <c r="C371" s="73"/>
      <c r="D371" s="73"/>
      <c r="E371" s="73"/>
      <c r="F371" s="73"/>
      <c r="G371" s="73"/>
      <c r="I371" s="73"/>
    </row>
    <row r="372" spans="1:9" ht="15.75" customHeight="1">
      <c r="A372" s="73"/>
      <c r="B372" s="73"/>
      <c r="C372" s="73"/>
      <c r="D372" s="73"/>
      <c r="E372" s="73"/>
      <c r="F372" s="73"/>
      <c r="G372" s="73"/>
      <c r="I372" s="73"/>
    </row>
    <row r="373" spans="1:9" ht="15.75" customHeight="1">
      <c r="A373" s="73"/>
      <c r="B373" s="73"/>
      <c r="C373" s="73"/>
      <c r="D373" s="73"/>
      <c r="E373" s="73"/>
      <c r="F373" s="73"/>
      <c r="G373" s="73"/>
      <c r="I373" s="73"/>
    </row>
    <row r="374" spans="1:9" ht="15.75" customHeight="1">
      <c r="A374" s="73"/>
      <c r="B374" s="73"/>
      <c r="C374" s="73"/>
      <c r="D374" s="73"/>
      <c r="E374" s="73"/>
      <c r="F374" s="73"/>
      <c r="G374" s="73"/>
      <c r="I374" s="73"/>
    </row>
    <row r="375" spans="1:9" ht="15.75" customHeight="1">
      <c r="A375" s="73"/>
      <c r="B375" s="73"/>
      <c r="C375" s="73"/>
      <c r="D375" s="73"/>
      <c r="E375" s="73"/>
      <c r="F375" s="73"/>
      <c r="G375" s="73"/>
      <c r="I375" s="73"/>
    </row>
    <row r="376" spans="1:9" ht="15.75" customHeight="1">
      <c r="A376" s="73"/>
      <c r="B376" s="73"/>
      <c r="C376" s="73"/>
      <c r="D376" s="73"/>
      <c r="E376" s="73"/>
      <c r="F376" s="73"/>
      <c r="G376" s="73"/>
      <c r="I376" s="73"/>
    </row>
    <row r="377" spans="1:9" ht="15.75" customHeight="1">
      <c r="A377" s="73"/>
      <c r="B377" s="73"/>
      <c r="C377" s="73"/>
      <c r="D377" s="73"/>
      <c r="E377" s="73"/>
      <c r="F377" s="73"/>
      <c r="G377" s="73"/>
      <c r="I377" s="73"/>
    </row>
    <row r="378" spans="1:9" ht="15.75" customHeight="1">
      <c r="A378" s="73"/>
      <c r="B378" s="73"/>
      <c r="C378" s="73"/>
      <c r="D378" s="73"/>
      <c r="E378" s="73"/>
      <c r="F378" s="73"/>
      <c r="G378" s="73"/>
      <c r="I378" s="73"/>
    </row>
    <row r="379" spans="1:9" ht="15.75" customHeight="1">
      <c r="A379" s="73"/>
      <c r="B379" s="73"/>
      <c r="C379" s="73"/>
      <c r="D379" s="73"/>
      <c r="E379" s="73"/>
      <c r="F379" s="73"/>
      <c r="G379" s="73"/>
      <c r="I379" s="73"/>
    </row>
    <row r="380" spans="1:9" ht="15.75" customHeight="1">
      <c r="A380" s="73"/>
      <c r="B380" s="73"/>
      <c r="C380" s="73"/>
      <c r="D380" s="73"/>
      <c r="E380" s="73"/>
      <c r="F380" s="73"/>
      <c r="G380" s="73"/>
      <c r="I380" s="73"/>
    </row>
    <row r="381" spans="1:9" ht="15.75" customHeight="1">
      <c r="A381" s="73"/>
      <c r="B381" s="73"/>
      <c r="C381" s="73"/>
      <c r="D381" s="73"/>
      <c r="E381" s="73"/>
      <c r="F381" s="73"/>
      <c r="G381" s="73"/>
      <c r="I381" s="73"/>
    </row>
    <row r="382" spans="1:9" ht="15.75" customHeight="1">
      <c r="A382" s="73"/>
      <c r="B382" s="73"/>
      <c r="C382" s="73"/>
      <c r="D382" s="73"/>
      <c r="E382" s="73"/>
      <c r="F382" s="73"/>
      <c r="G382" s="73"/>
      <c r="I382" s="73"/>
    </row>
    <row r="383" spans="1:9" ht="15.75" customHeight="1">
      <c r="A383" s="73"/>
      <c r="B383" s="73"/>
      <c r="C383" s="73"/>
      <c r="D383" s="73"/>
      <c r="E383" s="73"/>
      <c r="F383" s="73"/>
      <c r="G383" s="73"/>
      <c r="I383" s="73"/>
    </row>
    <row r="384" spans="1:9" ht="15.75" customHeight="1">
      <c r="A384" s="73"/>
      <c r="B384" s="73"/>
      <c r="C384" s="73"/>
      <c r="D384" s="73"/>
      <c r="E384" s="73"/>
      <c r="F384" s="73"/>
      <c r="G384" s="73"/>
      <c r="I384" s="73"/>
    </row>
    <row r="385" spans="1:9" ht="15.75" customHeight="1">
      <c r="A385" s="73"/>
      <c r="B385" s="73"/>
      <c r="C385" s="73"/>
      <c r="D385" s="73"/>
      <c r="E385" s="73"/>
      <c r="F385" s="73"/>
      <c r="G385" s="73"/>
      <c r="I385" s="73"/>
    </row>
    <row r="386" spans="1:9" ht="15.75" customHeight="1">
      <c r="A386" s="73"/>
      <c r="B386" s="73"/>
      <c r="C386" s="73"/>
      <c r="D386" s="73"/>
      <c r="E386" s="73"/>
      <c r="F386" s="73"/>
      <c r="G386" s="73"/>
      <c r="I386" s="73"/>
    </row>
    <row r="387" spans="1:9" ht="15.75" customHeight="1">
      <c r="A387" s="73"/>
      <c r="B387" s="73"/>
      <c r="C387" s="73"/>
      <c r="D387" s="73"/>
      <c r="E387" s="73"/>
      <c r="F387" s="73"/>
      <c r="G387" s="73"/>
      <c r="I387" s="73"/>
    </row>
    <row r="388" spans="1:9" ht="15.75" customHeight="1">
      <c r="A388" s="73"/>
      <c r="B388" s="73"/>
      <c r="C388" s="73"/>
      <c r="D388" s="73"/>
      <c r="E388" s="73"/>
      <c r="F388" s="73"/>
      <c r="G388" s="73"/>
      <c r="I388" s="73"/>
    </row>
    <row r="389" spans="1:9" ht="15.75" customHeight="1">
      <c r="A389" s="73"/>
      <c r="B389" s="73"/>
      <c r="C389" s="73"/>
      <c r="D389" s="73"/>
      <c r="E389" s="73"/>
      <c r="F389" s="73"/>
      <c r="G389" s="73"/>
      <c r="I389" s="73"/>
    </row>
    <row r="390" spans="1:9" ht="15.75" customHeight="1">
      <c r="A390" s="73"/>
      <c r="B390" s="73"/>
      <c r="C390" s="73"/>
      <c r="D390" s="73"/>
      <c r="E390" s="73"/>
      <c r="F390" s="73"/>
      <c r="G390" s="73"/>
      <c r="I390" s="73"/>
    </row>
    <row r="391" spans="1:9" ht="15.75" customHeight="1">
      <c r="A391" s="73"/>
      <c r="B391" s="73"/>
      <c r="C391" s="73"/>
      <c r="D391" s="73"/>
      <c r="E391" s="73"/>
      <c r="F391" s="73"/>
      <c r="G391" s="73"/>
      <c r="I391" s="73"/>
    </row>
    <row r="392" spans="1:9" ht="15.75" customHeight="1">
      <c r="A392" s="73"/>
      <c r="B392" s="73"/>
      <c r="C392" s="73"/>
      <c r="D392" s="73"/>
      <c r="E392" s="73"/>
      <c r="F392" s="73"/>
      <c r="G392" s="73"/>
      <c r="I392" s="73"/>
    </row>
    <row r="393" spans="1:9" ht="15.75" customHeight="1">
      <c r="A393" s="73"/>
      <c r="B393" s="73"/>
      <c r="C393" s="73"/>
      <c r="D393" s="73"/>
      <c r="E393" s="73"/>
      <c r="F393" s="73"/>
      <c r="G393" s="73"/>
      <c r="I393" s="73"/>
    </row>
    <row r="394" spans="1:9" ht="15.75" customHeight="1">
      <c r="A394" s="73"/>
      <c r="B394" s="73"/>
      <c r="C394" s="73"/>
      <c r="D394" s="73"/>
      <c r="E394" s="73"/>
      <c r="F394" s="73"/>
      <c r="G394" s="73"/>
      <c r="I394" s="73"/>
    </row>
    <row r="395" spans="1:9" ht="15.75" customHeight="1">
      <c r="A395" s="73"/>
      <c r="B395" s="73"/>
      <c r="C395" s="73"/>
      <c r="D395" s="73"/>
      <c r="E395" s="73"/>
      <c r="F395" s="73"/>
      <c r="G395" s="73"/>
      <c r="I395" s="73"/>
    </row>
    <row r="396" spans="1:9" ht="15.75" customHeight="1">
      <c r="A396" s="73"/>
      <c r="B396" s="73"/>
      <c r="C396" s="73"/>
      <c r="D396" s="73"/>
      <c r="E396" s="73"/>
      <c r="F396" s="73"/>
      <c r="G396" s="73"/>
      <c r="I396" s="73"/>
    </row>
    <row r="397" spans="1:9" ht="15.75" customHeight="1">
      <c r="A397" s="73"/>
      <c r="B397" s="73"/>
      <c r="C397" s="73"/>
      <c r="D397" s="73"/>
      <c r="E397" s="73"/>
      <c r="F397" s="73"/>
      <c r="G397" s="73"/>
      <c r="I397" s="73"/>
    </row>
    <row r="398" spans="1:9" ht="15.75" customHeight="1">
      <c r="A398" s="73"/>
      <c r="B398" s="73"/>
      <c r="C398" s="73"/>
      <c r="D398" s="73"/>
      <c r="E398" s="73"/>
      <c r="F398" s="73"/>
      <c r="G398" s="73"/>
      <c r="I398" s="73"/>
    </row>
    <row r="399" spans="1:9" ht="15.75" customHeight="1">
      <c r="A399" s="73"/>
      <c r="B399" s="73"/>
      <c r="C399" s="73"/>
      <c r="D399" s="73"/>
      <c r="E399" s="73"/>
      <c r="F399" s="73"/>
      <c r="G399" s="73"/>
      <c r="I399" s="73"/>
    </row>
    <row r="400" spans="1:9" ht="15.75" customHeight="1">
      <c r="A400" s="73"/>
      <c r="B400" s="73"/>
      <c r="C400" s="73"/>
      <c r="D400" s="73"/>
      <c r="E400" s="73"/>
      <c r="F400" s="73"/>
      <c r="G400" s="73"/>
      <c r="I400" s="73"/>
    </row>
    <row r="401" spans="1:9" ht="15.75" customHeight="1">
      <c r="A401" s="73"/>
      <c r="B401" s="73"/>
      <c r="C401" s="73"/>
      <c r="D401" s="73"/>
      <c r="E401" s="73"/>
      <c r="F401" s="73"/>
      <c r="G401" s="73"/>
      <c r="I401" s="73"/>
    </row>
    <row r="402" spans="1:9" ht="15.75" customHeight="1">
      <c r="A402" s="73"/>
      <c r="B402" s="73"/>
      <c r="C402" s="73"/>
      <c r="D402" s="73"/>
      <c r="E402" s="73"/>
      <c r="F402" s="73"/>
      <c r="G402" s="73"/>
      <c r="I402" s="73"/>
    </row>
    <row r="403" spans="1:9" ht="15.75" customHeight="1">
      <c r="A403" s="73"/>
      <c r="B403" s="73"/>
      <c r="C403" s="73"/>
      <c r="D403" s="73"/>
      <c r="E403" s="73"/>
      <c r="F403" s="73"/>
      <c r="G403" s="73"/>
      <c r="I403" s="73"/>
    </row>
    <row r="404" spans="1:9" ht="15.75" customHeight="1">
      <c r="A404" s="73"/>
      <c r="B404" s="73"/>
      <c r="C404" s="73"/>
      <c r="D404" s="73"/>
      <c r="E404" s="73"/>
      <c r="F404" s="73"/>
      <c r="G404" s="73"/>
      <c r="I404" s="73"/>
    </row>
    <row r="405" spans="1:9" ht="15.75" customHeight="1">
      <c r="A405" s="73"/>
      <c r="B405" s="73"/>
      <c r="C405" s="73"/>
      <c r="D405" s="73"/>
      <c r="E405" s="73"/>
      <c r="F405" s="73"/>
      <c r="G405" s="73"/>
      <c r="I405" s="73"/>
    </row>
    <row r="406" spans="1:9" ht="15.75" customHeight="1">
      <c r="A406" s="73"/>
      <c r="B406" s="73"/>
      <c r="C406" s="73"/>
      <c r="D406" s="73"/>
      <c r="E406" s="73"/>
      <c r="F406" s="73"/>
      <c r="G406" s="73"/>
      <c r="I406" s="73"/>
    </row>
    <row r="407" spans="1:9" ht="15.75" customHeight="1">
      <c r="A407" s="73"/>
      <c r="B407" s="73"/>
      <c r="C407" s="73"/>
      <c r="D407" s="73"/>
      <c r="E407" s="73"/>
      <c r="F407" s="73"/>
      <c r="G407" s="73"/>
      <c r="I407" s="73"/>
    </row>
    <row r="408" spans="1:9" ht="15.75" customHeight="1">
      <c r="A408" s="73"/>
      <c r="B408" s="73"/>
      <c r="C408" s="73"/>
      <c r="D408" s="73"/>
      <c r="E408" s="73"/>
      <c r="F408" s="73"/>
      <c r="G408" s="73"/>
      <c r="I408" s="73"/>
    </row>
    <row r="409" spans="1:9" ht="15.75" customHeight="1">
      <c r="A409" s="73"/>
      <c r="B409" s="73"/>
      <c r="C409" s="73"/>
      <c r="D409" s="73"/>
      <c r="E409" s="73"/>
      <c r="F409" s="73"/>
      <c r="G409" s="73"/>
      <c r="I409" s="73"/>
    </row>
    <row r="410" spans="1:9" ht="15.75" customHeight="1">
      <c r="A410" s="73"/>
      <c r="B410" s="73"/>
      <c r="C410" s="73"/>
      <c r="D410" s="73"/>
      <c r="E410" s="73"/>
      <c r="F410" s="73"/>
      <c r="G410" s="73"/>
      <c r="I410" s="73"/>
    </row>
    <row r="411" spans="1:9" ht="15.75" customHeight="1">
      <c r="A411" s="73"/>
      <c r="B411" s="73"/>
      <c r="C411" s="73"/>
      <c r="D411" s="73"/>
      <c r="E411" s="73"/>
      <c r="F411" s="73"/>
      <c r="G411" s="73"/>
      <c r="I411" s="73"/>
    </row>
    <row r="412" spans="1:9" ht="15.75" customHeight="1">
      <c r="A412" s="73"/>
      <c r="B412" s="73"/>
      <c r="C412" s="73"/>
      <c r="D412" s="73"/>
      <c r="E412" s="73"/>
      <c r="F412" s="73"/>
      <c r="G412" s="73"/>
      <c r="I412" s="73"/>
    </row>
    <row r="413" spans="1:9" ht="15.75" customHeight="1">
      <c r="A413" s="73"/>
      <c r="B413" s="73"/>
      <c r="C413" s="73"/>
      <c r="D413" s="73"/>
      <c r="E413" s="73"/>
      <c r="F413" s="73"/>
      <c r="G413" s="73"/>
      <c r="I413" s="73"/>
    </row>
    <row r="414" spans="1:9" ht="15.75" customHeight="1">
      <c r="A414" s="73"/>
      <c r="B414" s="73"/>
      <c r="C414" s="73"/>
      <c r="D414" s="73"/>
      <c r="E414" s="73"/>
      <c r="F414" s="73"/>
      <c r="G414" s="73"/>
      <c r="I414" s="73"/>
    </row>
    <row r="415" spans="1:9" ht="15.75" customHeight="1">
      <c r="A415" s="73"/>
      <c r="B415" s="73"/>
      <c r="C415" s="73"/>
      <c r="D415" s="73"/>
      <c r="E415" s="73"/>
      <c r="F415" s="73"/>
      <c r="G415" s="73"/>
      <c r="I415" s="73"/>
    </row>
    <row r="416" spans="1:9" ht="15.75" customHeight="1">
      <c r="A416" s="73"/>
      <c r="B416" s="73"/>
      <c r="C416" s="73"/>
      <c r="D416" s="73"/>
      <c r="E416" s="73"/>
      <c r="F416" s="73"/>
      <c r="G416" s="73"/>
      <c r="I416" s="73"/>
    </row>
    <row r="417" spans="1:9" ht="15.75" customHeight="1">
      <c r="A417" s="73"/>
      <c r="B417" s="73"/>
      <c r="C417" s="73"/>
      <c r="D417" s="73"/>
      <c r="E417" s="73"/>
      <c r="F417" s="73"/>
      <c r="G417" s="73"/>
      <c r="I417" s="73"/>
    </row>
    <row r="418" spans="1:9" ht="15.75" customHeight="1">
      <c r="A418" s="73"/>
      <c r="B418" s="73"/>
      <c r="C418" s="73"/>
      <c r="D418" s="73"/>
      <c r="E418" s="73"/>
      <c r="F418" s="73"/>
      <c r="G418" s="73"/>
      <c r="I418" s="73"/>
    </row>
    <row r="419" spans="1:9" ht="15.75" customHeight="1">
      <c r="A419" s="73"/>
      <c r="B419" s="73"/>
      <c r="C419" s="73"/>
      <c r="D419" s="73"/>
      <c r="E419" s="73"/>
      <c r="F419" s="73"/>
      <c r="G419" s="73"/>
      <c r="I419" s="73"/>
    </row>
    <row r="420" spans="1:9" ht="15.75" customHeight="1">
      <c r="A420" s="73"/>
      <c r="B420" s="73"/>
      <c r="C420" s="73"/>
      <c r="D420" s="73"/>
      <c r="E420" s="73"/>
      <c r="F420" s="73"/>
      <c r="G420" s="73"/>
      <c r="I420" s="73"/>
    </row>
    <row r="421" spans="1:9" ht="15.75" customHeight="1">
      <c r="A421" s="73"/>
      <c r="B421" s="73"/>
      <c r="C421" s="73"/>
      <c r="D421" s="73"/>
      <c r="E421" s="73"/>
      <c r="F421" s="73"/>
      <c r="G421" s="73"/>
      <c r="I421" s="73"/>
    </row>
    <row r="422" spans="1:9" ht="15.75" customHeight="1">
      <c r="A422" s="73"/>
      <c r="B422" s="73"/>
      <c r="C422" s="73"/>
      <c r="D422" s="73"/>
      <c r="E422" s="73"/>
      <c r="F422" s="73"/>
      <c r="G422" s="73"/>
      <c r="I422" s="73"/>
    </row>
    <row r="423" spans="1:9" ht="15.75" customHeight="1">
      <c r="A423" s="73"/>
      <c r="B423" s="73"/>
      <c r="C423" s="73"/>
      <c r="D423" s="73"/>
      <c r="E423" s="73"/>
      <c r="F423" s="73"/>
      <c r="G423" s="73"/>
      <c r="I423" s="73"/>
    </row>
    <row r="424" spans="1:9" ht="15.75" customHeight="1">
      <c r="A424" s="73"/>
      <c r="B424" s="73"/>
      <c r="C424" s="73"/>
      <c r="D424" s="73"/>
      <c r="E424" s="73"/>
      <c r="F424" s="73"/>
      <c r="G424" s="73"/>
      <c r="I424" s="73"/>
    </row>
    <row r="425" spans="1:9" ht="15.75" customHeight="1">
      <c r="A425" s="73"/>
      <c r="B425" s="73"/>
      <c r="C425" s="73"/>
      <c r="D425" s="73"/>
      <c r="E425" s="73"/>
      <c r="F425" s="73"/>
      <c r="G425" s="73"/>
      <c r="I425" s="73"/>
    </row>
    <row r="426" spans="1:9" ht="15.75" customHeight="1">
      <c r="A426" s="73"/>
      <c r="B426" s="73"/>
      <c r="C426" s="73"/>
      <c r="D426" s="73"/>
      <c r="E426" s="73"/>
      <c r="F426" s="73"/>
      <c r="G426" s="73"/>
      <c r="I426" s="73"/>
    </row>
    <row r="427" spans="1:9" ht="15.75" customHeight="1">
      <c r="A427" s="73"/>
      <c r="B427" s="73"/>
      <c r="C427" s="73"/>
      <c r="D427" s="73"/>
      <c r="E427" s="73"/>
      <c r="F427" s="73"/>
      <c r="G427" s="73"/>
      <c r="I427" s="73"/>
    </row>
    <row r="428" spans="1:9" ht="15.75" customHeight="1">
      <c r="A428" s="73"/>
      <c r="B428" s="73"/>
      <c r="C428" s="73"/>
      <c r="D428" s="73"/>
      <c r="E428" s="73"/>
      <c r="F428" s="73"/>
      <c r="G428" s="73"/>
      <c r="I428" s="73"/>
    </row>
    <row r="429" spans="1:9" ht="15.75" customHeight="1">
      <c r="A429" s="73"/>
      <c r="B429" s="73"/>
      <c r="C429" s="73"/>
      <c r="D429" s="73"/>
      <c r="E429" s="73"/>
      <c r="F429" s="73"/>
      <c r="G429" s="73"/>
      <c r="I429" s="73"/>
    </row>
    <row r="430" spans="1:9" ht="15.75" customHeight="1">
      <c r="A430" s="73"/>
      <c r="B430" s="73"/>
      <c r="C430" s="73"/>
      <c r="D430" s="73"/>
      <c r="E430" s="73"/>
      <c r="F430" s="73"/>
      <c r="G430" s="73"/>
      <c r="I430" s="73"/>
    </row>
    <row r="431" spans="1:9" ht="15.75" customHeight="1">
      <c r="A431" s="73"/>
      <c r="B431" s="73"/>
      <c r="C431" s="73"/>
      <c r="D431" s="73"/>
      <c r="E431" s="73"/>
      <c r="F431" s="73"/>
      <c r="G431" s="73"/>
      <c r="I431" s="73"/>
    </row>
    <row r="432" spans="1:9" ht="15.75" customHeight="1">
      <c r="A432" s="73"/>
      <c r="B432" s="73"/>
      <c r="C432" s="73"/>
      <c r="D432" s="73"/>
      <c r="E432" s="73"/>
      <c r="F432" s="73"/>
      <c r="G432" s="73"/>
      <c r="I432" s="73"/>
    </row>
    <row r="433" spans="1:9" ht="15.75" customHeight="1">
      <c r="A433" s="73"/>
      <c r="B433" s="73"/>
      <c r="C433" s="73"/>
      <c r="D433" s="73"/>
      <c r="E433" s="73"/>
      <c r="F433" s="73"/>
      <c r="G433" s="73"/>
      <c r="I433" s="73"/>
    </row>
    <row r="434" spans="1:9" ht="15.75" customHeight="1">
      <c r="A434" s="73"/>
      <c r="B434" s="73"/>
      <c r="C434" s="73"/>
      <c r="D434" s="73"/>
      <c r="E434" s="73"/>
      <c r="F434" s="73"/>
      <c r="G434" s="73"/>
      <c r="I434" s="73"/>
    </row>
    <row r="435" spans="1:9" ht="15.75" customHeight="1">
      <c r="A435" s="73"/>
      <c r="B435" s="73"/>
      <c r="C435" s="73"/>
      <c r="D435" s="73"/>
      <c r="E435" s="73"/>
      <c r="F435" s="73"/>
      <c r="G435" s="73"/>
      <c r="I435" s="73"/>
    </row>
    <row r="436" spans="1:9" ht="15.75" customHeight="1">
      <c r="A436" s="73"/>
      <c r="B436" s="73"/>
      <c r="C436" s="73"/>
      <c r="D436" s="73"/>
      <c r="E436" s="73"/>
      <c r="F436" s="73"/>
      <c r="G436" s="73"/>
      <c r="I436" s="73"/>
    </row>
    <row r="437" spans="1:9" ht="15.75" customHeight="1">
      <c r="A437" s="73"/>
      <c r="B437" s="73"/>
      <c r="C437" s="73"/>
      <c r="D437" s="73"/>
      <c r="E437" s="73"/>
      <c r="F437" s="73"/>
      <c r="G437" s="73"/>
      <c r="I437" s="73"/>
    </row>
    <row r="438" spans="1:9" ht="15.75" customHeight="1">
      <c r="A438" s="73"/>
      <c r="B438" s="73"/>
      <c r="C438" s="73"/>
      <c r="D438" s="73"/>
      <c r="E438" s="73"/>
      <c r="F438" s="73"/>
      <c r="G438" s="73"/>
      <c r="I438" s="73"/>
    </row>
    <row r="439" spans="1:9" ht="15.75" customHeight="1">
      <c r="A439" s="73"/>
      <c r="B439" s="73"/>
      <c r="C439" s="73"/>
      <c r="D439" s="73"/>
      <c r="E439" s="73"/>
      <c r="F439" s="73"/>
      <c r="G439" s="73"/>
      <c r="I439" s="73"/>
    </row>
    <row r="440" spans="1:9" ht="15.75" customHeight="1">
      <c r="A440" s="73"/>
      <c r="B440" s="73"/>
      <c r="C440" s="73"/>
      <c r="D440" s="73"/>
      <c r="E440" s="73"/>
      <c r="F440" s="73"/>
      <c r="G440" s="73"/>
      <c r="I440" s="73"/>
    </row>
    <row r="441" spans="1:9" ht="15.75" customHeight="1">
      <c r="A441" s="73"/>
      <c r="B441" s="73"/>
      <c r="C441" s="73"/>
      <c r="D441" s="73"/>
      <c r="E441" s="73"/>
      <c r="F441" s="73"/>
      <c r="G441" s="73"/>
      <c r="I441" s="73"/>
    </row>
    <row r="442" spans="1:9" ht="15.75" customHeight="1">
      <c r="A442" s="73"/>
      <c r="B442" s="73"/>
      <c r="C442" s="73"/>
      <c r="D442" s="73"/>
      <c r="E442" s="73"/>
      <c r="F442" s="73"/>
      <c r="G442" s="73"/>
      <c r="I442" s="73"/>
    </row>
    <row r="443" spans="1:9" ht="15.75" customHeight="1">
      <c r="A443" s="73"/>
      <c r="B443" s="73"/>
      <c r="C443" s="73"/>
      <c r="D443" s="73"/>
      <c r="E443" s="73"/>
      <c r="F443" s="73"/>
      <c r="G443" s="73"/>
      <c r="I443" s="73"/>
    </row>
    <row r="444" spans="1:9" ht="15.75" customHeight="1">
      <c r="A444" s="73"/>
      <c r="B444" s="73"/>
      <c r="C444" s="73"/>
      <c r="D444" s="73"/>
      <c r="E444" s="73"/>
      <c r="F444" s="73"/>
      <c r="G444" s="73"/>
      <c r="I444" s="73"/>
    </row>
    <row r="445" spans="1:9" ht="15.75" customHeight="1">
      <c r="A445" s="73"/>
      <c r="B445" s="73"/>
      <c r="C445" s="73"/>
      <c r="D445" s="73"/>
      <c r="E445" s="73"/>
      <c r="F445" s="73"/>
      <c r="G445" s="73"/>
      <c r="I445" s="73"/>
    </row>
    <row r="446" spans="1:9" ht="15.75" customHeight="1">
      <c r="A446" s="73"/>
      <c r="B446" s="73"/>
      <c r="C446" s="73"/>
      <c r="D446" s="73"/>
      <c r="E446" s="73"/>
      <c r="F446" s="73"/>
      <c r="G446" s="73"/>
      <c r="I446" s="73"/>
    </row>
    <row r="447" spans="1:9" ht="15.75" customHeight="1">
      <c r="A447" s="73"/>
      <c r="B447" s="73"/>
      <c r="C447" s="73"/>
      <c r="D447" s="73"/>
      <c r="E447" s="73"/>
      <c r="F447" s="73"/>
      <c r="G447" s="73"/>
      <c r="I447" s="73"/>
    </row>
    <row r="448" spans="1:9" ht="15.75" customHeight="1">
      <c r="A448" s="73"/>
      <c r="B448" s="73"/>
      <c r="C448" s="73"/>
      <c r="D448" s="73"/>
      <c r="E448" s="73"/>
      <c r="F448" s="73"/>
      <c r="G448" s="73"/>
      <c r="I448" s="73"/>
    </row>
    <row r="449" spans="1:9" ht="15.75" customHeight="1">
      <c r="A449" s="73"/>
      <c r="B449" s="73"/>
      <c r="C449" s="73"/>
      <c r="D449" s="73"/>
      <c r="E449" s="73"/>
      <c r="F449" s="73"/>
      <c r="G449" s="73"/>
      <c r="I449" s="73"/>
    </row>
    <row r="450" spans="1:9" ht="15.75" customHeight="1">
      <c r="A450" s="73"/>
      <c r="B450" s="73"/>
      <c r="C450" s="73"/>
      <c r="D450" s="73"/>
      <c r="E450" s="73"/>
      <c r="F450" s="73"/>
      <c r="G450" s="73"/>
      <c r="I450" s="73"/>
    </row>
    <row r="451" spans="1:9" ht="15.75" customHeight="1">
      <c r="A451" s="73"/>
      <c r="B451" s="73"/>
      <c r="C451" s="73"/>
      <c r="D451" s="73"/>
      <c r="E451" s="73"/>
      <c r="F451" s="73"/>
      <c r="G451" s="73"/>
      <c r="I451" s="73"/>
    </row>
    <row r="452" spans="1:9" ht="15.75" customHeight="1">
      <c r="A452" s="73"/>
      <c r="B452" s="73"/>
      <c r="C452" s="73"/>
      <c r="D452" s="73"/>
      <c r="E452" s="73"/>
      <c r="F452" s="73"/>
      <c r="G452" s="73"/>
      <c r="I452" s="73"/>
    </row>
    <row r="453" spans="1:9" ht="15.75" customHeight="1">
      <c r="A453" s="73"/>
      <c r="B453" s="73"/>
      <c r="C453" s="73"/>
      <c r="D453" s="73"/>
      <c r="E453" s="73"/>
      <c r="F453" s="73"/>
      <c r="G453" s="73"/>
      <c r="I453" s="73"/>
    </row>
    <row r="454" spans="1:9" ht="15.75" customHeight="1">
      <c r="A454" s="73"/>
      <c r="B454" s="73"/>
      <c r="C454" s="73"/>
      <c r="D454" s="73"/>
      <c r="E454" s="73"/>
      <c r="F454" s="73"/>
      <c r="G454" s="73"/>
      <c r="I454" s="73"/>
    </row>
    <row r="455" spans="1:9" ht="15.75" customHeight="1">
      <c r="A455" s="73"/>
      <c r="B455" s="73"/>
      <c r="C455" s="73"/>
      <c r="D455" s="73"/>
      <c r="E455" s="73"/>
      <c r="F455" s="73"/>
      <c r="G455" s="73"/>
      <c r="I455" s="73"/>
    </row>
    <row r="456" spans="1:9" ht="15.75" customHeight="1">
      <c r="A456" s="73"/>
      <c r="B456" s="73"/>
      <c r="C456" s="73"/>
      <c r="D456" s="73"/>
      <c r="E456" s="73"/>
      <c r="F456" s="73"/>
      <c r="G456" s="73"/>
      <c r="I456" s="73"/>
    </row>
    <row r="457" spans="1:9" ht="15.75" customHeight="1">
      <c r="A457" s="73"/>
      <c r="B457" s="73"/>
      <c r="C457" s="73"/>
      <c r="D457" s="73"/>
      <c r="E457" s="73"/>
      <c r="F457" s="73"/>
      <c r="G457" s="73"/>
      <c r="I457" s="73"/>
    </row>
    <row r="458" spans="1:9" ht="15.75" customHeight="1">
      <c r="A458" s="73"/>
      <c r="B458" s="73"/>
      <c r="C458" s="73"/>
      <c r="D458" s="73"/>
      <c r="E458" s="73"/>
      <c r="F458" s="73"/>
      <c r="G458" s="73"/>
      <c r="I458" s="73"/>
    </row>
    <row r="459" spans="1:9" ht="15.75" customHeight="1">
      <c r="A459" s="73"/>
      <c r="B459" s="73"/>
      <c r="C459" s="73"/>
      <c r="D459" s="73"/>
      <c r="E459" s="73"/>
      <c r="F459" s="73"/>
      <c r="G459" s="73"/>
      <c r="I459" s="73"/>
    </row>
    <row r="460" spans="1:9" ht="15.75" customHeight="1">
      <c r="A460" s="73"/>
      <c r="B460" s="73"/>
      <c r="C460" s="73"/>
      <c r="D460" s="73"/>
      <c r="E460" s="73"/>
      <c r="F460" s="73"/>
      <c r="G460" s="73"/>
      <c r="I460" s="73"/>
    </row>
    <row r="461" spans="1:9" ht="15.75" customHeight="1">
      <c r="A461" s="73"/>
      <c r="B461" s="73"/>
      <c r="C461" s="73"/>
      <c r="D461" s="73"/>
      <c r="E461" s="73"/>
      <c r="F461" s="73"/>
      <c r="G461" s="73"/>
      <c r="I461" s="73"/>
    </row>
    <row r="462" spans="1:9" ht="15.75" customHeight="1">
      <c r="A462" s="73"/>
      <c r="B462" s="73"/>
      <c r="C462" s="73"/>
      <c r="D462" s="73"/>
      <c r="E462" s="73"/>
      <c r="F462" s="73"/>
      <c r="G462" s="73"/>
      <c r="I462" s="73"/>
    </row>
    <row r="463" spans="1:9" ht="15.75" customHeight="1">
      <c r="A463" s="73"/>
      <c r="B463" s="73"/>
      <c r="C463" s="73"/>
      <c r="D463" s="73"/>
      <c r="E463" s="73"/>
      <c r="F463" s="73"/>
      <c r="G463" s="73"/>
      <c r="I463" s="73"/>
    </row>
    <row r="464" spans="1:9" ht="15.75" customHeight="1">
      <c r="A464" s="73"/>
      <c r="B464" s="73"/>
      <c r="C464" s="73"/>
      <c r="D464" s="73"/>
      <c r="E464" s="73"/>
      <c r="F464" s="73"/>
      <c r="G464" s="73"/>
      <c r="I464" s="73"/>
    </row>
    <row r="465" spans="1:9" ht="15.75" customHeight="1">
      <c r="A465" s="73"/>
      <c r="B465" s="73"/>
      <c r="C465" s="73"/>
      <c r="D465" s="73"/>
      <c r="E465" s="73"/>
      <c r="F465" s="73"/>
      <c r="G465" s="73"/>
      <c r="I465" s="73"/>
    </row>
    <row r="466" spans="1:9" ht="15.75" customHeight="1">
      <c r="A466" s="73"/>
      <c r="B466" s="73"/>
      <c r="C466" s="73"/>
      <c r="D466" s="73"/>
      <c r="E466" s="73"/>
      <c r="F466" s="73"/>
      <c r="G466" s="73"/>
      <c r="I466" s="73"/>
    </row>
    <row r="467" spans="1:9" ht="15.75" customHeight="1">
      <c r="A467" s="73"/>
      <c r="B467" s="73"/>
      <c r="C467" s="73"/>
      <c r="D467" s="73"/>
      <c r="E467" s="73"/>
      <c r="F467" s="73"/>
      <c r="G467" s="73"/>
      <c r="I467" s="73"/>
    </row>
    <row r="468" spans="1:9" ht="15.75" customHeight="1">
      <c r="A468" s="73"/>
      <c r="B468" s="73"/>
      <c r="C468" s="73"/>
      <c r="D468" s="73"/>
      <c r="E468" s="73"/>
      <c r="F468" s="73"/>
      <c r="G468" s="73"/>
      <c r="I468" s="73"/>
    </row>
    <row r="469" spans="1:9" ht="15.75" customHeight="1">
      <c r="A469" s="73"/>
      <c r="B469" s="73"/>
      <c r="C469" s="73"/>
      <c r="D469" s="73"/>
      <c r="E469" s="73"/>
      <c r="F469" s="73"/>
      <c r="G469" s="73"/>
      <c r="I469" s="73"/>
    </row>
    <row r="470" spans="1:9" ht="15.75" customHeight="1">
      <c r="A470" s="73"/>
      <c r="B470" s="73"/>
      <c r="C470" s="73"/>
      <c r="D470" s="73"/>
      <c r="E470" s="73"/>
      <c r="F470" s="73"/>
      <c r="G470" s="73"/>
      <c r="I470" s="73"/>
    </row>
    <row r="471" spans="1:9" ht="15.75" customHeight="1">
      <c r="A471" s="73"/>
      <c r="B471" s="73"/>
      <c r="C471" s="73"/>
      <c r="D471" s="73"/>
      <c r="E471" s="73"/>
      <c r="F471" s="73"/>
      <c r="G471" s="73"/>
      <c r="I471" s="73"/>
    </row>
    <row r="472" spans="1:9" ht="15.75" customHeight="1">
      <c r="A472" s="73"/>
      <c r="B472" s="73"/>
      <c r="C472" s="73"/>
      <c r="D472" s="73"/>
      <c r="E472" s="73"/>
      <c r="F472" s="73"/>
      <c r="G472" s="73"/>
      <c r="I472" s="73"/>
    </row>
    <row r="473" spans="1:9" ht="15.75" customHeight="1">
      <c r="A473" s="73"/>
      <c r="B473" s="73"/>
      <c r="C473" s="73"/>
      <c r="D473" s="73"/>
      <c r="E473" s="73"/>
      <c r="F473" s="73"/>
      <c r="G473" s="73"/>
      <c r="I473" s="73"/>
    </row>
    <row r="474" spans="1:9" ht="15.75" customHeight="1">
      <c r="A474" s="73"/>
      <c r="B474" s="73"/>
      <c r="C474" s="73"/>
      <c r="D474" s="73"/>
      <c r="E474" s="73"/>
      <c r="F474" s="73"/>
      <c r="G474" s="73"/>
      <c r="I474" s="73"/>
    </row>
    <row r="475" spans="1:9" ht="15.75" customHeight="1">
      <c r="A475" s="73"/>
      <c r="B475" s="73"/>
      <c r="C475" s="73"/>
      <c r="D475" s="73"/>
      <c r="E475" s="73"/>
      <c r="F475" s="73"/>
      <c r="G475" s="73"/>
      <c r="I475" s="73"/>
    </row>
    <row r="476" spans="1:9" ht="15.75" customHeight="1">
      <c r="A476" s="73"/>
      <c r="B476" s="73"/>
      <c r="C476" s="73"/>
      <c r="D476" s="73"/>
      <c r="E476" s="73"/>
      <c r="F476" s="73"/>
      <c r="G476" s="73"/>
      <c r="I476" s="73"/>
    </row>
    <row r="477" spans="1:9" ht="15.75" customHeight="1">
      <c r="A477" s="73"/>
      <c r="B477" s="73"/>
      <c r="C477" s="73"/>
      <c r="D477" s="73"/>
      <c r="E477" s="73"/>
      <c r="F477" s="73"/>
      <c r="G477" s="73"/>
      <c r="I477" s="73"/>
    </row>
    <row r="478" spans="1:9" ht="15.75" customHeight="1">
      <c r="A478" s="73"/>
      <c r="B478" s="73"/>
      <c r="C478" s="73"/>
      <c r="D478" s="73"/>
      <c r="E478" s="73"/>
      <c r="F478" s="73"/>
      <c r="G478" s="73"/>
      <c r="I478" s="73"/>
    </row>
    <row r="479" spans="1:9" ht="15.75" customHeight="1">
      <c r="A479" s="73"/>
      <c r="B479" s="73"/>
      <c r="C479" s="73"/>
      <c r="D479" s="73"/>
      <c r="E479" s="73"/>
      <c r="F479" s="73"/>
      <c r="G479" s="73"/>
      <c r="I479" s="73"/>
    </row>
    <row r="480" spans="1:9" ht="15.75" customHeight="1">
      <c r="A480" s="73"/>
      <c r="B480" s="73"/>
      <c r="C480" s="73"/>
      <c r="D480" s="73"/>
      <c r="E480" s="73"/>
      <c r="F480" s="73"/>
      <c r="G480" s="73"/>
      <c r="I480" s="73"/>
    </row>
    <row r="481" spans="1:9" ht="15.75" customHeight="1">
      <c r="A481" s="73"/>
      <c r="B481" s="73"/>
      <c r="C481" s="73"/>
      <c r="D481" s="73"/>
      <c r="E481" s="73"/>
      <c r="F481" s="73"/>
      <c r="G481" s="73"/>
      <c r="I481" s="73"/>
    </row>
    <row r="482" spans="1:9" ht="15.75" customHeight="1">
      <c r="A482" s="73"/>
      <c r="B482" s="73"/>
      <c r="C482" s="73"/>
      <c r="D482" s="73"/>
      <c r="E482" s="73"/>
      <c r="F482" s="73"/>
      <c r="G482" s="73"/>
      <c r="I482" s="73"/>
    </row>
    <row r="483" spans="1:9" ht="15.75" customHeight="1">
      <c r="A483" s="73"/>
      <c r="B483" s="73"/>
      <c r="C483" s="73"/>
      <c r="D483" s="73"/>
      <c r="E483" s="73"/>
      <c r="F483" s="73"/>
      <c r="G483" s="73"/>
      <c r="I483" s="73"/>
    </row>
    <row r="484" spans="1:9" ht="15.75" customHeight="1">
      <c r="A484" s="73"/>
      <c r="B484" s="73"/>
      <c r="C484" s="73"/>
      <c r="D484" s="73"/>
      <c r="E484" s="73"/>
      <c r="F484" s="73"/>
      <c r="G484" s="73"/>
      <c r="I484" s="73"/>
    </row>
    <row r="485" spans="1:9" ht="15.75" customHeight="1">
      <c r="A485" s="73"/>
      <c r="B485" s="73"/>
      <c r="C485" s="73"/>
      <c r="D485" s="73"/>
      <c r="E485" s="73"/>
      <c r="F485" s="73"/>
      <c r="G485" s="73"/>
      <c r="I485" s="73"/>
    </row>
    <row r="486" spans="1:9" ht="15.75" customHeight="1">
      <c r="A486" s="73"/>
      <c r="B486" s="73"/>
      <c r="C486" s="73"/>
      <c r="D486" s="73"/>
      <c r="E486" s="73"/>
      <c r="F486" s="73"/>
      <c r="G486" s="73"/>
      <c r="I486" s="73"/>
    </row>
    <row r="487" spans="1:9" ht="15.75" customHeight="1">
      <c r="A487" s="73"/>
      <c r="B487" s="73"/>
      <c r="C487" s="73"/>
      <c r="D487" s="73"/>
      <c r="E487" s="73"/>
      <c r="F487" s="73"/>
      <c r="G487" s="73"/>
      <c r="I487" s="73"/>
    </row>
    <row r="488" spans="1:9" ht="15.75" customHeight="1">
      <c r="A488" s="73"/>
      <c r="B488" s="73"/>
      <c r="C488" s="73"/>
      <c r="D488" s="73"/>
      <c r="E488" s="73"/>
      <c r="F488" s="73"/>
      <c r="G488" s="73"/>
      <c r="I488" s="73"/>
    </row>
    <row r="489" spans="1:9" ht="15.75" customHeight="1">
      <c r="A489" s="73"/>
      <c r="B489" s="73"/>
      <c r="C489" s="73"/>
      <c r="D489" s="73"/>
      <c r="E489" s="73"/>
      <c r="F489" s="73"/>
      <c r="G489" s="73"/>
      <c r="I489" s="73"/>
    </row>
    <row r="490" spans="1:9" ht="15.75" customHeight="1">
      <c r="A490" s="73"/>
      <c r="B490" s="73"/>
      <c r="C490" s="73"/>
      <c r="D490" s="73"/>
      <c r="E490" s="73"/>
      <c r="F490" s="73"/>
      <c r="G490" s="73"/>
      <c r="I490" s="73"/>
    </row>
    <row r="491" spans="1:9" ht="15.75" customHeight="1">
      <c r="A491" s="73"/>
      <c r="B491" s="73"/>
      <c r="C491" s="73"/>
      <c r="D491" s="73"/>
      <c r="E491" s="73"/>
      <c r="F491" s="73"/>
      <c r="G491" s="73"/>
      <c r="I491" s="73"/>
    </row>
    <row r="492" spans="1:9" ht="15.75" customHeight="1">
      <c r="A492" s="73"/>
      <c r="B492" s="73"/>
      <c r="C492" s="73"/>
      <c r="D492" s="73"/>
      <c r="E492" s="73"/>
      <c r="F492" s="73"/>
      <c r="G492" s="73"/>
      <c r="I492" s="73"/>
    </row>
    <row r="493" spans="1:9" ht="15.75" customHeight="1">
      <c r="A493" s="73"/>
      <c r="B493" s="73"/>
      <c r="C493" s="73"/>
      <c r="D493" s="73"/>
      <c r="E493" s="73"/>
      <c r="F493" s="73"/>
      <c r="G493" s="73"/>
      <c r="I493" s="73"/>
    </row>
    <row r="494" spans="1:9" ht="15.75" customHeight="1">
      <c r="A494" s="73"/>
      <c r="B494" s="73"/>
      <c r="C494" s="73"/>
      <c r="D494" s="73"/>
      <c r="E494" s="73"/>
      <c r="F494" s="73"/>
      <c r="G494" s="73"/>
      <c r="I494" s="73"/>
    </row>
    <row r="495" spans="1:9" ht="15.75" customHeight="1">
      <c r="A495" s="73"/>
      <c r="B495" s="73"/>
      <c r="C495" s="73"/>
      <c r="D495" s="73"/>
      <c r="E495" s="73"/>
      <c r="F495" s="73"/>
      <c r="G495" s="73"/>
      <c r="I495" s="73"/>
    </row>
    <row r="496" spans="1:9" ht="15.75" customHeight="1">
      <c r="A496" s="73"/>
      <c r="B496" s="73"/>
      <c r="C496" s="73"/>
      <c r="D496" s="73"/>
      <c r="E496" s="73"/>
      <c r="F496" s="73"/>
      <c r="G496" s="73"/>
      <c r="I496" s="73"/>
    </row>
    <row r="497" spans="1:9" ht="15.75" customHeight="1">
      <c r="A497" s="73"/>
      <c r="B497" s="73"/>
      <c r="C497" s="73"/>
      <c r="D497" s="73"/>
      <c r="E497" s="73"/>
      <c r="F497" s="73"/>
      <c r="G497" s="73"/>
      <c r="I497" s="73"/>
    </row>
    <row r="498" spans="1:9" ht="15.75" customHeight="1">
      <c r="A498" s="73"/>
      <c r="B498" s="73"/>
      <c r="C498" s="73"/>
      <c r="D498" s="73"/>
      <c r="E498" s="73"/>
      <c r="F498" s="73"/>
      <c r="G498" s="73"/>
      <c r="I498" s="73"/>
    </row>
    <row r="499" spans="1:9" ht="15.75" customHeight="1">
      <c r="A499" s="73"/>
      <c r="B499" s="73"/>
      <c r="C499" s="73"/>
      <c r="D499" s="73"/>
      <c r="E499" s="73"/>
      <c r="F499" s="73"/>
      <c r="G499" s="73"/>
      <c r="I499" s="73"/>
    </row>
    <row r="500" spans="1:9" ht="15.75" customHeight="1">
      <c r="A500" s="73"/>
      <c r="B500" s="73"/>
      <c r="C500" s="73"/>
      <c r="D500" s="73"/>
      <c r="E500" s="73"/>
      <c r="F500" s="73"/>
      <c r="G500" s="73"/>
      <c r="I500" s="73"/>
    </row>
    <row r="501" spans="1:9" ht="15.75" customHeight="1">
      <c r="A501" s="73"/>
      <c r="B501" s="73"/>
      <c r="C501" s="73"/>
      <c r="D501" s="73"/>
      <c r="E501" s="73"/>
      <c r="F501" s="73"/>
      <c r="G501" s="73"/>
      <c r="I501" s="73"/>
    </row>
    <row r="502" spans="1:9" ht="15.75" customHeight="1">
      <c r="A502" s="73"/>
      <c r="B502" s="73"/>
      <c r="C502" s="73"/>
      <c r="D502" s="73"/>
      <c r="E502" s="73"/>
      <c r="F502" s="73"/>
      <c r="G502" s="73"/>
      <c r="I502" s="73"/>
    </row>
    <row r="503" spans="1:9" ht="15.75" customHeight="1">
      <c r="A503" s="73"/>
      <c r="B503" s="73"/>
      <c r="C503" s="73"/>
      <c r="D503" s="73"/>
      <c r="E503" s="73"/>
      <c r="F503" s="73"/>
      <c r="G503" s="73"/>
      <c r="I503" s="73"/>
    </row>
    <row r="504" spans="1:9" ht="15.75" customHeight="1">
      <c r="A504" s="73"/>
      <c r="B504" s="73"/>
      <c r="C504" s="73"/>
      <c r="D504" s="73"/>
      <c r="E504" s="73"/>
      <c r="F504" s="73"/>
      <c r="G504" s="73"/>
      <c r="I504" s="73"/>
    </row>
    <row r="505" spans="1:9" ht="15.75" customHeight="1">
      <c r="A505" s="73"/>
      <c r="B505" s="73"/>
      <c r="C505" s="73"/>
      <c r="D505" s="73"/>
      <c r="E505" s="73"/>
      <c r="F505" s="73"/>
      <c r="G505" s="73"/>
      <c r="I505" s="73"/>
    </row>
    <row r="506" spans="1:9" ht="15.75" customHeight="1">
      <c r="A506" s="73"/>
      <c r="B506" s="73"/>
      <c r="C506" s="73"/>
      <c r="D506" s="73"/>
      <c r="E506" s="73"/>
      <c r="F506" s="73"/>
      <c r="G506" s="73"/>
      <c r="I506" s="73"/>
    </row>
    <row r="507" spans="1:9" ht="15.75" customHeight="1">
      <c r="A507" s="73"/>
      <c r="B507" s="73"/>
      <c r="C507" s="73"/>
      <c r="D507" s="73"/>
      <c r="E507" s="73"/>
      <c r="F507" s="73"/>
      <c r="G507" s="73"/>
      <c r="I507" s="73"/>
    </row>
    <row r="508" spans="1:9" ht="15.75" customHeight="1">
      <c r="A508" s="73"/>
      <c r="B508" s="73"/>
      <c r="C508" s="73"/>
      <c r="D508" s="73"/>
      <c r="E508" s="73"/>
      <c r="F508" s="73"/>
      <c r="G508" s="73"/>
      <c r="I508" s="73"/>
    </row>
    <row r="509" spans="1:9" ht="15.75" customHeight="1">
      <c r="A509" s="73"/>
      <c r="B509" s="73"/>
      <c r="C509" s="73"/>
      <c r="D509" s="73"/>
      <c r="E509" s="73"/>
      <c r="F509" s="73"/>
      <c r="G509" s="73"/>
      <c r="I509" s="73"/>
    </row>
    <row r="510" spans="1:9" ht="15.75" customHeight="1">
      <c r="A510" s="73"/>
      <c r="B510" s="73"/>
      <c r="C510" s="73"/>
      <c r="D510" s="73"/>
      <c r="E510" s="73"/>
      <c r="F510" s="73"/>
      <c r="G510" s="73"/>
      <c r="I510" s="73"/>
    </row>
    <row r="511" spans="1:9" ht="15.75" customHeight="1">
      <c r="A511" s="73"/>
      <c r="B511" s="73"/>
      <c r="C511" s="73"/>
      <c r="D511" s="73"/>
      <c r="E511" s="73"/>
      <c r="F511" s="73"/>
      <c r="G511" s="73"/>
      <c r="I511" s="73"/>
    </row>
    <row r="512" spans="1:9" ht="15.75" customHeight="1">
      <c r="A512" s="73"/>
      <c r="B512" s="73"/>
      <c r="C512" s="73"/>
      <c r="D512" s="73"/>
      <c r="E512" s="73"/>
      <c r="F512" s="73"/>
      <c r="G512" s="73"/>
      <c r="I512" s="73"/>
    </row>
    <row r="513" spans="1:9" ht="15.75" customHeight="1">
      <c r="A513" s="73"/>
      <c r="B513" s="73"/>
      <c r="C513" s="73"/>
      <c r="D513" s="73"/>
      <c r="E513" s="73"/>
      <c r="F513" s="73"/>
      <c r="G513" s="73"/>
      <c r="I513" s="73"/>
    </row>
    <row r="514" spans="1:9" ht="15.75" customHeight="1">
      <c r="A514" s="73"/>
      <c r="B514" s="73"/>
      <c r="C514" s="73"/>
      <c r="D514" s="73"/>
      <c r="E514" s="73"/>
      <c r="F514" s="73"/>
      <c r="G514" s="73"/>
      <c r="I514" s="73"/>
    </row>
    <row r="515" spans="1:9" ht="15.75" customHeight="1">
      <c r="A515" s="73"/>
      <c r="B515" s="73"/>
      <c r="C515" s="73"/>
      <c r="D515" s="73"/>
      <c r="E515" s="73"/>
      <c r="F515" s="73"/>
      <c r="G515" s="73"/>
      <c r="I515" s="73"/>
    </row>
    <row r="516" spans="1:9" ht="15.75" customHeight="1">
      <c r="A516" s="73"/>
      <c r="B516" s="73"/>
      <c r="C516" s="73"/>
      <c r="D516" s="73"/>
      <c r="E516" s="73"/>
      <c r="F516" s="73"/>
      <c r="G516" s="73"/>
      <c r="I516" s="73"/>
    </row>
    <row r="517" spans="1:9" ht="15.75" customHeight="1">
      <c r="A517" s="73"/>
      <c r="B517" s="73"/>
      <c r="C517" s="73"/>
      <c r="D517" s="73"/>
      <c r="E517" s="73"/>
      <c r="F517" s="73"/>
      <c r="G517" s="73"/>
      <c r="I517" s="73"/>
    </row>
    <row r="518" spans="1:9" ht="15.75" customHeight="1">
      <c r="A518" s="73"/>
      <c r="B518" s="73"/>
      <c r="C518" s="73"/>
      <c r="D518" s="73"/>
      <c r="E518" s="73"/>
      <c r="F518" s="73"/>
      <c r="G518" s="73"/>
      <c r="I518" s="73"/>
    </row>
    <row r="519" spans="1:9" ht="15.75" customHeight="1">
      <c r="A519" s="73"/>
      <c r="B519" s="73"/>
      <c r="C519" s="73"/>
      <c r="D519" s="73"/>
      <c r="E519" s="73"/>
      <c r="F519" s="73"/>
      <c r="G519" s="73"/>
      <c r="I519" s="73"/>
    </row>
    <row r="520" spans="1:9" ht="15.75" customHeight="1">
      <c r="A520" s="73"/>
      <c r="B520" s="73"/>
      <c r="C520" s="73"/>
      <c r="D520" s="73"/>
      <c r="E520" s="73"/>
      <c r="F520" s="73"/>
      <c r="G520" s="73"/>
      <c r="I520" s="73"/>
    </row>
    <row r="521" spans="1:9" ht="15.75" customHeight="1">
      <c r="A521" s="73"/>
      <c r="B521" s="73"/>
      <c r="C521" s="73"/>
      <c r="D521" s="73"/>
      <c r="E521" s="73"/>
      <c r="F521" s="73"/>
      <c r="G521" s="73"/>
      <c r="I521" s="73"/>
    </row>
    <row r="522" spans="1:9" ht="15.75" customHeight="1">
      <c r="A522" s="73"/>
      <c r="B522" s="73"/>
      <c r="C522" s="73"/>
      <c r="D522" s="73"/>
      <c r="E522" s="73"/>
      <c r="F522" s="73"/>
      <c r="G522" s="73"/>
      <c r="I522" s="73"/>
    </row>
    <row r="523" spans="1:9" ht="15.75" customHeight="1">
      <c r="A523" s="73"/>
      <c r="B523" s="73"/>
      <c r="C523" s="73"/>
      <c r="D523" s="73"/>
      <c r="E523" s="73"/>
      <c r="F523" s="73"/>
      <c r="G523" s="73"/>
      <c r="I523" s="73"/>
    </row>
    <row r="524" spans="1:9" ht="15.75" customHeight="1">
      <c r="A524" s="73"/>
      <c r="B524" s="73"/>
      <c r="C524" s="73"/>
      <c r="D524" s="73"/>
      <c r="E524" s="73"/>
      <c r="F524" s="73"/>
      <c r="G524" s="73"/>
      <c r="I524" s="73"/>
    </row>
    <row r="525" spans="1:9" ht="15.75" customHeight="1">
      <c r="A525" s="73"/>
      <c r="B525" s="73"/>
      <c r="C525" s="73"/>
      <c r="D525" s="73"/>
      <c r="E525" s="73"/>
      <c r="F525" s="73"/>
      <c r="G525" s="73"/>
      <c r="I525" s="73"/>
    </row>
    <row r="526" spans="1:9" ht="15.75" customHeight="1">
      <c r="A526" s="73"/>
      <c r="B526" s="73"/>
      <c r="C526" s="73"/>
      <c r="D526" s="73"/>
      <c r="E526" s="73"/>
      <c r="F526" s="73"/>
      <c r="G526" s="73"/>
      <c r="I526" s="73"/>
    </row>
    <row r="527" spans="1:9" ht="15.75" customHeight="1">
      <c r="A527" s="73"/>
      <c r="B527" s="73"/>
      <c r="C527" s="73"/>
      <c r="D527" s="73"/>
      <c r="E527" s="73"/>
      <c r="F527" s="73"/>
      <c r="G527" s="73"/>
      <c r="I527" s="73"/>
    </row>
    <row r="528" spans="1:9" ht="15.75" customHeight="1">
      <c r="A528" s="73"/>
      <c r="B528" s="73"/>
      <c r="C528" s="73"/>
      <c r="D528" s="73"/>
      <c r="E528" s="73"/>
      <c r="F528" s="73"/>
      <c r="G528" s="73"/>
      <c r="I528" s="73"/>
    </row>
    <row r="529" spans="1:9" ht="15.75" customHeight="1">
      <c r="A529" s="73"/>
      <c r="B529" s="73"/>
      <c r="C529" s="73"/>
      <c r="D529" s="73"/>
      <c r="E529" s="73"/>
      <c r="F529" s="73"/>
      <c r="G529" s="73"/>
      <c r="I529" s="73"/>
    </row>
    <row r="530" spans="1:9" ht="15.75" customHeight="1">
      <c r="A530" s="73"/>
      <c r="B530" s="73"/>
      <c r="C530" s="73"/>
      <c r="D530" s="73"/>
      <c r="E530" s="73"/>
      <c r="F530" s="73"/>
      <c r="G530" s="73"/>
      <c r="I530" s="73"/>
    </row>
    <row r="531" spans="1:9" ht="15.75" customHeight="1">
      <c r="A531" s="73"/>
      <c r="B531" s="73"/>
      <c r="C531" s="73"/>
      <c r="D531" s="73"/>
      <c r="E531" s="73"/>
      <c r="F531" s="73"/>
      <c r="G531" s="73"/>
      <c r="I531" s="73"/>
    </row>
    <row r="532" spans="1:9" ht="15.75" customHeight="1">
      <c r="A532" s="73"/>
      <c r="B532" s="73"/>
      <c r="C532" s="73"/>
      <c r="D532" s="73"/>
      <c r="E532" s="73"/>
      <c r="F532" s="73"/>
      <c r="G532" s="73"/>
      <c r="I532" s="73"/>
    </row>
    <row r="533" spans="1:9" ht="15.75" customHeight="1">
      <c r="A533" s="73"/>
      <c r="B533" s="73"/>
      <c r="C533" s="73"/>
      <c r="D533" s="73"/>
      <c r="E533" s="73"/>
      <c r="F533" s="73"/>
      <c r="G533" s="73"/>
      <c r="I533" s="73"/>
    </row>
    <row r="534" spans="1:9" ht="15.75" customHeight="1">
      <c r="A534" s="73"/>
      <c r="B534" s="73"/>
      <c r="C534" s="73"/>
      <c r="D534" s="73"/>
      <c r="E534" s="73"/>
      <c r="F534" s="73"/>
      <c r="G534" s="73"/>
      <c r="I534" s="73"/>
    </row>
    <row r="535" spans="1:9" ht="15.75" customHeight="1">
      <c r="A535" s="73"/>
      <c r="B535" s="73"/>
      <c r="C535" s="73"/>
      <c r="D535" s="73"/>
      <c r="E535" s="73"/>
      <c r="F535" s="73"/>
      <c r="G535" s="73"/>
      <c r="I535" s="73"/>
    </row>
    <row r="536" spans="1:9" ht="15.75" customHeight="1">
      <c r="A536" s="73"/>
      <c r="B536" s="73"/>
      <c r="C536" s="73"/>
      <c r="D536" s="73"/>
      <c r="E536" s="73"/>
      <c r="F536" s="73"/>
      <c r="G536" s="73"/>
      <c r="I536" s="73"/>
    </row>
    <row r="537" spans="1:9" ht="15.75" customHeight="1">
      <c r="A537" s="73"/>
      <c r="B537" s="73"/>
      <c r="C537" s="73"/>
      <c r="D537" s="73"/>
      <c r="E537" s="73"/>
      <c r="F537" s="73"/>
      <c r="G537" s="73"/>
      <c r="I537" s="73"/>
    </row>
    <row r="538" spans="1:9" ht="15.75" customHeight="1">
      <c r="A538" s="73"/>
      <c r="B538" s="73"/>
      <c r="C538" s="73"/>
      <c r="D538" s="73"/>
      <c r="E538" s="73"/>
      <c r="F538" s="73"/>
      <c r="G538" s="73"/>
      <c r="I538" s="73"/>
    </row>
    <row r="539" spans="1:9" ht="15.75" customHeight="1">
      <c r="A539" s="73"/>
      <c r="B539" s="73"/>
      <c r="C539" s="73"/>
      <c r="D539" s="73"/>
      <c r="E539" s="73"/>
      <c r="F539" s="73"/>
      <c r="G539" s="73"/>
      <c r="I539" s="73"/>
    </row>
    <row r="540" spans="1:9" ht="15.75" customHeight="1">
      <c r="A540" s="73"/>
      <c r="B540" s="73"/>
      <c r="C540" s="73"/>
      <c r="D540" s="73"/>
      <c r="E540" s="73"/>
      <c r="F540" s="73"/>
      <c r="G540" s="73"/>
      <c r="I540" s="73"/>
    </row>
    <row r="541" spans="1:9" ht="15.75" customHeight="1">
      <c r="A541" s="73"/>
      <c r="B541" s="73"/>
      <c r="C541" s="73"/>
      <c r="D541" s="73"/>
      <c r="E541" s="73"/>
      <c r="F541" s="73"/>
      <c r="G541" s="73"/>
      <c r="I541" s="73"/>
    </row>
    <row r="542" spans="1:9" ht="15.75" customHeight="1">
      <c r="A542" s="73"/>
      <c r="B542" s="73"/>
      <c r="C542" s="73"/>
      <c r="D542" s="73"/>
      <c r="E542" s="73"/>
      <c r="F542" s="73"/>
      <c r="G542" s="73"/>
      <c r="I542" s="73"/>
    </row>
    <row r="543" spans="1:9" ht="15.75" customHeight="1">
      <c r="A543" s="73"/>
      <c r="B543" s="73"/>
      <c r="C543" s="73"/>
      <c r="D543" s="73"/>
      <c r="E543" s="73"/>
      <c r="F543" s="73"/>
      <c r="G543" s="73"/>
      <c r="I543" s="73"/>
    </row>
    <row r="544" spans="1:9" ht="15.75" customHeight="1">
      <c r="A544" s="73"/>
      <c r="B544" s="73"/>
      <c r="C544" s="73"/>
      <c r="D544" s="73"/>
      <c r="E544" s="73"/>
      <c r="F544" s="73"/>
      <c r="G544" s="73"/>
      <c r="I544" s="73"/>
    </row>
    <row r="545" spans="1:9" ht="15.75" customHeight="1">
      <c r="A545" s="73"/>
      <c r="B545" s="73"/>
      <c r="C545" s="73"/>
      <c r="D545" s="73"/>
      <c r="E545" s="73"/>
      <c r="F545" s="73"/>
      <c r="G545" s="73"/>
      <c r="I545" s="73"/>
    </row>
    <row r="546" spans="1:9" ht="15.75" customHeight="1">
      <c r="A546" s="73"/>
      <c r="B546" s="73"/>
      <c r="C546" s="73"/>
      <c r="D546" s="73"/>
      <c r="E546" s="73"/>
      <c r="F546" s="73"/>
      <c r="G546" s="73"/>
      <c r="I546" s="73"/>
    </row>
    <row r="547" spans="1:9" ht="15.75" customHeight="1">
      <c r="A547" s="73"/>
      <c r="B547" s="73"/>
      <c r="C547" s="73"/>
      <c r="D547" s="73"/>
      <c r="E547" s="73"/>
      <c r="F547" s="73"/>
      <c r="G547" s="73"/>
      <c r="I547" s="73"/>
    </row>
    <row r="548" spans="1:9" ht="15.75" customHeight="1">
      <c r="A548" s="73"/>
      <c r="B548" s="73"/>
      <c r="C548" s="73"/>
      <c r="D548" s="73"/>
      <c r="E548" s="73"/>
      <c r="F548" s="73"/>
      <c r="G548" s="73"/>
      <c r="I548" s="73"/>
    </row>
    <row r="549" spans="1:9" ht="15.75" customHeight="1">
      <c r="A549" s="73"/>
      <c r="B549" s="73"/>
      <c r="C549" s="73"/>
      <c r="D549" s="73"/>
      <c r="E549" s="73"/>
      <c r="F549" s="73"/>
      <c r="G549" s="73"/>
      <c r="I549" s="73"/>
    </row>
    <row r="550" spans="1:9" ht="15.75" customHeight="1">
      <c r="A550" s="73"/>
      <c r="B550" s="73"/>
      <c r="C550" s="73"/>
      <c r="D550" s="73"/>
      <c r="E550" s="73"/>
      <c r="F550" s="73"/>
      <c r="G550" s="73"/>
      <c r="I550" s="73"/>
    </row>
    <row r="551" spans="1:9" ht="15.75" customHeight="1">
      <c r="A551" s="73"/>
      <c r="B551" s="73"/>
      <c r="C551" s="73"/>
      <c r="D551" s="73"/>
      <c r="E551" s="73"/>
      <c r="F551" s="73"/>
      <c r="G551" s="73"/>
      <c r="I551" s="73"/>
    </row>
    <row r="552" spans="1:9" ht="15.75" customHeight="1">
      <c r="A552" s="73"/>
      <c r="B552" s="73"/>
      <c r="C552" s="73"/>
      <c r="D552" s="73"/>
      <c r="E552" s="73"/>
      <c r="F552" s="73"/>
      <c r="G552" s="73"/>
      <c r="I552" s="73"/>
    </row>
    <row r="553" spans="1:9" ht="15.75" customHeight="1">
      <c r="A553" s="73"/>
      <c r="B553" s="73"/>
      <c r="C553" s="73"/>
      <c r="D553" s="73"/>
      <c r="E553" s="73"/>
      <c r="F553" s="73"/>
      <c r="G553" s="73"/>
      <c r="I553" s="73"/>
    </row>
    <row r="554" spans="1:9" ht="15.75" customHeight="1">
      <c r="A554" s="73"/>
      <c r="B554" s="73"/>
      <c r="C554" s="73"/>
      <c r="D554" s="73"/>
      <c r="E554" s="73"/>
      <c r="F554" s="73"/>
      <c r="G554" s="73"/>
      <c r="I554" s="73"/>
    </row>
    <row r="555" spans="1:9" ht="15.75" customHeight="1">
      <c r="A555" s="73"/>
      <c r="B555" s="73"/>
      <c r="C555" s="73"/>
      <c r="D555" s="73"/>
      <c r="E555" s="73"/>
      <c r="F555" s="73"/>
      <c r="G555" s="73"/>
      <c r="I555" s="73"/>
    </row>
    <row r="556" spans="1:9" ht="15.75" customHeight="1">
      <c r="A556" s="73"/>
      <c r="B556" s="73"/>
      <c r="C556" s="73"/>
      <c r="D556" s="73"/>
      <c r="E556" s="73"/>
      <c r="F556" s="73"/>
      <c r="G556" s="73"/>
      <c r="I556" s="73"/>
    </row>
    <row r="557" spans="1:9" ht="15.75" customHeight="1">
      <c r="A557" s="73"/>
      <c r="B557" s="73"/>
      <c r="C557" s="73"/>
      <c r="D557" s="73"/>
      <c r="E557" s="73"/>
      <c r="F557" s="73"/>
      <c r="G557" s="73"/>
      <c r="I557" s="73"/>
    </row>
    <row r="558" spans="1:9" ht="15.75" customHeight="1">
      <c r="A558" s="73"/>
      <c r="B558" s="73"/>
      <c r="C558" s="73"/>
      <c r="D558" s="73"/>
      <c r="E558" s="73"/>
      <c r="F558" s="73"/>
      <c r="G558" s="73"/>
      <c r="I558" s="73"/>
    </row>
    <row r="559" spans="1:9" ht="15.75" customHeight="1">
      <c r="A559" s="73"/>
      <c r="B559" s="73"/>
      <c r="C559" s="73"/>
      <c r="D559" s="73"/>
      <c r="E559" s="73"/>
      <c r="F559" s="73"/>
      <c r="G559" s="73"/>
      <c r="I559" s="73"/>
    </row>
    <row r="560" spans="1:9" ht="15.75" customHeight="1">
      <c r="A560" s="73"/>
      <c r="B560" s="73"/>
      <c r="C560" s="73"/>
      <c r="D560" s="73"/>
      <c r="E560" s="73"/>
      <c r="F560" s="73"/>
      <c r="G560" s="73"/>
      <c r="I560" s="73"/>
    </row>
    <row r="561" spans="1:9" ht="15.75" customHeight="1">
      <c r="A561" s="73"/>
      <c r="B561" s="73"/>
      <c r="C561" s="73"/>
      <c r="D561" s="73"/>
      <c r="E561" s="73"/>
      <c r="F561" s="73"/>
      <c r="G561" s="73"/>
      <c r="I561" s="73"/>
    </row>
    <row r="562" spans="1:9" ht="15.75" customHeight="1">
      <c r="A562" s="73"/>
      <c r="B562" s="73"/>
      <c r="C562" s="73"/>
      <c r="D562" s="73"/>
      <c r="E562" s="73"/>
      <c r="F562" s="73"/>
      <c r="G562" s="73"/>
      <c r="I562" s="73"/>
    </row>
    <row r="563" spans="1:9" ht="15.75" customHeight="1">
      <c r="A563" s="73"/>
      <c r="B563" s="73"/>
      <c r="C563" s="73"/>
      <c r="D563" s="73"/>
      <c r="E563" s="73"/>
      <c r="F563" s="73"/>
      <c r="G563" s="73"/>
      <c r="I563" s="73"/>
    </row>
    <row r="564" spans="1:9" ht="15.75" customHeight="1">
      <c r="A564" s="73"/>
      <c r="B564" s="73"/>
      <c r="C564" s="73"/>
      <c r="D564" s="73"/>
      <c r="E564" s="73"/>
      <c r="F564" s="73"/>
      <c r="G564" s="73"/>
      <c r="I564" s="73"/>
    </row>
    <row r="565" spans="1:9" ht="15.75" customHeight="1">
      <c r="A565" s="73"/>
      <c r="B565" s="73"/>
      <c r="C565" s="73"/>
      <c r="D565" s="73"/>
      <c r="E565" s="73"/>
      <c r="F565" s="73"/>
      <c r="G565" s="73"/>
      <c r="I565" s="73"/>
    </row>
    <row r="566" spans="1:9" ht="15.75" customHeight="1">
      <c r="A566" s="73"/>
      <c r="B566" s="73"/>
      <c r="C566" s="73"/>
      <c r="D566" s="73"/>
      <c r="E566" s="73"/>
      <c r="F566" s="73"/>
      <c r="G566" s="73"/>
      <c r="I566" s="73"/>
    </row>
    <row r="567" spans="1:9" ht="15.75" customHeight="1">
      <c r="A567" s="73"/>
      <c r="B567" s="73"/>
      <c r="C567" s="73"/>
      <c r="D567" s="73"/>
      <c r="E567" s="73"/>
      <c r="F567" s="73"/>
      <c r="G567" s="73"/>
      <c r="I567" s="73"/>
    </row>
    <row r="568" spans="1:9" ht="15.75" customHeight="1">
      <c r="A568" s="73"/>
      <c r="B568" s="73"/>
      <c r="C568" s="73"/>
      <c r="D568" s="73"/>
      <c r="E568" s="73"/>
      <c r="F568" s="73"/>
      <c r="G568" s="73"/>
      <c r="I568" s="73"/>
    </row>
    <row r="569" spans="1:9" ht="15.75" customHeight="1">
      <c r="A569" s="73"/>
      <c r="B569" s="73"/>
      <c r="C569" s="73"/>
      <c r="D569" s="73"/>
      <c r="E569" s="73"/>
      <c r="F569" s="73"/>
      <c r="G569" s="73"/>
      <c r="I569" s="73"/>
    </row>
    <row r="570" spans="1:9" ht="15.75" customHeight="1">
      <c r="A570" s="73"/>
      <c r="B570" s="73"/>
      <c r="C570" s="73"/>
      <c r="D570" s="73"/>
      <c r="E570" s="73"/>
      <c r="F570" s="73"/>
      <c r="G570" s="73"/>
      <c r="I570" s="73"/>
    </row>
    <row r="571" spans="1:9" ht="15.75" customHeight="1">
      <c r="A571" s="73"/>
      <c r="B571" s="73"/>
      <c r="C571" s="73"/>
      <c r="D571" s="73"/>
      <c r="E571" s="73"/>
      <c r="F571" s="73"/>
      <c r="G571" s="73"/>
      <c r="I571" s="73"/>
    </row>
    <row r="572" spans="1:9" ht="15.75" customHeight="1">
      <c r="A572" s="73"/>
      <c r="B572" s="73"/>
      <c r="C572" s="73"/>
      <c r="D572" s="73"/>
      <c r="E572" s="73"/>
      <c r="F572" s="73"/>
      <c r="G572" s="73"/>
      <c r="I572" s="73"/>
    </row>
    <row r="573" spans="1:9" ht="15.75" customHeight="1">
      <c r="A573" s="73"/>
      <c r="B573" s="73"/>
      <c r="C573" s="73"/>
      <c r="D573" s="73"/>
      <c r="E573" s="73"/>
      <c r="F573" s="73"/>
      <c r="G573" s="73"/>
      <c r="I573" s="73"/>
    </row>
    <row r="574" spans="1:9" ht="15.75" customHeight="1">
      <c r="A574" s="73"/>
      <c r="B574" s="73"/>
      <c r="C574" s="73"/>
      <c r="D574" s="73"/>
      <c r="E574" s="73"/>
      <c r="F574" s="73"/>
      <c r="G574" s="73"/>
      <c r="I574" s="73"/>
    </row>
    <row r="575" spans="1:9" ht="15.75" customHeight="1">
      <c r="A575" s="73"/>
      <c r="B575" s="73"/>
      <c r="C575" s="73"/>
      <c r="D575" s="73"/>
      <c r="E575" s="73"/>
      <c r="F575" s="73"/>
      <c r="G575" s="73"/>
      <c r="I575" s="73"/>
    </row>
    <row r="576" spans="1:9" ht="15.75" customHeight="1">
      <c r="A576" s="73"/>
      <c r="B576" s="73"/>
      <c r="C576" s="73"/>
      <c r="D576" s="73"/>
      <c r="E576" s="73"/>
      <c r="F576" s="73"/>
      <c r="G576" s="73"/>
      <c r="I576" s="73"/>
    </row>
    <row r="577" spans="1:9" ht="15.75" customHeight="1">
      <c r="A577" s="73"/>
      <c r="B577" s="73"/>
      <c r="C577" s="73"/>
      <c r="D577" s="73"/>
      <c r="E577" s="73"/>
      <c r="F577" s="73"/>
      <c r="G577" s="73"/>
      <c r="I577" s="73"/>
    </row>
    <row r="578" spans="1:9" ht="15.75" customHeight="1">
      <c r="A578" s="73"/>
      <c r="B578" s="73"/>
      <c r="C578" s="73"/>
      <c r="D578" s="73"/>
      <c r="E578" s="73"/>
      <c r="F578" s="73"/>
      <c r="G578" s="73"/>
      <c r="I578" s="73"/>
    </row>
    <row r="579" spans="1:9" ht="15.75" customHeight="1">
      <c r="A579" s="73"/>
      <c r="B579" s="73"/>
      <c r="C579" s="73"/>
      <c r="D579" s="73"/>
      <c r="E579" s="73"/>
      <c r="F579" s="73"/>
      <c r="G579" s="73"/>
      <c r="I579" s="73"/>
    </row>
    <row r="580" spans="1:9" ht="15.75" customHeight="1">
      <c r="A580" s="73"/>
      <c r="B580" s="73"/>
      <c r="C580" s="73"/>
      <c r="D580" s="73"/>
      <c r="E580" s="73"/>
      <c r="F580" s="73"/>
      <c r="G580" s="73"/>
      <c r="I580" s="73"/>
    </row>
    <row r="581" spans="1:9" ht="15.75" customHeight="1">
      <c r="A581" s="73"/>
      <c r="B581" s="73"/>
      <c r="C581" s="73"/>
      <c r="D581" s="73"/>
      <c r="E581" s="73"/>
      <c r="F581" s="73"/>
      <c r="G581" s="73"/>
      <c r="I581" s="73"/>
    </row>
    <row r="582" spans="1:9" ht="15.75" customHeight="1">
      <c r="A582" s="73"/>
      <c r="B582" s="73"/>
      <c r="C582" s="73"/>
      <c r="D582" s="73"/>
      <c r="E582" s="73"/>
      <c r="F582" s="73"/>
      <c r="G582" s="73"/>
      <c r="I582" s="73"/>
    </row>
    <row r="583" spans="1:9" ht="15.75" customHeight="1">
      <c r="A583" s="73"/>
      <c r="B583" s="73"/>
      <c r="C583" s="73"/>
      <c r="D583" s="73"/>
      <c r="E583" s="73"/>
      <c r="F583" s="73"/>
      <c r="G583" s="73"/>
      <c r="I583" s="73"/>
    </row>
    <row r="584" spans="1:9" ht="15.75" customHeight="1">
      <c r="A584" s="73"/>
      <c r="B584" s="73"/>
      <c r="C584" s="73"/>
      <c r="D584" s="73"/>
      <c r="E584" s="73"/>
      <c r="F584" s="73"/>
      <c r="G584" s="73"/>
      <c r="I584" s="73"/>
    </row>
    <row r="585" spans="1:9" ht="15.75" customHeight="1">
      <c r="A585" s="73"/>
      <c r="B585" s="73"/>
      <c r="C585" s="73"/>
      <c r="D585" s="73"/>
      <c r="E585" s="73"/>
      <c r="F585" s="73"/>
      <c r="G585" s="73"/>
      <c r="I585" s="73"/>
    </row>
    <row r="586" spans="1:9" ht="15.75" customHeight="1">
      <c r="A586" s="73"/>
      <c r="B586" s="73"/>
      <c r="C586" s="73"/>
      <c r="D586" s="73"/>
      <c r="E586" s="73"/>
      <c r="F586" s="73"/>
      <c r="G586" s="73"/>
      <c r="I586" s="73"/>
    </row>
    <row r="587" spans="1:9" ht="15.75" customHeight="1">
      <c r="A587" s="73"/>
      <c r="B587" s="73"/>
      <c r="C587" s="73"/>
      <c r="D587" s="73"/>
      <c r="E587" s="73"/>
      <c r="F587" s="73"/>
      <c r="G587" s="73"/>
      <c r="I587" s="73"/>
    </row>
    <row r="588" spans="1:9" ht="15.75" customHeight="1">
      <c r="A588" s="73"/>
      <c r="B588" s="73"/>
      <c r="C588" s="73"/>
      <c r="D588" s="73"/>
      <c r="E588" s="73"/>
      <c r="F588" s="73"/>
      <c r="G588" s="73"/>
      <c r="I588" s="73"/>
    </row>
    <row r="589" spans="1:9" ht="15.75" customHeight="1">
      <c r="A589" s="73"/>
      <c r="B589" s="73"/>
      <c r="C589" s="73"/>
      <c r="D589" s="73"/>
      <c r="E589" s="73"/>
      <c r="F589" s="73"/>
      <c r="G589" s="73"/>
      <c r="I589" s="73"/>
    </row>
    <row r="590" spans="1:9" ht="15.75" customHeight="1">
      <c r="A590" s="73"/>
      <c r="B590" s="73"/>
      <c r="C590" s="73"/>
      <c r="D590" s="73"/>
      <c r="E590" s="73"/>
      <c r="F590" s="73"/>
      <c r="G590" s="73"/>
      <c r="I590" s="73"/>
    </row>
    <row r="591" spans="1:9" ht="15.75" customHeight="1">
      <c r="A591" s="73"/>
      <c r="B591" s="73"/>
      <c r="C591" s="73"/>
      <c r="D591" s="73"/>
      <c r="E591" s="73"/>
      <c r="F591" s="73"/>
      <c r="G591" s="73"/>
      <c r="I591" s="73"/>
    </row>
    <row r="592" spans="1:9" ht="15.75" customHeight="1">
      <c r="A592" s="73"/>
      <c r="B592" s="73"/>
      <c r="C592" s="73"/>
      <c r="D592" s="73"/>
      <c r="E592" s="73"/>
      <c r="F592" s="73"/>
      <c r="G592" s="73"/>
      <c r="I592" s="73"/>
    </row>
    <row r="593" spans="1:9" ht="15.75" customHeight="1">
      <c r="A593" s="73"/>
      <c r="B593" s="73"/>
      <c r="C593" s="73"/>
      <c r="D593" s="73"/>
      <c r="E593" s="73"/>
      <c r="F593" s="73"/>
      <c r="G593" s="73"/>
      <c r="I593" s="73"/>
    </row>
    <row r="594" spans="1:9" ht="15.75" customHeight="1">
      <c r="A594" s="73"/>
      <c r="B594" s="73"/>
      <c r="C594" s="73"/>
      <c r="D594" s="73"/>
      <c r="E594" s="73"/>
      <c r="F594" s="73"/>
      <c r="G594" s="73"/>
      <c r="I594" s="73"/>
    </row>
    <row r="595" spans="1:9" ht="15.75" customHeight="1">
      <c r="A595" s="73"/>
      <c r="B595" s="73"/>
      <c r="C595" s="73"/>
      <c r="D595" s="73"/>
      <c r="E595" s="73"/>
      <c r="F595" s="73"/>
      <c r="G595" s="73"/>
      <c r="I595" s="73"/>
    </row>
    <row r="596" spans="1:9" ht="15.75" customHeight="1">
      <c r="A596" s="73"/>
      <c r="B596" s="73"/>
      <c r="C596" s="73"/>
      <c r="D596" s="73"/>
      <c r="E596" s="73"/>
      <c r="F596" s="73"/>
      <c r="G596" s="73"/>
      <c r="I596" s="73"/>
    </row>
    <row r="597" spans="1:9" ht="15.75" customHeight="1">
      <c r="A597" s="73"/>
      <c r="B597" s="73"/>
      <c r="C597" s="73"/>
      <c r="D597" s="73"/>
      <c r="E597" s="73"/>
      <c r="F597" s="73"/>
      <c r="G597" s="73"/>
      <c r="I597" s="73"/>
    </row>
    <row r="598" spans="1:9" ht="15.75" customHeight="1">
      <c r="A598" s="73"/>
      <c r="B598" s="73"/>
      <c r="C598" s="73"/>
      <c r="D598" s="73"/>
      <c r="E598" s="73"/>
      <c r="F598" s="73"/>
      <c r="G598" s="73"/>
      <c r="I598" s="73"/>
    </row>
    <row r="599" spans="1:9" ht="15.75" customHeight="1">
      <c r="A599" s="73"/>
      <c r="B599" s="73"/>
      <c r="C599" s="73"/>
      <c r="D599" s="73"/>
      <c r="E599" s="73"/>
      <c r="F599" s="73"/>
      <c r="G599" s="73"/>
      <c r="I599" s="73"/>
    </row>
    <row r="600" spans="1:9" ht="15.75" customHeight="1">
      <c r="A600" s="73"/>
      <c r="B600" s="73"/>
      <c r="C600" s="73"/>
      <c r="D600" s="73"/>
      <c r="E600" s="73"/>
      <c r="F600" s="73"/>
      <c r="G600" s="73"/>
      <c r="I600" s="73"/>
    </row>
    <row r="601" spans="1:9" ht="15.75" customHeight="1">
      <c r="A601" s="73"/>
      <c r="B601" s="73"/>
      <c r="C601" s="73"/>
      <c r="D601" s="73"/>
      <c r="E601" s="73"/>
      <c r="F601" s="73"/>
      <c r="G601" s="73"/>
      <c r="I601" s="73"/>
    </row>
    <row r="602" spans="1:9" ht="15.75" customHeight="1">
      <c r="A602" s="73"/>
      <c r="B602" s="73"/>
      <c r="C602" s="73"/>
      <c r="D602" s="73"/>
      <c r="E602" s="73"/>
      <c r="F602" s="73"/>
      <c r="G602" s="73"/>
      <c r="I602" s="73"/>
    </row>
    <row r="603" spans="1:9" ht="15.75" customHeight="1">
      <c r="A603" s="73"/>
      <c r="B603" s="73"/>
      <c r="C603" s="73"/>
      <c r="D603" s="73"/>
      <c r="E603" s="73"/>
      <c r="F603" s="73"/>
      <c r="G603" s="73"/>
      <c r="I603" s="73"/>
    </row>
    <row r="604" spans="1:9" ht="15.75" customHeight="1">
      <c r="A604" s="73"/>
      <c r="B604" s="73"/>
      <c r="C604" s="73"/>
      <c r="D604" s="73"/>
      <c r="E604" s="73"/>
      <c r="F604" s="73"/>
      <c r="G604" s="73"/>
      <c r="I604" s="73"/>
    </row>
    <row r="605" spans="1:9" ht="15.75" customHeight="1">
      <c r="A605" s="73"/>
      <c r="B605" s="73"/>
      <c r="C605" s="73"/>
      <c r="D605" s="73"/>
      <c r="E605" s="73"/>
      <c r="F605" s="73"/>
      <c r="G605" s="73"/>
      <c r="I605" s="73"/>
    </row>
    <row r="606" spans="1:9" ht="15.75" customHeight="1">
      <c r="A606" s="73"/>
      <c r="B606" s="73"/>
      <c r="C606" s="73"/>
      <c r="D606" s="73"/>
      <c r="E606" s="73"/>
      <c r="F606" s="73"/>
      <c r="G606" s="73"/>
      <c r="I606" s="73"/>
    </row>
    <row r="607" spans="1:9" ht="15.75" customHeight="1">
      <c r="A607" s="73"/>
      <c r="B607" s="73"/>
      <c r="C607" s="73"/>
      <c r="D607" s="73"/>
      <c r="E607" s="73"/>
      <c r="F607" s="73"/>
      <c r="G607" s="73"/>
      <c r="I607" s="73"/>
    </row>
    <row r="608" spans="1:9" ht="15.75" customHeight="1">
      <c r="A608" s="73"/>
      <c r="B608" s="73"/>
      <c r="C608" s="73"/>
      <c r="D608" s="73"/>
      <c r="E608" s="73"/>
      <c r="F608" s="73"/>
      <c r="G608" s="73"/>
      <c r="I608" s="73"/>
    </row>
    <row r="609" spans="1:9" ht="15.75" customHeight="1">
      <c r="A609" s="73"/>
      <c r="B609" s="73"/>
      <c r="C609" s="73"/>
      <c r="D609" s="73"/>
      <c r="E609" s="73"/>
      <c r="F609" s="73"/>
      <c r="G609" s="73"/>
      <c r="I609" s="73"/>
    </row>
    <row r="610" spans="1:9" ht="15.75" customHeight="1">
      <c r="A610" s="73"/>
      <c r="B610" s="73"/>
      <c r="C610" s="73"/>
      <c r="D610" s="73"/>
      <c r="E610" s="73"/>
      <c r="F610" s="73"/>
      <c r="G610" s="73"/>
      <c r="I610" s="73"/>
    </row>
    <row r="611" spans="1:9" ht="15.75" customHeight="1">
      <c r="A611" s="73"/>
      <c r="B611" s="73"/>
      <c r="C611" s="73"/>
      <c r="D611" s="73"/>
      <c r="E611" s="73"/>
      <c r="F611" s="73"/>
      <c r="G611" s="73"/>
      <c r="I611" s="73"/>
    </row>
    <row r="612" spans="1:9" ht="15.75" customHeight="1">
      <c r="A612" s="73"/>
      <c r="B612" s="73"/>
      <c r="C612" s="73"/>
      <c r="D612" s="73"/>
      <c r="E612" s="73"/>
      <c r="F612" s="73"/>
      <c r="G612" s="73"/>
      <c r="I612" s="73"/>
    </row>
    <row r="613" spans="1:9" ht="15.75" customHeight="1">
      <c r="A613" s="73"/>
      <c r="B613" s="73"/>
      <c r="C613" s="73"/>
      <c r="D613" s="73"/>
      <c r="E613" s="73"/>
      <c r="F613" s="73"/>
      <c r="G613" s="73"/>
      <c r="I613" s="73"/>
    </row>
    <row r="614" spans="1:9" ht="15.75" customHeight="1">
      <c r="A614" s="73"/>
      <c r="B614" s="73"/>
      <c r="C614" s="73"/>
      <c r="D614" s="73"/>
      <c r="E614" s="73"/>
      <c r="F614" s="73"/>
      <c r="G614" s="73"/>
      <c r="I614" s="73"/>
    </row>
    <row r="615" spans="1:9" ht="15.75" customHeight="1">
      <c r="A615" s="73"/>
      <c r="B615" s="73"/>
      <c r="C615" s="73"/>
      <c r="D615" s="73"/>
      <c r="E615" s="73"/>
      <c r="F615" s="73"/>
      <c r="G615" s="73"/>
      <c r="I615" s="73"/>
    </row>
    <row r="616" spans="1:9" ht="15.75" customHeight="1">
      <c r="A616" s="73"/>
      <c r="B616" s="73"/>
      <c r="C616" s="73"/>
      <c r="D616" s="73"/>
      <c r="E616" s="73"/>
      <c r="F616" s="73"/>
      <c r="G616" s="73"/>
      <c r="I616" s="73"/>
    </row>
    <row r="617" spans="1:9" ht="15.75" customHeight="1">
      <c r="A617" s="73"/>
      <c r="B617" s="73"/>
      <c r="C617" s="73"/>
      <c r="D617" s="73"/>
      <c r="E617" s="73"/>
      <c r="F617" s="73"/>
      <c r="G617" s="73"/>
      <c r="I617" s="73"/>
    </row>
    <row r="618" spans="1:9" ht="15.75" customHeight="1">
      <c r="A618" s="73"/>
      <c r="B618" s="73"/>
      <c r="C618" s="73"/>
      <c r="D618" s="73"/>
      <c r="E618" s="73"/>
      <c r="F618" s="73"/>
      <c r="G618" s="73"/>
      <c r="I618" s="73"/>
    </row>
    <row r="619" spans="1:9" ht="15.75" customHeight="1">
      <c r="A619" s="73"/>
      <c r="B619" s="73"/>
      <c r="C619" s="73"/>
      <c r="D619" s="73"/>
      <c r="E619" s="73"/>
      <c r="F619" s="73"/>
      <c r="G619" s="73"/>
      <c r="I619" s="73"/>
    </row>
    <row r="620" spans="1:9" ht="15.75" customHeight="1">
      <c r="A620" s="73"/>
      <c r="B620" s="73"/>
      <c r="C620" s="73"/>
      <c r="D620" s="73"/>
      <c r="E620" s="73"/>
      <c r="F620" s="73"/>
      <c r="G620" s="73"/>
      <c r="I620" s="73"/>
    </row>
    <row r="621" spans="1:9" ht="15.75" customHeight="1">
      <c r="A621" s="73"/>
      <c r="B621" s="73"/>
      <c r="C621" s="73"/>
      <c r="D621" s="73"/>
      <c r="E621" s="73"/>
      <c r="F621" s="73"/>
      <c r="G621" s="73"/>
      <c r="I621" s="73"/>
    </row>
    <row r="622" spans="1:9" ht="15.75" customHeight="1">
      <c r="A622" s="73"/>
      <c r="B622" s="73"/>
      <c r="C622" s="73"/>
      <c r="D622" s="73"/>
      <c r="E622" s="73"/>
      <c r="F622" s="73"/>
      <c r="G622" s="73"/>
      <c r="I622" s="73"/>
    </row>
    <row r="623" spans="1:9" ht="15.75" customHeight="1">
      <c r="A623" s="73"/>
      <c r="B623" s="73"/>
      <c r="C623" s="73"/>
      <c r="D623" s="73"/>
      <c r="E623" s="73"/>
      <c r="F623" s="73"/>
      <c r="G623" s="73"/>
      <c r="I623" s="73"/>
    </row>
    <row r="624" spans="1:9" ht="15.75" customHeight="1">
      <c r="A624" s="73"/>
      <c r="B624" s="73"/>
      <c r="C624" s="73"/>
      <c r="D624" s="73"/>
      <c r="E624" s="73"/>
      <c r="F624" s="73"/>
      <c r="G624" s="73"/>
      <c r="I624" s="73"/>
    </row>
    <row r="625" spans="1:9" ht="15.75" customHeight="1">
      <c r="A625" s="73"/>
      <c r="B625" s="73"/>
      <c r="C625" s="73"/>
      <c r="D625" s="73"/>
      <c r="E625" s="73"/>
      <c r="F625" s="73"/>
      <c r="G625" s="73"/>
      <c r="I625" s="73"/>
    </row>
    <row r="626" spans="1:9" ht="15.75" customHeight="1">
      <c r="A626" s="73"/>
      <c r="B626" s="73"/>
      <c r="C626" s="73"/>
      <c r="D626" s="73"/>
      <c r="E626" s="73"/>
      <c r="F626" s="73"/>
      <c r="G626" s="73"/>
      <c r="I626" s="73"/>
    </row>
    <row r="627" spans="1:9" ht="15.75" customHeight="1">
      <c r="A627" s="73"/>
      <c r="B627" s="73"/>
      <c r="C627" s="73"/>
      <c r="D627" s="73"/>
      <c r="E627" s="73"/>
      <c r="F627" s="73"/>
      <c r="G627" s="73"/>
      <c r="I627" s="73"/>
    </row>
    <row r="628" spans="1:9" ht="15.75" customHeight="1">
      <c r="A628" s="73"/>
      <c r="B628" s="73"/>
      <c r="C628" s="73"/>
      <c r="D628" s="73"/>
      <c r="E628" s="73"/>
      <c r="F628" s="73"/>
      <c r="G628" s="73"/>
      <c r="I628" s="73"/>
    </row>
    <row r="629" spans="1:9" ht="15.75" customHeight="1">
      <c r="A629" s="73"/>
      <c r="B629" s="73"/>
      <c r="C629" s="73"/>
      <c r="D629" s="73"/>
      <c r="E629" s="73"/>
      <c r="F629" s="73"/>
      <c r="G629" s="73"/>
      <c r="I629" s="73"/>
    </row>
    <row r="630" spans="1:9" ht="15.75" customHeight="1">
      <c r="A630" s="73"/>
      <c r="B630" s="73"/>
      <c r="C630" s="73"/>
      <c r="D630" s="73"/>
      <c r="E630" s="73"/>
      <c r="F630" s="73"/>
      <c r="G630" s="73"/>
      <c r="I630" s="73"/>
    </row>
    <row r="631" spans="1:9" ht="15.75" customHeight="1">
      <c r="A631" s="73"/>
      <c r="B631" s="73"/>
      <c r="C631" s="73"/>
      <c r="D631" s="73"/>
      <c r="E631" s="73"/>
      <c r="F631" s="73"/>
      <c r="G631" s="73"/>
      <c r="I631" s="73"/>
    </row>
    <row r="632" spans="1:9" ht="15.75" customHeight="1">
      <c r="A632" s="73"/>
      <c r="B632" s="73"/>
      <c r="C632" s="73"/>
      <c r="D632" s="73"/>
      <c r="E632" s="73"/>
      <c r="F632" s="73"/>
      <c r="G632" s="73"/>
      <c r="I632" s="73"/>
    </row>
    <row r="633" spans="1:9" ht="15.75" customHeight="1">
      <c r="A633" s="73"/>
      <c r="B633" s="73"/>
      <c r="C633" s="73"/>
      <c r="D633" s="73"/>
      <c r="E633" s="73"/>
      <c r="F633" s="73"/>
      <c r="G633" s="73"/>
      <c r="I633" s="73"/>
    </row>
    <row r="634" spans="1:9" ht="15.75" customHeight="1">
      <c r="A634" s="73"/>
      <c r="B634" s="73"/>
      <c r="C634" s="73"/>
      <c r="D634" s="73"/>
      <c r="E634" s="73"/>
      <c r="F634" s="73"/>
      <c r="G634" s="73"/>
      <c r="I634" s="73"/>
    </row>
    <row r="635" spans="1:9" ht="15.75" customHeight="1">
      <c r="A635" s="73"/>
      <c r="B635" s="73"/>
      <c r="C635" s="73"/>
      <c r="D635" s="73"/>
      <c r="E635" s="73"/>
      <c r="F635" s="73"/>
      <c r="G635" s="73"/>
      <c r="I635" s="73"/>
    </row>
    <row r="636" spans="1:9" ht="15.75" customHeight="1">
      <c r="A636" s="73"/>
      <c r="B636" s="73"/>
      <c r="C636" s="73"/>
      <c r="D636" s="73"/>
      <c r="E636" s="73"/>
      <c r="F636" s="73"/>
      <c r="G636" s="73"/>
      <c r="I636" s="73"/>
    </row>
    <row r="637" spans="1:9" ht="15.75" customHeight="1">
      <c r="A637" s="73"/>
      <c r="B637" s="73"/>
      <c r="C637" s="73"/>
      <c r="D637" s="73"/>
      <c r="E637" s="73"/>
      <c r="F637" s="73"/>
      <c r="G637" s="73"/>
      <c r="I637" s="73"/>
    </row>
    <row r="638" spans="1:9" ht="15.75" customHeight="1">
      <c r="A638" s="73"/>
      <c r="B638" s="73"/>
      <c r="C638" s="73"/>
      <c r="D638" s="73"/>
      <c r="E638" s="73"/>
      <c r="F638" s="73"/>
      <c r="G638" s="73"/>
      <c r="I638" s="73"/>
    </row>
    <row r="639" spans="1:9" ht="15.75" customHeight="1">
      <c r="A639" s="73"/>
      <c r="B639" s="73"/>
      <c r="C639" s="73"/>
      <c r="D639" s="73"/>
      <c r="E639" s="73"/>
      <c r="F639" s="73"/>
      <c r="G639" s="73"/>
      <c r="I639" s="73"/>
    </row>
    <row r="640" spans="1:9" ht="15.75" customHeight="1">
      <c r="A640" s="73"/>
      <c r="B640" s="73"/>
      <c r="C640" s="73"/>
      <c r="D640" s="73"/>
      <c r="E640" s="73"/>
      <c r="F640" s="73"/>
      <c r="G640" s="73"/>
      <c r="I640" s="73"/>
    </row>
    <row r="641" spans="1:9" ht="15.75" customHeight="1">
      <c r="A641" s="73"/>
      <c r="B641" s="73"/>
      <c r="C641" s="73"/>
      <c r="D641" s="73"/>
      <c r="E641" s="73"/>
      <c r="F641" s="73"/>
      <c r="G641" s="73"/>
      <c r="I641" s="73"/>
    </row>
    <row r="642" spans="1:9" ht="15.75" customHeight="1">
      <c r="A642" s="73"/>
      <c r="B642" s="73"/>
      <c r="C642" s="73"/>
      <c r="D642" s="73"/>
      <c r="E642" s="73"/>
      <c r="F642" s="73"/>
      <c r="G642" s="73"/>
      <c r="I642" s="73"/>
    </row>
    <row r="643" spans="1:9" ht="15.75" customHeight="1">
      <c r="A643" s="73"/>
      <c r="B643" s="73"/>
      <c r="C643" s="73"/>
      <c r="D643" s="73"/>
      <c r="E643" s="73"/>
      <c r="F643" s="73"/>
      <c r="G643" s="73"/>
      <c r="I643" s="73"/>
    </row>
    <row r="644" spans="1:9" ht="15.75" customHeight="1">
      <c r="A644" s="73"/>
      <c r="B644" s="73"/>
      <c r="C644" s="73"/>
      <c r="D644" s="73"/>
      <c r="E644" s="73"/>
      <c r="F644" s="73"/>
      <c r="G644" s="73"/>
      <c r="I644" s="73"/>
    </row>
    <row r="645" spans="1:9" ht="15.75" customHeight="1">
      <c r="A645" s="73"/>
      <c r="B645" s="73"/>
      <c r="C645" s="73"/>
      <c r="D645" s="73"/>
      <c r="E645" s="73"/>
      <c r="F645" s="73"/>
      <c r="G645" s="73"/>
      <c r="I645" s="73"/>
    </row>
    <row r="646" spans="1:9" ht="15.75" customHeight="1">
      <c r="A646" s="73"/>
      <c r="B646" s="73"/>
      <c r="C646" s="73"/>
      <c r="D646" s="73"/>
      <c r="E646" s="73"/>
      <c r="F646" s="73"/>
      <c r="G646" s="73"/>
      <c r="I646" s="73"/>
    </row>
    <row r="647" spans="1:9" ht="15.75" customHeight="1">
      <c r="A647" s="73"/>
      <c r="B647" s="73"/>
      <c r="C647" s="73"/>
      <c r="D647" s="73"/>
      <c r="E647" s="73"/>
      <c r="F647" s="73"/>
      <c r="G647" s="73"/>
      <c r="I647" s="73"/>
    </row>
    <row r="648" spans="1:9" ht="15.75" customHeight="1">
      <c r="A648" s="73"/>
      <c r="B648" s="73"/>
      <c r="C648" s="73"/>
      <c r="D648" s="73"/>
      <c r="E648" s="73"/>
      <c r="F648" s="73"/>
      <c r="G648" s="73"/>
      <c r="I648" s="73"/>
    </row>
    <row r="649" spans="1:9" ht="15.75" customHeight="1">
      <c r="A649" s="73"/>
      <c r="B649" s="73"/>
      <c r="C649" s="73"/>
      <c r="D649" s="73"/>
      <c r="E649" s="73"/>
      <c r="F649" s="73"/>
      <c r="G649" s="73"/>
      <c r="I649" s="73"/>
    </row>
    <row r="650" spans="1:9" ht="15.75" customHeight="1">
      <c r="A650" s="73"/>
      <c r="B650" s="73"/>
      <c r="C650" s="73"/>
      <c r="D650" s="73"/>
      <c r="E650" s="73"/>
      <c r="F650" s="73"/>
      <c r="G650" s="73"/>
      <c r="I650" s="73"/>
    </row>
    <row r="651" spans="1:9" ht="15.75" customHeight="1">
      <c r="A651" s="73"/>
      <c r="B651" s="73"/>
      <c r="C651" s="73"/>
      <c r="D651" s="73"/>
      <c r="E651" s="73"/>
      <c r="F651" s="73"/>
      <c r="G651" s="73"/>
      <c r="I651" s="73"/>
    </row>
    <row r="652" spans="1:9" ht="15.75" customHeight="1">
      <c r="A652" s="73"/>
      <c r="B652" s="73"/>
      <c r="C652" s="73"/>
      <c r="D652" s="73"/>
      <c r="E652" s="73"/>
      <c r="F652" s="73"/>
      <c r="G652" s="73"/>
      <c r="I652" s="73"/>
    </row>
    <row r="653" spans="1:9" ht="15.75" customHeight="1">
      <c r="A653" s="73"/>
      <c r="B653" s="73"/>
      <c r="C653" s="73"/>
      <c r="D653" s="73"/>
      <c r="E653" s="73"/>
      <c r="F653" s="73"/>
      <c r="G653" s="73"/>
      <c r="I653" s="73"/>
    </row>
    <row r="654" spans="1:9" ht="15.75" customHeight="1">
      <c r="A654" s="73"/>
      <c r="B654" s="73"/>
      <c r="C654" s="73"/>
      <c r="D654" s="73"/>
      <c r="E654" s="73"/>
      <c r="F654" s="73"/>
      <c r="G654" s="73"/>
      <c r="I654" s="73"/>
    </row>
    <row r="655" spans="1:9" ht="15.75" customHeight="1">
      <c r="A655" s="73"/>
      <c r="B655" s="73"/>
      <c r="C655" s="73"/>
      <c r="D655" s="73"/>
      <c r="E655" s="73"/>
      <c r="F655" s="73"/>
      <c r="G655" s="73"/>
      <c r="I655" s="73"/>
    </row>
    <row r="656" spans="1:9" ht="15.75" customHeight="1">
      <c r="A656" s="73"/>
      <c r="B656" s="73"/>
      <c r="C656" s="73"/>
      <c r="D656" s="73"/>
      <c r="E656" s="73"/>
      <c r="F656" s="73"/>
      <c r="G656" s="73"/>
      <c r="I656" s="73"/>
    </row>
    <row r="657" spans="1:9" ht="15.75" customHeight="1">
      <c r="A657" s="73"/>
      <c r="B657" s="73"/>
      <c r="C657" s="73"/>
      <c r="D657" s="73"/>
      <c r="E657" s="73"/>
      <c r="F657" s="73"/>
      <c r="G657" s="73"/>
      <c r="I657" s="73"/>
    </row>
    <row r="658" spans="1:9" ht="15.75" customHeight="1">
      <c r="A658" s="73"/>
      <c r="B658" s="73"/>
      <c r="C658" s="73"/>
      <c r="D658" s="73"/>
      <c r="E658" s="73"/>
      <c r="F658" s="73"/>
      <c r="G658" s="73"/>
      <c r="I658" s="73"/>
    </row>
    <row r="659" spans="1:9" ht="15.75" customHeight="1">
      <c r="A659" s="73"/>
      <c r="B659" s="73"/>
      <c r="C659" s="73"/>
      <c r="D659" s="73"/>
      <c r="E659" s="73"/>
      <c r="F659" s="73"/>
      <c r="G659" s="73"/>
      <c r="I659" s="73"/>
    </row>
    <row r="660" spans="1:9" ht="15.75" customHeight="1">
      <c r="A660" s="73"/>
      <c r="B660" s="73"/>
      <c r="C660" s="73"/>
      <c r="D660" s="73"/>
      <c r="E660" s="73"/>
      <c r="F660" s="73"/>
      <c r="G660" s="73"/>
      <c r="I660" s="73"/>
    </row>
    <row r="661" spans="1:9" ht="15.75" customHeight="1">
      <c r="A661" s="73"/>
      <c r="B661" s="73"/>
      <c r="C661" s="73"/>
      <c r="D661" s="73"/>
      <c r="E661" s="73"/>
      <c r="F661" s="73"/>
      <c r="G661" s="73"/>
      <c r="I661" s="73"/>
    </row>
    <row r="662" spans="1:9" ht="15.75" customHeight="1">
      <c r="A662" s="73"/>
      <c r="B662" s="73"/>
      <c r="C662" s="73"/>
      <c r="D662" s="73"/>
      <c r="E662" s="73"/>
      <c r="F662" s="73"/>
      <c r="G662" s="73"/>
      <c r="I662" s="73"/>
    </row>
    <row r="663" spans="1:9" ht="15.75" customHeight="1">
      <c r="A663" s="73"/>
      <c r="B663" s="73"/>
      <c r="C663" s="73"/>
      <c r="D663" s="73"/>
      <c r="E663" s="73"/>
      <c r="F663" s="73"/>
      <c r="G663" s="73"/>
      <c r="I663" s="73"/>
    </row>
    <row r="664" spans="1:9" ht="15.75" customHeight="1">
      <c r="A664" s="73"/>
      <c r="B664" s="73"/>
      <c r="C664" s="73"/>
      <c r="D664" s="73"/>
      <c r="E664" s="73"/>
      <c r="F664" s="73"/>
      <c r="G664" s="73"/>
      <c r="I664" s="73"/>
    </row>
    <row r="665" spans="1:9" ht="15.75" customHeight="1">
      <c r="A665" s="73"/>
      <c r="B665" s="73"/>
      <c r="C665" s="73"/>
      <c r="D665" s="73"/>
      <c r="E665" s="73"/>
      <c r="F665" s="73"/>
      <c r="G665" s="73"/>
      <c r="I665" s="73"/>
    </row>
    <row r="666" spans="1:9" ht="15.75" customHeight="1">
      <c r="A666" s="73"/>
      <c r="B666" s="73"/>
      <c r="C666" s="73"/>
      <c r="D666" s="73"/>
      <c r="E666" s="73"/>
      <c r="F666" s="73"/>
      <c r="G666" s="73"/>
      <c r="I666" s="73"/>
    </row>
    <row r="667" spans="1:9" ht="15.75" customHeight="1">
      <c r="A667" s="73"/>
      <c r="B667" s="73"/>
      <c r="C667" s="73"/>
      <c r="D667" s="73"/>
      <c r="E667" s="73"/>
      <c r="F667" s="73"/>
      <c r="G667" s="73"/>
      <c r="I667" s="73"/>
    </row>
    <row r="668" spans="1:9" ht="15.75" customHeight="1">
      <c r="A668" s="73"/>
      <c r="B668" s="73"/>
      <c r="C668" s="73"/>
      <c r="D668" s="73"/>
      <c r="E668" s="73"/>
      <c r="F668" s="73"/>
      <c r="G668" s="73"/>
      <c r="I668" s="73"/>
    </row>
    <row r="669" spans="1:9" ht="15.75" customHeight="1">
      <c r="A669" s="73"/>
      <c r="B669" s="73"/>
      <c r="C669" s="73"/>
      <c r="D669" s="73"/>
      <c r="E669" s="73"/>
      <c r="F669" s="73"/>
      <c r="G669" s="73"/>
      <c r="I669" s="73"/>
    </row>
    <row r="670" spans="1:9" ht="15.75" customHeight="1">
      <c r="A670" s="73"/>
      <c r="B670" s="73"/>
      <c r="C670" s="73"/>
      <c r="D670" s="73"/>
      <c r="E670" s="73"/>
      <c r="F670" s="73"/>
      <c r="G670" s="73"/>
      <c r="I670" s="73"/>
    </row>
    <row r="671" spans="1:9" ht="15.75" customHeight="1">
      <c r="A671" s="73"/>
      <c r="B671" s="73"/>
      <c r="C671" s="73"/>
      <c r="D671" s="73"/>
      <c r="E671" s="73"/>
      <c r="F671" s="73"/>
      <c r="G671" s="73"/>
      <c r="I671" s="73"/>
    </row>
    <row r="672" spans="1:9" ht="15.75" customHeight="1">
      <c r="A672" s="73"/>
      <c r="B672" s="73"/>
      <c r="C672" s="73"/>
      <c r="D672" s="73"/>
      <c r="E672" s="73"/>
      <c r="F672" s="73"/>
      <c r="G672" s="73"/>
      <c r="I672" s="73"/>
    </row>
    <row r="673" spans="1:9" ht="15.75" customHeight="1">
      <c r="A673" s="73"/>
      <c r="B673" s="73"/>
      <c r="C673" s="73"/>
      <c r="D673" s="73"/>
      <c r="E673" s="73"/>
      <c r="F673" s="73"/>
      <c r="G673" s="73"/>
      <c r="I673" s="73"/>
    </row>
    <row r="674" spans="1:9" ht="15.75" customHeight="1">
      <c r="A674" s="73"/>
      <c r="B674" s="73"/>
      <c r="C674" s="73"/>
      <c r="D674" s="73"/>
      <c r="E674" s="73"/>
      <c r="F674" s="73"/>
      <c r="G674" s="73"/>
      <c r="I674" s="73"/>
    </row>
    <row r="675" spans="1:9" ht="15.75" customHeight="1">
      <c r="A675" s="73"/>
      <c r="B675" s="73"/>
      <c r="C675" s="73"/>
      <c r="D675" s="73"/>
      <c r="E675" s="73"/>
      <c r="F675" s="73"/>
      <c r="G675" s="73"/>
      <c r="I675" s="73"/>
    </row>
    <row r="676" spans="1:9" ht="15.75" customHeight="1">
      <c r="A676" s="73"/>
      <c r="B676" s="73"/>
      <c r="C676" s="73"/>
      <c r="D676" s="73"/>
      <c r="E676" s="73"/>
      <c r="F676" s="73"/>
      <c r="G676" s="73"/>
      <c r="I676" s="73"/>
    </row>
    <row r="677" spans="1:9" ht="15.75" customHeight="1">
      <c r="A677" s="73"/>
      <c r="B677" s="73"/>
      <c r="C677" s="73"/>
      <c r="D677" s="73"/>
      <c r="E677" s="73"/>
      <c r="F677" s="73"/>
      <c r="G677" s="73"/>
      <c r="I677" s="73"/>
    </row>
    <row r="678" spans="1:9" ht="15.75" customHeight="1">
      <c r="A678" s="73"/>
      <c r="B678" s="73"/>
      <c r="C678" s="73"/>
      <c r="D678" s="73"/>
      <c r="E678" s="73"/>
      <c r="F678" s="73"/>
      <c r="G678" s="73"/>
      <c r="I678" s="73"/>
    </row>
    <row r="679" spans="1:9" ht="15.75" customHeight="1">
      <c r="A679" s="73"/>
      <c r="B679" s="73"/>
      <c r="C679" s="73"/>
      <c r="D679" s="73"/>
      <c r="E679" s="73"/>
      <c r="F679" s="73"/>
      <c r="G679" s="73"/>
      <c r="I679" s="73"/>
    </row>
    <row r="680" spans="1:9" ht="15.75" customHeight="1">
      <c r="A680" s="73"/>
      <c r="B680" s="73"/>
      <c r="C680" s="73"/>
      <c r="D680" s="73"/>
      <c r="E680" s="73"/>
      <c r="F680" s="73"/>
      <c r="G680" s="73"/>
      <c r="I680" s="73"/>
    </row>
    <row r="681" spans="1:9" ht="15.75" customHeight="1">
      <c r="A681" s="73"/>
      <c r="B681" s="73"/>
      <c r="C681" s="73"/>
      <c r="D681" s="73"/>
      <c r="E681" s="73"/>
      <c r="F681" s="73"/>
      <c r="G681" s="73"/>
      <c r="I681" s="73"/>
    </row>
    <row r="682" spans="1:9" ht="15.75" customHeight="1">
      <c r="A682" s="73"/>
      <c r="B682" s="73"/>
      <c r="C682" s="73"/>
      <c r="D682" s="73"/>
      <c r="E682" s="73"/>
      <c r="F682" s="73"/>
      <c r="G682" s="73"/>
      <c r="I682" s="73"/>
    </row>
    <row r="683" spans="1:9" ht="15.75" customHeight="1">
      <c r="A683" s="73"/>
      <c r="B683" s="73"/>
      <c r="C683" s="73"/>
      <c r="D683" s="73"/>
      <c r="E683" s="73"/>
      <c r="F683" s="73"/>
      <c r="G683" s="73"/>
      <c r="I683" s="73"/>
    </row>
    <row r="684" spans="1:9" ht="15.75" customHeight="1">
      <c r="A684" s="73"/>
      <c r="B684" s="73"/>
      <c r="C684" s="73"/>
      <c r="D684" s="73"/>
      <c r="E684" s="73"/>
      <c r="F684" s="73"/>
      <c r="G684" s="73"/>
      <c r="I684" s="73"/>
    </row>
    <row r="685" spans="1:9" ht="15.75" customHeight="1">
      <c r="A685" s="73"/>
      <c r="B685" s="73"/>
      <c r="C685" s="73"/>
      <c r="D685" s="73"/>
      <c r="E685" s="73"/>
      <c r="F685" s="73"/>
      <c r="G685" s="73"/>
      <c r="I685" s="73"/>
    </row>
    <row r="686" spans="1:9" ht="15.75" customHeight="1">
      <c r="A686" s="73"/>
      <c r="B686" s="73"/>
      <c r="C686" s="73"/>
      <c r="D686" s="73"/>
      <c r="E686" s="73"/>
      <c r="F686" s="73"/>
      <c r="G686" s="73"/>
      <c r="I686" s="73"/>
    </row>
    <row r="687" spans="1:9" ht="15.75" customHeight="1">
      <c r="A687" s="73"/>
      <c r="B687" s="73"/>
      <c r="C687" s="73"/>
      <c r="D687" s="73"/>
      <c r="E687" s="73"/>
      <c r="F687" s="73"/>
      <c r="G687" s="73"/>
      <c r="I687" s="73"/>
    </row>
    <row r="688" spans="1:9" ht="15.75" customHeight="1">
      <c r="A688" s="73"/>
      <c r="B688" s="73"/>
      <c r="C688" s="73"/>
      <c r="D688" s="73"/>
      <c r="E688" s="73"/>
      <c r="F688" s="73"/>
      <c r="G688" s="73"/>
      <c r="I688" s="73"/>
    </row>
    <row r="689" spans="1:9" ht="15.75" customHeight="1">
      <c r="A689" s="73"/>
      <c r="B689" s="73"/>
      <c r="C689" s="73"/>
      <c r="D689" s="73"/>
      <c r="E689" s="73"/>
      <c r="F689" s="73"/>
      <c r="G689" s="73"/>
      <c r="I689" s="73"/>
    </row>
    <row r="690" spans="1:9" ht="15.75" customHeight="1">
      <c r="A690" s="73"/>
      <c r="B690" s="73"/>
      <c r="C690" s="73"/>
      <c r="D690" s="73"/>
      <c r="E690" s="73"/>
      <c r="F690" s="73"/>
      <c r="G690" s="73"/>
      <c r="I690" s="73"/>
    </row>
    <row r="691" spans="1:9" ht="15.75" customHeight="1">
      <c r="A691" s="73"/>
      <c r="B691" s="73"/>
      <c r="C691" s="73"/>
      <c r="D691" s="73"/>
      <c r="E691" s="73"/>
      <c r="F691" s="73"/>
      <c r="G691" s="73"/>
      <c r="I691" s="73"/>
    </row>
    <row r="692" spans="1:9" ht="15.75" customHeight="1">
      <c r="A692" s="73"/>
      <c r="B692" s="73"/>
      <c r="C692" s="73"/>
      <c r="D692" s="73"/>
      <c r="E692" s="73"/>
      <c r="F692" s="73"/>
      <c r="G692" s="73"/>
      <c r="I692" s="73"/>
    </row>
    <row r="693" spans="1:9" ht="15.75" customHeight="1">
      <c r="A693" s="73"/>
      <c r="B693" s="73"/>
      <c r="C693" s="73"/>
      <c r="D693" s="73"/>
      <c r="E693" s="73"/>
      <c r="F693" s="73"/>
      <c r="G693" s="73"/>
      <c r="I693" s="73"/>
    </row>
    <row r="694" spans="1:9" ht="15.75" customHeight="1">
      <c r="A694" s="73"/>
      <c r="B694" s="73"/>
      <c r="C694" s="73"/>
      <c r="D694" s="73"/>
      <c r="E694" s="73"/>
      <c r="F694" s="73"/>
      <c r="G694" s="73"/>
      <c r="I694" s="73"/>
    </row>
    <row r="695" spans="1:9" ht="15.75" customHeight="1">
      <c r="A695" s="73"/>
      <c r="B695" s="73"/>
      <c r="C695" s="73"/>
      <c r="D695" s="73"/>
      <c r="E695" s="73"/>
      <c r="F695" s="73"/>
      <c r="G695" s="73"/>
      <c r="I695" s="73"/>
    </row>
    <row r="696" spans="1:9" ht="15.75" customHeight="1">
      <c r="A696" s="73"/>
      <c r="B696" s="73"/>
      <c r="C696" s="73"/>
      <c r="D696" s="73"/>
      <c r="E696" s="73"/>
      <c r="F696" s="73"/>
      <c r="G696" s="73"/>
      <c r="I696" s="73"/>
    </row>
    <row r="697" spans="1:9" ht="15.75" customHeight="1">
      <c r="A697" s="73"/>
      <c r="B697" s="73"/>
      <c r="C697" s="73"/>
      <c r="D697" s="73"/>
      <c r="E697" s="73"/>
      <c r="F697" s="73"/>
      <c r="G697" s="73"/>
      <c r="I697" s="73"/>
    </row>
    <row r="698" spans="1:9" ht="15.75" customHeight="1">
      <c r="A698" s="73"/>
      <c r="B698" s="73"/>
      <c r="C698" s="73"/>
      <c r="D698" s="73"/>
      <c r="E698" s="73"/>
      <c r="F698" s="73"/>
      <c r="G698" s="73"/>
      <c r="I698" s="73"/>
    </row>
    <row r="699" spans="1:9" ht="15.75" customHeight="1">
      <c r="A699" s="73"/>
      <c r="B699" s="73"/>
      <c r="C699" s="73"/>
      <c r="D699" s="73"/>
      <c r="E699" s="73"/>
      <c r="F699" s="73"/>
      <c r="G699" s="73"/>
      <c r="I699" s="73"/>
    </row>
    <row r="700" spans="1:9" ht="15.75" customHeight="1">
      <c r="A700" s="73"/>
      <c r="B700" s="73"/>
      <c r="C700" s="73"/>
      <c r="D700" s="73"/>
      <c r="E700" s="73"/>
      <c r="F700" s="73"/>
      <c r="G700" s="73"/>
      <c r="I700" s="73"/>
    </row>
    <row r="701" spans="1:9" ht="15.75" customHeight="1">
      <c r="A701" s="73"/>
      <c r="B701" s="73"/>
      <c r="C701" s="73"/>
      <c r="D701" s="73"/>
      <c r="E701" s="73"/>
      <c r="F701" s="73"/>
      <c r="G701" s="73"/>
      <c r="I701" s="73"/>
    </row>
    <row r="702" spans="1:9" ht="15.75" customHeight="1">
      <c r="A702" s="73"/>
      <c r="B702" s="73"/>
      <c r="C702" s="73"/>
      <c r="D702" s="73"/>
      <c r="E702" s="73"/>
      <c r="F702" s="73"/>
      <c r="G702" s="73"/>
      <c r="I702" s="73"/>
    </row>
    <row r="703" spans="1:9" ht="15.75" customHeight="1">
      <c r="A703" s="73"/>
      <c r="B703" s="73"/>
      <c r="C703" s="73"/>
      <c r="D703" s="73"/>
      <c r="E703" s="73"/>
      <c r="F703" s="73"/>
      <c r="G703" s="73"/>
      <c r="I703" s="73"/>
    </row>
    <row r="704" spans="1:9" ht="15.75" customHeight="1">
      <c r="A704" s="73"/>
      <c r="B704" s="73"/>
      <c r="C704" s="73"/>
      <c r="D704" s="73"/>
      <c r="E704" s="73"/>
      <c r="F704" s="73"/>
      <c r="G704" s="73"/>
      <c r="I704" s="73"/>
    </row>
    <row r="705" spans="1:9" ht="15.75" customHeight="1">
      <c r="A705" s="73"/>
      <c r="B705" s="73"/>
      <c r="C705" s="73"/>
      <c r="D705" s="73"/>
      <c r="E705" s="73"/>
      <c r="F705" s="73"/>
      <c r="G705" s="73"/>
      <c r="I705" s="73"/>
    </row>
    <row r="706" spans="1:9" ht="15.75" customHeight="1">
      <c r="A706" s="73"/>
      <c r="B706" s="73"/>
      <c r="C706" s="73"/>
      <c r="D706" s="73"/>
      <c r="E706" s="73"/>
      <c r="F706" s="73"/>
      <c r="G706" s="73"/>
      <c r="I706" s="73"/>
    </row>
    <row r="707" spans="1:9" ht="15.75" customHeight="1">
      <c r="A707" s="73"/>
      <c r="B707" s="73"/>
      <c r="C707" s="73"/>
      <c r="D707" s="73"/>
      <c r="E707" s="73"/>
      <c r="F707" s="73"/>
      <c r="G707" s="73"/>
      <c r="I707" s="73"/>
    </row>
    <row r="708" spans="1:9" ht="15.75" customHeight="1">
      <c r="A708" s="73"/>
      <c r="B708" s="73"/>
      <c r="C708" s="73"/>
      <c r="D708" s="73"/>
      <c r="E708" s="73"/>
      <c r="F708" s="73"/>
      <c r="G708" s="73"/>
      <c r="I708" s="73"/>
    </row>
    <row r="709" spans="1:9" ht="15.75" customHeight="1">
      <c r="A709" s="73"/>
      <c r="B709" s="73"/>
      <c r="C709" s="73"/>
      <c r="D709" s="73"/>
      <c r="E709" s="73"/>
      <c r="F709" s="73"/>
      <c r="G709" s="73"/>
      <c r="I709" s="73"/>
    </row>
    <row r="710" spans="1:9" ht="15.75" customHeight="1">
      <c r="A710" s="73"/>
      <c r="B710" s="73"/>
      <c r="C710" s="73"/>
      <c r="D710" s="73"/>
      <c r="E710" s="73"/>
      <c r="F710" s="73"/>
      <c r="G710" s="73"/>
      <c r="I710" s="73"/>
    </row>
    <row r="711" spans="1:9" ht="15.75" customHeight="1">
      <c r="A711" s="73"/>
      <c r="B711" s="73"/>
      <c r="C711" s="73"/>
      <c r="D711" s="73"/>
      <c r="E711" s="73"/>
      <c r="F711" s="73"/>
      <c r="G711" s="73"/>
      <c r="I711" s="73"/>
    </row>
    <row r="712" spans="1:9" ht="15.75" customHeight="1">
      <c r="A712" s="73"/>
      <c r="B712" s="73"/>
      <c r="C712" s="73"/>
      <c r="D712" s="73"/>
      <c r="E712" s="73"/>
      <c r="F712" s="73"/>
      <c r="G712" s="73"/>
      <c r="I712" s="73"/>
    </row>
    <row r="713" spans="1:9" ht="15.75" customHeight="1">
      <c r="A713" s="73"/>
      <c r="B713" s="73"/>
      <c r="C713" s="73"/>
      <c r="D713" s="73"/>
      <c r="E713" s="73"/>
      <c r="F713" s="73"/>
      <c r="G713" s="73"/>
      <c r="I713" s="73"/>
    </row>
    <row r="714" spans="1:9" ht="15.75" customHeight="1">
      <c r="A714" s="73"/>
      <c r="B714" s="73"/>
      <c r="C714" s="73"/>
      <c r="D714" s="73"/>
      <c r="E714" s="73"/>
      <c r="F714" s="73"/>
      <c r="G714" s="73"/>
      <c r="I714" s="73"/>
    </row>
    <row r="715" spans="1:9" ht="15.75" customHeight="1">
      <c r="A715" s="73"/>
      <c r="B715" s="73"/>
      <c r="C715" s="73"/>
      <c r="D715" s="73"/>
      <c r="E715" s="73"/>
      <c r="F715" s="73"/>
      <c r="G715" s="73"/>
      <c r="I715" s="73"/>
    </row>
    <row r="716" spans="1:9" ht="15.75" customHeight="1">
      <c r="A716" s="73"/>
      <c r="B716" s="73"/>
      <c r="C716" s="73"/>
      <c r="D716" s="73"/>
      <c r="E716" s="73"/>
      <c r="F716" s="73"/>
      <c r="G716" s="73"/>
      <c r="I716" s="73"/>
    </row>
    <row r="717" spans="1:9" ht="15.75" customHeight="1">
      <c r="A717" s="73"/>
      <c r="B717" s="73"/>
      <c r="C717" s="73"/>
      <c r="D717" s="73"/>
      <c r="E717" s="73"/>
      <c r="F717" s="73"/>
      <c r="G717" s="73"/>
      <c r="I717" s="73"/>
    </row>
    <row r="718" spans="1:9" ht="15.75" customHeight="1">
      <c r="A718" s="73"/>
      <c r="B718" s="73"/>
      <c r="C718" s="73"/>
      <c r="D718" s="73"/>
      <c r="E718" s="73"/>
      <c r="F718" s="73"/>
      <c r="G718" s="73"/>
      <c r="I718" s="73"/>
    </row>
    <row r="719" spans="1:9" ht="15.75" customHeight="1">
      <c r="A719" s="73"/>
      <c r="B719" s="73"/>
      <c r="C719" s="73"/>
      <c r="D719" s="73"/>
      <c r="E719" s="73"/>
      <c r="F719" s="73"/>
      <c r="G719" s="73"/>
      <c r="I719" s="73"/>
    </row>
    <row r="720" spans="1:9" ht="15.75" customHeight="1">
      <c r="A720" s="73"/>
      <c r="B720" s="73"/>
      <c r="C720" s="73"/>
      <c r="D720" s="73"/>
      <c r="E720" s="73"/>
      <c r="F720" s="73"/>
      <c r="G720" s="73"/>
      <c r="I720" s="73"/>
    </row>
    <row r="721" spans="1:9" ht="15.75" customHeight="1">
      <c r="A721" s="73"/>
      <c r="B721" s="73"/>
      <c r="C721" s="73"/>
      <c r="D721" s="73"/>
      <c r="E721" s="73"/>
      <c r="F721" s="73"/>
      <c r="G721" s="73"/>
      <c r="I721" s="73"/>
    </row>
    <row r="722" spans="1:9" ht="15.75" customHeight="1">
      <c r="A722" s="73"/>
      <c r="B722" s="73"/>
      <c r="C722" s="73"/>
      <c r="D722" s="73"/>
      <c r="E722" s="73"/>
      <c r="F722" s="73"/>
      <c r="G722" s="73"/>
      <c r="I722" s="73"/>
    </row>
    <row r="723" spans="1:9" ht="15.75" customHeight="1">
      <c r="A723" s="73"/>
      <c r="B723" s="73"/>
      <c r="C723" s="73"/>
      <c r="D723" s="73"/>
      <c r="E723" s="73"/>
      <c r="F723" s="73"/>
      <c r="G723" s="73"/>
      <c r="I723" s="73"/>
    </row>
    <row r="724" spans="1:9" ht="15.75" customHeight="1">
      <c r="A724" s="73"/>
      <c r="B724" s="73"/>
      <c r="C724" s="73"/>
      <c r="D724" s="73"/>
      <c r="E724" s="73"/>
      <c r="F724" s="73"/>
      <c r="G724" s="73"/>
      <c r="I724" s="73"/>
    </row>
    <row r="725" spans="1:9" ht="15.75" customHeight="1">
      <c r="A725" s="73"/>
      <c r="B725" s="73"/>
      <c r="C725" s="73"/>
      <c r="D725" s="73"/>
      <c r="E725" s="73"/>
      <c r="F725" s="73"/>
      <c r="G725" s="73"/>
      <c r="I725" s="73"/>
    </row>
    <row r="726" spans="1:9" ht="15.75" customHeight="1">
      <c r="A726" s="73"/>
      <c r="B726" s="73"/>
      <c r="C726" s="73"/>
      <c r="D726" s="73"/>
      <c r="E726" s="73"/>
      <c r="F726" s="73"/>
      <c r="G726" s="73"/>
      <c r="I726" s="73"/>
    </row>
    <row r="727" spans="1:9" ht="15.75" customHeight="1">
      <c r="A727" s="73"/>
      <c r="B727" s="73"/>
      <c r="C727" s="73"/>
      <c r="D727" s="73"/>
      <c r="E727" s="73"/>
      <c r="F727" s="73"/>
      <c r="G727" s="73"/>
      <c r="I727" s="73"/>
    </row>
    <row r="728" spans="1:9" ht="15.75" customHeight="1">
      <c r="A728" s="73"/>
      <c r="B728" s="73"/>
      <c r="C728" s="73"/>
      <c r="D728" s="73"/>
      <c r="E728" s="73"/>
      <c r="F728" s="73"/>
      <c r="G728" s="73"/>
      <c r="I728" s="73"/>
    </row>
    <row r="729" spans="1:9" ht="15.75" customHeight="1">
      <c r="A729" s="73"/>
      <c r="B729" s="73"/>
      <c r="C729" s="73"/>
      <c r="D729" s="73"/>
      <c r="E729" s="73"/>
      <c r="F729" s="73"/>
      <c r="G729" s="73"/>
      <c r="I729" s="73"/>
    </row>
    <row r="730" spans="1:9" ht="15.75" customHeight="1">
      <c r="A730" s="73"/>
      <c r="B730" s="73"/>
      <c r="C730" s="73"/>
      <c r="D730" s="73"/>
      <c r="E730" s="73"/>
      <c r="F730" s="73"/>
      <c r="G730" s="73"/>
      <c r="I730" s="73"/>
    </row>
    <row r="731" spans="1:9" ht="15.75" customHeight="1">
      <c r="A731" s="73"/>
      <c r="B731" s="73"/>
      <c r="C731" s="73"/>
      <c r="D731" s="73"/>
      <c r="E731" s="73"/>
      <c r="F731" s="73"/>
      <c r="G731" s="73"/>
      <c r="I731" s="73"/>
    </row>
    <row r="732" spans="1:9" ht="15.75" customHeight="1">
      <c r="A732" s="73"/>
      <c r="B732" s="73"/>
      <c r="C732" s="73"/>
      <c r="D732" s="73"/>
      <c r="E732" s="73"/>
      <c r="F732" s="73"/>
      <c r="G732" s="73"/>
      <c r="I732" s="73"/>
    </row>
    <row r="733" spans="1:9" ht="15.75" customHeight="1">
      <c r="A733" s="73"/>
      <c r="B733" s="73"/>
      <c r="C733" s="73"/>
      <c r="D733" s="73"/>
      <c r="E733" s="73"/>
      <c r="F733" s="73"/>
      <c r="G733" s="73"/>
      <c r="I733" s="73"/>
    </row>
    <row r="734" spans="1:9" ht="15.75" customHeight="1">
      <c r="A734" s="73"/>
      <c r="B734" s="73"/>
      <c r="C734" s="73"/>
      <c r="D734" s="73"/>
      <c r="E734" s="73"/>
      <c r="F734" s="73"/>
      <c r="G734" s="73"/>
      <c r="I734" s="73"/>
    </row>
    <row r="735" spans="1:9" ht="15.75" customHeight="1">
      <c r="A735" s="73"/>
      <c r="B735" s="73"/>
      <c r="C735" s="73"/>
      <c r="D735" s="73"/>
      <c r="E735" s="73"/>
      <c r="F735" s="73"/>
      <c r="G735" s="73"/>
      <c r="I735" s="73"/>
    </row>
    <row r="736" spans="1:9" ht="15.75" customHeight="1">
      <c r="A736" s="73"/>
      <c r="B736" s="73"/>
      <c r="C736" s="73"/>
      <c r="D736" s="73"/>
      <c r="E736" s="73"/>
      <c r="F736" s="73"/>
      <c r="G736" s="73"/>
      <c r="I736" s="73"/>
    </row>
    <row r="737" spans="1:9" ht="15.75" customHeight="1">
      <c r="A737" s="73"/>
      <c r="B737" s="73"/>
      <c r="C737" s="73"/>
      <c r="D737" s="73"/>
      <c r="E737" s="73"/>
      <c r="F737" s="73"/>
      <c r="G737" s="73"/>
      <c r="I737" s="73"/>
    </row>
    <row r="738" spans="1:9" ht="15.75" customHeight="1">
      <c r="A738" s="73"/>
      <c r="B738" s="73"/>
      <c r="C738" s="73"/>
      <c r="D738" s="73"/>
      <c r="E738" s="73"/>
      <c r="F738" s="73"/>
      <c r="G738" s="73"/>
      <c r="I738" s="73"/>
    </row>
    <row r="739" spans="1:9" ht="15.75" customHeight="1">
      <c r="A739" s="73"/>
      <c r="B739" s="73"/>
      <c r="C739" s="73"/>
      <c r="D739" s="73"/>
      <c r="E739" s="73"/>
      <c r="F739" s="73"/>
      <c r="G739" s="73"/>
      <c r="I739" s="73"/>
    </row>
    <row r="740" spans="1:9" ht="15.75" customHeight="1">
      <c r="A740" s="73"/>
      <c r="B740" s="73"/>
      <c r="C740" s="73"/>
      <c r="D740" s="73"/>
      <c r="E740" s="73"/>
      <c r="F740" s="73"/>
      <c r="G740" s="73"/>
      <c r="I740" s="73"/>
    </row>
    <row r="741" spans="1:9" ht="15.75" customHeight="1">
      <c r="A741" s="73"/>
      <c r="B741" s="73"/>
      <c r="C741" s="73"/>
      <c r="D741" s="73"/>
      <c r="E741" s="73"/>
      <c r="F741" s="73"/>
      <c r="G741" s="73"/>
      <c r="I741" s="73"/>
    </row>
    <row r="742" spans="1:9" ht="15.75" customHeight="1">
      <c r="A742" s="73"/>
      <c r="B742" s="73"/>
      <c r="C742" s="73"/>
      <c r="D742" s="73"/>
      <c r="E742" s="73"/>
      <c r="F742" s="73"/>
      <c r="G742" s="73"/>
      <c r="I742" s="73"/>
    </row>
    <row r="743" spans="1:9" ht="15.75" customHeight="1">
      <c r="A743" s="73"/>
      <c r="B743" s="73"/>
      <c r="C743" s="73"/>
      <c r="D743" s="73"/>
      <c r="E743" s="73"/>
      <c r="F743" s="73"/>
      <c r="G743" s="73"/>
      <c r="I743" s="73"/>
    </row>
    <row r="744" spans="1:9" ht="15.75" customHeight="1">
      <c r="A744" s="73"/>
      <c r="B744" s="73"/>
      <c r="C744" s="73"/>
      <c r="D744" s="73"/>
      <c r="E744" s="73"/>
      <c r="F744" s="73"/>
      <c r="G744" s="73"/>
      <c r="I744" s="73"/>
    </row>
    <row r="745" spans="1:9" ht="15.75" customHeight="1">
      <c r="A745" s="73"/>
      <c r="B745" s="73"/>
      <c r="C745" s="73"/>
      <c r="D745" s="73"/>
      <c r="E745" s="73"/>
      <c r="F745" s="73"/>
      <c r="G745" s="73"/>
      <c r="I745" s="73"/>
    </row>
    <row r="746" spans="1:9" ht="15.75" customHeight="1">
      <c r="A746" s="73"/>
      <c r="B746" s="73"/>
      <c r="C746" s="73"/>
      <c r="D746" s="73"/>
      <c r="E746" s="73"/>
      <c r="F746" s="73"/>
      <c r="G746" s="73"/>
      <c r="I746" s="73"/>
    </row>
    <row r="747" spans="1:9" ht="15.75" customHeight="1">
      <c r="A747" s="73"/>
      <c r="B747" s="73"/>
      <c r="C747" s="73"/>
      <c r="D747" s="73"/>
      <c r="E747" s="73"/>
      <c r="F747" s="73"/>
      <c r="G747" s="73"/>
      <c r="I747" s="73"/>
    </row>
    <row r="748" spans="1:9" ht="15.75" customHeight="1">
      <c r="A748" s="73"/>
      <c r="B748" s="73"/>
      <c r="C748" s="73"/>
      <c r="D748" s="73"/>
      <c r="E748" s="73"/>
      <c r="F748" s="73"/>
      <c r="G748" s="73"/>
      <c r="I748" s="73"/>
    </row>
    <row r="749" spans="1:9" ht="15.75" customHeight="1">
      <c r="A749" s="73"/>
      <c r="B749" s="73"/>
      <c r="C749" s="73"/>
      <c r="D749" s="73"/>
      <c r="E749" s="73"/>
      <c r="F749" s="73"/>
      <c r="G749" s="73"/>
      <c r="I749" s="73"/>
    </row>
    <row r="750" spans="1:9" ht="15.75" customHeight="1">
      <c r="A750" s="73"/>
      <c r="B750" s="73"/>
      <c r="C750" s="73"/>
      <c r="D750" s="73"/>
      <c r="E750" s="73"/>
      <c r="F750" s="73"/>
      <c r="G750" s="73"/>
      <c r="I750" s="73"/>
    </row>
    <row r="751" spans="1:9" ht="15.75" customHeight="1">
      <c r="A751" s="73"/>
      <c r="B751" s="73"/>
      <c r="C751" s="73"/>
      <c r="D751" s="73"/>
      <c r="E751" s="73"/>
      <c r="F751" s="73"/>
      <c r="G751" s="73"/>
      <c r="I751" s="73"/>
    </row>
    <row r="752" spans="1:9" ht="15.75" customHeight="1">
      <c r="A752" s="73"/>
      <c r="B752" s="73"/>
      <c r="C752" s="73"/>
      <c r="D752" s="73"/>
      <c r="E752" s="73"/>
      <c r="F752" s="73"/>
      <c r="G752" s="73"/>
      <c r="I752" s="73"/>
    </row>
    <row r="753" spans="1:9" ht="15.75" customHeight="1">
      <c r="A753" s="73"/>
      <c r="B753" s="73"/>
      <c r="C753" s="73"/>
      <c r="D753" s="73"/>
      <c r="E753" s="73"/>
      <c r="F753" s="73"/>
      <c r="G753" s="73"/>
      <c r="I753" s="73"/>
    </row>
    <row r="754" spans="1:9" ht="15.75" customHeight="1">
      <c r="A754" s="73"/>
      <c r="B754" s="73"/>
      <c r="C754" s="73"/>
      <c r="D754" s="73"/>
      <c r="E754" s="73"/>
      <c r="F754" s="73"/>
      <c r="G754" s="73"/>
      <c r="I754" s="73"/>
    </row>
    <row r="755" spans="1:9" ht="15.75" customHeight="1">
      <c r="A755" s="73"/>
      <c r="B755" s="73"/>
      <c r="C755" s="73"/>
      <c r="D755" s="73"/>
      <c r="E755" s="73"/>
      <c r="F755" s="73"/>
      <c r="G755" s="73"/>
      <c r="I755" s="73"/>
    </row>
    <row r="756" spans="1:9" ht="15.75" customHeight="1">
      <c r="A756" s="73"/>
      <c r="B756" s="73"/>
      <c r="C756" s="73"/>
      <c r="D756" s="73"/>
      <c r="E756" s="73"/>
      <c r="F756" s="73"/>
      <c r="G756" s="73"/>
      <c r="I756" s="73"/>
    </row>
    <row r="757" spans="1:9" ht="15.75" customHeight="1">
      <c r="A757" s="73"/>
      <c r="B757" s="73"/>
      <c r="C757" s="73"/>
      <c r="D757" s="73"/>
      <c r="E757" s="73"/>
      <c r="F757" s="73"/>
      <c r="G757" s="73"/>
      <c r="I757" s="73"/>
    </row>
    <row r="758" spans="1:9" ht="15.75" customHeight="1">
      <c r="A758" s="73"/>
      <c r="B758" s="73"/>
      <c r="C758" s="73"/>
      <c r="D758" s="73"/>
      <c r="E758" s="73"/>
      <c r="F758" s="73"/>
      <c r="G758" s="73"/>
      <c r="I758" s="73"/>
    </row>
    <row r="759" spans="1:9" ht="15.75" customHeight="1">
      <c r="A759" s="73"/>
      <c r="B759" s="73"/>
      <c r="C759" s="73"/>
      <c r="D759" s="73"/>
      <c r="E759" s="73"/>
      <c r="F759" s="73"/>
      <c r="G759" s="73"/>
      <c r="I759" s="73"/>
    </row>
    <row r="760" spans="1:9" ht="15.75" customHeight="1">
      <c r="A760" s="73"/>
      <c r="B760" s="73"/>
      <c r="C760" s="73"/>
      <c r="D760" s="73"/>
      <c r="E760" s="73"/>
      <c r="F760" s="73"/>
      <c r="G760" s="73"/>
      <c r="I760" s="73"/>
    </row>
    <row r="761" spans="1:9" ht="15.75" customHeight="1">
      <c r="A761" s="73"/>
      <c r="B761" s="73"/>
      <c r="C761" s="73"/>
      <c r="D761" s="73"/>
      <c r="E761" s="73"/>
      <c r="F761" s="73"/>
      <c r="G761" s="73"/>
      <c r="I761" s="73"/>
    </row>
    <row r="762" spans="1:9" ht="15.75" customHeight="1">
      <c r="A762" s="73"/>
      <c r="B762" s="73"/>
      <c r="C762" s="73"/>
      <c r="D762" s="73"/>
      <c r="E762" s="73"/>
      <c r="F762" s="73"/>
      <c r="G762" s="73"/>
      <c r="I762" s="73"/>
    </row>
    <row r="763" spans="1:9" ht="15.75" customHeight="1">
      <c r="A763" s="73"/>
      <c r="B763" s="73"/>
      <c r="C763" s="73"/>
      <c r="D763" s="73"/>
      <c r="E763" s="73"/>
      <c r="F763" s="73"/>
      <c r="G763" s="73"/>
      <c r="I763" s="73"/>
    </row>
    <row r="764" spans="1:9" ht="15.75" customHeight="1">
      <c r="A764" s="73"/>
      <c r="B764" s="73"/>
      <c r="C764" s="73"/>
      <c r="D764" s="73"/>
      <c r="E764" s="73"/>
      <c r="F764" s="73"/>
      <c r="G764" s="73"/>
      <c r="I764" s="73"/>
    </row>
    <row r="765" spans="1:9" ht="15.75" customHeight="1">
      <c r="A765" s="73"/>
      <c r="B765" s="73"/>
      <c r="C765" s="73"/>
      <c r="D765" s="73"/>
      <c r="E765" s="73"/>
      <c r="F765" s="73"/>
      <c r="G765" s="73"/>
      <c r="I765" s="73"/>
    </row>
    <row r="766" spans="1:9" ht="15.75" customHeight="1">
      <c r="A766" s="73"/>
      <c r="B766" s="73"/>
      <c r="C766" s="73"/>
      <c r="D766" s="73"/>
      <c r="E766" s="73"/>
      <c r="F766" s="73"/>
      <c r="G766" s="73"/>
      <c r="I766" s="73"/>
    </row>
    <row r="767" spans="1:9" ht="15.75" customHeight="1">
      <c r="A767" s="73"/>
      <c r="B767" s="73"/>
      <c r="C767" s="73"/>
      <c r="D767" s="73"/>
      <c r="E767" s="73"/>
      <c r="F767" s="73"/>
      <c r="G767" s="73"/>
      <c r="I767" s="73"/>
    </row>
    <row r="768" spans="1:9" ht="15.75" customHeight="1">
      <c r="A768" s="73"/>
      <c r="B768" s="73"/>
      <c r="C768" s="73"/>
      <c r="D768" s="73"/>
      <c r="E768" s="73"/>
      <c r="F768" s="73"/>
      <c r="G768" s="73"/>
      <c r="I768" s="73"/>
    </row>
    <row r="769" spans="1:9" ht="15.75" customHeight="1">
      <c r="A769" s="73"/>
      <c r="B769" s="73"/>
      <c r="C769" s="73"/>
      <c r="D769" s="73"/>
      <c r="E769" s="73"/>
      <c r="F769" s="73"/>
      <c r="G769" s="73"/>
      <c r="I769" s="73"/>
    </row>
    <row r="770" spans="1:9" ht="15.75" customHeight="1">
      <c r="A770" s="73"/>
      <c r="B770" s="73"/>
      <c r="C770" s="73"/>
      <c r="D770" s="73"/>
      <c r="E770" s="73"/>
      <c r="F770" s="73"/>
      <c r="G770" s="73"/>
      <c r="I770" s="73"/>
    </row>
    <row r="771" spans="1:9" ht="15.75" customHeight="1">
      <c r="A771" s="73"/>
      <c r="B771" s="73"/>
      <c r="C771" s="73"/>
      <c r="D771" s="73"/>
      <c r="E771" s="73"/>
      <c r="F771" s="73"/>
      <c r="G771" s="73"/>
      <c r="I771" s="73"/>
    </row>
    <row r="772" spans="1:9" ht="15.75" customHeight="1">
      <c r="A772" s="73"/>
      <c r="B772" s="73"/>
      <c r="C772" s="73"/>
      <c r="D772" s="73"/>
      <c r="E772" s="73"/>
      <c r="F772" s="73"/>
      <c r="G772" s="73"/>
      <c r="I772" s="73"/>
    </row>
    <row r="773" spans="1:9" ht="15.75" customHeight="1">
      <c r="A773" s="73"/>
      <c r="B773" s="73"/>
      <c r="C773" s="73"/>
      <c r="D773" s="73"/>
      <c r="E773" s="73"/>
      <c r="F773" s="73"/>
      <c r="G773" s="73"/>
      <c r="I773" s="73"/>
    </row>
    <row r="774" spans="1:9" ht="15.75" customHeight="1">
      <c r="A774" s="73"/>
      <c r="B774" s="73"/>
      <c r="C774" s="73"/>
      <c r="D774" s="73"/>
      <c r="E774" s="73"/>
      <c r="F774" s="73"/>
      <c r="G774" s="73"/>
      <c r="I774" s="73"/>
    </row>
    <row r="775" spans="1:9" ht="15.75" customHeight="1">
      <c r="A775" s="73"/>
      <c r="B775" s="73"/>
      <c r="C775" s="73"/>
      <c r="D775" s="73"/>
      <c r="E775" s="73"/>
      <c r="F775" s="73"/>
      <c r="G775" s="73"/>
      <c r="I775" s="73"/>
    </row>
    <row r="776" spans="1:9" ht="15.75" customHeight="1">
      <c r="A776" s="73"/>
      <c r="B776" s="73"/>
      <c r="C776" s="73"/>
      <c r="D776" s="73"/>
      <c r="E776" s="73"/>
      <c r="F776" s="73"/>
      <c r="G776" s="73"/>
      <c r="I776" s="73"/>
    </row>
    <row r="777" spans="1:9" ht="15.75" customHeight="1">
      <c r="A777" s="73"/>
      <c r="B777" s="73"/>
      <c r="C777" s="73"/>
      <c r="D777" s="73"/>
      <c r="E777" s="73"/>
      <c r="F777" s="73"/>
      <c r="G777" s="73"/>
      <c r="I777" s="73"/>
    </row>
    <row r="778" spans="1:9" ht="15.75" customHeight="1">
      <c r="A778" s="73"/>
      <c r="B778" s="73"/>
      <c r="C778" s="73"/>
      <c r="D778" s="73"/>
      <c r="E778" s="73"/>
      <c r="F778" s="73"/>
      <c r="G778" s="73"/>
      <c r="I778" s="73"/>
    </row>
    <row r="779" spans="1:9" ht="15.75" customHeight="1">
      <c r="A779" s="73"/>
      <c r="B779" s="73"/>
      <c r="C779" s="73"/>
      <c r="D779" s="73"/>
      <c r="E779" s="73"/>
      <c r="F779" s="73"/>
      <c r="G779" s="73"/>
      <c r="I779" s="73"/>
    </row>
    <row r="780" spans="1:9" ht="15.75" customHeight="1">
      <c r="A780" s="73"/>
      <c r="B780" s="73"/>
      <c r="C780" s="73"/>
      <c r="D780" s="73"/>
      <c r="E780" s="73"/>
      <c r="F780" s="73"/>
      <c r="G780" s="73"/>
      <c r="I780" s="73"/>
    </row>
    <row r="781" spans="1:9" ht="15.75" customHeight="1">
      <c r="A781" s="73"/>
      <c r="B781" s="73"/>
      <c r="C781" s="73"/>
      <c r="D781" s="73"/>
      <c r="E781" s="73"/>
      <c r="F781" s="73"/>
      <c r="G781" s="73"/>
      <c r="I781" s="73"/>
    </row>
    <row r="782" spans="1:9" ht="15.75" customHeight="1">
      <c r="A782" s="73"/>
      <c r="B782" s="73"/>
      <c r="C782" s="73"/>
      <c r="D782" s="73"/>
      <c r="E782" s="73"/>
      <c r="F782" s="73"/>
      <c r="G782" s="73"/>
      <c r="I782" s="73"/>
    </row>
    <row r="783" spans="1:9" ht="15.75" customHeight="1">
      <c r="A783" s="73"/>
      <c r="B783" s="73"/>
      <c r="C783" s="73"/>
      <c r="D783" s="73"/>
      <c r="E783" s="73"/>
      <c r="F783" s="73"/>
      <c r="G783" s="73"/>
      <c r="I783" s="73"/>
    </row>
    <row r="784" spans="1:9" ht="15.75" customHeight="1">
      <c r="A784" s="73"/>
      <c r="B784" s="73"/>
      <c r="C784" s="73"/>
      <c r="D784" s="73"/>
      <c r="E784" s="73"/>
      <c r="F784" s="73"/>
      <c r="G784" s="73"/>
      <c r="I784" s="73"/>
    </row>
    <row r="785" spans="1:9" ht="15.75" customHeight="1">
      <c r="A785" s="73"/>
      <c r="B785" s="73"/>
      <c r="C785" s="73"/>
      <c r="D785" s="73"/>
      <c r="E785" s="73"/>
      <c r="F785" s="73"/>
      <c r="G785" s="73"/>
      <c r="I785" s="73"/>
    </row>
    <row r="786" spans="1:9" ht="15.75" customHeight="1">
      <c r="A786" s="73"/>
      <c r="B786" s="73"/>
      <c r="C786" s="73"/>
      <c r="D786" s="73"/>
      <c r="E786" s="73"/>
      <c r="F786" s="73"/>
      <c r="G786" s="73"/>
      <c r="I786" s="73"/>
    </row>
    <row r="787" spans="1:9" ht="15.75" customHeight="1">
      <c r="A787" s="73"/>
      <c r="B787" s="73"/>
      <c r="C787" s="73"/>
      <c r="D787" s="73"/>
      <c r="E787" s="73"/>
      <c r="F787" s="73"/>
      <c r="G787" s="73"/>
      <c r="I787" s="73"/>
    </row>
    <row r="788" spans="1:9" ht="15.75" customHeight="1">
      <c r="A788" s="73"/>
      <c r="B788" s="73"/>
      <c r="C788" s="73"/>
      <c r="D788" s="73"/>
      <c r="E788" s="73"/>
      <c r="F788" s="73"/>
      <c r="G788" s="73"/>
      <c r="I788" s="73"/>
    </row>
    <row r="789" spans="1:9" ht="15.75" customHeight="1">
      <c r="A789" s="73"/>
      <c r="B789" s="73"/>
      <c r="C789" s="73"/>
      <c r="D789" s="73"/>
      <c r="E789" s="73"/>
      <c r="F789" s="73"/>
      <c r="G789" s="73"/>
      <c r="I789" s="73"/>
    </row>
    <row r="790" spans="1:9" ht="15.75" customHeight="1">
      <c r="A790" s="73"/>
      <c r="B790" s="73"/>
      <c r="C790" s="73"/>
      <c r="D790" s="73"/>
      <c r="E790" s="73"/>
      <c r="F790" s="73"/>
      <c r="G790" s="73"/>
      <c r="I790" s="73"/>
    </row>
    <row r="791" spans="1:9" ht="15.75" customHeight="1">
      <c r="A791" s="73"/>
      <c r="B791" s="73"/>
      <c r="C791" s="73"/>
      <c r="D791" s="73"/>
      <c r="E791" s="73"/>
      <c r="F791" s="73"/>
      <c r="G791" s="73"/>
      <c r="I791" s="73"/>
    </row>
    <row r="792" spans="1:9" ht="15.75" customHeight="1">
      <c r="A792" s="73"/>
      <c r="B792" s="73"/>
      <c r="C792" s="73"/>
      <c r="D792" s="73"/>
      <c r="E792" s="73"/>
      <c r="F792" s="73"/>
      <c r="G792" s="73"/>
      <c r="I792" s="73"/>
    </row>
    <row r="793" spans="1:9" ht="15.75" customHeight="1">
      <c r="A793" s="73"/>
      <c r="B793" s="73"/>
      <c r="C793" s="73"/>
      <c r="D793" s="73"/>
      <c r="E793" s="73"/>
      <c r="F793" s="73"/>
      <c r="G793" s="73"/>
      <c r="I793" s="73"/>
    </row>
    <row r="794" spans="1:9" ht="15.75" customHeight="1">
      <c r="A794" s="73"/>
      <c r="B794" s="73"/>
      <c r="C794" s="73"/>
      <c r="D794" s="73"/>
      <c r="E794" s="73"/>
      <c r="F794" s="73"/>
      <c r="G794" s="73"/>
      <c r="I794" s="73"/>
    </row>
    <row r="795" spans="1:9" ht="15.75" customHeight="1">
      <c r="A795" s="73"/>
      <c r="B795" s="73"/>
      <c r="C795" s="73"/>
      <c r="D795" s="73"/>
      <c r="E795" s="73"/>
      <c r="F795" s="73"/>
      <c r="G795" s="73"/>
      <c r="I795" s="73"/>
    </row>
    <row r="796" spans="1:9" ht="15.75" customHeight="1">
      <c r="A796" s="73"/>
      <c r="B796" s="73"/>
      <c r="C796" s="73"/>
      <c r="D796" s="73"/>
      <c r="E796" s="73"/>
      <c r="F796" s="73"/>
      <c r="G796" s="73"/>
      <c r="I796" s="73"/>
    </row>
    <row r="797" spans="1:9" ht="15.75" customHeight="1">
      <c r="A797" s="73"/>
      <c r="B797" s="73"/>
      <c r="C797" s="73"/>
      <c r="D797" s="73"/>
      <c r="E797" s="73"/>
      <c r="F797" s="73"/>
      <c r="G797" s="73"/>
      <c r="I797" s="73"/>
    </row>
    <row r="798" spans="1:9" ht="15.75" customHeight="1">
      <c r="A798" s="73"/>
      <c r="B798" s="73"/>
      <c r="C798" s="73"/>
      <c r="D798" s="73"/>
      <c r="E798" s="73"/>
      <c r="F798" s="73"/>
      <c r="G798" s="73"/>
      <c r="I798" s="73"/>
    </row>
    <row r="799" spans="1:9" ht="15.75" customHeight="1">
      <c r="A799" s="73"/>
      <c r="B799" s="73"/>
      <c r="C799" s="73"/>
      <c r="D799" s="73"/>
      <c r="E799" s="73"/>
      <c r="F799" s="73"/>
      <c r="G799" s="73"/>
      <c r="I799" s="73"/>
    </row>
    <row r="800" spans="1:9" ht="15.75" customHeight="1">
      <c r="A800" s="73"/>
      <c r="B800" s="73"/>
      <c r="C800" s="73"/>
      <c r="D800" s="73"/>
      <c r="E800" s="73"/>
      <c r="F800" s="73"/>
      <c r="G800" s="73"/>
      <c r="I800" s="73"/>
    </row>
    <row r="801" spans="1:9" ht="15.75" customHeight="1">
      <c r="A801" s="73"/>
      <c r="B801" s="73"/>
      <c r="C801" s="73"/>
      <c r="D801" s="73"/>
      <c r="E801" s="73"/>
      <c r="F801" s="73"/>
      <c r="G801" s="73"/>
      <c r="I801" s="73"/>
    </row>
    <row r="802" spans="1:9" ht="15.75" customHeight="1">
      <c r="A802" s="73"/>
      <c r="B802" s="73"/>
      <c r="C802" s="73"/>
      <c r="D802" s="73"/>
      <c r="E802" s="73"/>
      <c r="F802" s="73"/>
      <c r="G802" s="73"/>
      <c r="I802" s="73"/>
    </row>
    <row r="803" spans="1:9" ht="15.75" customHeight="1">
      <c r="A803" s="73"/>
      <c r="B803" s="73"/>
      <c r="C803" s="73"/>
      <c r="D803" s="73"/>
      <c r="E803" s="73"/>
      <c r="F803" s="73"/>
      <c r="G803" s="73"/>
      <c r="I803" s="73"/>
    </row>
    <row r="804" spans="1:9" ht="15.75" customHeight="1">
      <c r="A804" s="73"/>
      <c r="B804" s="73"/>
      <c r="C804" s="73"/>
      <c r="D804" s="73"/>
      <c r="E804" s="73"/>
      <c r="F804" s="73"/>
      <c r="G804" s="73"/>
      <c r="I804" s="73"/>
    </row>
    <row r="805" spans="1:9" ht="15.75" customHeight="1">
      <c r="A805" s="73"/>
      <c r="B805" s="73"/>
      <c r="C805" s="73"/>
      <c r="D805" s="73"/>
      <c r="E805" s="73"/>
      <c r="F805" s="73"/>
      <c r="G805" s="73"/>
      <c r="I805" s="73"/>
    </row>
    <row r="806" spans="1:9" ht="15.75" customHeight="1">
      <c r="A806" s="73"/>
      <c r="B806" s="73"/>
      <c r="C806" s="73"/>
      <c r="D806" s="73"/>
      <c r="E806" s="73"/>
      <c r="F806" s="73"/>
      <c r="G806" s="73"/>
      <c r="I806" s="73"/>
    </row>
    <row r="807" spans="1:9" ht="15.75" customHeight="1">
      <c r="A807" s="73"/>
      <c r="B807" s="73"/>
      <c r="C807" s="73"/>
      <c r="D807" s="73"/>
      <c r="E807" s="73"/>
      <c r="F807" s="73"/>
      <c r="G807" s="73"/>
      <c r="I807" s="73"/>
    </row>
    <row r="808" spans="1:9" ht="15.75" customHeight="1">
      <c r="A808" s="73"/>
      <c r="B808" s="73"/>
      <c r="C808" s="73"/>
      <c r="D808" s="73"/>
      <c r="E808" s="73"/>
      <c r="F808" s="73"/>
      <c r="G808" s="73"/>
      <c r="I808" s="73"/>
    </row>
    <row r="809" spans="1:9" ht="15.75" customHeight="1">
      <c r="A809" s="73"/>
      <c r="B809" s="73"/>
      <c r="C809" s="73"/>
      <c r="D809" s="73"/>
      <c r="E809" s="73"/>
      <c r="F809" s="73"/>
      <c r="G809" s="73"/>
      <c r="I809" s="73"/>
    </row>
    <row r="810" spans="1:9" ht="15.75" customHeight="1">
      <c r="A810" s="73"/>
      <c r="B810" s="73"/>
      <c r="C810" s="73"/>
      <c r="D810" s="73"/>
      <c r="E810" s="73"/>
      <c r="F810" s="73"/>
      <c r="G810" s="73"/>
      <c r="I810" s="73"/>
    </row>
    <row r="811" spans="1:9" ht="15.75" customHeight="1">
      <c r="A811" s="73"/>
      <c r="B811" s="73"/>
      <c r="C811" s="73"/>
      <c r="D811" s="73"/>
      <c r="E811" s="73"/>
      <c r="F811" s="73"/>
      <c r="G811" s="73"/>
      <c r="I811" s="73"/>
    </row>
    <row r="812" spans="1:9" ht="15.75" customHeight="1">
      <c r="A812" s="73"/>
      <c r="B812" s="73"/>
      <c r="C812" s="73"/>
      <c r="D812" s="73"/>
      <c r="E812" s="73"/>
      <c r="F812" s="73"/>
      <c r="G812" s="73"/>
      <c r="I812" s="73"/>
    </row>
    <row r="813" spans="1:9" ht="15.75" customHeight="1">
      <c r="A813" s="73"/>
      <c r="B813" s="73"/>
      <c r="C813" s="73"/>
      <c r="D813" s="73"/>
      <c r="E813" s="73"/>
      <c r="F813" s="73"/>
      <c r="G813" s="73"/>
      <c r="I813" s="73"/>
    </row>
    <row r="814" spans="1:9" ht="15.75" customHeight="1">
      <c r="A814" s="73"/>
      <c r="B814" s="73"/>
      <c r="C814" s="73"/>
      <c r="D814" s="73"/>
      <c r="E814" s="73"/>
      <c r="F814" s="73"/>
      <c r="G814" s="73"/>
      <c r="I814" s="73"/>
    </row>
    <row r="815" spans="1:9" ht="15.75" customHeight="1">
      <c r="A815" s="73"/>
      <c r="B815" s="73"/>
      <c r="C815" s="73"/>
      <c r="D815" s="73"/>
      <c r="E815" s="73"/>
      <c r="F815" s="73"/>
      <c r="G815" s="73"/>
      <c r="I815" s="73"/>
    </row>
    <row r="816" spans="1:9" ht="15.75" customHeight="1">
      <c r="A816" s="73"/>
      <c r="B816" s="73"/>
      <c r="C816" s="73"/>
      <c r="D816" s="73"/>
      <c r="E816" s="73"/>
      <c r="F816" s="73"/>
      <c r="G816" s="73"/>
      <c r="I816" s="73"/>
    </row>
    <row r="817" spans="1:9" ht="15.75" customHeight="1">
      <c r="A817" s="73"/>
      <c r="B817" s="73"/>
      <c r="C817" s="73"/>
      <c r="D817" s="73"/>
      <c r="E817" s="73"/>
      <c r="F817" s="73"/>
      <c r="G817" s="73"/>
      <c r="I817" s="73"/>
    </row>
    <row r="818" spans="1:9" ht="15.75" customHeight="1">
      <c r="A818" s="73"/>
      <c r="B818" s="73"/>
      <c r="C818" s="73"/>
      <c r="D818" s="73"/>
      <c r="E818" s="73"/>
      <c r="F818" s="73"/>
      <c r="G818" s="73"/>
      <c r="I818" s="73"/>
    </row>
    <row r="819" spans="1:9" ht="15.75" customHeight="1">
      <c r="A819" s="73"/>
      <c r="B819" s="73"/>
      <c r="C819" s="73"/>
      <c r="D819" s="73"/>
      <c r="E819" s="73"/>
      <c r="F819" s="73"/>
      <c r="G819" s="73"/>
      <c r="I819" s="73"/>
    </row>
    <row r="820" spans="1:9" ht="15.75" customHeight="1">
      <c r="A820" s="73"/>
      <c r="B820" s="73"/>
      <c r="C820" s="73"/>
      <c r="D820" s="73"/>
      <c r="E820" s="73"/>
      <c r="F820" s="73"/>
      <c r="G820" s="73"/>
      <c r="I820" s="73"/>
    </row>
    <row r="821" spans="1:9" ht="15.75" customHeight="1">
      <c r="A821" s="73"/>
      <c r="B821" s="73"/>
      <c r="C821" s="73"/>
      <c r="D821" s="73"/>
      <c r="E821" s="73"/>
      <c r="F821" s="73"/>
      <c r="G821" s="73"/>
      <c r="I821" s="73"/>
    </row>
    <row r="822" spans="1:9" ht="15.75" customHeight="1">
      <c r="A822" s="73"/>
      <c r="B822" s="73"/>
      <c r="C822" s="73"/>
      <c r="D822" s="73"/>
      <c r="E822" s="73"/>
      <c r="F822" s="73"/>
      <c r="G822" s="73"/>
      <c r="I822" s="73"/>
    </row>
    <row r="823" spans="1:9" ht="15.75" customHeight="1">
      <c r="A823" s="73"/>
      <c r="B823" s="73"/>
      <c r="C823" s="73"/>
      <c r="D823" s="73"/>
      <c r="E823" s="73"/>
      <c r="F823" s="73"/>
      <c r="G823" s="73"/>
      <c r="I823" s="73"/>
    </row>
    <row r="824" spans="1:9" ht="15.75" customHeight="1">
      <c r="A824" s="73"/>
      <c r="B824" s="73"/>
      <c r="C824" s="73"/>
      <c r="D824" s="73"/>
      <c r="E824" s="73"/>
      <c r="F824" s="73"/>
      <c r="G824" s="73"/>
      <c r="I824" s="73"/>
    </row>
    <row r="825" spans="1:9" ht="15.75" customHeight="1">
      <c r="A825" s="73"/>
      <c r="B825" s="73"/>
      <c r="C825" s="73"/>
      <c r="D825" s="73"/>
      <c r="E825" s="73"/>
      <c r="F825" s="73"/>
      <c r="G825" s="73"/>
      <c r="I825" s="73"/>
    </row>
    <row r="826" spans="1:9" ht="15.75" customHeight="1">
      <c r="A826" s="73"/>
      <c r="B826" s="73"/>
      <c r="C826" s="73"/>
      <c r="D826" s="73"/>
      <c r="E826" s="73"/>
      <c r="F826" s="73"/>
      <c r="G826" s="73"/>
      <c r="I826" s="73"/>
    </row>
    <row r="827" spans="1:9" ht="15.75" customHeight="1">
      <c r="A827" s="73"/>
      <c r="B827" s="73"/>
      <c r="C827" s="73"/>
      <c r="D827" s="73"/>
      <c r="E827" s="73"/>
      <c r="F827" s="73"/>
      <c r="G827" s="73"/>
      <c r="I827" s="73"/>
    </row>
    <row r="828" spans="1:9" ht="15.75" customHeight="1">
      <c r="A828" s="73"/>
      <c r="B828" s="73"/>
      <c r="C828" s="73"/>
      <c r="D828" s="73"/>
      <c r="E828" s="73"/>
      <c r="F828" s="73"/>
      <c r="G828" s="73"/>
      <c r="I828" s="73"/>
    </row>
    <row r="829" spans="1:9" ht="15.75" customHeight="1">
      <c r="A829" s="73"/>
      <c r="B829" s="73"/>
      <c r="C829" s="73"/>
      <c r="D829" s="73"/>
      <c r="E829" s="73"/>
      <c r="F829" s="73"/>
      <c r="G829" s="73"/>
      <c r="I829" s="73"/>
    </row>
    <row r="830" spans="1:9" ht="15.75" customHeight="1">
      <c r="A830" s="73"/>
      <c r="B830" s="73"/>
      <c r="C830" s="73"/>
      <c r="D830" s="73"/>
      <c r="E830" s="73"/>
      <c r="F830" s="73"/>
      <c r="G830" s="73"/>
      <c r="I830" s="73"/>
    </row>
    <row r="831" spans="1:9" ht="15.75" customHeight="1">
      <c r="A831" s="73"/>
      <c r="B831" s="73"/>
      <c r="C831" s="73"/>
      <c r="D831" s="73"/>
      <c r="E831" s="73"/>
      <c r="F831" s="73"/>
      <c r="G831" s="73"/>
      <c r="I831" s="73"/>
    </row>
    <row r="832" spans="1:9" ht="15.75" customHeight="1">
      <c r="A832" s="73"/>
      <c r="B832" s="73"/>
      <c r="C832" s="73"/>
      <c r="D832" s="73"/>
      <c r="E832" s="73"/>
      <c r="F832" s="73"/>
      <c r="G832" s="73"/>
      <c r="I832" s="73"/>
    </row>
    <row r="833" spans="1:9" ht="15.75" customHeight="1">
      <c r="A833" s="73"/>
      <c r="B833" s="73"/>
      <c r="C833" s="73"/>
      <c r="D833" s="73"/>
      <c r="E833" s="73"/>
      <c r="F833" s="73"/>
      <c r="G833" s="73"/>
      <c r="I833" s="73"/>
    </row>
    <row r="834" spans="1:9" ht="15.75" customHeight="1">
      <c r="A834" s="73"/>
      <c r="B834" s="73"/>
      <c r="C834" s="73"/>
      <c r="D834" s="73"/>
      <c r="E834" s="73"/>
      <c r="F834" s="73"/>
      <c r="G834" s="73"/>
      <c r="I834" s="73"/>
    </row>
    <row r="835" spans="1:9" ht="15.75" customHeight="1">
      <c r="A835" s="73"/>
      <c r="B835" s="73"/>
      <c r="C835" s="73"/>
      <c r="D835" s="73"/>
      <c r="E835" s="73"/>
      <c r="F835" s="73"/>
      <c r="G835" s="73"/>
      <c r="I835" s="73"/>
    </row>
    <row r="836" spans="1:9" ht="15.75" customHeight="1">
      <c r="A836" s="73"/>
      <c r="B836" s="73"/>
      <c r="C836" s="73"/>
      <c r="D836" s="73"/>
      <c r="E836" s="73"/>
      <c r="F836" s="73"/>
      <c r="G836" s="73"/>
      <c r="I836" s="73"/>
    </row>
    <row r="837" spans="1:9" ht="15.75" customHeight="1">
      <c r="A837" s="73"/>
      <c r="B837" s="73"/>
      <c r="C837" s="73"/>
      <c r="D837" s="73"/>
      <c r="E837" s="73"/>
      <c r="F837" s="73"/>
      <c r="G837" s="73"/>
      <c r="I837" s="73"/>
    </row>
    <row r="838" spans="1:9" ht="15.75" customHeight="1">
      <c r="A838" s="73"/>
      <c r="B838" s="73"/>
      <c r="C838" s="73"/>
      <c r="D838" s="73"/>
      <c r="E838" s="73"/>
      <c r="F838" s="73"/>
      <c r="G838" s="73"/>
      <c r="I838" s="73"/>
    </row>
    <row r="839" spans="1:9" ht="15.75" customHeight="1">
      <c r="A839" s="73"/>
      <c r="B839" s="73"/>
      <c r="C839" s="73"/>
      <c r="D839" s="73"/>
      <c r="E839" s="73"/>
      <c r="F839" s="73"/>
      <c r="G839" s="73"/>
      <c r="I839" s="73"/>
    </row>
    <row r="840" spans="1:9" ht="15.75" customHeight="1">
      <c r="A840" s="73"/>
      <c r="B840" s="73"/>
      <c r="C840" s="73"/>
      <c r="D840" s="73"/>
      <c r="E840" s="73"/>
      <c r="F840" s="73"/>
      <c r="G840" s="73"/>
      <c r="I840" s="73"/>
    </row>
    <row r="841" spans="1:9" ht="15.75" customHeight="1">
      <c r="A841" s="73"/>
      <c r="B841" s="73"/>
      <c r="C841" s="73"/>
      <c r="D841" s="73"/>
      <c r="E841" s="73"/>
      <c r="F841" s="73"/>
      <c r="G841" s="73"/>
      <c r="I841" s="73"/>
    </row>
    <row r="842" spans="1:9" ht="15.75" customHeight="1">
      <c r="A842" s="73"/>
      <c r="B842" s="73"/>
      <c r="C842" s="73"/>
      <c r="D842" s="73"/>
      <c r="E842" s="73"/>
      <c r="F842" s="73"/>
      <c r="G842" s="73"/>
      <c r="I842" s="73"/>
    </row>
    <row r="843" spans="1:9" ht="15.75" customHeight="1">
      <c r="A843" s="73"/>
      <c r="B843" s="73"/>
      <c r="C843" s="73"/>
      <c r="D843" s="73"/>
      <c r="E843" s="73"/>
      <c r="F843" s="73"/>
      <c r="G843" s="73"/>
      <c r="I843" s="73"/>
    </row>
    <row r="844" spans="1:9" ht="15.75" customHeight="1">
      <c r="A844" s="73"/>
      <c r="B844" s="73"/>
      <c r="C844" s="73"/>
      <c r="D844" s="73"/>
      <c r="E844" s="73"/>
      <c r="F844" s="73"/>
      <c r="G844" s="73"/>
      <c r="I844" s="73"/>
    </row>
    <row r="845" spans="1:9" ht="15.75" customHeight="1">
      <c r="A845" s="73"/>
      <c r="B845" s="73"/>
      <c r="C845" s="73"/>
      <c r="D845" s="73"/>
      <c r="E845" s="73"/>
      <c r="F845" s="73"/>
      <c r="G845" s="73"/>
      <c r="I845" s="73"/>
    </row>
    <row r="846" spans="1:9" ht="15.75" customHeight="1">
      <c r="A846" s="73"/>
      <c r="B846" s="73"/>
      <c r="C846" s="73"/>
      <c r="D846" s="73"/>
      <c r="E846" s="73"/>
      <c r="F846" s="73"/>
      <c r="G846" s="73"/>
      <c r="I846" s="73"/>
    </row>
    <row r="847" spans="1:9" ht="15.75" customHeight="1">
      <c r="A847" s="73"/>
      <c r="B847" s="73"/>
      <c r="C847" s="73"/>
      <c r="D847" s="73"/>
      <c r="E847" s="73"/>
      <c r="F847" s="73"/>
      <c r="G847" s="73"/>
      <c r="I847" s="73"/>
    </row>
    <row r="848" spans="1:9" ht="15.75" customHeight="1">
      <c r="A848" s="73"/>
      <c r="B848" s="73"/>
      <c r="C848" s="73"/>
      <c r="D848" s="73"/>
      <c r="E848" s="73"/>
      <c r="F848" s="73"/>
      <c r="G848" s="73"/>
      <c r="I848" s="73"/>
    </row>
    <row r="849" spans="1:9" ht="15.75" customHeight="1">
      <c r="A849" s="73"/>
      <c r="B849" s="73"/>
      <c r="C849" s="73"/>
      <c r="D849" s="73"/>
      <c r="E849" s="73"/>
      <c r="F849" s="73"/>
      <c r="G849" s="73"/>
      <c r="I849" s="73"/>
    </row>
    <row r="850" spans="1:9" ht="15.75" customHeight="1">
      <c r="A850" s="73"/>
      <c r="B850" s="73"/>
      <c r="C850" s="73"/>
      <c r="D850" s="73"/>
      <c r="E850" s="73"/>
      <c r="F850" s="73"/>
      <c r="G850" s="73"/>
      <c r="I850" s="73"/>
    </row>
    <row r="851" spans="1:9" ht="15.75" customHeight="1">
      <c r="A851" s="73"/>
      <c r="B851" s="73"/>
      <c r="C851" s="73"/>
      <c r="D851" s="73"/>
      <c r="E851" s="73"/>
      <c r="F851" s="73"/>
      <c r="G851" s="73"/>
      <c r="I851" s="73"/>
    </row>
    <row r="852" spans="1:9" ht="15.75" customHeight="1">
      <c r="A852" s="73"/>
      <c r="B852" s="73"/>
      <c r="C852" s="73"/>
      <c r="D852" s="73"/>
      <c r="E852" s="73"/>
      <c r="F852" s="73"/>
      <c r="G852" s="73"/>
      <c r="I852" s="73"/>
    </row>
    <row r="853" spans="1:9" ht="15.75" customHeight="1">
      <c r="A853" s="73"/>
      <c r="B853" s="73"/>
      <c r="C853" s="73"/>
      <c r="D853" s="73"/>
      <c r="E853" s="73"/>
      <c r="F853" s="73"/>
      <c r="G853" s="73"/>
      <c r="I853" s="73"/>
    </row>
    <row r="854" spans="1:9" ht="15.75" customHeight="1">
      <c r="A854" s="73"/>
      <c r="B854" s="73"/>
      <c r="C854" s="73"/>
      <c r="D854" s="73"/>
      <c r="E854" s="73"/>
      <c r="F854" s="73"/>
      <c r="G854" s="73"/>
      <c r="I854" s="73"/>
    </row>
    <row r="855" spans="1:9" ht="15.75" customHeight="1">
      <c r="A855" s="73"/>
      <c r="B855" s="73"/>
      <c r="C855" s="73"/>
      <c r="D855" s="73"/>
      <c r="E855" s="73"/>
      <c r="F855" s="73"/>
      <c r="G855" s="73"/>
      <c r="I855" s="73"/>
    </row>
    <row r="856" spans="1:9" ht="15.75" customHeight="1">
      <c r="A856" s="73"/>
      <c r="B856" s="73"/>
      <c r="C856" s="73"/>
      <c r="D856" s="73"/>
      <c r="E856" s="73"/>
      <c r="F856" s="73"/>
      <c r="G856" s="73"/>
      <c r="I856" s="73"/>
    </row>
    <row r="857" spans="1:9" ht="15.75" customHeight="1">
      <c r="A857" s="73"/>
      <c r="B857" s="73"/>
      <c r="C857" s="73"/>
      <c r="D857" s="73"/>
      <c r="E857" s="73"/>
      <c r="F857" s="73"/>
      <c r="G857" s="73"/>
      <c r="I857" s="73"/>
    </row>
    <row r="858" spans="1:9" ht="15.75" customHeight="1">
      <c r="A858" s="73"/>
      <c r="B858" s="73"/>
      <c r="C858" s="73"/>
      <c r="D858" s="73"/>
      <c r="E858" s="73"/>
      <c r="F858" s="73"/>
      <c r="G858" s="73"/>
      <c r="I858" s="73"/>
    </row>
    <row r="859" spans="1:9" ht="15.75" customHeight="1">
      <c r="A859" s="73"/>
      <c r="B859" s="73"/>
      <c r="C859" s="73"/>
      <c r="D859" s="73"/>
      <c r="E859" s="73"/>
      <c r="F859" s="73"/>
      <c r="G859" s="73"/>
      <c r="I859" s="73"/>
    </row>
    <row r="860" spans="1:9" ht="15.75" customHeight="1">
      <c r="A860" s="73"/>
      <c r="B860" s="73"/>
      <c r="C860" s="73"/>
      <c r="D860" s="73"/>
      <c r="E860" s="73"/>
      <c r="F860" s="73"/>
      <c r="G860" s="73"/>
      <c r="I860" s="73"/>
    </row>
    <row r="861" spans="1:9" ht="15.75" customHeight="1">
      <c r="A861" s="73"/>
      <c r="B861" s="73"/>
      <c r="C861" s="73"/>
      <c r="D861" s="73"/>
      <c r="E861" s="73"/>
      <c r="F861" s="73"/>
      <c r="G861" s="73"/>
      <c r="I861" s="73"/>
    </row>
    <row r="862" spans="1:9" ht="15.75" customHeight="1">
      <c r="A862" s="73"/>
      <c r="B862" s="73"/>
      <c r="C862" s="73"/>
      <c r="D862" s="73"/>
      <c r="E862" s="73"/>
      <c r="F862" s="73"/>
      <c r="G862" s="73"/>
      <c r="I862" s="73"/>
    </row>
    <row r="863" spans="1:9" ht="15.75" customHeight="1">
      <c r="A863" s="73"/>
      <c r="B863" s="73"/>
      <c r="C863" s="73"/>
      <c r="D863" s="73"/>
      <c r="E863" s="73"/>
      <c r="F863" s="73"/>
      <c r="G863" s="73"/>
      <c r="I863" s="73"/>
    </row>
    <row r="864" spans="1:9" ht="15.75" customHeight="1">
      <c r="A864" s="73"/>
      <c r="B864" s="73"/>
      <c r="C864" s="73"/>
      <c r="D864" s="73"/>
      <c r="E864" s="73"/>
      <c r="F864" s="73"/>
      <c r="G864" s="73"/>
      <c r="I864" s="73"/>
    </row>
    <row r="865" spans="1:9" ht="15.75" customHeight="1">
      <c r="A865" s="73"/>
      <c r="B865" s="73"/>
      <c r="C865" s="73"/>
      <c r="D865" s="73"/>
      <c r="E865" s="73"/>
      <c r="F865" s="73"/>
      <c r="G865" s="73"/>
      <c r="I865" s="73"/>
    </row>
    <row r="866" spans="1:9" ht="15.75" customHeight="1">
      <c r="A866" s="73"/>
      <c r="B866" s="73"/>
      <c r="C866" s="73"/>
      <c r="D866" s="73"/>
      <c r="E866" s="73"/>
      <c r="F866" s="73"/>
      <c r="G866" s="73"/>
      <c r="I866" s="73"/>
    </row>
    <row r="867" spans="1:9" ht="15.75" customHeight="1">
      <c r="A867" s="73"/>
      <c r="B867" s="73"/>
      <c r="C867" s="73"/>
      <c r="D867" s="73"/>
      <c r="E867" s="73"/>
      <c r="F867" s="73"/>
      <c r="G867" s="73"/>
      <c r="I867" s="73"/>
    </row>
    <row r="868" spans="1:9" ht="15.75" customHeight="1">
      <c r="A868" s="73"/>
      <c r="B868" s="73"/>
      <c r="C868" s="73"/>
      <c r="D868" s="73"/>
      <c r="E868" s="73"/>
      <c r="F868" s="73"/>
      <c r="G868" s="73"/>
      <c r="I868" s="73"/>
    </row>
    <row r="869" spans="1:9" ht="15.75" customHeight="1">
      <c r="A869" s="73"/>
      <c r="B869" s="73"/>
      <c r="C869" s="73"/>
      <c r="D869" s="73"/>
      <c r="E869" s="73"/>
      <c r="F869" s="73"/>
      <c r="G869" s="73"/>
      <c r="I869" s="73"/>
    </row>
    <row r="870" spans="1:9" ht="15.75" customHeight="1">
      <c r="A870" s="73"/>
      <c r="B870" s="73"/>
      <c r="C870" s="73"/>
      <c r="D870" s="73"/>
      <c r="E870" s="73"/>
      <c r="F870" s="73"/>
      <c r="G870" s="73"/>
      <c r="I870" s="73"/>
    </row>
    <row r="871" spans="1:9" ht="15.75" customHeight="1">
      <c r="A871" s="73"/>
      <c r="B871" s="73"/>
      <c r="C871" s="73"/>
      <c r="D871" s="73"/>
      <c r="E871" s="73"/>
      <c r="F871" s="73"/>
      <c r="G871" s="73"/>
      <c r="I871" s="73"/>
    </row>
    <row r="872" spans="1:9" ht="15.75" customHeight="1">
      <c r="A872" s="73"/>
      <c r="B872" s="73"/>
      <c r="C872" s="73"/>
      <c r="D872" s="73"/>
      <c r="E872" s="73"/>
      <c r="F872" s="73"/>
      <c r="G872" s="73"/>
      <c r="I872" s="73"/>
    </row>
    <row r="873" spans="1:9" ht="15.75" customHeight="1">
      <c r="A873" s="73"/>
      <c r="B873" s="73"/>
      <c r="C873" s="73"/>
      <c r="D873" s="73"/>
      <c r="E873" s="73"/>
      <c r="F873" s="73"/>
      <c r="G873" s="73"/>
      <c r="I873" s="73"/>
    </row>
    <row r="874" spans="1:9" ht="15.75" customHeight="1">
      <c r="A874" s="73"/>
      <c r="B874" s="73"/>
      <c r="C874" s="73"/>
      <c r="D874" s="73"/>
      <c r="E874" s="73"/>
      <c r="F874" s="73"/>
      <c r="G874" s="73"/>
      <c r="I874" s="73"/>
    </row>
    <row r="875" spans="1:9" ht="15.75" customHeight="1">
      <c r="A875" s="73"/>
      <c r="B875" s="73"/>
      <c r="C875" s="73"/>
      <c r="D875" s="73"/>
      <c r="E875" s="73"/>
      <c r="F875" s="73"/>
      <c r="G875" s="73"/>
      <c r="I875" s="73"/>
    </row>
    <row r="876" spans="1:9" ht="15.75" customHeight="1">
      <c r="A876" s="73"/>
      <c r="B876" s="73"/>
      <c r="C876" s="73"/>
      <c r="D876" s="73"/>
      <c r="E876" s="73"/>
      <c r="F876" s="73"/>
      <c r="G876" s="73"/>
      <c r="I876" s="73"/>
    </row>
    <row r="877" spans="1:9" ht="15.75" customHeight="1">
      <c r="A877" s="73"/>
      <c r="B877" s="73"/>
      <c r="C877" s="73"/>
      <c r="D877" s="73"/>
      <c r="E877" s="73"/>
      <c r="F877" s="73"/>
      <c r="G877" s="73"/>
      <c r="I877" s="73"/>
    </row>
    <row r="878" spans="1:9" ht="15.75" customHeight="1">
      <c r="A878" s="73"/>
      <c r="B878" s="73"/>
      <c r="C878" s="73"/>
      <c r="D878" s="73"/>
      <c r="E878" s="73"/>
      <c r="F878" s="73"/>
      <c r="G878" s="73"/>
      <c r="I878" s="73"/>
    </row>
    <row r="879" spans="1:9" ht="15.75" customHeight="1">
      <c r="A879" s="73"/>
      <c r="B879" s="73"/>
      <c r="C879" s="73"/>
      <c r="D879" s="73"/>
      <c r="E879" s="73"/>
      <c r="F879" s="73"/>
      <c r="G879" s="73"/>
      <c r="I879" s="73"/>
    </row>
    <row r="880" spans="1:9" ht="15.75" customHeight="1">
      <c r="A880" s="73"/>
      <c r="B880" s="73"/>
      <c r="C880" s="73"/>
      <c r="D880" s="73"/>
      <c r="E880" s="73"/>
      <c r="F880" s="73"/>
      <c r="G880" s="73"/>
      <c r="I880" s="73"/>
    </row>
    <row r="881" spans="1:9" ht="15.75" customHeight="1">
      <c r="A881" s="73"/>
      <c r="B881" s="73"/>
      <c r="C881" s="73"/>
      <c r="D881" s="73"/>
      <c r="E881" s="73"/>
      <c r="F881" s="73"/>
      <c r="G881" s="73"/>
      <c r="I881" s="73"/>
    </row>
    <row r="882" spans="1:9" ht="15.75" customHeight="1">
      <c r="A882" s="73"/>
      <c r="B882" s="73"/>
      <c r="C882" s="73"/>
      <c r="D882" s="73"/>
      <c r="E882" s="73"/>
      <c r="F882" s="73"/>
      <c r="G882" s="73"/>
      <c r="I882" s="73"/>
    </row>
    <row r="883" spans="1:9" ht="15.75" customHeight="1">
      <c r="A883" s="73"/>
      <c r="B883" s="73"/>
      <c r="C883" s="73"/>
      <c r="D883" s="73"/>
      <c r="E883" s="73"/>
      <c r="F883" s="73"/>
      <c r="G883" s="73"/>
      <c r="I883" s="73"/>
    </row>
    <row r="884" spans="1:9" ht="15.75" customHeight="1">
      <c r="A884" s="73"/>
      <c r="B884" s="73"/>
      <c r="C884" s="73"/>
      <c r="D884" s="73"/>
      <c r="E884" s="73"/>
      <c r="F884" s="73"/>
      <c r="G884" s="73"/>
      <c r="I884" s="73"/>
    </row>
    <row r="885" spans="1:9" ht="15.75" customHeight="1">
      <c r="A885" s="73"/>
      <c r="B885" s="73"/>
      <c r="C885" s="73"/>
      <c r="D885" s="73"/>
      <c r="E885" s="73"/>
      <c r="F885" s="73"/>
      <c r="G885" s="73"/>
      <c r="I885" s="73"/>
    </row>
    <row r="886" spans="1:9" ht="15.75" customHeight="1">
      <c r="A886" s="73"/>
      <c r="B886" s="73"/>
      <c r="C886" s="73"/>
      <c r="D886" s="73"/>
      <c r="E886" s="73"/>
      <c r="F886" s="73"/>
      <c r="G886" s="73"/>
      <c r="I886" s="73"/>
    </row>
    <row r="887" spans="1:9" ht="15.75" customHeight="1">
      <c r="A887" s="73"/>
      <c r="B887" s="73"/>
      <c r="C887" s="73"/>
      <c r="D887" s="73"/>
      <c r="E887" s="73"/>
      <c r="F887" s="73"/>
      <c r="G887" s="73"/>
      <c r="I887" s="73"/>
    </row>
    <row r="888" spans="1:9" ht="15.75" customHeight="1">
      <c r="A888" s="73"/>
      <c r="B888" s="73"/>
      <c r="C888" s="73"/>
      <c r="D888" s="73"/>
      <c r="E888" s="73"/>
      <c r="F888" s="73"/>
      <c r="G888" s="73"/>
      <c r="I888" s="73"/>
    </row>
    <row r="889" spans="1:9" ht="15.75" customHeight="1">
      <c r="A889" s="73"/>
      <c r="B889" s="73"/>
      <c r="C889" s="73"/>
      <c r="D889" s="73"/>
      <c r="E889" s="73"/>
      <c r="F889" s="73"/>
      <c r="G889" s="73"/>
      <c r="I889" s="73"/>
    </row>
    <row r="890" spans="1:9" ht="15.75" customHeight="1">
      <c r="A890" s="73"/>
      <c r="B890" s="73"/>
      <c r="C890" s="73"/>
      <c r="D890" s="73"/>
      <c r="E890" s="73"/>
      <c r="F890" s="73"/>
      <c r="G890" s="73"/>
      <c r="I890" s="73"/>
    </row>
    <row r="891" spans="1:9" ht="15.75" customHeight="1">
      <c r="A891" s="73"/>
      <c r="B891" s="73"/>
      <c r="C891" s="73"/>
      <c r="D891" s="73"/>
      <c r="E891" s="73"/>
      <c r="F891" s="73"/>
      <c r="G891" s="73"/>
      <c r="I891" s="73"/>
    </row>
    <row r="892" spans="1:9" ht="15.75" customHeight="1">
      <c r="A892" s="73"/>
      <c r="B892" s="73"/>
      <c r="C892" s="73"/>
      <c r="D892" s="73"/>
      <c r="E892" s="73"/>
      <c r="F892" s="73"/>
      <c r="G892" s="73"/>
      <c r="I892" s="73"/>
    </row>
    <row r="893" spans="1:9" ht="15.75" customHeight="1">
      <c r="A893" s="73"/>
      <c r="B893" s="73"/>
      <c r="C893" s="73"/>
      <c r="D893" s="73"/>
      <c r="E893" s="73"/>
      <c r="F893" s="73"/>
      <c r="G893" s="73"/>
      <c r="I893" s="73"/>
    </row>
    <row r="894" spans="1:9" ht="15.75" customHeight="1">
      <c r="A894" s="73"/>
      <c r="B894" s="73"/>
      <c r="C894" s="73"/>
      <c r="D894" s="73"/>
      <c r="E894" s="73"/>
      <c r="F894" s="73"/>
      <c r="G894" s="73"/>
      <c r="I894" s="73"/>
    </row>
    <row r="895" spans="1:9" ht="15.75" customHeight="1">
      <c r="A895" s="73"/>
      <c r="B895" s="73"/>
      <c r="C895" s="73"/>
      <c r="D895" s="73"/>
      <c r="E895" s="73"/>
      <c r="F895" s="73"/>
      <c r="G895" s="73"/>
      <c r="I895" s="73"/>
    </row>
    <row r="896" spans="1:9" ht="15.75" customHeight="1">
      <c r="A896" s="73"/>
      <c r="B896" s="73"/>
      <c r="C896" s="73"/>
      <c r="D896" s="73"/>
      <c r="E896" s="73"/>
      <c r="F896" s="73"/>
      <c r="G896" s="73"/>
      <c r="I896" s="73"/>
    </row>
    <row r="897" spans="1:9" ht="15.75" customHeight="1">
      <c r="A897" s="73"/>
      <c r="B897" s="73"/>
      <c r="C897" s="73"/>
      <c r="D897" s="73"/>
      <c r="E897" s="73"/>
      <c r="F897" s="73"/>
      <c r="G897" s="73"/>
      <c r="I897" s="73"/>
    </row>
    <row r="898" spans="1:9" ht="15.75" customHeight="1">
      <c r="A898" s="73"/>
      <c r="B898" s="73"/>
      <c r="C898" s="73"/>
      <c r="D898" s="73"/>
      <c r="E898" s="73"/>
      <c r="F898" s="73"/>
      <c r="G898" s="73"/>
      <c r="I898" s="73"/>
    </row>
    <row r="899" spans="1:9" ht="15.75" customHeight="1">
      <c r="A899" s="73"/>
      <c r="B899" s="73"/>
      <c r="C899" s="73"/>
      <c r="D899" s="73"/>
      <c r="E899" s="73"/>
      <c r="F899" s="73"/>
      <c r="G899" s="73"/>
      <c r="I899" s="73"/>
    </row>
    <row r="900" spans="1:9" ht="15.75" customHeight="1">
      <c r="A900" s="73"/>
      <c r="B900" s="73"/>
      <c r="C900" s="73"/>
      <c r="D900" s="73"/>
      <c r="E900" s="73"/>
      <c r="F900" s="73"/>
      <c r="G900" s="73"/>
      <c r="I900" s="73"/>
    </row>
    <row r="901" spans="1:9" ht="15.75" customHeight="1">
      <c r="A901" s="73"/>
      <c r="B901" s="73"/>
      <c r="C901" s="73"/>
      <c r="D901" s="73"/>
      <c r="E901" s="73"/>
      <c r="F901" s="73"/>
      <c r="G901" s="73"/>
      <c r="I901" s="73"/>
    </row>
    <row r="902" spans="1:9" ht="15.75" customHeight="1">
      <c r="A902" s="73"/>
      <c r="B902" s="73"/>
      <c r="C902" s="73"/>
      <c r="D902" s="73"/>
      <c r="E902" s="73"/>
      <c r="F902" s="73"/>
      <c r="G902" s="73"/>
      <c r="I902" s="73"/>
    </row>
    <row r="903" spans="1:9" ht="15.75" customHeight="1">
      <c r="A903" s="73"/>
      <c r="B903" s="73"/>
      <c r="C903" s="73"/>
      <c r="D903" s="73"/>
      <c r="E903" s="73"/>
      <c r="F903" s="73"/>
      <c r="G903" s="73"/>
      <c r="I903" s="73"/>
    </row>
    <row r="904" spans="1:9" ht="15.75" customHeight="1">
      <c r="A904" s="73"/>
      <c r="B904" s="73"/>
      <c r="C904" s="73"/>
      <c r="D904" s="73"/>
      <c r="E904" s="73"/>
      <c r="F904" s="73"/>
      <c r="G904" s="73"/>
      <c r="I904" s="73"/>
    </row>
    <row r="905" spans="1:9" ht="15.75" customHeight="1">
      <c r="A905" s="73"/>
      <c r="B905" s="73"/>
      <c r="C905" s="73"/>
      <c r="D905" s="73"/>
      <c r="E905" s="73"/>
      <c r="F905" s="73"/>
      <c r="G905" s="73"/>
      <c r="I905" s="73"/>
    </row>
    <row r="906" spans="1:9" ht="15.75" customHeight="1">
      <c r="A906" s="73"/>
      <c r="B906" s="73"/>
      <c r="C906" s="73"/>
      <c r="D906" s="73"/>
      <c r="E906" s="73"/>
      <c r="F906" s="73"/>
      <c r="G906" s="73"/>
      <c r="I906" s="73"/>
    </row>
    <row r="907" spans="1:9" ht="15.75" customHeight="1">
      <c r="A907" s="73"/>
      <c r="B907" s="73"/>
      <c r="C907" s="73"/>
      <c r="D907" s="73"/>
      <c r="E907" s="73"/>
      <c r="F907" s="73"/>
      <c r="G907" s="73"/>
      <c r="I907" s="73"/>
    </row>
    <row r="908" spans="1:9" ht="15.75" customHeight="1">
      <c r="A908" s="73"/>
      <c r="B908" s="73"/>
      <c r="C908" s="73"/>
      <c r="D908" s="73"/>
      <c r="E908" s="73"/>
      <c r="F908" s="73"/>
      <c r="G908" s="73"/>
      <c r="I908" s="73"/>
    </row>
    <row r="909" spans="1:9" ht="15.75" customHeight="1">
      <c r="A909" s="73"/>
      <c r="B909" s="73"/>
      <c r="C909" s="73"/>
      <c r="D909" s="73"/>
      <c r="E909" s="73"/>
      <c r="F909" s="73"/>
      <c r="G909" s="73"/>
      <c r="I909" s="73"/>
    </row>
    <row r="910" spans="1:9" ht="15.75" customHeight="1">
      <c r="A910" s="73"/>
      <c r="B910" s="73"/>
      <c r="C910" s="73"/>
      <c r="D910" s="73"/>
      <c r="E910" s="73"/>
      <c r="F910" s="73"/>
      <c r="G910" s="73"/>
      <c r="I910" s="73"/>
    </row>
    <row r="911" spans="1:9" ht="15.75" customHeight="1">
      <c r="A911" s="73"/>
      <c r="B911" s="73"/>
      <c r="C911" s="73"/>
      <c r="D911" s="73"/>
      <c r="E911" s="73"/>
      <c r="F911" s="73"/>
      <c r="G911" s="73"/>
      <c r="I911" s="73"/>
    </row>
    <row r="912" spans="1:9" ht="15.75" customHeight="1">
      <c r="A912" s="73"/>
      <c r="B912" s="73"/>
      <c r="C912" s="73"/>
      <c r="D912" s="73"/>
      <c r="E912" s="73"/>
      <c r="F912" s="73"/>
      <c r="G912" s="73"/>
      <c r="I912" s="73"/>
    </row>
    <row r="913" spans="1:9" ht="15.75" customHeight="1">
      <c r="A913" s="73"/>
      <c r="B913" s="73"/>
      <c r="C913" s="73"/>
      <c r="D913" s="73"/>
      <c r="E913" s="73"/>
      <c r="F913" s="73"/>
      <c r="G913" s="73"/>
      <c r="I913" s="73"/>
    </row>
    <row r="914" spans="1:9" ht="15.75" customHeight="1">
      <c r="A914" s="73"/>
      <c r="B914" s="73"/>
      <c r="C914" s="73"/>
      <c r="D914" s="73"/>
      <c r="E914" s="73"/>
      <c r="F914" s="73"/>
      <c r="G914" s="73"/>
      <c r="I914" s="73"/>
    </row>
    <row r="915" spans="1:9" ht="15.75" customHeight="1">
      <c r="A915" s="73"/>
      <c r="B915" s="73"/>
      <c r="C915" s="73"/>
      <c r="D915" s="73"/>
      <c r="E915" s="73"/>
      <c r="F915" s="73"/>
      <c r="G915" s="73"/>
      <c r="I915" s="73"/>
    </row>
    <row r="916" spans="1:9" ht="15.75" customHeight="1">
      <c r="A916" s="73"/>
      <c r="B916" s="73"/>
      <c r="C916" s="73"/>
      <c r="D916" s="73"/>
      <c r="E916" s="73"/>
      <c r="F916" s="73"/>
      <c r="G916" s="73"/>
      <c r="I916" s="73"/>
    </row>
    <row r="917" spans="1:9" ht="15.75" customHeight="1">
      <c r="A917" s="73"/>
      <c r="B917" s="73"/>
      <c r="C917" s="73"/>
      <c r="D917" s="73"/>
      <c r="E917" s="73"/>
      <c r="F917" s="73"/>
      <c r="G917" s="73"/>
      <c r="I917" s="73"/>
    </row>
    <row r="918" spans="1:9" ht="15.75" customHeight="1">
      <c r="A918" s="73"/>
      <c r="B918" s="73"/>
      <c r="C918" s="73"/>
      <c r="D918" s="73"/>
      <c r="E918" s="73"/>
      <c r="F918" s="73"/>
      <c r="G918" s="73"/>
      <c r="I918" s="73"/>
    </row>
    <row r="919" spans="1:9" ht="15.75" customHeight="1">
      <c r="A919" s="73"/>
      <c r="B919" s="73"/>
      <c r="C919" s="73"/>
      <c r="D919" s="73"/>
      <c r="E919" s="73"/>
      <c r="F919" s="73"/>
      <c r="G919" s="73"/>
      <c r="I919" s="73"/>
    </row>
    <row r="920" spans="1:9" ht="15.75" customHeight="1">
      <c r="A920" s="73"/>
      <c r="B920" s="73"/>
      <c r="C920" s="73"/>
      <c r="D920" s="73"/>
      <c r="E920" s="73"/>
      <c r="F920" s="73"/>
      <c r="G920" s="73"/>
      <c r="I920" s="73"/>
    </row>
    <row r="921" spans="1:9" ht="15.75" customHeight="1">
      <c r="A921" s="73"/>
      <c r="B921" s="73"/>
      <c r="C921" s="73"/>
      <c r="D921" s="73"/>
      <c r="E921" s="73"/>
      <c r="F921" s="73"/>
      <c r="G921" s="73"/>
      <c r="I921" s="73"/>
    </row>
    <row r="922" spans="1:9" ht="15.75" customHeight="1">
      <c r="A922" s="73"/>
      <c r="B922" s="73"/>
      <c r="C922" s="73"/>
      <c r="D922" s="73"/>
      <c r="E922" s="73"/>
      <c r="F922" s="73"/>
      <c r="G922" s="73"/>
      <c r="I922" s="73"/>
    </row>
    <row r="923" spans="1:9" ht="15.75" customHeight="1">
      <c r="A923" s="73"/>
      <c r="B923" s="73"/>
      <c r="C923" s="73"/>
      <c r="D923" s="73"/>
      <c r="E923" s="73"/>
      <c r="F923" s="73"/>
      <c r="G923" s="73"/>
      <c r="I923" s="73"/>
    </row>
    <row r="924" spans="1:9" ht="15.75" customHeight="1">
      <c r="A924" s="73"/>
      <c r="B924" s="73"/>
      <c r="C924" s="73"/>
      <c r="D924" s="73"/>
      <c r="E924" s="73"/>
      <c r="F924" s="73"/>
      <c r="G924" s="73"/>
      <c r="I924" s="73"/>
    </row>
    <row r="925" spans="1:9" ht="15.75" customHeight="1">
      <c r="A925" s="73"/>
      <c r="B925" s="73"/>
      <c r="C925" s="73"/>
      <c r="D925" s="73"/>
      <c r="E925" s="73"/>
      <c r="F925" s="73"/>
      <c r="G925" s="73"/>
      <c r="I925" s="73"/>
    </row>
    <row r="926" spans="1:9" ht="15.75" customHeight="1">
      <c r="A926" s="73"/>
      <c r="B926" s="73"/>
      <c r="C926" s="73"/>
      <c r="D926" s="73"/>
      <c r="E926" s="73"/>
      <c r="F926" s="73"/>
      <c r="G926" s="73"/>
      <c r="I926" s="73"/>
    </row>
    <row r="927" spans="1:9" ht="15.75" customHeight="1">
      <c r="A927" s="73"/>
      <c r="B927" s="73"/>
      <c r="C927" s="73"/>
      <c r="D927" s="73"/>
      <c r="E927" s="73"/>
      <c r="F927" s="73"/>
      <c r="G927" s="73"/>
      <c r="I927" s="73"/>
    </row>
    <row r="928" spans="1:9" ht="15.75" customHeight="1">
      <c r="A928" s="73"/>
      <c r="B928" s="73"/>
      <c r="C928" s="73"/>
      <c r="D928" s="73"/>
      <c r="E928" s="73"/>
      <c r="F928" s="73"/>
      <c r="G928" s="73"/>
      <c r="I928" s="73"/>
    </row>
    <row r="929" spans="1:9" ht="15.75" customHeight="1">
      <c r="A929" s="73"/>
      <c r="B929" s="73"/>
      <c r="C929" s="73"/>
      <c r="D929" s="73"/>
      <c r="E929" s="73"/>
      <c r="F929" s="73"/>
      <c r="G929" s="73"/>
      <c r="I929" s="73"/>
    </row>
    <row r="930" spans="1:9" ht="15.75" customHeight="1">
      <c r="A930" s="73"/>
      <c r="B930" s="73"/>
      <c r="C930" s="73"/>
      <c r="D930" s="73"/>
      <c r="E930" s="73"/>
      <c r="F930" s="73"/>
      <c r="G930" s="73"/>
      <c r="I930" s="73"/>
    </row>
    <row r="931" spans="1:9" ht="15.75" customHeight="1">
      <c r="A931" s="73"/>
      <c r="B931" s="73"/>
      <c r="C931" s="73"/>
      <c r="D931" s="73"/>
      <c r="E931" s="73"/>
      <c r="F931" s="73"/>
      <c r="G931" s="73"/>
      <c r="I931" s="73"/>
    </row>
    <row r="932" spans="1:9" ht="15.75" customHeight="1">
      <c r="A932" s="73"/>
      <c r="B932" s="73"/>
      <c r="C932" s="73"/>
      <c r="D932" s="73"/>
      <c r="E932" s="73"/>
      <c r="F932" s="73"/>
      <c r="G932" s="73"/>
      <c r="I932" s="73"/>
    </row>
    <row r="933" spans="1:9" ht="15.75" customHeight="1">
      <c r="A933" s="73"/>
      <c r="B933" s="73"/>
      <c r="C933" s="73"/>
      <c r="D933" s="73"/>
      <c r="E933" s="73"/>
      <c r="F933" s="73"/>
      <c r="G933" s="73"/>
      <c r="I933" s="73"/>
    </row>
    <row r="934" spans="1:9" ht="15.75" customHeight="1">
      <c r="A934" s="73"/>
      <c r="B934" s="73"/>
      <c r="C934" s="73"/>
      <c r="D934" s="73"/>
      <c r="E934" s="73"/>
      <c r="F934" s="73"/>
      <c r="G934" s="73"/>
      <c r="I934" s="73"/>
    </row>
    <row r="935" spans="1:9" ht="15.75" customHeight="1">
      <c r="A935" s="73"/>
      <c r="B935" s="73"/>
      <c r="C935" s="73"/>
      <c r="D935" s="73"/>
      <c r="E935" s="73"/>
      <c r="F935" s="73"/>
      <c r="G935" s="73"/>
      <c r="I935" s="73"/>
    </row>
    <row r="936" spans="1:9" ht="15.75" customHeight="1">
      <c r="A936" s="73"/>
      <c r="B936" s="73"/>
      <c r="C936" s="73"/>
      <c r="D936" s="73"/>
      <c r="E936" s="73"/>
      <c r="F936" s="73"/>
      <c r="G936" s="73"/>
      <c r="I936" s="73"/>
    </row>
    <row r="937" spans="1:9" ht="15.75" customHeight="1">
      <c r="A937" s="73"/>
      <c r="B937" s="73"/>
      <c r="C937" s="73"/>
      <c r="D937" s="73"/>
      <c r="E937" s="73"/>
      <c r="F937" s="73"/>
      <c r="G937" s="73"/>
      <c r="I937" s="73"/>
    </row>
    <row r="938" spans="1:9" ht="15.75" customHeight="1">
      <c r="A938" s="73"/>
      <c r="B938" s="73"/>
      <c r="C938" s="73"/>
      <c r="D938" s="73"/>
      <c r="E938" s="73"/>
      <c r="F938" s="73"/>
      <c r="G938" s="73"/>
      <c r="I938" s="73"/>
    </row>
    <row r="939" spans="1:9" ht="15.75" customHeight="1">
      <c r="A939" s="73"/>
      <c r="B939" s="73"/>
      <c r="C939" s="73"/>
      <c r="D939" s="73"/>
      <c r="E939" s="73"/>
      <c r="F939" s="73"/>
      <c r="G939" s="73"/>
      <c r="I939" s="73"/>
    </row>
    <row r="940" spans="1:9" ht="15.75" customHeight="1">
      <c r="A940" s="73"/>
      <c r="B940" s="73"/>
      <c r="C940" s="73"/>
      <c r="D940" s="73"/>
      <c r="E940" s="73"/>
      <c r="F940" s="73"/>
      <c r="G940" s="73"/>
      <c r="I940" s="73"/>
    </row>
    <row r="941" spans="1:9" ht="15.75" customHeight="1">
      <c r="A941" s="73"/>
      <c r="B941" s="73"/>
      <c r="C941" s="73"/>
      <c r="D941" s="73"/>
      <c r="E941" s="73"/>
      <c r="F941" s="73"/>
      <c r="G941" s="73"/>
      <c r="I941" s="73"/>
    </row>
    <row r="942" spans="1:9" ht="15.75" customHeight="1">
      <c r="A942" s="73"/>
      <c r="B942" s="73"/>
      <c r="C942" s="73"/>
      <c r="D942" s="73"/>
      <c r="E942" s="73"/>
      <c r="F942" s="73"/>
      <c r="G942" s="73"/>
      <c r="I942" s="73"/>
    </row>
    <row r="943" spans="1:9" ht="15.75" customHeight="1">
      <c r="A943" s="73"/>
      <c r="B943" s="73"/>
      <c r="C943" s="73"/>
      <c r="D943" s="73"/>
      <c r="E943" s="73"/>
      <c r="F943" s="73"/>
      <c r="G943" s="73"/>
      <c r="I943" s="73"/>
    </row>
    <row r="944" spans="1:9" ht="15.75" customHeight="1">
      <c r="A944" s="73"/>
      <c r="B944" s="73"/>
      <c r="C944" s="73"/>
      <c r="D944" s="73"/>
      <c r="E944" s="73"/>
      <c r="F944" s="73"/>
      <c r="G944" s="73"/>
      <c r="I944" s="73"/>
    </row>
    <row r="945" spans="1:9" ht="15.75" customHeight="1">
      <c r="A945" s="73"/>
      <c r="B945" s="73"/>
      <c r="C945" s="73"/>
      <c r="D945" s="73"/>
      <c r="E945" s="73"/>
      <c r="F945" s="73"/>
      <c r="G945" s="73"/>
      <c r="I945" s="73"/>
    </row>
    <row r="946" spans="1:9" ht="15.75" customHeight="1">
      <c r="A946" s="73"/>
      <c r="B946" s="73"/>
      <c r="C946" s="73"/>
      <c r="D946" s="73"/>
      <c r="E946" s="73"/>
      <c r="F946" s="73"/>
      <c r="G946" s="73"/>
      <c r="I946" s="73"/>
    </row>
    <row r="947" spans="1:9" ht="15.75" customHeight="1">
      <c r="A947" s="73"/>
      <c r="B947" s="73"/>
      <c r="C947" s="73"/>
      <c r="D947" s="73"/>
      <c r="E947" s="73"/>
      <c r="F947" s="73"/>
      <c r="G947" s="73"/>
      <c r="I947" s="73"/>
    </row>
    <row r="948" spans="1:9" ht="15.75" customHeight="1">
      <c r="A948" s="73"/>
      <c r="B948" s="73"/>
      <c r="C948" s="73"/>
      <c r="D948" s="73"/>
      <c r="E948" s="73"/>
      <c r="F948" s="73"/>
      <c r="G948" s="73"/>
      <c r="I948" s="73"/>
    </row>
    <row r="949" spans="1:9" ht="15.75" customHeight="1">
      <c r="A949" s="73"/>
      <c r="B949" s="73"/>
      <c r="C949" s="73"/>
      <c r="D949" s="73"/>
      <c r="E949" s="73"/>
      <c r="F949" s="73"/>
      <c r="G949" s="73"/>
      <c r="I949" s="73"/>
    </row>
    <row r="950" spans="1:9" ht="15.75" customHeight="1">
      <c r="A950" s="73"/>
      <c r="B950" s="73"/>
      <c r="C950" s="73"/>
      <c r="D950" s="73"/>
      <c r="E950" s="73"/>
      <c r="F950" s="73"/>
      <c r="G950" s="73"/>
      <c r="I950" s="73"/>
    </row>
    <row r="951" spans="1:9" ht="15.75" customHeight="1">
      <c r="A951" s="73"/>
      <c r="B951" s="73"/>
      <c r="C951" s="73"/>
      <c r="D951" s="73"/>
      <c r="E951" s="73"/>
      <c r="F951" s="73"/>
      <c r="G951" s="73"/>
      <c r="I951" s="73"/>
    </row>
    <row r="952" spans="1:9" ht="15.75" customHeight="1">
      <c r="A952" s="73"/>
      <c r="B952" s="73"/>
      <c r="C952" s="73"/>
      <c r="D952" s="73"/>
      <c r="E952" s="73"/>
      <c r="F952" s="73"/>
      <c r="G952" s="73"/>
      <c r="I952" s="73"/>
    </row>
    <row r="953" spans="1:9" ht="15.75" customHeight="1">
      <c r="A953" s="73"/>
      <c r="B953" s="73"/>
      <c r="C953" s="73"/>
      <c r="D953" s="73"/>
      <c r="E953" s="73"/>
      <c r="F953" s="73"/>
      <c r="G953" s="73"/>
      <c r="I953" s="73"/>
    </row>
    <row r="954" spans="1:9" ht="15.75" customHeight="1">
      <c r="A954" s="73"/>
      <c r="B954" s="73"/>
      <c r="C954" s="73"/>
      <c r="D954" s="73"/>
      <c r="E954" s="73"/>
      <c r="F954" s="73"/>
      <c r="G954" s="73"/>
      <c r="I954" s="73"/>
    </row>
    <row r="955" spans="1:9" ht="15.75" customHeight="1">
      <c r="A955" s="73"/>
      <c r="B955" s="73"/>
      <c r="C955" s="73"/>
      <c r="D955" s="73"/>
      <c r="E955" s="73"/>
      <c r="F955" s="73"/>
      <c r="G955" s="73"/>
      <c r="I955" s="73"/>
    </row>
    <row r="956" spans="1:9" ht="15.75" customHeight="1">
      <c r="A956" s="73"/>
      <c r="B956" s="73"/>
      <c r="C956" s="73"/>
      <c r="D956" s="73"/>
      <c r="E956" s="73"/>
      <c r="F956" s="73"/>
      <c r="G956" s="73"/>
      <c r="I956" s="73"/>
    </row>
    <row r="957" spans="1:9" ht="15.75" customHeight="1">
      <c r="A957" s="73"/>
      <c r="B957" s="73"/>
      <c r="C957" s="73"/>
      <c r="D957" s="73"/>
      <c r="E957" s="73"/>
      <c r="F957" s="73"/>
      <c r="G957" s="73"/>
      <c r="I957" s="73"/>
    </row>
    <row r="958" spans="1:9" ht="15.75" customHeight="1">
      <c r="A958" s="73"/>
      <c r="B958" s="73"/>
      <c r="C958" s="73"/>
      <c r="D958" s="73"/>
      <c r="E958" s="73"/>
      <c r="F958" s="73"/>
      <c r="G958" s="73"/>
      <c r="I958" s="73"/>
    </row>
    <row r="959" spans="1:9" ht="15.75" customHeight="1">
      <c r="A959" s="73"/>
      <c r="B959" s="73"/>
      <c r="C959" s="73"/>
      <c r="D959" s="73"/>
      <c r="E959" s="73"/>
      <c r="F959" s="73"/>
      <c r="G959" s="73"/>
      <c r="I959" s="73"/>
    </row>
    <row r="960" spans="1:9" ht="15.75" customHeight="1">
      <c r="A960" s="73"/>
      <c r="B960" s="73"/>
      <c r="C960" s="73"/>
      <c r="D960" s="73"/>
      <c r="E960" s="73"/>
      <c r="F960" s="73"/>
      <c r="G960" s="73"/>
      <c r="I960" s="73"/>
    </row>
    <row r="961" spans="1:9" ht="15.75" customHeight="1">
      <c r="A961" s="73"/>
      <c r="B961" s="73"/>
      <c r="C961" s="73"/>
      <c r="D961" s="73"/>
      <c r="E961" s="73"/>
      <c r="F961" s="73"/>
      <c r="G961" s="73"/>
      <c r="I961" s="73"/>
    </row>
    <row r="962" spans="1:9" ht="15.75" customHeight="1">
      <c r="A962" s="73"/>
      <c r="B962" s="73"/>
      <c r="C962" s="73"/>
      <c r="D962" s="73"/>
      <c r="E962" s="73"/>
      <c r="F962" s="73"/>
      <c r="G962" s="73"/>
      <c r="I962" s="73"/>
    </row>
    <row r="963" spans="1:9" ht="15.75" customHeight="1">
      <c r="A963" s="73"/>
      <c r="B963" s="73"/>
      <c r="C963" s="73"/>
      <c r="D963" s="73"/>
      <c r="E963" s="73"/>
      <c r="F963" s="73"/>
      <c r="G963" s="73"/>
      <c r="I963" s="73"/>
    </row>
    <row r="964" spans="1:9" ht="15.75" customHeight="1">
      <c r="A964" s="73"/>
      <c r="B964" s="73"/>
      <c r="C964" s="73"/>
      <c r="D964" s="73"/>
      <c r="E964" s="73"/>
      <c r="F964" s="73"/>
      <c r="G964" s="73"/>
      <c r="I964" s="73"/>
    </row>
    <row r="965" spans="1:9" ht="15.75" customHeight="1">
      <c r="A965" s="73"/>
      <c r="B965" s="73"/>
      <c r="C965" s="73"/>
      <c r="D965" s="73"/>
      <c r="E965" s="73"/>
      <c r="F965" s="73"/>
      <c r="G965" s="73"/>
      <c r="I965" s="73"/>
    </row>
    <row r="966" spans="1:9" ht="15.75" customHeight="1">
      <c r="A966" s="73"/>
      <c r="B966" s="73"/>
      <c r="C966" s="73"/>
      <c r="D966" s="73"/>
      <c r="E966" s="73"/>
      <c r="F966" s="73"/>
      <c r="G966" s="73"/>
      <c r="I966" s="73"/>
    </row>
    <row r="967" spans="1:9" ht="15.75" customHeight="1">
      <c r="A967" s="73"/>
      <c r="B967" s="73"/>
      <c r="C967" s="73"/>
      <c r="D967" s="73"/>
      <c r="E967" s="73"/>
      <c r="F967" s="73"/>
      <c r="G967" s="73"/>
      <c r="I967" s="73"/>
    </row>
    <row r="968" spans="1:9" ht="15.75" customHeight="1">
      <c r="A968" s="73"/>
      <c r="B968" s="73"/>
      <c r="C968" s="73"/>
      <c r="D968" s="73"/>
      <c r="E968" s="73"/>
      <c r="F968" s="73"/>
      <c r="G968" s="73"/>
      <c r="I968" s="73"/>
    </row>
    <row r="969" spans="1:9" ht="15.75" customHeight="1">
      <c r="A969" s="73"/>
      <c r="B969" s="73"/>
      <c r="C969" s="73"/>
      <c r="D969" s="73"/>
      <c r="E969" s="73"/>
      <c r="F969" s="73"/>
      <c r="G969" s="73"/>
      <c r="I969" s="73"/>
    </row>
    <row r="970" spans="1:9" ht="15.75" customHeight="1">
      <c r="A970" s="73"/>
      <c r="B970" s="73"/>
      <c r="C970" s="73"/>
      <c r="D970" s="73"/>
      <c r="E970" s="73"/>
      <c r="F970" s="73"/>
      <c r="G970" s="73"/>
      <c r="I970" s="73"/>
    </row>
    <row r="971" spans="1:9" ht="15.75" customHeight="1">
      <c r="A971" s="73"/>
      <c r="B971" s="73"/>
      <c r="C971" s="73"/>
      <c r="D971" s="73"/>
      <c r="E971" s="73"/>
      <c r="F971" s="73"/>
      <c r="G971" s="73"/>
      <c r="I971" s="73"/>
    </row>
    <row r="972" spans="1:9" ht="15.75" customHeight="1">
      <c r="A972" s="73"/>
      <c r="B972" s="73"/>
      <c r="C972" s="73"/>
      <c r="D972" s="73"/>
      <c r="E972" s="73"/>
      <c r="F972" s="73"/>
      <c r="G972" s="73"/>
      <c r="I972" s="73"/>
    </row>
    <row r="973" spans="1:9" ht="15.75" customHeight="1">
      <c r="A973" s="73"/>
      <c r="B973" s="73"/>
      <c r="C973" s="73"/>
      <c r="D973" s="73"/>
      <c r="E973" s="73"/>
      <c r="F973" s="73"/>
      <c r="G973" s="73"/>
      <c r="I973" s="73"/>
    </row>
    <row r="974" spans="1:9" ht="15.75" customHeight="1">
      <c r="A974" s="73"/>
      <c r="B974" s="73"/>
      <c r="C974" s="73"/>
      <c r="D974" s="73"/>
      <c r="E974" s="73"/>
      <c r="F974" s="73"/>
      <c r="G974" s="73"/>
      <c r="I974" s="73"/>
    </row>
    <row r="975" spans="1:9" ht="15.75" customHeight="1">
      <c r="A975" s="73"/>
      <c r="B975" s="73"/>
      <c r="C975" s="73"/>
      <c r="D975" s="73"/>
      <c r="E975" s="73"/>
      <c r="F975" s="73"/>
      <c r="G975" s="73"/>
      <c r="I975" s="73"/>
    </row>
    <row r="976" spans="1:9" ht="15.75" customHeight="1">
      <c r="A976" s="73"/>
      <c r="B976" s="73"/>
      <c r="C976" s="73"/>
      <c r="D976" s="73"/>
      <c r="E976" s="73"/>
      <c r="F976" s="73"/>
      <c r="G976" s="73"/>
      <c r="I976" s="73"/>
    </row>
    <row r="977" spans="1:9" ht="15.75" customHeight="1">
      <c r="A977" s="73"/>
      <c r="B977" s="73"/>
      <c r="C977" s="73"/>
      <c r="D977" s="73"/>
      <c r="E977" s="73"/>
      <c r="F977" s="73"/>
      <c r="G977" s="73"/>
      <c r="I977" s="73"/>
    </row>
    <row r="978" spans="1:9" ht="15.75" customHeight="1">
      <c r="A978" s="73"/>
      <c r="B978" s="73"/>
      <c r="C978" s="73"/>
      <c r="D978" s="73"/>
      <c r="E978" s="73"/>
      <c r="F978" s="73"/>
      <c r="G978" s="73"/>
      <c r="I978" s="73"/>
    </row>
    <row r="979" spans="1:9" ht="15.75" customHeight="1">
      <c r="A979" s="73"/>
      <c r="B979" s="73"/>
      <c r="C979" s="73"/>
      <c r="D979" s="73"/>
      <c r="E979" s="73"/>
      <c r="F979" s="73"/>
      <c r="G979" s="73"/>
      <c r="I979" s="73"/>
    </row>
    <row r="980" spans="1:9" ht="15.75" customHeight="1">
      <c r="A980" s="73"/>
      <c r="B980" s="73"/>
      <c r="C980" s="73"/>
      <c r="D980" s="73"/>
      <c r="E980" s="73"/>
      <c r="F980" s="73"/>
      <c r="G980" s="73"/>
      <c r="I980" s="73"/>
    </row>
    <row r="981" spans="1:9" ht="15.75" customHeight="1">
      <c r="A981" s="73"/>
      <c r="B981" s="73"/>
      <c r="C981" s="73"/>
      <c r="D981" s="73"/>
      <c r="E981" s="73"/>
      <c r="F981" s="73"/>
      <c r="G981" s="73"/>
      <c r="I981" s="73"/>
    </row>
    <row r="982" spans="1:9" ht="15.75" customHeight="1">
      <c r="A982" s="73"/>
      <c r="B982" s="73"/>
      <c r="C982" s="73"/>
      <c r="D982" s="73"/>
      <c r="E982" s="73"/>
      <c r="F982" s="73"/>
      <c r="G982" s="73"/>
      <c r="I982" s="73"/>
    </row>
    <row r="983" spans="1:9" ht="15.75" customHeight="1">
      <c r="A983" s="73"/>
      <c r="B983" s="73"/>
      <c r="C983" s="73"/>
      <c r="D983" s="73"/>
      <c r="E983" s="73"/>
      <c r="F983" s="73"/>
      <c r="G983" s="73"/>
      <c r="I983" s="73"/>
    </row>
    <row r="984" spans="1:9" ht="15.75" customHeight="1">
      <c r="A984" s="73"/>
      <c r="B984" s="73"/>
      <c r="C984" s="73"/>
      <c r="D984" s="73"/>
      <c r="E984" s="73"/>
      <c r="F984" s="73"/>
      <c r="G984" s="73"/>
      <c r="I984" s="73"/>
    </row>
    <row r="985" spans="1:9" ht="15.75" customHeight="1">
      <c r="A985" s="73"/>
      <c r="B985" s="73"/>
      <c r="C985" s="73"/>
      <c r="D985" s="73"/>
      <c r="E985" s="73"/>
      <c r="F985" s="73"/>
      <c r="G985" s="73"/>
      <c r="I985" s="73"/>
    </row>
    <row r="986" spans="1:9" ht="15.75" customHeight="1">
      <c r="A986" s="73"/>
      <c r="B986" s="73"/>
      <c r="C986" s="73"/>
      <c r="D986" s="73"/>
      <c r="E986" s="73"/>
      <c r="F986" s="73"/>
      <c r="G986" s="73"/>
      <c r="I986" s="73"/>
    </row>
    <row r="987" spans="1:9" ht="15.75" customHeight="1">
      <c r="A987" s="73"/>
      <c r="B987" s="73"/>
      <c r="C987" s="73"/>
      <c r="D987" s="73"/>
      <c r="E987" s="73"/>
      <c r="F987" s="73"/>
      <c r="G987" s="73"/>
      <c r="I987" s="73"/>
    </row>
    <row r="988" spans="1:9" ht="15.75" customHeight="1">
      <c r="A988" s="73"/>
      <c r="B988" s="73"/>
      <c r="C988" s="73"/>
      <c r="D988" s="73"/>
      <c r="E988" s="73"/>
      <c r="F988" s="73"/>
      <c r="G988" s="73"/>
      <c r="I988" s="73"/>
    </row>
    <row r="989" spans="1:9" ht="15.75" customHeight="1">
      <c r="A989" s="73"/>
      <c r="B989" s="73"/>
      <c r="C989" s="73"/>
      <c r="D989" s="73"/>
      <c r="E989" s="73"/>
      <c r="F989" s="73"/>
      <c r="G989" s="73"/>
      <c r="I989" s="73"/>
    </row>
    <row r="990" spans="1:9" ht="15.75" customHeight="1">
      <c r="A990" s="73"/>
      <c r="B990" s="73"/>
      <c r="C990" s="73"/>
      <c r="D990" s="73"/>
      <c r="E990" s="73"/>
      <c r="F990" s="73"/>
      <c r="G990" s="73"/>
      <c r="I990" s="73"/>
    </row>
    <row r="991" spans="1:9" ht="15.75" customHeight="1">
      <c r="A991" s="73"/>
      <c r="B991" s="73"/>
      <c r="C991" s="73"/>
      <c r="D991" s="73"/>
      <c r="E991" s="73"/>
      <c r="F991" s="73"/>
      <c r="G991" s="73"/>
      <c r="I991" s="73"/>
    </row>
    <row r="992" spans="1:9" ht="15.75" customHeight="1">
      <c r="A992" s="73"/>
      <c r="B992" s="73"/>
      <c r="C992" s="73"/>
      <c r="D992" s="73"/>
      <c r="E992" s="73"/>
      <c r="F992" s="73"/>
      <c r="G992" s="73"/>
      <c r="I992" s="73"/>
    </row>
    <row r="993" spans="1:9" ht="15.75" customHeight="1">
      <c r="A993" s="73"/>
      <c r="B993" s="73"/>
      <c r="C993" s="73"/>
      <c r="D993" s="73"/>
      <c r="E993" s="73"/>
      <c r="F993" s="73"/>
      <c r="G993" s="73"/>
      <c r="I993" s="73"/>
    </row>
    <row r="994" spans="1:9" ht="15.75" customHeight="1">
      <c r="A994" s="73"/>
      <c r="B994" s="73"/>
      <c r="C994" s="73"/>
      <c r="D994" s="73"/>
      <c r="E994" s="73"/>
      <c r="F994" s="73"/>
      <c r="G994" s="73"/>
      <c r="I994" s="73"/>
    </row>
    <row r="995" spans="1:9" ht="15.75" customHeight="1">
      <c r="A995" s="73"/>
      <c r="B995" s="73"/>
      <c r="C995" s="73"/>
      <c r="D995" s="73"/>
      <c r="E995" s="73"/>
      <c r="F995" s="73"/>
      <c r="G995" s="73"/>
      <c r="I995" s="73"/>
    </row>
    <row r="996" spans="1:9" ht="15.75" customHeight="1">
      <c r="A996" s="73"/>
      <c r="B996" s="73"/>
      <c r="C996" s="73"/>
      <c r="D996" s="73"/>
      <c r="E996" s="73"/>
      <c r="F996" s="73"/>
      <c r="G996" s="73"/>
      <c r="I996" s="73"/>
    </row>
    <row r="997" spans="1:9" ht="15.75" customHeight="1">
      <c r="A997" s="73"/>
      <c r="B997" s="73"/>
      <c r="C997" s="73"/>
      <c r="D997" s="73"/>
      <c r="E997" s="73"/>
      <c r="F997" s="73"/>
      <c r="G997" s="73"/>
      <c r="I997" s="73"/>
    </row>
    <row r="998" spans="1:9" ht="15.75" customHeight="1">
      <c r="A998" s="73"/>
      <c r="B998" s="73"/>
      <c r="C998" s="73"/>
      <c r="D998" s="73"/>
      <c r="E998" s="73"/>
      <c r="F998" s="73"/>
      <c r="G998" s="73"/>
      <c r="I998" s="73"/>
    </row>
    <row r="999" spans="1:9" ht="15.75" customHeight="1">
      <c r="A999" s="73"/>
      <c r="B999" s="73"/>
      <c r="C999" s="73"/>
      <c r="D999" s="73"/>
      <c r="E999" s="73"/>
      <c r="F999" s="73"/>
      <c r="G999" s="73"/>
      <c r="I999" s="73"/>
    </row>
    <row r="1000" spans="1:9" ht="15.75" customHeight="1">
      <c r="A1000" s="73"/>
      <c r="B1000" s="73"/>
      <c r="C1000" s="73"/>
      <c r="D1000" s="73"/>
      <c r="E1000" s="73"/>
      <c r="F1000" s="73"/>
      <c r="G1000" s="73"/>
      <c r="I1000" s="73"/>
    </row>
  </sheetData>
  <mergeCells count="26">
    <mergeCell ref="A69:I73"/>
    <mergeCell ref="D3:D4"/>
    <mergeCell ref="E3:E4"/>
    <mergeCell ref="A5:A11"/>
    <mergeCell ref="A12:A15"/>
    <mergeCell ref="A16:A19"/>
    <mergeCell ref="A20:A26"/>
    <mergeCell ref="A27:A29"/>
    <mergeCell ref="H20:H26"/>
    <mergeCell ref="H27:H29"/>
    <mergeCell ref="H50:H68"/>
    <mergeCell ref="A1:B2"/>
    <mergeCell ref="C1:C2"/>
    <mergeCell ref="D1:D2"/>
    <mergeCell ref="E1:E2"/>
    <mergeCell ref="F1:I2"/>
    <mergeCell ref="A3:B3"/>
    <mergeCell ref="C3:C4"/>
    <mergeCell ref="A30:A43"/>
    <mergeCell ref="A44:A49"/>
    <mergeCell ref="A50:A68"/>
    <mergeCell ref="H3:H4"/>
    <mergeCell ref="I3:I4"/>
    <mergeCell ref="H5:H9"/>
    <mergeCell ref="H10:H15"/>
    <mergeCell ref="H16:H19"/>
  </mergeCells>
  <phoneticPr fontId="30" type="noConversion"/>
  <pageMargins left="0.25" right="0.2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90" customWidth="1"/>
    <col min="3" max="3" width="36.28515625" customWidth="1"/>
    <col min="4" max="5" width="34.28515625" customWidth="1"/>
    <col min="6" max="6" width="30.85546875" customWidth="1"/>
    <col min="7" max="7" width="21.140625" customWidth="1"/>
    <col min="8" max="8" width="21.5703125" customWidth="1"/>
    <col min="10" max="10" width="49.7109375" customWidth="1"/>
  </cols>
  <sheetData>
    <row r="1" spans="1:26" ht="16.5" customHeight="1">
      <c r="A1" s="625" t="s">
        <v>225</v>
      </c>
      <c r="B1" s="612"/>
      <c r="C1" s="657" t="s">
        <v>94</v>
      </c>
      <c r="D1" s="664" t="s">
        <v>226</v>
      </c>
      <c r="E1" s="659" t="s">
        <v>227</v>
      </c>
      <c r="F1" s="665" t="s">
        <v>228</v>
      </c>
      <c r="G1" s="611"/>
      <c r="H1" s="611"/>
      <c r="I1" s="611"/>
      <c r="J1" s="6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610"/>
      <c r="B2" s="616"/>
      <c r="C2" s="606"/>
      <c r="D2" s="606"/>
      <c r="E2" s="606"/>
      <c r="F2" s="610"/>
      <c r="G2" s="615"/>
      <c r="H2" s="615"/>
      <c r="I2" s="615"/>
      <c r="J2" s="61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633"/>
      <c r="B3" s="634"/>
      <c r="C3" s="619" t="s">
        <v>229</v>
      </c>
      <c r="D3" s="619" t="s">
        <v>230</v>
      </c>
      <c r="E3" s="619" t="s">
        <v>231</v>
      </c>
      <c r="F3" s="619" t="s">
        <v>232</v>
      </c>
      <c r="G3" s="3" t="s">
        <v>4</v>
      </c>
      <c r="H3" s="4" t="s">
        <v>5</v>
      </c>
      <c r="I3" s="619" t="s">
        <v>6</v>
      </c>
      <c r="J3" s="619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5" t="s">
        <v>8</v>
      </c>
      <c r="B4" s="41" t="s">
        <v>9</v>
      </c>
      <c r="C4" s="606"/>
      <c r="D4" s="606"/>
      <c r="E4" s="606"/>
      <c r="F4" s="606"/>
      <c r="G4" s="7" t="s">
        <v>10</v>
      </c>
      <c r="H4" s="7" t="s">
        <v>11</v>
      </c>
      <c r="I4" s="606"/>
      <c r="J4" s="60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666" t="s">
        <v>233</v>
      </c>
      <c r="B5" s="74" t="s">
        <v>234</v>
      </c>
      <c r="C5" s="97">
        <v>179000</v>
      </c>
      <c r="D5" s="102">
        <f t="shared" ref="D5:D52" si="0">E5*2-1000</f>
        <v>297000</v>
      </c>
      <c r="E5" s="154">
        <v>149000</v>
      </c>
      <c r="F5" s="155">
        <f t="shared" ref="F5:F32" si="1">1-E5/C5</f>
        <v>0.16759776536312854</v>
      </c>
      <c r="G5" s="48"/>
      <c r="H5" s="119"/>
      <c r="I5" s="667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605"/>
      <c r="B6" s="77" t="s">
        <v>235</v>
      </c>
      <c r="C6" s="67">
        <v>248000</v>
      </c>
      <c r="D6" s="79">
        <f t="shared" si="0"/>
        <v>397000</v>
      </c>
      <c r="E6" s="132">
        <v>199000</v>
      </c>
      <c r="F6" s="156">
        <f t="shared" si="1"/>
        <v>0.19758064516129037</v>
      </c>
      <c r="G6" s="76"/>
      <c r="H6" s="119"/>
      <c r="I6" s="605"/>
      <c r="J6" s="1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605"/>
      <c r="B7" s="77" t="s">
        <v>236</v>
      </c>
      <c r="C7" s="157">
        <f>399000+39000</f>
        <v>438000</v>
      </c>
      <c r="D7" s="79">
        <f t="shared" si="0"/>
        <v>777000</v>
      </c>
      <c r="E7" s="132">
        <v>389000</v>
      </c>
      <c r="F7" s="156">
        <f t="shared" si="1"/>
        <v>0.11187214611872143</v>
      </c>
      <c r="G7" s="72"/>
      <c r="H7" s="104"/>
      <c r="I7" s="605"/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605"/>
      <c r="B8" s="77" t="s">
        <v>237</v>
      </c>
      <c r="C8" s="157">
        <v>750000</v>
      </c>
      <c r="D8" s="79">
        <f t="shared" si="0"/>
        <v>1099000</v>
      </c>
      <c r="E8" s="132">
        <v>550000</v>
      </c>
      <c r="F8" s="156">
        <f t="shared" si="1"/>
        <v>0.26666666666666672</v>
      </c>
      <c r="G8" s="72"/>
      <c r="H8" s="104"/>
      <c r="I8" s="605"/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605"/>
      <c r="B9" s="77" t="s">
        <v>238</v>
      </c>
      <c r="C9" s="157">
        <f>890000+59000</f>
        <v>949000</v>
      </c>
      <c r="D9" s="79">
        <f t="shared" si="0"/>
        <v>1697000</v>
      </c>
      <c r="E9" s="132">
        <v>849000</v>
      </c>
      <c r="F9" s="156">
        <f t="shared" si="1"/>
        <v>0.10537407797681775</v>
      </c>
      <c r="G9" s="72"/>
      <c r="H9" s="84"/>
      <c r="I9" s="605"/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2.5" customHeight="1">
      <c r="A10" s="606"/>
      <c r="B10" s="158" t="s">
        <v>239</v>
      </c>
      <c r="C10" s="159">
        <v>499000</v>
      </c>
      <c r="D10" s="81">
        <f t="shared" si="0"/>
        <v>797000</v>
      </c>
      <c r="E10" s="133">
        <v>399000</v>
      </c>
      <c r="F10" s="160">
        <f t="shared" si="1"/>
        <v>0.20040080160320639</v>
      </c>
      <c r="G10" s="72"/>
      <c r="H10" s="84"/>
      <c r="I10" s="606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660" t="s">
        <v>240</v>
      </c>
      <c r="B11" s="86" t="s">
        <v>241</v>
      </c>
      <c r="C11" s="132">
        <v>419000</v>
      </c>
      <c r="D11" s="102">
        <f t="shared" si="0"/>
        <v>717000</v>
      </c>
      <c r="E11" s="154">
        <v>359000</v>
      </c>
      <c r="F11" s="155">
        <f t="shared" si="1"/>
        <v>0.14319809069212408</v>
      </c>
      <c r="G11" s="72"/>
      <c r="H11" s="84"/>
      <c r="I11" s="669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605"/>
      <c r="B12" s="88" t="s">
        <v>242</v>
      </c>
      <c r="C12" s="132">
        <f>549000+289000</f>
        <v>838000</v>
      </c>
      <c r="D12" s="79">
        <f t="shared" si="0"/>
        <v>1499000</v>
      </c>
      <c r="E12" s="39">
        <v>750000</v>
      </c>
      <c r="F12" s="156">
        <f t="shared" si="1"/>
        <v>0.1050119331742243</v>
      </c>
      <c r="G12" s="72"/>
      <c r="H12" s="84"/>
      <c r="I12" s="605"/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05"/>
      <c r="B13" s="88" t="s">
        <v>243</v>
      </c>
      <c r="C13" s="132">
        <v>228000</v>
      </c>
      <c r="D13" s="79">
        <f t="shared" si="0"/>
        <v>377000</v>
      </c>
      <c r="E13" s="39">
        <v>189000</v>
      </c>
      <c r="F13" s="156">
        <f t="shared" si="1"/>
        <v>0.17105263157894735</v>
      </c>
      <c r="G13" s="72"/>
      <c r="H13" s="84"/>
      <c r="I13" s="605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605"/>
      <c r="B14" s="88" t="s">
        <v>244</v>
      </c>
      <c r="C14" s="132">
        <v>249000</v>
      </c>
      <c r="D14" s="79">
        <f t="shared" si="0"/>
        <v>397000</v>
      </c>
      <c r="E14" s="39">
        <v>199000</v>
      </c>
      <c r="F14" s="156">
        <f t="shared" si="1"/>
        <v>0.20080321285140568</v>
      </c>
      <c r="G14" s="72"/>
      <c r="H14" s="84"/>
      <c r="I14" s="605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605"/>
      <c r="B15" s="88" t="s">
        <v>245</v>
      </c>
      <c r="C15" s="132">
        <v>539000</v>
      </c>
      <c r="D15" s="79">
        <f t="shared" si="0"/>
        <v>877000</v>
      </c>
      <c r="E15" s="39">
        <v>439000</v>
      </c>
      <c r="F15" s="156">
        <f t="shared" si="1"/>
        <v>0.1855287569573284</v>
      </c>
      <c r="G15" s="72"/>
      <c r="H15" s="104"/>
      <c r="I15" s="605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606"/>
      <c r="B16" s="89" t="s">
        <v>246</v>
      </c>
      <c r="C16" s="133">
        <v>629000</v>
      </c>
      <c r="D16" s="81">
        <f t="shared" si="0"/>
        <v>1097000</v>
      </c>
      <c r="E16" s="103">
        <v>549000</v>
      </c>
      <c r="F16" s="160">
        <f t="shared" si="1"/>
        <v>0.12718600953895076</v>
      </c>
      <c r="G16" s="72"/>
      <c r="H16" s="84"/>
      <c r="I16" s="606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660" t="s">
        <v>247</v>
      </c>
      <c r="B17" s="86" t="s">
        <v>248</v>
      </c>
      <c r="C17" s="87">
        <v>220000</v>
      </c>
      <c r="D17" s="102">
        <f t="shared" si="0"/>
        <v>357000</v>
      </c>
      <c r="E17" s="87">
        <v>179000</v>
      </c>
      <c r="F17" s="155">
        <f t="shared" si="1"/>
        <v>0.1863636363636364</v>
      </c>
      <c r="G17" s="50"/>
      <c r="H17" s="84"/>
      <c r="I17" s="669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605"/>
      <c r="B18" s="88" t="s">
        <v>249</v>
      </c>
      <c r="C18" s="39">
        <v>379000</v>
      </c>
      <c r="D18" s="79">
        <f t="shared" si="0"/>
        <v>597000</v>
      </c>
      <c r="E18" s="39">
        <v>299000</v>
      </c>
      <c r="F18" s="156">
        <f t="shared" si="1"/>
        <v>0.21108179419525064</v>
      </c>
      <c r="G18" s="72"/>
      <c r="H18" s="84"/>
      <c r="I18" s="605"/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05"/>
      <c r="B19" s="88" t="s">
        <v>250</v>
      </c>
      <c r="C19" s="39">
        <v>359000</v>
      </c>
      <c r="D19" s="79">
        <f t="shared" si="0"/>
        <v>597000</v>
      </c>
      <c r="E19" s="39">
        <v>299000</v>
      </c>
      <c r="F19" s="156">
        <f t="shared" si="1"/>
        <v>0.16713091922005574</v>
      </c>
      <c r="G19" s="72"/>
      <c r="H19" s="84"/>
      <c r="I19" s="605"/>
      <c r="J19" s="1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606"/>
      <c r="B20" s="89" t="s">
        <v>251</v>
      </c>
      <c r="C20" s="132">
        <v>449000</v>
      </c>
      <c r="D20" s="81">
        <f t="shared" si="0"/>
        <v>797000</v>
      </c>
      <c r="E20" s="39">
        <v>399000</v>
      </c>
      <c r="F20" s="160">
        <f t="shared" si="1"/>
        <v>0.11135857461024501</v>
      </c>
      <c r="G20" s="72"/>
      <c r="H20" s="104"/>
      <c r="I20" s="606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60" t="s">
        <v>27</v>
      </c>
      <c r="B21" s="61" t="s">
        <v>252</v>
      </c>
      <c r="C21" s="91">
        <v>69000</v>
      </c>
      <c r="D21" s="102">
        <f t="shared" si="0"/>
        <v>97000</v>
      </c>
      <c r="E21" s="91">
        <v>49000</v>
      </c>
      <c r="F21" s="155">
        <f t="shared" si="1"/>
        <v>0.28985507246376807</v>
      </c>
      <c r="G21" s="60"/>
      <c r="H21" s="92"/>
      <c r="I21" s="667"/>
      <c r="J21" s="1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605"/>
      <c r="B22" s="61" t="s">
        <v>253</v>
      </c>
      <c r="C22" s="93">
        <f>330000+289000</f>
        <v>619000</v>
      </c>
      <c r="D22" s="79">
        <f t="shared" si="0"/>
        <v>997000</v>
      </c>
      <c r="E22" s="93">
        <v>499000</v>
      </c>
      <c r="F22" s="156">
        <f t="shared" si="1"/>
        <v>0.1938610662358643</v>
      </c>
      <c r="G22" s="60"/>
      <c r="H22" s="92"/>
      <c r="I22" s="605"/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605"/>
      <c r="B23" s="61" t="s">
        <v>254</v>
      </c>
      <c r="C23" s="93">
        <v>150000</v>
      </c>
      <c r="D23" s="79">
        <f t="shared" si="0"/>
        <v>237000</v>
      </c>
      <c r="E23" s="93">
        <v>119000</v>
      </c>
      <c r="F23" s="156">
        <f t="shared" si="1"/>
        <v>0.20666666666666667</v>
      </c>
      <c r="G23" s="60"/>
      <c r="H23" s="92"/>
      <c r="I23" s="605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605"/>
      <c r="B24" s="61" t="s">
        <v>255</v>
      </c>
      <c r="C24" s="93">
        <v>280000</v>
      </c>
      <c r="D24" s="79">
        <f t="shared" si="0"/>
        <v>417000</v>
      </c>
      <c r="E24" s="93">
        <v>209000</v>
      </c>
      <c r="F24" s="156">
        <f t="shared" si="1"/>
        <v>0.25357142857142856</v>
      </c>
      <c r="G24" s="60"/>
      <c r="H24" s="92"/>
      <c r="I24" s="605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605"/>
      <c r="B25" s="61" t="s">
        <v>256</v>
      </c>
      <c r="C25" s="93">
        <v>338000</v>
      </c>
      <c r="D25" s="79">
        <f t="shared" si="0"/>
        <v>597000</v>
      </c>
      <c r="E25" s="93">
        <v>299000</v>
      </c>
      <c r="F25" s="156">
        <f t="shared" si="1"/>
        <v>0.11538461538461542</v>
      </c>
      <c r="G25" s="60"/>
      <c r="H25" s="95"/>
      <c r="I25" s="605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605"/>
      <c r="B26" s="61" t="s">
        <v>257</v>
      </c>
      <c r="C26" s="93">
        <v>459000</v>
      </c>
      <c r="D26" s="79">
        <f t="shared" si="0"/>
        <v>797000</v>
      </c>
      <c r="E26" s="93">
        <v>399000</v>
      </c>
      <c r="F26" s="156">
        <f t="shared" si="1"/>
        <v>0.13071895424836599</v>
      </c>
      <c r="G26" s="60"/>
      <c r="H26" s="92"/>
      <c r="I26" s="605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606"/>
      <c r="B27" s="56" t="s">
        <v>258</v>
      </c>
      <c r="C27" s="122">
        <v>449000</v>
      </c>
      <c r="D27" s="81">
        <f t="shared" si="0"/>
        <v>677000</v>
      </c>
      <c r="E27" s="122">
        <v>339000</v>
      </c>
      <c r="F27" s="160">
        <f t="shared" si="1"/>
        <v>0.24498886414253895</v>
      </c>
      <c r="G27" s="66"/>
      <c r="H27" s="92"/>
      <c r="I27" s="606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660" t="s">
        <v>118</v>
      </c>
      <c r="B28" s="161" t="s">
        <v>169</v>
      </c>
      <c r="C28" s="91">
        <v>70000</v>
      </c>
      <c r="D28" s="102">
        <f t="shared" si="0"/>
        <v>117000</v>
      </c>
      <c r="E28" s="91">
        <v>59000</v>
      </c>
      <c r="F28" s="162">
        <f t="shared" si="1"/>
        <v>0.15714285714285714</v>
      </c>
      <c r="G28" s="69"/>
      <c r="H28" s="99"/>
      <c r="I28" s="670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605"/>
      <c r="B29" s="161" t="s">
        <v>170</v>
      </c>
      <c r="C29" s="93">
        <v>99000</v>
      </c>
      <c r="D29" s="79">
        <f t="shared" si="0"/>
        <v>177000</v>
      </c>
      <c r="E29" s="93">
        <v>89000</v>
      </c>
      <c r="F29" s="162">
        <f t="shared" si="1"/>
        <v>0.10101010101010099</v>
      </c>
      <c r="G29" s="69"/>
      <c r="H29" s="99"/>
      <c r="I29" s="605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06"/>
      <c r="B30" s="161" t="s">
        <v>171</v>
      </c>
      <c r="C30" s="122">
        <v>157000</v>
      </c>
      <c r="D30" s="81">
        <f t="shared" si="0"/>
        <v>197000</v>
      </c>
      <c r="E30" s="122">
        <v>99000</v>
      </c>
      <c r="F30" s="163">
        <f t="shared" si="1"/>
        <v>0.36942675159235672</v>
      </c>
      <c r="G30" s="72"/>
      <c r="H30" s="84"/>
      <c r="I30" s="606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660" t="s">
        <v>259</v>
      </c>
      <c r="B31" s="57" t="s">
        <v>260</v>
      </c>
      <c r="C31" s="91">
        <v>249000</v>
      </c>
      <c r="D31" s="102">
        <f t="shared" si="0"/>
        <v>397000</v>
      </c>
      <c r="E31" s="91">
        <v>199000</v>
      </c>
      <c r="F31" s="155">
        <f t="shared" si="1"/>
        <v>0.20080321285140568</v>
      </c>
      <c r="G31" s="60"/>
      <c r="H31" s="92"/>
      <c r="I31" s="667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606"/>
      <c r="B32" s="61" t="s">
        <v>261</v>
      </c>
      <c r="C32" s="93">
        <v>599000</v>
      </c>
      <c r="D32" s="81">
        <f t="shared" si="0"/>
        <v>997000</v>
      </c>
      <c r="E32" s="93">
        <v>499000</v>
      </c>
      <c r="F32" s="160">
        <f t="shared" si="1"/>
        <v>0.1669449081803005</v>
      </c>
      <c r="G32" s="60"/>
      <c r="H32" s="92"/>
      <c r="I32" s="606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660" t="s">
        <v>207</v>
      </c>
      <c r="B33" s="164" t="s">
        <v>208</v>
      </c>
      <c r="C33" s="135">
        <v>1190000</v>
      </c>
      <c r="D33" s="102">
        <f t="shared" si="0"/>
        <v>2179000</v>
      </c>
      <c r="E33" s="136">
        <v>1090000</v>
      </c>
      <c r="F33" s="109"/>
      <c r="G33" s="84"/>
      <c r="H33" s="84"/>
      <c r="I33" s="667"/>
      <c r="J33" s="10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605"/>
      <c r="B34" s="165" t="s">
        <v>209</v>
      </c>
      <c r="C34" s="166">
        <v>1440000</v>
      </c>
      <c r="D34" s="79">
        <f t="shared" si="0"/>
        <v>2779000</v>
      </c>
      <c r="E34" s="140">
        <v>1390000</v>
      </c>
      <c r="F34" s="109"/>
      <c r="G34" s="84"/>
      <c r="H34" s="84"/>
      <c r="I34" s="605"/>
      <c r="J34" s="10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605"/>
      <c r="B35" s="165" t="s">
        <v>210</v>
      </c>
      <c r="C35" s="166">
        <v>2100000</v>
      </c>
      <c r="D35" s="81">
        <f t="shared" si="0"/>
        <v>3979000</v>
      </c>
      <c r="E35" s="140">
        <v>1990000</v>
      </c>
      <c r="F35" s="109"/>
      <c r="G35" s="84"/>
      <c r="H35" s="84"/>
      <c r="I35" s="605"/>
      <c r="J35" s="10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605"/>
      <c r="B36" s="164" t="s">
        <v>262</v>
      </c>
      <c r="C36" s="135">
        <v>1900000</v>
      </c>
      <c r="D36" s="102">
        <f t="shared" si="0"/>
        <v>3599000</v>
      </c>
      <c r="E36" s="136">
        <v>1800000</v>
      </c>
      <c r="F36" s="109"/>
      <c r="G36" s="84"/>
      <c r="H36" s="84"/>
      <c r="I36" s="605"/>
      <c r="J36" s="10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05"/>
      <c r="B37" s="167" t="s">
        <v>212</v>
      </c>
      <c r="C37" s="168">
        <v>2700000</v>
      </c>
      <c r="D37" s="81">
        <f t="shared" si="0"/>
        <v>5199000</v>
      </c>
      <c r="E37" s="144">
        <v>2600000</v>
      </c>
      <c r="F37" s="109"/>
      <c r="G37" s="84"/>
      <c r="H37" s="84"/>
      <c r="I37" s="605"/>
      <c r="J37" s="10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05"/>
      <c r="B38" s="164" t="s">
        <v>213</v>
      </c>
      <c r="C38" s="135">
        <v>1750000</v>
      </c>
      <c r="D38" s="102">
        <f t="shared" si="0"/>
        <v>3299000</v>
      </c>
      <c r="E38" s="136">
        <v>1650000</v>
      </c>
      <c r="F38" s="109"/>
      <c r="G38" s="84"/>
      <c r="H38" s="84"/>
      <c r="I38" s="605"/>
      <c r="J38" s="10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605"/>
      <c r="B39" s="167" t="s">
        <v>214</v>
      </c>
      <c r="C39" s="168">
        <v>2450000</v>
      </c>
      <c r="D39" s="81">
        <f t="shared" si="0"/>
        <v>4699000</v>
      </c>
      <c r="E39" s="144">
        <v>2350000</v>
      </c>
      <c r="F39" s="109"/>
      <c r="G39" s="84"/>
      <c r="H39" s="84"/>
      <c r="I39" s="605"/>
      <c r="J39" s="10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605"/>
      <c r="B40" s="169" t="s">
        <v>215</v>
      </c>
      <c r="C40" s="170">
        <v>276000</v>
      </c>
      <c r="D40" s="171">
        <f t="shared" si="0"/>
        <v>499000</v>
      </c>
      <c r="E40" s="172">
        <v>250000</v>
      </c>
      <c r="F40" s="109"/>
      <c r="G40" s="84"/>
      <c r="H40" s="84"/>
      <c r="I40" s="605"/>
      <c r="J40" s="10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605"/>
      <c r="B41" s="169" t="s">
        <v>216</v>
      </c>
      <c r="C41" s="1"/>
      <c r="D41" s="102">
        <f t="shared" si="0"/>
        <v>399000</v>
      </c>
      <c r="E41" s="140">
        <v>200000</v>
      </c>
      <c r="F41" s="109"/>
      <c r="G41" s="84"/>
      <c r="H41" s="84"/>
      <c r="I41" s="605"/>
      <c r="J41" s="10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605"/>
      <c r="B42" s="173" t="s">
        <v>217</v>
      </c>
      <c r="C42" s="1"/>
      <c r="D42" s="79">
        <f t="shared" si="0"/>
        <v>299000</v>
      </c>
      <c r="E42" s="140">
        <v>150000</v>
      </c>
      <c r="F42" s="109"/>
      <c r="G42" s="84"/>
      <c r="H42" s="84"/>
      <c r="I42" s="605"/>
      <c r="J42" s="10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605"/>
      <c r="B43" s="173" t="s">
        <v>218</v>
      </c>
      <c r="C43" s="1"/>
      <c r="D43" s="79">
        <f t="shared" si="0"/>
        <v>199000</v>
      </c>
      <c r="E43" s="140">
        <v>100000</v>
      </c>
      <c r="F43" s="109"/>
      <c r="G43" s="84"/>
      <c r="H43" s="84"/>
      <c r="I43" s="605"/>
      <c r="J43" s="10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605"/>
      <c r="B44" s="173" t="s">
        <v>219</v>
      </c>
      <c r="C44" s="1"/>
      <c r="D44" s="79">
        <f t="shared" si="0"/>
        <v>359000</v>
      </c>
      <c r="E44" s="140">
        <v>180000</v>
      </c>
      <c r="F44" s="109"/>
      <c r="G44" s="84"/>
      <c r="H44" s="84"/>
      <c r="I44" s="605"/>
      <c r="J44" s="10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605"/>
      <c r="B45" s="173" t="s">
        <v>220</v>
      </c>
      <c r="C45" s="1"/>
      <c r="D45" s="79">
        <f t="shared" si="0"/>
        <v>399000</v>
      </c>
      <c r="E45" s="140">
        <v>200000</v>
      </c>
      <c r="F45" s="109"/>
      <c r="G45" s="84"/>
      <c r="H45" s="84"/>
      <c r="I45" s="605"/>
      <c r="J45" s="10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606"/>
      <c r="B46" s="173" t="s">
        <v>221</v>
      </c>
      <c r="C46" s="174"/>
      <c r="D46" s="81">
        <f t="shared" si="0"/>
        <v>799000</v>
      </c>
      <c r="E46" s="144">
        <v>400000</v>
      </c>
      <c r="F46" s="109"/>
      <c r="G46" s="84"/>
      <c r="H46" s="84"/>
      <c r="I46" s="606"/>
      <c r="J46" s="10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661" t="s">
        <v>172</v>
      </c>
      <c r="B47" s="169" t="s">
        <v>173</v>
      </c>
      <c r="C47" s="87">
        <v>500000</v>
      </c>
      <c r="D47" s="102">
        <f t="shared" si="0"/>
        <v>899000</v>
      </c>
      <c r="E47" s="75">
        <v>450000</v>
      </c>
      <c r="F47" s="155"/>
      <c r="G47" s="60"/>
      <c r="H47" s="95"/>
      <c r="I47" s="667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654"/>
      <c r="B48" s="173" t="s">
        <v>174</v>
      </c>
      <c r="C48" s="39">
        <v>1400000</v>
      </c>
      <c r="D48" s="79">
        <f t="shared" si="0"/>
        <v>2399000</v>
      </c>
      <c r="E48" s="78">
        <v>1200000</v>
      </c>
      <c r="F48" s="156"/>
      <c r="G48" s="60"/>
      <c r="H48" s="92"/>
      <c r="I48" s="605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654"/>
      <c r="B49" s="173" t="s">
        <v>175</v>
      </c>
      <c r="C49" s="39">
        <v>650000</v>
      </c>
      <c r="D49" s="79">
        <f t="shared" si="0"/>
        <v>1199000</v>
      </c>
      <c r="E49" s="78">
        <v>600000</v>
      </c>
      <c r="F49" s="156"/>
      <c r="G49" s="60"/>
      <c r="H49" s="92"/>
      <c r="I49" s="605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654"/>
      <c r="B50" s="173" t="s">
        <v>176</v>
      </c>
      <c r="C50" s="39">
        <v>1100000</v>
      </c>
      <c r="D50" s="79">
        <f t="shared" si="0"/>
        <v>1999000</v>
      </c>
      <c r="E50" s="78">
        <v>1000000</v>
      </c>
      <c r="F50" s="156"/>
      <c r="G50" s="60"/>
      <c r="H50" s="92"/>
      <c r="I50" s="605"/>
      <c r="J50" s="14" t="s">
        <v>263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654"/>
      <c r="B51" s="173" t="s">
        <v>177</v>
      </c>
      <c r="C51" s="93">
        <v>650000</v>
      </c>
      <c r="D51" s="79">
        <f t="shared" si="0"/>
        <v>1199000</v>
      </c>
      <c r="E51" s="78">
        <v>600000</v>
      </c>
      <c r="F51" s="156"/>
      <c r="G51" s="60"/>
      <c r="H51" s="92"/>
      <c r="I51" s="605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655"/>
      <c r="B52" s="175" t="s">
        <v>178</v>
      </c>
      <c r="C52" s="103">
        <v>650000</v>
      </c>
      <c r="D52" s="81">
        <f t="shared" si="0"/>
        <v>1199000</v>
      </c>
      <c r="E52" s="82">
        <v>600000</v>
      </c>
      <c r="F52" s="160"/>
      <c r="G52" s="60"/>
      <c r="H52" s="92"/>
      <c r="I52" s="636"/>
      <c r="J52" s="11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668" t="s">
        <v>264</v>
      </c>
      <c r="B53" s="613"/>
      <c r="C53" s="613"/>
      <c r="D53" s="613"/>
      <c r="E53" s="613"/>
      <c r="F53" s="613"/>
      <c r="G53" s="613"/>
      <c r="H53" s="613"/>
      <c r="I53" s="613"/>
      <c r="J53" s="61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608"/>
      <c r="B54" s="613"/>
      <c r="C54" s="613"/>
      <c r="D54" s="613"/>
      <c r="E54" s="613"/>
      <c r="F54" s="613"/>
      <c r="G54" s="613"/>
      <c r="H54" s="613"/>
      <c r="I54" s="613"/>
      <c r="J54" s="61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608"/>
      <c r="B55" s="613"/>
      <c r="C55" s="613"/>
      <c r="D55" s="613"/>
      <c r="E55" s="613"/>
      <c r="F55" s="613"/>
      <c r="G55" s="613"/>
      <c r="H55" s="613"/>
      <c r="I55" s="613"/>
      <c r="J55" s="61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608"/>
      <c r="B56" s="613"/>
      <c r="C56" s="613"/>
      <c r="D56" s="613"/>
      <c r="E56" s="613"/>
      <c r="F56" s="613"/>
      <c r="G56" s="613"/>
      <c r="H56" s="613"/>
      <c r="I56" s="613"/>
      <c r="J56" s="61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610"/>
      <c r="B57" s="615"/>
      <c r="C57" s="615"/>
      <c r="D57" s="615"/>
      <c r="E57" s="615"/>
      <c r="F57" s="615"/>
      <c r="G57" s="615"/>
      <c r="H57" s="615"/>
      <c r="I57" s="615"/>
      <c r="J57" s="61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36"/>
      <c r="D58" s="36"/>
      <c r="E58" s="36"/>
      <c r="F58" s="36"/>
      <c r="G58" s="36"/>
      <c r="H58" s="37"/>
      <c r="I58" s="37"/>
      <c r="J58" s="3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76"/>
      <c r="D59" s="176"/>
      <c r="E59" s="17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76"/>
      <c r="D60" s="176"/>
      <c r="E60" s="17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36"/>
      <c r="D61" s="36"/>
      <c r="E61" s="36"/>
      <c r="F61" s="36"/>
      <c r="G61" s="36"/>
      <c r="H61" s="37"/>
      <c r="I61" s="37"/>
      <c r="J61" s="3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36"/>
      <c r="D62" s="36"/>
      <c r="E62" s="36"/>
      <c r="F62" s="36"/>
      <c r="G62" s="36"/>
      <c r="H62" s="37"/>
      <c r="I62" s="37"/>
      <c r="J62" s="3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36"/>
      <c r="D63" s="36"/>
      <c r="E63" s="36"/>
      <c r="F63" s="36"/>
      <c r="G63" s="36"/>
      <c r="H63" s="37"/>
      <c r="I63" s="37"/>
      <c r="J63" s="3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36"/>
      <c r="D64" s="36"/>
      <c r="E64" s="36"/>
      <c r="F64" s="36"/>
      <c r="G64" s="36"/>
      <c r="H64" s="37"/>
      <c r="I64" s="37"/>
      <c r="J64" s="3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36"/>
      <c r="D65" s="36"/>
      <c r="E65" s="36"/>
      <c r="F65" s="36"/>
      <c r="G65" s="36"/>
      <c r="H65" s="37"/>
      <c r="I65" s="37"/>
      <c r="J65" s="3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36"/>
      <c r="D66" s="36"/>
      <c r="E66" s="36"/>
      <c r="F66" s="36"/>
      <c r="G66" s="36"/>
      <c r="H66" s="37"/>
      <c r="I66" s="37"/>
      <c r="J66" s="3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36"/>
      <c r="D67" s="36"/>
      <c r="E67" s="36"/>
      <c r="F67" s="36"/>
      <c r="G67" s="36"/>
      <c r="H67" s="37"/>
      <c r="I67" s="37"/>
      <c r="J67" s="3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36"/>
      <c r="D68" s="36"/>
      <c r="E68" s="36"/>
      <c r="F68" s="36"/>
      <c r="G68" s="36"/>
      <c r="H68" s="37"/>
      <c r="I68" s="37"/>
      <c r="J68" s="3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36"/>
      <c r="D69" s="36"/>
      <c r="E69" s="36"/>
      <c r="F69" s="36"/>
      <c r="G69" s="36"/>
      <c r="H69" s="37"/>
      <c r="I69" s="37"/>
      <c r="J69" s="3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36"/>
      <c r="D70" s="36"/>
      <c r="E70" s="36"/>
      <c r="F70" s="36"/>
      <c r="G70" s="36"/>
      <c r="H70" s="37"/>
      <c r="I70" s="37"/>
      <c r="J70" s="3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36"/>
      <c r="D71" s="36"/>
      <c r="E71" s="36"/>
      <c r="F71" s="36"/>
      <c r="G71" s="36"/>
      <c r="H71" s="37"/>
      <c r="I71" s="37"/>
      <c r="J71" s="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36"/>
      <c r="D72" s="36"/>
      <c r="E72" s="36"/>
      <c r="F72" s="36"/>
      <c r="G72" s="36"/>
      <c r="H72" s="37"/>
      <c r="I72" s="37"/>
      <c r="J72" s="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36"/>
      <c r="D73" s="36"/>
      <c r="E73" s="36"/>
      <c r="F73" s="36"/>
      <c r="G73" s="36"/>
      <c r="H73" s="37"/>
      <c r="I73" s="37"/>
      <c r="J73" s="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36"/>
      <c r="D74" s="36"/>
      <c r="E74" s="36"/>
      <c r="F74" s="36"/>
      <c r="G74" s="36"/>
      <c r="H74" s="37"/>
      <c r="I74" s="37"/>
      <c r="J74" s="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36"/>
      <c r="D75" s="36"/>
      <c r="E75" s="36"/>
      <c r="F75" s="36"/>
      <c r="G75" s="36"/>
      <c r="H75" s="37"/>
      <c r="I75" s="37"/>
      <c r="J75" s="3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36"/>
      <c r="D76" s="36"/>
      <c r="E76" s="36"/>
      <c r="F76" s="36"/>
      <c r="G76" s="36"/>
      <c r="H76" s="37"/>
      <c r="I76" s="37"/>
      <c r="J76" s="3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36"/>
      <c r="D77" s="36"/>
      <c r="E77" s="36"/>
      <c r="F77" s="36"/>
      <c r="G77" s="36"/>
      <c r="H77" s="37"/>
      <c r="I77" s="37"/>
      <c r="J77" s="3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36"/>
      <c r="D78" s="36"/>
      <c r="E78" s="36"/>
      <c r="F78" s="36"/>
      <c r="G78" s="36"/>
      <c r="H78" s="37"/>
      <c r="I78" s="37"/>
      <c r="J78" s="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36"/>
      <c r="D79" s="36"/>
      <c r="E79" s="36"/>
      <c r="F79" s="36"/>
      <c r="G79" s="36"/>
      <c r="H79" s="37"/>
      <c r="I79" s="37"/>
      <c r="J79" s="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36"/>
      <c r="D80" s="36"/>
      <c r="E80" s="36"/>
      <c r="F80" s="36"/>
      <c r="G80" s="36"/>
      <c r="H80" s="37"/>
      <c r="I80" s="37"/>
      <c r="J80" s="3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36"/>
      <c r="D81" s="36"/>
      <c r="E81" s="36"/>
      <c r="F81" s="36"/>
      <c r="G81" s="36"/>
      <c r="H81" s="37"/>
      <c r="I81" s="37"/>
      <c r="J81" s="3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36"/>
      <c r="D82" s="36"/>
      <c r="E82" s="36"/>
      <c r="F82" s="36"/>
      <c r="G82" s="36"/>
      <c r="H82" s="37"/>
      <c r="I82" s="37"/>
      <c r="J82" s="3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36"/>
      <c r="D83" s="36"/>
      <c r="E83" s="36"/>
      <c r="F83" s="36"/>
      <c r="G83" s="36"/>
      <c r="H83" s="37"/>
      <c r="I83" s="37"/>
      <c r="J83" s="3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36"/>
      <c r="D84" s="36"/>
      <c r="E84" s="36"/>
      <c r="F84" s="36"/>
      <c r="G84" s="36"/>
      <c r="H84" s="37"/>
      <c r="I84" s="37"/>
      <c r="J84" s="3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36"/>
      <c r="D85" s="36"/>
      <c r="E85" s="36"/>
      <c r="F85" s="36"/>
      <c r="G85" s="36"/>
      <c r="H85" s="37"/>
      <c r="I85" s="37"/>
      <c r="J85" s="3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36"/>
      <c r="D86" s="36"/>
      <c r="E86" s="36"/>
      <c r="F86" s="36"/>
      <c r="G86" s="36"/>
      <c r="H86" s="37"/>
      <c r="I86" s="37"/>
      <c r="J86" s="3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36"/>
      <c r="D87" s="36"/>
      <c r="E87" s="36"/>
      <c r="F87" s="36"/>
      <c r="G87" s="36"/>
      <c r="H87" s="37"/>
      <c r="I87" s="37"/>
      <c r="J87" s="3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36"/>
      <c r="D88" s="36"/>
      <c r="E88" s="36"/>
      <c r="F88" s="36"/>
      <c r="G88" s="36"/>
      <c r="H88" s="37"/>
      <c r="I88" s="37"/>
      <c r="J88" s="3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36"/>
      <c r="D89" s="36"/>
      <c r="E89" s="36"/>
      <c r="F89" s="36"/>
      <c r="G89" s="36"/>
      <c r="H89" s="37"/>
      <c r="I89" s="37"/>
      <c r="J89" s="3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36"/>
      <c r="D90" s="36"/>
      <c r="E90" s="36"/>
      <c r="F90" s="36"/>
      <c r="G90" s="36"/>
      <c r="H90" s="37"/>
      <c r="I90" s="37"/>
      <c r="J90" s="3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36"/>
      <c r="D91" s="36"/>
      <c r="E91" s="36"/>
      <c r="F91" s="36"/>
      <c r="G91" s="36"/>
      <c r="H91" s="37"/>
      <c r="I91" s="37"/>
      <c r="J91" s="3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36"/>
      <c r="D92" s="36"/>
      <c r="E92" s="36"/>
      <c r="F92" s="36"/>
      <c r="G92" s="36"/>
      <c r="H92" s="37"/>
      <c r="I92" s="37"/>
      <c r="J92" s="3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36"/>
      <c r="D93" s="36"/>
      <c r="E93" s="36"/>
      <c r="F93" s="36"/>
      <c r="G93" s="36"/>
      <c r="H93" s="37"/>
      <c r="I93" s="37"/>
      <c r="J93" s="3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36"/>
      <c r="D94" s="36"/>
      <c r="E94" s="36"/>
      <c r="F94" s="36"/>
      <c r="G94" s="36"/>
      <c r="H94" s="37"/>
      <c r="I94" s="37"/>
      <c r="J94" s="3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36"/>
      <c r="D95" s="36"/>
      <c r="E95" s="36"/>
      <c r="F95" s="36"/>
      <c r="G95" s="36"/>
      <c r="H95" s="37"/>
      <c r="I95" s="37"/>
      <c r="J95" s="3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36"/>
      <c r="D96" s="36"/>
      <c r="E96" s="36"/>
      <c r="F96" s="36"/>
      <c r="G96" s="36"/>
      <c r="H96" s="37"/>
      <c r="I96" s="37"/>
      <c r="J96" s="3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36"/>
      <c r="D97" s="36"/>
      <c r="E97" s="36"/>
      <c r="F97" s="36"/>
      <c r="G97" s="36"/>
      <c r="H97" s="37"/>
      <c r="I97" s="37"/>
      <c r="J97" s="3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36"/>
      <c r="D98" s="36"/>
      <c r="E98" s="36"/>
      <c r="F98" s="36"/>
      <c r="G98" s="36"/>
      <c r="H98" s="37"/>
      <c r="I98" s="37"/>
      <c r="J98" s="3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36"/>
      <c r="D99" s="36"/>
      <c r="E99" s="36"/>
      <c r="F99" s="36"/>
      <c r="G99" s="36"/>
      <c r="H99" s="37"/>
      <c r="I99" s="37"/>
      <c r="J99" s="3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36"/>
      <c r="D100" s="36"/>
      <c r="E100" s="36"/>
      <c r="F100" s="36"/>
      <c r="G100" s="36"/>
      <c r="H100" s="37"/>
      <c r="I100" s="37"/>
      <c r="J100" s="3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36"/>
      <c r="D101" s="36"/>
      <c r="E101" s="36"/>
      <c r="F101" s="36"/>
      <c r="G101" s="36"/>
      <c r="H101" s="37"/>
      <c r="I101" s="37"/>
      <c r="J101" s="3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36"/>
      <c r="D102" s="36"/>
      <c r="E102" s="36"/>
      <c r="F102" s="36"/>
      <c r="G102" s="36"/>
      <c r="H102" s="37"/>
      <c r="I102" s="37"/>
      <c r="J102" s="3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36"/>
      <c r="D103" s="36"/>
      <c r="E103" s="36"/>
      <c r="F103" s="36"/>
      <c r="G103" s="36"/>
      <c r="H103" s="37"/>
      <c r="I103" s="37"/>
      <c r="J103" s="3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36"/>
      <c r="D104" s="36"/>
      <c r="E104" s="36"/>
      <c r="F104" s="36"/>
      <c r="G104" s="36"/>
      <c r="H104" s="37"/>
      <c r="I104" s="37"/>
      <c r="J104" s="3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36"/>
      <c r="D105" s="36"/>
      <c r="E105" s="36"/>
      <c r="F105" s="36"/>
      <c r="G105" s="36"/>
      <c r="H105" s="37"/>
      <c r="I105" s="37"/>
      <c r="J105" s="3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36"/>
      <c r="D106" s="36"/>
      <c r="E106" s="36"/>
      <c r="F106" s="36"/>
      <c r="G106" s="36"/>
      <c r="H106" s="37"/>
      <c r="I106" s="37"/>
      <c r="J106" s="3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36"/>
      <c r="D107" s="36"/>
      <c r="E107" s="36"/>
      <c r="F107" s="36"/>
      <c r="G107" s="36"/>
      <c r="H107" s="37"/>
      <c r="I107" s="37"/>
      <c r="J107" s="3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36"/>
      <c r="D108" s="36"/>
      <c r="E108" s="36"/>
      <c r="F108" s="36"/>
      <c r="G108" s="36"/>
      <c r="H108" s="37"/>
      <c r="I108" s="37"/>
      <c r="J108" s="3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36"/>
      <c r="D109" s="36"/>
      <c r="E109" s="36"/>
      <c r="F109" s="36"/>
      <c r="G109" s="36"/>
      <c r="H109" s="37"/>
      <c r="I109" s="37"/>
      <c r="J109" s="3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36"/>
      <c r="D110" s="36"/>
      <c r="E110" s="36"/>
      <c r="F110" s="36"/>
      <c r="G110" s="36"/>
      <c r="H110" s="37"/>
      <c r="I110" s="37"/>
      <c r="J110" s="3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36"/>
      <c r="D111" s="36"/>
      <c r="E111" s="36"/>
      <c r="F111" s="36"/>
      <c r="G111" s="36"/>
      <c r="H111" s="37"/>
      <c r="I111" s="37"/>
      <c r="J111" s="3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36"/>
      <c r="D112" s="36"/>
      <c r="E112" s="36"/>
      <c r="F112" s="36"/>
      <c r="G112" s="36"/>
      <c r="H112" s="37"/>
      <c r="I112" s="37"/>
      <c r="J112" s="3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36"/>
      <c r="D113" s="36"/>
      <c r="E113" s="36"/>
      <c r="F113" s="36"/>
      <c r="G113" s="36"/>
      <c r="H113" s="37"/>
      <c r="I113" s="37"/>
      <c r="J113" s="3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36"/>
      <c r="D114" s="36"/>
      <c r="E114" s="36"/>
      <c r="F114" s="36"/>
      <c r="G114" s="36"/>
      <c r="H114" s="37"/>
      <c r="I114" s="37"/>
      <c r="J114" s="3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36"/>
      <c r="D115" s="36"/>
      <c r="E115" s="36"/>
      <c r="F115" s="36"/>
      <c r="G115" s="36"/>
      <c r="H115" s="37"/>
      <c r="I115" s="37"/>
      <c r="J115" s="3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36"/>
      <c r="D116" s="36"/>
      <c r="E116" s="36"/>
      <c r="F116" s="36"/>
      <c r="G116" s="36"/>
      <c r="H116" s="37"/>
      <c r="I116" s="37"/>
      <c r="J116" s="3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36"/>
      <c r="D117" s="36"/>
      <c r="E117" s="36"/>
      <c r="F117" s="36"/>
      <c r="G117" s="36"/>
      <c r="H117" s="37"/>
      <c r="I117" s="37"/>
      <c r="J117" s="3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36"/>
      <c r="D118" s="36"/>
      <c r="E118" s="36"/>
      <c r="F118" s="36"/>
      <c r="G118" s="36"/>
      <c r="H118" s="37"/>
      <c r="I118" s="37"/>
      <c r="J118" s="3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36"/>
      <c r="D119" s="36"/>
      <c r="E119" s="36"/>
      <c r="F119" s="36"/>
      <c r="G119" s="36"/>
      <c r="H119" s="37"/>
      <c r="I119" s="37"/>
      <c r="J119" s="3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36"/>
      <c r="D120" s="36"/>
      <c r="E120" s="36"/>
      <c r="F120" s="36"/>
      <c r="G120" s="36"/>
      <c r="H120" s="37"/>
      <c r="I120" s="37"/>
      <c r="J120" s="3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36"/>
      <c r="D121" s="36"/>
      <c r="E121" s="36"/>
      <c r="F121" s="36"/>
      <c r="G121" s="36"/>
      <c r="H121" s="37"/>
      <c r="I121" s="37"/>
      <c r="J121" s="3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36"/>
      <c r="D122" s="36"/>
      <c r="E122" s="36"/>
      <c r="F122" s="36"/>
      <c r="G122" s="36"/>
      <c r="H122" s="37"/>
      <c r="I122" s="37"/>
      <c r="J122" s="3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36"/>
      <c r="D123" s="36"/>
      <c r="E123" s="36"/>
      <c r="F123" s="36"/>
      <c r="G123" s="36"/>
      <c r="H123" s="37"/>
      <c r="I123" s="37"/>
      <c r="J123" s="3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36"/>
      <c r="D124" s="36"/>
      <c r="E124" s="36"/>
      <c r="F124" s="36"/>
      <c r="G124" s="36"/>
      <c r="H124" s="37"/>
      <c r="I124" s="37"/>
      <c r="J124" s="3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36"/>
      <c r="D125" s="36"/>
      <c r="E125" s="36"/>
      <c r="F125" s="36"/>
      <c r="G125" s="36"/>
      <c r="H125" s="37"/>
      <c r="I125" s="37"/>
      <c r="J125" s="3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36"/>
      <c r="D126" s="36"/>
      <c r="E126" s="36"/>
      <c r="F126" s="36"/>
      <c r="G126" s="36"/>
      <c r="H126" s="37"/>
      <c r="I126" s="37"/>
      <c r="J126" s="3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36"/>
      <c r="D127" s="36"/>
      <c r="E127" s="36"/>
      <c r="F127" s="36"/>
      <c r="G127" s="36"/>
      <c r="H127" s="37"/>
      <c r="I127" s="37"/>
      <c r="J127" s="3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36"/>
      <c r="D128" s="36"/>
      <c r="E128" s="36"/>
      <c r="F128" s="36"/>
      <c r="G128" s="36"/>
      <c r="H128" s="37"/>
      <c r="I128" s="37"/>
      <c r="J128" s="3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36"/>
      <c r="D129" s="36"/>
      <c r="E129" s="36"/>
      <c r="F129" s="36"/>
      <c r="G129" s="36"/>
      <c r="H129" s="37"/>
      <c r="I129" s="37"/>
      <c r="J129" s="3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37"/>
      <c r="D130" s="37"/>
      <c r="E130" s="37"/>
      <c r="F130" s="37"/>
      <c r="G130" s="37"/>
      <c r="H130" s="37"/>
      <c r="I130" s="37"/>
      <c r="J130" s="3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37"/>
      <c r="D131" s="37"/>
      <c r="E131" s="37"/>
      <c r="F131" s="37"/>
      <c r="G131" s="37"/>
      <c r="H131" s="37"/>
      <c r="I131" s="37"/>
      <c r="J131" s="3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37"/>
      <c r="D132" s="37"/>
      <c r="E132" s="37"/>
      <c r="F132" s="37"/>
      <c r="G132" s="37"/>
      <c r="H132" s="37"/>
      <c r="I132" s="37"/>
      <c r="J132" s="3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37"/>
      <c r="D133" s="37"/>
      <c r="E133" s="37"/>
      <c r="F133" s="37"/>
      <c r="G133" s="37"/>
      <c r="H133" s="37"/>
      <c r="I133" s="37"/>
      <c r="J133" s="3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37"/>
      <c r="D134" s="37"/>
      <c r="E134" s="37"/>
      <c r="F134" s="37"/>
      <c r="G134" s="37"/>
      <c r="H134" s="37"/>
      <c r="I134" s="37"/>
      <c r="J134" s="3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37"/>
      <c r="D135" s="37"/>
      <c r="E135" s="37"/>
      <c r="F135" s="37"/>
      <c r="G135" s="37"/>
      <c r="H135" s="37"/>
      <c r="I135" s="37"/>
      <c r="J135" s="3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37"/>
      <c r="D136" s="37"/>
      <c r="E136" s="37"/>
      <c r="F136" s="37"/>
      <c r="G136" s="37"/>
      <c r="H136" s="37"/>
      <c r="I136" s="37"/>
      <c r="J136" s="3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37"/>
      <c r="D137" s="37"/>
      <c r="E137" s="37"/>
      <c r="F137" s="37"/>
      <c r="G137" s="37"/>
      <c r="H137" s="37"/>
      <c r="I137" s="37"/>
      <c r="J137" s="3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37"/>
      <c r="D138" s="37"/>
      <c r="E138" s="37"/>
      <c r="F138" s="37"/>
      <c r="G138" s="37"/>
      <c r="H138" s="37"/>
      <c r="I138" s="37"/>
      <c r="J138" s="3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37"/>
      <c r="D139" s="37"/>
      <c r="E139" s="37"/>
      <c r="F139" s="37"/>
      <c r="G139" s="37"/>
      <c r="H139" s="37"/>
      <c r="I139" s="37"/>
      <c r="J139" s="3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37"/>
      <c r="D140" s="37"/>
      <c r="E140" s="37"/>
      <c r="F140" s="37"/>
      <c r="G140" s="37"/>
      <c r="H140" s="37"/>
      <c r="I140" s="37"/>
      <c r="J140" s="3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37"/>
      <c r="D141" s="37"/>
      <c r="E141" s="37"/>
      <c r="F141" s="37"/>
      <c r="G141" s="37"/>
      <c r="H141" s="37"/>
      <c r="I141" s="37"/>
      <c r="J141" s="3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37"/>
      <c r="D142" s="37"/>
      <c r="E142" s="37"/>
      <c r="F142" s="37"/>
      <c r="G142" s="37"/>
      <c r="H142" s="37"/>
      <c r="I142" s="37"/>
      <c r="J142" s="3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37"/>
      <c r="D143" s="37"/>
      <c r="E143" s="37"/>
      <c r="F143" s="37"/>
      <c r="G143" s="37"/>
      <c r="H143" s="37"/>
      <c r="I143" s="37"/>
      <c r="J143" s="3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37"/>
      <c r="D144" s="37"/>
      <c r="E144" s="37"/>
      <c r="F144" s="37"/>
      <c r="G144" s="37"/>
      <c r="H144" s="37"/>
      <c r="I144" s="37"/>
      <c r="J144" s="3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37"/>
      <c r="D145" s="37"/>
      <c r="E145" s="37"/>
      <c r="F145" s="37"/>
      <c r="G145" s="37"/>
      <c r="H145" s="37"/>
      <c r="I145" s="37"/>
      <c r="J145" s="3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37"/>
      <c r="D146" s="37"/>
      <c r="E146" s="37"/>
      <c r="F146" s="37"/>
      <c r="G146" s="37"/>
      <c r="H146" s="37"/>
      <c r="I146" s="37"/>
      <c r="J146" s="3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37"/>
      <c r="D147" s="37"/>
      <c r="E147" s="37"/>
      <c r="F147" s="37"/>
      <c r="G147" s="37"/>
      <c r="H147" s="37"/>
      <c r="I147" s="37"/>
      <c r="J147" s="3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37"/>
      <c r="D148" s="37"/>
      <c r="E148" s="37"/>
      <c r="F148" s="37"/>
      <c r="G148" s="37"/>
      <c r="H148" s="37"/>
      <c r="I148" s="37"/>
      <c r="J148" s="3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37"/>
      <c r="D149" s="37"/>
      <c r="E149" s="37"/>
      <c r="F149" s="37"/>
      <c r="G149" s="37"/>
      <c r="H149" s="37"/>
      <c r="I149" s="37"/>
      <c r="J149" s="3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37"/>
      <c r="D150" s="37"/>
      <c r="E150" s="37"/>
      <c r="F150" s="37"/>
      <c r="G150" s="37"/>
      <c r="H150" s="37"/>
      <c r="I150" s="37"/>
      <c r="J150" s="3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37"/>
      <c r="D151" s="37"/>
      <c r="E151" s="37"/>
      <c r="F151" s="37"/>
      <c r="G151" s="37"/>
      <c r="H151" s="37"/>
      <c r="I151" s="37"/>
      <c r="J151" s="3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37"/>
      <c r="D152" s="37"/>
      <c r="E152" s="37"/>
      <c r="F152" s="37"/>
      <c r="G152" s="37"/>
      <c r="H152" s="37"/>
      <c r="I152" s="37"/>
      <c r="J152" s="3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37"/>
      <c r="D153" s="37"/>
      <c r="E153" s="37"/>
      <c r="F153" s="37"/>
      <c r="G153" s="37"/>
      <c r="H153" s="37"/>
      <c r="I153" s="37"/>
      <c r="J153" s="3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37"/>
      <c r="D154" s="37"/>
      <c r="E154" s="37"/>
      <c r="F154" s="37"/>
      <c r="G154" s="37"/>
      <c r="H154" s="37"/>
      <c r="I154" s="37"/>
      <c r="J154" s="3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37"/>
      <c r="D155" s="37"/>
      <c r="E155" s="37"/>
      <c r="F155" s="37"/>
      <c r="G155" s="37"/>
      <c r="H155" s="37"/>
      <c r="I155" s="37"/>
      <c r="J155" s="3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37"/>
      <c r="D156" s="37"/>
      <c r="E156" s="37"/>
      <c r="F156" s="37"/>
      <c r="G156" s="37"/>
      <c r="H156" s="37"/>
      <c r="I156" s="37"/>
      <c r="J156" s="3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37"/>
      <c r="D157" s="37"/>
      <c r="E157" s="37"/>
      <c r="F157" s="37"/>
      <c r="G157" s="37"/>
      <c r="H157" s="37"/>
      <c r="I157" s="37"/>
      <c r="J157" s="3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37"/>
      <c r="D158" s="37"/>
      <c r="E158" s="37"/>
      <c r="F158" s="37"/>
      <c r="G158" s="37"/>
      <c r="H158" s="37"/>
      <c r="I158" s="37"/>
      <c r="J158" s="3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37"/>
      <c r="D159" s="37"/>
      <c r="E159" s="37"/>
      <c r="F159" s="37"/>
      <c r="G159" s="37"/>
      <c r="H159" s="37"/>
      <c r="I159" s="37"/>
      <c r="J159" s="3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37"/>
      <c r="D160" s="37"/>
      <c r="E160" s="37"/>
      <c r="F160" s="37"/>
      <c r="G160" s="37"/>
      <c r="H160" s="37"/>
      <c r="I160" s="37"/>
      <c r="J160" s="3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37"/>
      <c r="D161" s="37"/>
      <c r="E161" s="37"/>
      <c r="F161" s="37"/>
      <c r="G161" s="37"/>
      <c r="H161" s="37"/>
      <c r="I161" s="37"/>
      <c r="J161" s="3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37"/>
      <c r="D162" s="37"/>
      <c r="E162" s="37"/>
      <c r="F162" s="37"/>
      <c r="G162" s="37"/>
      <c r="H162" s="37"/>
      <c r="I162" s="37"/>
      <c r="J162" s="3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37"/>
      <c r="D163" s="37"/>
      <c r="E163" s="37"/>
      <c r="F163" s="37"/>
      <c r="G163" s="37"/>
      <c r="H163" s="37"/>
      <c r="I163" s="37"/>
      <c r="J163" s="3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37"/>
      <c r="D164" s="37"/>
      <c r="E164" s="37"/>
      <c r="F164" s="37"/>
      <c r="G164" s="37"/>
      <c r="H164" s="37"/>
      <c r="I164" s="37"/>
      <c r="J164" s="3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37"/>
      <c r="D165" s="37"/>
      <c r="E165" s="37"/>
      <c r="F165" s="37"/>
      <c r="G165" s="37"/>
      <c r="H165" s="37"/>
      <c r="I165" s="37"/>
      <c r="J165" s="3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37"/>
      <c r="D166" s="37"/>
      <c r="E166" s="37"/>
      <c r="F166" s="37"/>
      <c r="G166" s="37"/>
      <c r="H166" s="37"/>
      <c r="I166" s="37"/>
      <c r="J166" s="3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37"/>
      <c r="D167" s="37"/>
      <c r="E167" s="37"/>
      <c r="F167" s="37"/>
      <c r="G167" s="37"/>
      <c r="H167" s="37"/>
      <c r="I167" s="37"/>
      <c r="J167" s="3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37"/>
      <c r="D168" s="37"/>
      <c r="E168" s="37"/>
      <c r="F168" s="37"/>
      <c r="G168" s="37"/>
      <c r="H168" s="37"/>
      <c r="I168" s="37"/>
      <c r="J168" s="3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37"/>
      <c r="D169" s="37"/>
      <c r="E169" s="37"/>
      <c r="F169" s="37"/>
      <c r="G169" s="37"/>
      <c r="H169" s="37"/>
      <c r="I169" s="37"/>
      <c r="J169" s="3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37"/>
      <c r="D170" s="37"/>
      <c r="E170" s="37"/>
      <c r="F170" s="37"/>
      <c r="G170" s="37"/>
      <c r="H170" s="37"/>
      <c r="I170" s="37"/>
      <c r="J170" s="3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37"/>
      <c r="D171" s="37"/>
      <c r="E171" s="37"/>
      <c r="F171" s="37"/>
      <c r="G171" s="37"/>
      <c r="H171" s="37"/>
      <c r="I171" s="37"/>
      <c r="J171" s="3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37"/>
      <c r="D172" s="37"/>
      <c r="E172" s="37"/>
      <c r="F172" s="37"/>
      <c r="G172" s="37"/>
      <c r="H172" s="37"/>
      <c r="I172" s="37"/>
      <c r="J172" s="3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37"/>
      <c r="D173" s="37"/>
      <c r="E173" s="37"/>
      <c r="F173" s="37"/>
      <c r="G173" s="37"/>
      <c r="H173" s="37"/>
      <c r="I173" s="37"/>
      <c r="J173" s="3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37"/>
      <c r="D174" s="37"/>
      <c r="E174" s="37"/>
      <c r="F174" s="37"/>
      <c r="G174" s="37"/>
      <c r="H174" s="37"/>
      <c r="I174" s="37"/>
      <c r="J174" s="3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37"/>
      <c r="D175" s="37"/>
      <c r="E175" s="37"/>
      <c r="F175" s="37"/>
      <c r="G175" s="37"/>
      <c r="H175" s="37"/>
      <c r="I175" s="37"/>
      <c r="J175" s="3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37"/>
      <c r="D176" s="37"/>
      <c r="E176" s="37"/>
      <c r="F176" s="37"/>
      <c r="G176" s="37"/>
      <c r="H176" s="37"/>
      <c r="I176" s="37"/>
      <c r="J176" s="3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37"/>
      <c r="D177" s="37"/>
      <c r="E177" s="37"/>
      <c r="F177" s="37"/>
      <c r="G177" s="37"/>
      <c r="H177" s="37"/>
      <c r="I177" s="37"/>
      <c r="J177" s="3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37"/>
      <c r="D178" s="37"/>
      <c r="E178" s="37"/>
      <c r="F178" s="37"/>
      <c r="G178" s="37"/>
      <c r="H178" s="37"/>
      <c r="I178" s="37"/>
      <c r="J178" s="3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37"/>
      <c r="D179" s="37"/>
      <c r="E179" s="37"/>
      <c r="F179" s="37"/>
      <c r="G179" s="37"/>
      <c r="H179" s="37"/>
      <c r="I179" s="37"/>
      <c r="J179" s="3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37"/>
      <c r="D180" s="37"/>
      <c r="E180" s="37"/>
      <c r="F180" s="37"/>
      <c r="G180" s="37"/>
      <c r="H180" s="37"/>
      <c r="I180" s="37"/>
      <c r="J180" s="3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37"/>
      <c r="D181" s="37"/>
      <c r="E181" s="37"/>
      <c r="F181" s="37"/>
      <c r="G181" s="37"/>
      <c r="H181" s="37"/>
      <c r="I181" s="37"/>
      <c r="J181" s="3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37"/>
      <c r="D182" s="37"/>
      <c r="E182" s="37"/>
      <c r="F182" s="37"/>
      <c r="G182" s="37"/>
      <c r="H182" s="37"/>
      <c r="I182" s="37"/>
      <c r="J182" s="3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37"/>
      <c r="D183" s="37"/>
      <c r="E183" s="37"/>
      <c r="F183" s="37"/>
      <c r="G183" s="37"/>
      <c r="H183" s="37"/>
      <c r="I183" s="37"/>
      <c r="J183" s="3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37"/>
      <c r="D184" s="37"/>
      <c r="E184" s="37"/>
      <c r="F184" s="37"/>
      <c r="G184" s="37"/>
      <c r="H184" s="37"/>
      <c r="I184" s="37"/>
      <c r="J184" s="3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37"/>
      <c r="D185" s="37"/>
      <c r="E185" s="37"/>
      <c r="F185" s="37"/>
      <c r="G185" s="37"/>
      <c r="H185" s="37"/>
      <c r="I185" s="37"/>
      <c r="J185" s="3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37"/>
      <c r="D186" s="37"/>
      <c r="E186" s="37"/>
      <c r="F186" s="37"/>
      <c r="G186" s="37"/>
      <c r="H186" s="37"/>
      <c r="I186" s="37"/>
      <c r="J186" s="3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37"/>
      <c r="D187" s="37"/>
      <c r="E187" s="37"/>
      <c r="F187" s="37"/>
      <c r="G187" s="37"/>
      <c r="H187" s="37"/>
      <c r="I187" s="37"/>
      <c r="J187" s="3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37"/>
      <c r="D188" s="37"/>
      <c r="E188" s="37"/>
      <c r="F188" s="37"/>
      <c r="G188" s="37"/>
      <c r="H188" s="37"/>
      <c r="I188" s="37"/>
      <c r="J188" s="3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37"/>
      <c r="D189" s="37"/>
      <c r="E189" s="37"/>
      <c r="F189" s="37"/>
      <c r="G189" s="37"/>
      <c r="H189" s="37"/>
      <c r="I189" s="37"/>
      <c r="J189" s="3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37"/>
      <c r="D190" s="37"/>
      <c r="E190" s="37"/>
      <c r="F190" s="37"/>
      <c r="G190" s="37"/>
      <c r="H190" s="37"/>
      <c r="I190" s="37"/>
      <c r="J190" s="3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37"/>
      <c r="D191" s="37"/>
      <c r="E191" s="37"/>
      <c r="F191" s="37"/>
      <c r="G191" s="37"/>
      <c r="H191" s="37"/>
      <c r="I191" s="37"/>
      <c r="J191" s="3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37"/>
      <c r="D192" s="37"/>
      <c r="E192" s="37"/>
      <c r="F192" s="37"/>
      <c r="G192" s="37"/>
      <c r="H192" s="37"/>
      <c r="I192" s="37"/>
      <c r="J192" s="3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37"/>
      <c r="D193" s="37"/>
      <c r="E193" s="37"/>
      <c r="F193" s="37"/>
      <c r="G193" s="37"/>
      <c r="H193" s="37"/>
      <c r="I193" s="37"/>
      <c r="J193" s="3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37"/>
      <c r="D194" s="37"/>
      <c r="E194" s="37"/>
      <c r="F194" s="37"/>
      <c r="G194" s="37"/>
      <c r="H194" s="37"/>
      <c r="I194" s="37"/>
      <c r="J194" s="3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37"/>
      <c r="D195" s="37"/>
      <c r="E195" s="37"/>
      <c r="F195" s="37"/>
      <c r="G195" s="37"/>
      <c r="H195" s="37"/>
      <c r="I195" s="37"/>
      <c r="J195" s="3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37"/>
      <c r="D196" s="37"/>
      <c r="E196" s="37"/>
      <c r="F196" s="37"/>
      <c r="G196" s="37"/>
      <c r="H196" s="37"/>
      <c r="I196" s="37"/>
      <c r="J196" s="3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37"/>
      <c r="D197" s="37"/>
      <c r="E197" s="37"/>
      <c r="F197" s="37"/>
      <c r="G197" s="37"/>
      <c r="H197" s="37"/>
      <c r="I197" s="37"/>
      <c r="J197" s="3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37"/>
      <c r="D198" s="37"/>
      <c r="E198" s="37"/>
      <c r="F198" s="37"/>
      <c r="G198" s="37"/>
      <c r="H198" s="37"/>
      <c r="I198" s="37"/>
      <c r="J198" s="3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37"/>
      <c r="D199" s="37"/>
      <c r="E199" s="37"/>
      <c r="F199" s="37"/>
      <c r="G199" s="37"/>
      <c r="H199" s="37"/>
      <c r="I199" s="37"/>
      <c r="J199" s="3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37"/>
      <c r="D200" s="37"/>
      <c r="E200" s="37"/>
      <c r="F200" s="37"/>
      <c r="G200" s="37"/>
      <c r="H200" s="37"/>
      <c r="I200" s="37"/>
      <c r="J200" s="3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37"/>
      <c r="D201" s="37"/>
      <c r="E201" s="37"/>
      <c r="F201" s="37"/>
      <c r="G201" s="37"/>
      <c r="H201" s="37"/>
      <c r="I201" s="37"/>
      <c r="J201" s="3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37"/>
      <c r="D202" s="37"/>
      <c r="E202" s="37"/>
      <c r="F202" s="37"/>
      <c r="G202" s="37"/>
      <c r="H202" s="37"/>
      <c r="I202" s="37"/>
      <c r="J202" s="3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37"/>
      <c r="D203" s="37"/>
      <c r="E203" s="37"/>
      <c r="F203" s="37"/>
      <c r="G203" s="37"/>
      <c r="H203" s="37"/>
      <c r="I203" s="37"/>
      <c r="J203" s="3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37"/>
      <c r="D204" s="37"/>
      <c r="E204" s="37"/>
      <c r="F204" s="37"/>
      <c r="G204" s="37"/>
      <c r="H204" s="37"/>
      <c r="I204" s="37"/>
      <c r="J204" s="3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37"/>
      <c r="D205" s="37"/>
      <c r="E205" s="37"/>
      <c r="F205" s="37"/>
      <c r="G205" s="37"/>
      <c r="H205" s="37"/>
      <c r="I205" s="37"/>
      <c r="J205" s="3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37"/>
      <c r="D206" s="37"/>
      <c r="E206" s="37"/>
      <c r="F206" s="37"/>
      <c r="G206" s="37"/>
      <c r="H206" s="37"/>
      <c r="I206" s="37"/>
      <c r="J206" s="3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37"/>
      <c r="D207" s="37"/>
      <c r="E207" s="37"/>
      <c r="F207" s="37"/>
      <c r="G207" s="37"/>
      <c r="H207" s="37"/>
      <c r="I207" s="37"/>
      <c r="J207" s="3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37"/>
      <c r="D208" s="37"/>
      <c r="E208" s="37"/>
      <c r="F208" s="37"/>
      <c r="G208" s="37"/>
      <c r="H208" s="37"/>
      <c r="I208" s="37"/>
      <c r="J208" s="3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37"/>
      <c r="D209" s="37"/>
      <c r="E209" s="37"/>
      <c r="F209" s="37"/>
      <c r="G209" s="37"/>
      <c r="H209" s="37"/>
      <c r="I209" s="37"/>
      <c r="J209" s="3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37"/>
      <c r="D210" s="37"/>
      <c r="E210" s="37"/>
      <c r="F210" s="37"/>
      <c r="G210" s="37"/>
      <c r="H210" s="37"/>
      <c r="I210" s="37"/>
      <c r="J210" s="3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37"/>
      <c r="D211" s="37"/>
      <c r="E211" s="37"/>
      <c r="F211" s="37"/>
      <c r="G211" s="37"/>
      <c r="H211" s="37"/>
      <c r="I211" s="37"/>
      <c r="J211" s="3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37"/>
      <c r="D212" s="37"/>
      <c r="E212" s="37"/>
      <c r="F212" s="37"/>
      <c r="G212" s="37"/>
      <c r="H212" s="37"/>
      <c r="I212" s="37"/>
      <c r="J212" s="3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37"/>
      <c r="D213" s="37"/>
      <c r="E213" s="37"/>
      <c r="F213" s="37"/>
      <c r="G213" s="37"/>
      <c r="H213" s="37"/>
      <c r="I213" s="37"/>
      <c r="J213" s="3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37"/>
      <c r="D214" s="37"/>
      <c r="E214" s="37"/>
      <c r="F214" s="37"/>
      <c r="G214" s="37"/>
      <c r="H214" s="37"/>
      <c r="I214" s="37"/>
      <c r="J214" s="3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37"/>
      <c r="D215" s="37"/>
      <c r="E215" s="37"/>
      <c r="F215" s="37"/>
      <c r="G215" s="37"/>
      <c r="H215" s="37"/>
      <c r="I215" s="37"/>
      <c r="J215" s="3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37"/>
      <c r="D216" s="37"/>
      <c r="E216" s="37"/>
      <c r="F216" s="37"/>
      <c r="G216" s="37"/>
      <c r="H216" s="37"/>
      <c r="I216" s="37"/>
      <c r="J216" s="3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37"/>
      <c r="D217" s="37"/>
      <c r="E217" s="37"/>
      <c r="F217" s="37"/>
      <c r="G217" s="37"/>
      <c r="H217" s="37"/>
      <c r="I217" s="37"/>
      <c r="J217" s="3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37"/>
      <c r="D218" s="37"/>
      <c r="E218" s="37"/>
      <c r="F218" s="37"/>
      <c r="G218" s="37"/>
      <c r="H218" s="37"/>
      <c r="I218" s="37"/>
      <c r="J218" s="3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37"/>
      <c r="D219" s="37"/>
      <c r="E219" s="37"/>
      <c r="F219" s="37"/>
      <c r="G219" s="37"/>
      <c r="H219" s="37"/>
      <c r="I219" s="37"/>
      <c r="J219" s="3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37"/>
      <c r="D220" s="37"/>
      <c r="E220" s="37"/>
      <c r="F220" s="37"/>
      <c r="G220" s="37"/>
      <c r="H220" s="37"/>
      <c r="I220" s="37"/>
      <c r="J220" s="3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37"/>
      <c r="D221" s="37"/>
      <c r="E221" s="37"/>
      <c r="F221" s="37"/>
      <c r="G221" s="37"/>
      <c r="H221" s="37"/>
      <c r="I221" s="37"/>
      <c r="J221" s="3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73"/>
      <c r="B254" s="73"/>
      <c r="C254" s="73"/>
      <c r="D254" s="73"/>
      <c r="E254" s="73"/>
      <c r="F254" s="73"/>
      <c r="G254" s="73"/>
      <c r="H254" s="73"/>
      <c r="J254" s="73"/>
    </row>
    <row r="255" spans="1:26" ht="15.75" customHeight="1">
      <c r="A255" s="73"/>
      <c r="B255" s="73"/>
      <c r="C255" s="73"/>
      <c r="D255" s="73"/>
      <c r="E255" s="73"/>
      <c r="F255" s="73"/>
      <c r="G255" s="73"/>
      <c r="H255" s="73"/>
      <c r="J255" s="73"/>
    </row>
    <row r="256" spans="1:26" ht="15.75" customHeight="1">
      <c r="A256" s="73"/>
      <c r="B256" s="73"/>
      <c r="C256" s="73"/>
      <c r="D256" s="73"/>
      <c r="E256" s="73"/>
      <c r="F256" s="73"/>
      <c r="G256" s="73"/>
      <c r="H256" s="73"/>
      <c r="J256" s="73"/>
    </row>
    <row r="257" spans="1:10" ht="15.75" customHeight="1">
      <c r="A257" s="73"/>
      <c r="B257" s="73"/>
      <c r="C257" s="73"/>
      <c r="D257" s="73"/>
      <c r="E257" s="73"/>
      <c r="F257" s="73"/>
      <c r="G257" s="73"/>
      <c r="H257" s="73"/>
      <c r="J257" s="73"/>
    </row>
    <row r="258" spans="1:10" ht="15.75" customHeight="1">
      <c r="A258" s="73"/>
      <c r="B258" s="73"/>
      <c r="C258" s="73"/>
      <c r="D258" s="73"/>
      <c r="E258" s="73"/>
      <c r="F258" s="73"/>
      <c r="G258" s="73"/>
      <c r="H258" s="73"/>
      <c r="J258" s="73"/>
    </row>
    <row r="259" spans="1:10" ht="15.75" customHeight="1">
      <c r="A259" s="73"/>
      <c r="B259" s="73"/>
      <c r="C259" s="73"/>
      <c r="D259" s="73"/>
      <c r="E259" s="73"/>
      <c r="F259" s="73"/>
      <c r="G259" s="73"/>
      <c r="H259" s="73"/>
      <c r="J259" s="73"/>
    </row>
    <row r="260" spans="1:10" ht="15.75" customHeight="1">
      <c r="A260" s="73"/>
      <c r="B260" s="73"/>
      <c r="C260" s="73"/>
      <c r="D260" s="73"/>
      <c r="E260" s="73"/>
      <c r="F260" s="73"/>
      <c r="G260" s="73"/>
      <c r="H260" s="73"/>
      <c r="J260" s="73"/>
    </row>
    <row r="261" spans="1:10" ht="15.75" customHeight="1">
      <c r="A261" s="73"/>
      <c r="B261" s="73"/>
      <c r="C261" s="73"/>
      <c r="D261" s="73"/>
      <c r="E261" s="73"/>
      <c r="F261" s="73"/>
      <c r="G261" s="73"/>
      <c r="H261" s="73"/>
      <c r="J261" s="73"/>
    </row>
    <row r="262" spans="1:10" ht="15.75" customHeight="1">
      <c r="A262" s="73"/>
      <c r="B262" s="73"/>
      <c r="C262" s="73"/>
      <c r="D262" s="73"/>
      <c r="E262" s="73"/>
      <c r="F262" s="73"/>
      <c r="G262" s="73"/>
      <c r="H262" s="73"/>
      <c r="J262" s="73"/>
    </row>
    <row r="263" spans="1:10" ht="15.75" customHeight="1">
      <c r="A263" s="73"/>
      <c r="B263" s="73"/>
      <c r="C263" s="73"/>
      <c r="D263" s="73"/>
      <c r="E263" s="73"/>
      <c r="F263" s="73"/>
      <c r="G263" s="73"/>
      <c r="H263" s="73"/>
      <c r="J263" s="73"/>
    </row>
    <row r="264" spans="1:10" ht="15.75" customHeight="1">
      <c r="A264" s="73"/>
      <c r="B264" s="73"/>
      <c r="C264" s="73"/>
      <c r="D264" s="73"/>
      <c r="E264" s="73"/>
      <c r="F264" s="73"/>
      <c r="G264" s="73"/>
      <c r="H264" s="73"/>
      <c r="J264" s="73"/>
    </row>
    <row r="265" spans="1:10" ht="15.75" customHeight="1">
      <c r="A265" s="73"/>
      <c r="B265" s="73"/>
      <c r="C265" s="73"/>
      <c r="D265" s="73"/>
      <c r="E265" s="73"/>
      <c r="F265" s="73"/>
      <c r="G265" s="73"/>
      <c r="H265" s="73"/>
      <c r="J265" s="73"/>
    </row>
    <row r="266" spans="1:10" ht="15.75" customHeight="1">
      <c r="A266" s="73"/>
      <c r="B266" s="73"/>
      <c r="C266" s="73"/>
      <c r="D266" s="73"/>
      <c r="E266" s="73"/>
      <c r="F266" s="73"/>
      <c r="G266" s="73"/>
      <c r="H266" s="73"/>
      <c r="J266" s="73"/>
    </row>
    <row r="267" spans="1:10" ht="15.75" customHeight="1">
      <c r="A267" s="73"/>
      <c r="B267" s="73"/>
      <c r="C267" s="73"/>
      <c r="D267" s="73"/>
      <c r="E267" s="73"/>
      <c r="F267" s="73"/>
      <c r="G267" s="73"/>
      <c r="H267" s="73"/>
      <c r="J267" s="73"/>
    </row>
    <row r="268" spans="1:10" ht="15.75" customHeight="1">
      <c r="A268" s="73"/>
      <c r="B268" s="73"/>
      <c r="C268" s="73"/>
      <c r="D268" s="73"/>
      <c r="E268" s="73"/>
      <c r="F268" s="73"/>
      <c r="G268" s="73"/>
      <c r="H268" s="73"/>
      <c r="J268" s="73"/>
    </row>
    <row r="269" spans="1:10" ht="15.75" customHeight="1">
      <c r="A269" s="73"/>
      <c r="B269" s="73"/>
      <c r="C269" s="73"/>
      <c r="D269" s="73"/>
      <c r="E269" s="73"/>
      <c r="F269" s="73"/>
      <c r="G269" s="73"/>
      <c r="H269" s="73"/>
      <c r="J269" s="73"/>
    </row>
    <row r="270" spans="1:10" ht="15.75" customHeight="1">
      <c r="A270" s="73"/>
      <c r="B270" s="73"/>
      <c r="C270" s="73"/>
      <c r="D270" s="73"/>
      <c r="E270" s="73"/>
      <c r="F270" s="73"/>
      <c r="G270" s="73"/>
      <c r="H270" s="73"/>
      <c r="J270" s="73"/>
    </row>
    <row r="271" spans="1:10" ht="15.75" customHeight="1">
      <c r="A271" s="73"/>
      <c r="B271" s="73"/>
      <c r="C271" s="73"/>
      <c r="D271" s="73"/>
      <c r="E271" s="73"/>
      <c r="F271" s="73"/>
      <c r="G271" s="73"/>
      <c r="H271" s="73"/>
      <c r="J271" s="73"/>
    </row>
    <row r="272" spans="1:10" ht="15.75" customHeight="1">
      <c r="A272" s="73"/>
      <c r="B272" s="73"/>
      <c r="C272" s="73"/>
      <c r="D272" s="73"/>
      <c r="E272" s="73"/>
      <c r="F272" s="73"/>
      <c r="G272" s="73"/>
      <c r="H272" s="73"/>
      <c r="J272" s="73"/>
    </row>
    <row r="273" spans="1:10" ht="15.75" customHeight="1">
      <c r="A273" s="73"/>
      <c r="B273" s="73"/>
      <c r="C273" s="73"/>
      <c r="D273" s="73"/>
      <c r="E273" s="73"/>
      <c r="F273" s="73"/>
      <c r="G273" s="73"/>
      <c r="H273" s="73"/>
      <c r="J273" s="73"/>
    </row>
    <row r="274" spans="1:10" ht="15.75" customHeight="1">
      <c r="A274" s="73"/>
      <c r="B274" s="73"/>
      <c r="C274" s="73"/>
      <c r="D274" s="73"/>
      <c r="E274" s="73"/>
      <c r="F274" s="73"/>
      <c r="G274" s="73"/>
      <c r="H274" s="73"/>
      <c r="J274" s="73"/>
    </row>
    <row r="275" spans="1:10" ht="15.75" customHeight="1">
      <c r="A275" s="73"/>
      <c r="B275" s="73"/>
      <c r="C275" s="73"/>
      <c r="D275" s="73"/>
      <c r="E275" s="73"/>
      <c r="F275" s="73"/>
      <c r="G275" s="73"/>
      <c r="H275" s="73"/>
      <c r="J275" s="73"/>
    </row>
    <row r="276" spans="1:10" ht="15.75" customHeight="1">
      <c r="A276" s="73"/>
      <c r="B276" s="73"/>
      <c r="C276" s="73"/>
      <c r="D276" s="73"/>
      <c r="E276" s="73"/>
      <c r="F276" s="73"/>
      <c r="G276" s="73"/>
      <c r="H276" s="73"/>
      <c r="J276" s="73"/>
    </row>
    <row r="277" spans="1:10" ht="15.75" customHeight="1">
      <c r="A277" s="73"/>
      <c r="B277" s="73"/>
      <c r="C277" s="73"/>
      <c r="D277" s="73"/>
      <c r="E277" s="73"/>
      <c r="F277" s="73"/>
      <c r="G277" s="73"/>
      <c r="H277" s="73"/>
      <c r="J277" s="73"/>
    </row>
    <row r="278" spans="1:10" ht="15.75" customHeight="1">
      <c r="A278" s="73"/>
      <c r="B278" s="73"/>
      <c r="C278" s="73"/>
      <c r="D278" s="73"/>
      <c r="E278" s="73"/>
      <c r="F278" s="73"/>
      <c r="G278" s="73"/>
      <c r="H278" s="73"/>
      <c r="J278" s="73"/>
    </row>
    <row r="279" spans="1:10" ht="15.75" customHeight="1">
      <c r="A279" s="73"/>
      <c r="B279" s="73"/>
      <c r="C279" s="73"/>
      <c r="D279" s="73"/>
      <c r="E279" s="73"/>
      <c r="F279" s="73"/>
      <c r="G279" s="73"/>
      <c r="H279" s="73"/>
      <c r="J279" s="73"/>
    </row>
    <row r="280" spans="1:10" ht="15.75" customHeight="1">
      <c r="A280" s="73"/>
      <c r="B280" s="73"/>
      <c r="C280" s="73"/>
      <c r="D280" s="73"/>
      <c r="E280" s="73"/>
      <c r="F280" s="73"/>
      <c r="G280" s="73"/>
      <c r="H280" s="73"/>
      <c r="J280" s="73"/>
    </row>
    <row r="281" spans="1:10" ht="15.75" customHeight="1">
      <c r="A281" s="73"/>
      <c r="B281" s="73"/>
      <c r="C281" s="73"/>
      <c r="D281" s="73"/>
      <c r="E281" s="73"/>
      <c r="F281" s="73"/>
      <c r="G281" s="73"/>
      <c r="H281" s="73"/>
      <c r="J281" s="73"/>
    </row>
    <row r="282" spans="1:10" ht="15.75" customHeight="1">
      <c r="A282" s="73"/>
      <c r="B282" s="73"/>
      <c r="C282" s="73"/>
      <c r="D282" s="73"/>
      <c r="E282" s="73"/>
      <c r="F282" s="73"/>
      <c r="G282" s="73"/>
      <c r="H282" s="73"/>
      <c r="J282" s="73"/>
    </row>
    <row r="283" spans="1:10" ht="15.75" customHeight="1">
      <c r="A283" s="73"/>
      <c r="B283" s="73"/>
      <c r="C283" s="73"/>
      <c r="D283" s="73"/>
      <c r="E283" s="73"/>
      <c r="F283" s="73"/>
      <c r="G283" s="73"/>
      <c r="H283" s="73"/>
      <c r="J283" s="73"/>
    </row>
    <row r="284" spans="1:10" ht="15.75" customHeight="1">
      <c r="A284" s="73"/>
      <c r="B284" s="73"/>
      <c r="C284" s="73"/>
      <c r="D284" s="73"/>
      <c r="E284" s="73"/>
      <c r="F284" s="73"/>
      <c r="G284" s="73"/>
      <c r="H284" s="73"/>
      <c r="J284" s="73"/>
    </row>
    <row r="285" spans="1:10" ht="15.75" customHeight="1">
      <c r="A285" s="73"/>
      <c r="B285" s="73"/>
      <c r="C285" s="73"/>
      <c r="D285" s="73"/>
      <c r="E285" s="73"/>
      <c r="F285" s="73"/>
      <c r="G285" s="73"/>
      <c r="H285" s="73"/>
      <c r="J285" s="73"/>
    </row>
    <row r="286" spans="1:10" ht="15.75" customHeight="1">
      <c r="A286" s="73"/>
      <c r="B286" s="73"/>
      <c r="C286" s="73"/>
      <c r="D286" s="73"/>
      <c r="E286" s="73"/>
      <c r="F286" s="73"/>
      <c r="G286" s="73"/>
      <c r="H286" s="73"/>
      <c r="J286" s="73"/>
    </row>
    <row r="287" spans="1:10" ht="15.75" customHeight="1">
      <c r="A287" s="73"/>
      <c r="B287" s="73"/>
      <c r="C287" s="73"/>
      <c r="D287" s="73"/>
      <c r="E287" s="73"/>
      <c r="F287" s="73"/>
      <c r="G287" s="73"/>
      <c r="H287" s="73"/>
      <c r="J287" s="73"/>
    </row>
    <row r="288" spans="1:10" ht="15.75" customHeight="1">
      <c r="A288" s="73"/>
      <c r="B288" s="73"/>
      <c r="C288" s="73"/>
      <c r="D288" s="73"/>
      <c r="E288" s="73"/>
      <c r="F288" s="73"/>
      <c r="G288" s="73"/>
      <c r="H288" s="73"/>
      <c r="J288" s="73"/>
    </row>
    <row r="289" spans="1:10" ht="15.75" customHeight="1">
      <c r="A289" s="73"/>
      <c r="B289" s="73"/>
      <c r="C289" s="73"/>
      <c r="D289" s="73"/>
      <c r="E289" s="73"/>
      <c r="F289" s="73"/>
      <c r="G289" s="73"/>
      <c r="H289" s="73"/>
      <c r="J289" s="73"/>
    </row>
    <row r="290" spans="1:10" ht="15.75" customHeight="1">
      <c r="A290" s="73"/>
      <c r="B290" s="73"/>
      <c r="C290" s="73"/>
      <c r="D290" s="73"/>
      <c r="E290" s="73"/>
      <c r="F290" s="73"/>
      <c r="G290" s="73"/>
      <c r="H290" s="73"/>
      <c r="J290" s="73"/>
    </row>
    <row r="291" spans="1:10" ht="15.75" customHeight="1">
      <c r="A291" s="73"/>
      <c r="B291" s="73"/>
      <c r="C291" s="73"/>
      <c r="D291" s="73"/>
      <c r="E291" s="73"/>
      <c r="F291" s="73"/>
      <c r="G291" s="73"/>
      <c r="H291" s="73"/>
      <c r="J291" s="73"/>
    </row>
    <row r="292" spans="1:10" ht="15.75" customHeight="1">
      <c r="A292" s="73"/>
      <c r="B292" s="73"/>
      <c r="C292" s="73"/>
      <c r="D292" s="73"/>
      <c r="E292" s="73"/>
      <c r="F292" s="73"/>
      <c r="G292" s="73"/>
      <c r="H292" s="73"/>
      <c r="J292" s="73"/>
    </row>
    <row r="293" spans="1:10" ht="15.75" customHeight="1">
      <c r="A293" s="73"/>
      <c r="B293" s="73"/>
      <c r="C293" s="73"/>
      <c r="D293" s="73"/>
      <c r="E293" s="73"/>
      <c r="F293" s="73"/>
      <c r="G293" s="73"/>
      <c r="H293" s="73"/>
      <c r="J293" s="73"/>
    </row>
    <row r="294" spans="1:10" ht="15.75" customHeight="1">
      <c r="A294" s="73"/>
      <c r="B294" s="73"/>
      <c r="C294" s="73"/>
      <c r="D294" s="73"/>
      <c r="E294" s="73"/>
      <c r="F294" s="73"/>
      <c r="G294" s="73"/>
      <c r="H294" s="73"/>
      <c r="J294" s="73"/>
    </row>
    <row r="295" spans="1:10" ht="15.75" customHeight="1">
      <c r="A295" s="73"/>
      <c r="B295" s="73"/>
      <c r="C295" s="73"/>
      <c r="D295" s="73"/>
      <c r="E295" s="73"/>
      <c r="F295" s="73"/>
      <c r="G295" s="73"/>
      <c r="H295" s="73"/>
      <c r="J295" s="73"/>
    </row>
    <row r="296" spans="1:10" ht="15.75" customHeight="1">
      <c r="A296" s="73"/>
      <c r="B296" s="73"/>
      <c r="C296" s="73"/>
      <c r="D296" s="73"/>
      <c r="E296" s="73"/>
      <c r="F296" s="73"/>
      <c r="G296" s="73"/>
      <c r="H296" s="73"/>
      <c r="J296" s="73"/>
    </row>
    <row r="297" spans="1:10" ht="15.75" customHeight="1">
      <c r="A297" s="73"/>
      <c r="B297" s="73"/>
      <c r="C297" s="73"/>
      <c r="D297" s="73"/>
      <c r="E297" s="73"/>
      <c r="F297" s="73"/>
      <c r="G297" s="73"/>
      <c r="H297" s="73"/>
      <c r="J297" s="73"/>
    </row>
    <row r="298" spans="1:10" ht="15.75" customHeight="1">
      <c r="A298" s="73"/>
      <c r="B298" s="73"/>
      <c r="C298" s="73"/>
      <c r="D298" s="73"/>
      <c r="E298" s="73"/>
      <c r="F298" s="73"/>
      <c r="G298" s="73"/>
      <c r="H298" s="73"/>
      <c r="J298" s="73"/>
    </row>
    <row r="299" spans="1:10" ht="15.75" customHeight="1">
      <c r="A299" s="73"/>
      <c r="B299" s="73"/>
      <c r="C299" s="73"/>
      <c r="D299" s="73"/>
      <c r="E299" s="73"/>
      <c r="F299" s="73"/>
      <c r="G299" s="73"/>
      <c r="H299" s="73"/>
      <c r="J299" s="73"/>
    </row>
    <row r="300" spans="1:10" ht="15.75" customHeight="1">
      <c r="A300" s="73"/>
      <c r="B300" s="73"/>
      <c r="C300" s="73"/>
      <c r="D300" s="73"/>
      <c r="E300" s="73"/>
      <c r="F300" s="73"/>
      <c r="G300" s="73"/>
      <c r="H300" s="73"/>
      <c r="J300" s="73"/>
    </row>
    <row r="301" spans="1:10" ht="15.75" customHeight="1">
      <c r="A301" s="73"/>
      <c r="B301" s="73"/>
      <c r="C301" s="73"/>
      <c r="D301" s="73"/>
      <c r="E301" s="73"/>
      <c r="F301" s="73"/>
      <c r="G301" s="73"/>
      <c r="H301" s="73"/>
      <c r="J301" s="73"/>
    </row>
    <row r="302" spans="1:10" ht="15.75" customHeight="1">
      <c r="A302" s="73"/>
      <c r="B302" s="73"/>
      <c r="C302" s="73"/>
      <c r="D302" s="73"/>
      <c r="E302" s="73"/>
      <c r="F302" s="73"/>
      <c r="G302" s="73"/>
      <c r="H302" s="73"/>
      <c r="J302" s="73"/>
    </row>
    <row r="303" spans="1:10" ht="15.75" customHeight="1">
      <c r="A303" s="73"/>
      <c r="B303" s="73"/>
      <c r="C303" s="73"/>
      <c r="D303" s="73"/>
      <c r="E303" s="73"/>
      <c r="F303" s="73"/>
      <c r="G303" s="73"/>
      <c r="H303" s="73"/>
      <c r="J303" s="73"/>
    </row>
    <row r="304" spans="1:10" ht="15.75" customHeight="1">
      <c r="A304" s="73"/>
      <c r="B304" s="73"/>
      <c r="C304" s="73"/>
      <c r="D304" s="73"/>
      <c r="E304" s="73"/>
      <c r="F304" s="73"/>
      <c r="G304" s="73"/>
      <c r="H304" s="73"/>
      <c r="J304" s="73"/>
    </row>
    <row r="305" spans="1:10" ht="15.75" customHeight="1">
      <c r="A305" s="73"/>
      <c r="B305" s="73"/>
      <c r="C305" s="73"/>
      <c r="D305" s="73"/>
      <c r="E305" s="73"/>
      <c r="F305" s="73"/>
      <c r="G305" s="73"/>
      <c r="H305" s="73"/>
      <c r="J305" s="73"/>
    </row>
    <row r="306" spans="1:10" ht="15.75" customHeight="1">
      <c r="A306" s="73"/>
      <c r="B306" s="73"/>
      <c r="C306" s="73"/>
      <c r="D306" s="73"/>
      <c r="E306" s="73"/>
      <c r="F306" s="73"/>
      <c r="G306" s="73"/>
      <c r="H306" s="73"/>
      <c r="J306" s="73"/>
    </row>
    <row r="307" spans="1:10" ht="15.75" customHeight="1">
      <c r="A307" s="73"/>
      <c r="B307" s="73"/>
      <c r="C307" s="73"/>
      <c r="D307" s="73"/>
      <c r="E307" s="73"/>
      <c r="F307" s="73"/>
      <c r="G307" s="73"/>
      <c r="H307" s="73"/>
      <c r="J307" s="73"/>
    </row>
    <row r="308" spans="1:10" ht="15.75" customHeight="1">
      <c r="A308" s="73"/>
      <c r="B308" s="73"/>
      <c r="C308" s="73"/>
      <c r="D308" s="73"/>
      <c r="E308" s="73"/>
      <c r="F308" s="73"/>
      <c r="G308" s="73"/>
      <c r="H308" s="73"/>
      <c r="J308" s="73"/>
    </row>
    <row r="309" spans="1:10" ht="15.75" customHeight="1">
      <c r="A309" s="73"/>
      <c r="B309" s="73"/>
      <c r="C309" s="73"/>
      <c r="D309" s="73"/>
      <c r="E309" s="73"/>
      <c r="F309" s="73"/>
      <c r="G309" s="73"/>
      <c r="H309" s="73"/>
      <c r="J309" s="73"/>
    </row>
    <row r="310" spans="1:10" ht="15.75" customHeight="1">
      <c r="A310" s="73"/>
      <c r="B310" s="73"/>
      <c r="C310" s="73"/>
      <c r="D310" s="73"/>
      <c r="E310" s="73"/>
      <c r="F310" s="73"/>
      <c r="G310" s="73"/>
      <c r="H310" s="73"/>
      <c r="J310" s="73"/>
    </row>
    <row r="311" spans="1:10" ht="15.75" customHeight="1">
      <c r="A311" s="73"/>
      <c r="B311" s="73"/>
      <c r="C311" s="73"/>
      <c r="D311" s="73"/>
      <c r="E311" s="73"/>
      <c r="F311" s="73"/>
      <c r="G311" s="73"/>
      <c r="H311" s="73"/>
      <c r="J311" s="73"/>
    </row>
    <row r="312" spans="1:10" ht="15.75" customHeight="1">
      <c r="A312" s="73"/>
      <c r="B312" s="73"/>
      <c r="C312" s="73"/>
      <c r="D312" s="73"/>
      <c r="E312" s="73"/>
      <c r="F312" s="73"/>
      <c r="G312" s="73"/>
      <c r="H312" s="73"/>
      <c r="J312" s="73"/>
    </row>
    <row r="313" spans="1:10" ht="15.75" customHeight="1">
      <c r="A313" s="73"/>
      <c r="B313" s="73"/>
      <c r="C313" s="73"/>
      <c r="D313" s="73"/>
      <c r="E313" s="73"/>
      <c r="F313" s="73"/>
      <c r="G313" s="73"/>
      <c r="H313" s="73"/>
      <c r="J313" s="73"/>
    </row>
    <row r="314" spans="1:10" ht="15.75" customHeight="1">
      <c r="A314" s="73"/>
      <c r="B314" s="73"/>
      <c r="C314" s="73"/>
      <c r="D314" s="73"/>
      <c r="E314" s="73"/>
      <c r="F314" s="73"/>
      <c r="G314" s="73"/>
      <c r="H314" s="73"/>
      <c r="J314" s="73"/>
    </row>
    <row r="315" spans="1:10" ht="15.75" customHeight="1">
      <c r="A315" s="73"/>
      <c r="B315" s="73"/>
      <c r="C315" s="73"/>
      <c r="D315" s="73"/>
      <c r="E315" s="73"/>
      <c r="F315" s="73"/>
      <c r="G315" s="73"/>
      <c r="H315" s="73"/>
      <c r="J315" s="73"/>
    </row>
    <row r="316" spans="1:10" ht="15.75" customHeight="1">
      <c r="A316" s="73"/>
      <c r="B316" s="73"/>
      <c r="C316" s="73"/>
      <c r="D316" s="73"/>
      <c r="E316" s="73"/>
      <c r="F316" s="73"/>
      <c r="G316" s="73"/>
      <c r="H316" s="73"/>
      <c r="J316" s="73"/>
    </row>
    <row r="317" spans="1:10" ht="15.75" customHeight="1">
      <c r="A317" s="73"/>
      <c r="B317" s="73"/>
      <c r="C317" s="73"/>
      <c r="D317" s="73"/>
      <c r="E317" s="73"/>
      <c r="F317" s="73"/>
      <c r="G317" s="73"/>
      <c r="H317" s="73"/>
      <c r="J317" s="73"/>
    </row>
    <row r="318" spans="1:10" ht="15.75" customHeight="1">
      <c r="A318" s="73"/>
      <c r="B318" s="73"/>
      <c r="C318" s="73"/>
      <c r="D318" s="73"/>
      <c r="E318" s="73"/>
      <c r="F318" s="73"/>
      <c r="G318" s="73"/>
      <c r="H318" s="73"/>
      <c r="J318" s="73"/>
    </row>
    <row r="319" spans="1:10" ht="15.75" customHeight="1">
      <c r="A319" s="73"/>
      <c r="B319" s="73"/>
      <c r="C319" s="73"/>
      <c r="D319" s="73"/>
      <c r="E319" s="73"/>
      <c r="F319" s="73"/>
      <c r="G319" s="73"/>
      <c r="H319" s="73"/>
      <c r="J319" s="73"/>
    </row>
    <row r="320" spans="1:10" ht="15.75" customHeight="1">
      <c r="A320" s="73"/>
      <c r="B320" s="73"/>
      <c r="C320" s="73"/>
      <c r="D320" s="73"/>
      <c r="E320" s="73"/>
      <c r="F320" s="73"/>
      <c r="G320" s="73"/>
      <c r="H320" s="73"/>
      <c r="J320" s="73"/>
    </row>
    <row r="321" spans="1:10" ht="15.75" customHeight="1">
      <c r="A321" s="73"/>
      <c r="B321" s="73"/>
      <c r="C321" s="73"/>
      <c r="D321" s="73"/>
      <c r="E321" s="73"/>
      <c r="F321" s="73"/>
      <c r="G321" s="73"/>
      <c r="H321" s="73"/>
      <c r="J321" s="73"/>
    </row>
    <row r="322" spans="1:10" ht="15.75" customHeight="1">
      <c r="A322" s="73"/>
      <c r="B322" s="73"/>
      <c r="C322" s="73"/>
      <c r="D322" s="73"/>
      <c r="E322" s="73"/>
      <c r="F322" s="73"/>
      <c r="G322" s="73"/>
      <c r="H322" s="73"/>
      <c r="J322" s="73"/>
    </row>
    <row r="323" spans="1:10" ht="15.75" customHeight="1">
      <c r="A323" s="73"/>
      <c r="B323" s="73"/>
      <c r="C323" s="73"/>
      <c r="D323" s="73"/>
      <c r="E323" s="73"/>
      <c r="F323" s="73"/>
      <c r="G323" s="73"/>
      <c r="H323" s="73"/>
      <c r="J323" s="73"/>
    </row>
    <row r="324" spans="1:10" ht="15.75" customHeight="1">
      <c r="A324" s="73"/>
      <c r="B324" s="73"/>
      <c r="C324" s="73"/>
      <c r="D324" s="73"/>
      <c r="E324" s="73"/>
      <c r="F324" s="73"/>
      <c r="G324" s="73"/>
      <c r="H324" s="73"/>
      <c r="J324" s="73"/>
    </row>
    <row r="325" spans="1:10" ht="15.75" customHeight="1">
      <c r="A325" s="73"/>
      <c r="B325" s="73"/>
      <c r="C325" s="73"/>
      <c r="D325" s="73"/>
      <c r="E325" s="73"/>
      <c r="F325" s="73"/>
      <c r="G325" s="73"/>
      <c r="H325" s="73"/>
      <c r="J325" s="73"/>
    </row>
    <row r="326" spans="1:10" ht="15.75" customHeight="1">
      <c r="A326" s="73"/>
      <c r="B326" s="73"/>
      <c r="C326" s="73"/>
      <c r="D326" s="73"/>
      <c r="E326" s="73"/>
      <c r="F326" s="73"/>
      <c r="G326" s="73"/>
      <c r="H326" s="73"/>
      <c r="J326" s="73"/>
    </row>
    <row r="327" spans="1:10" ht="15.75" customHeight="1">
      <c r="A327" s="73"/>
      <c r="B327" s="73"/>
      <c r="C327" s="73"/>
      <c r="D327" s="73"/>
      <c r="E327" s="73"/>
      <c r="F327" s="73"/>
      <c r="G327" s="73"/>
      <c r="H327" s="73"/>
      <c r="J327" s="73"/>
    </row>
    <row r="328" spans="1:10" ht="15.75" customHeight="1">
      <c r="A328" s="73"/>
      <c r="B328" s="73"/>
      <c r="C328" s="73"/>
      <c r="D328" s="73"/>
      <c r="E328" s="73"/>
      <c r="F328" s="73"/>
      <c r="G328" s="73"/>
      <c r="H328" s="73"/>
      <c r="J328" s="73"/>
    </row>
    <row r="329" spans="1:10" ht="15.75" customHeight="1">
      <c r="A329" s="73"/>
      <c r="B329" s="73"/>
      <c r="C329" s="73"/>
      <c r="D329" s="73"/>
      <c r="E329" s="73"/>
      <c r="F329" s="73"/>
      <c r="G329" s="73"/>
      <c r="H329" s="73"/>
      <c r="J329" s="73"/>
    </row>
    <row r="330" spans="1:10" ht="15.75" customHeight="1">
      <c r="A330" s="73"/>
      <c r="B330" s="73"/>
      <c r="C330" s="73"/>
      <c r="D330" s="73"/>
      <c r="E330" s="73"/>
      <c r="F330" s="73"/>
      <c r="G330" s="73"/>
      <c r="H330" s="73"/>
      <c r="J330" s="73"/>
    </row>
    <row r="331" spans="1:10" ht="15.75" customHeight="1">
      <c r="A331" s="73"/>
      <c r="B331" s="73"/>
      <c r="C331" s="73"/>
      <c r="D331" s="73"/>
      <c r="E331" s="73"/>
      <c r="F331" s="73"/>
      <c r="G331" s="73"/>
      <c r="H331" s="73"/>
      <c r="J331" s="73"/>
    </row>
    <row r="332" spans="1:10" ht="15.75" customHeight="1">
      <c r="A332" s="73"/>
      <c r="B332" s="73"/>
      <c r="C332" s="73"/>
      <c r="D332" s="73"/>
      <c r="E332" s="73"/>
      <c r="F332" s="73"/>
      <c r="G332" s="73"/>
      <c r="H332" s="73"/>
      <c r="J332" s="73"/>
    </row>
    <row r="333" spans="1:10" ht="15.75" customHeight="1">
      <c r="A333" s="73"/>
      <c r="B333" s="73"/>
      <c r="C333" s="73"/>
      <c r="D333" s="73"/>
      <c r="E333" s="73"/>
      <c r="F333" s="73"/>
      <c r="G333" s="73"/>
      <c r="H333" s="73"/>
      <c r="J333" s="73"/>
    </row>
    <row r="334" spans="1:10" ht="15.75" customHeight="1">
      <c r="A334" s="73"/>
      <c r="B334" s="73"/>
      <c r="C334" s="73"/>
      <c r="D334" s="73"/>
      <c r="E334" s="73"/>
      <c r="F334" s="73"/>
      <c r="G334" s="73"/>
      <c r="H334" s="73"/>
      <c r="J334" s="73"/>
    </row>
    <row r="335" spans="1:10" ht="15.75" customHeight="1">
      <c r="A335" s="73"/>
      <c r="B335" s="73"/>
      <c r="C335" s="73"/>
      <c r="D335" s="73"/>
      <c r="E335" s="73"/>
      <c r="F335" s="73"/>
      <c r="G335" s="73"/>
      <c r="H335" s="73"/>
      <c r="J335" s="73"/>
    </row>
    <row r="336" spans="1:10" ht="15.75" customHeight="1">
      <c r="A336" s="73"/>
      <c r="B336" s="73"/>
      <c r="C336" s="73"/>
      <c r="D336" s="73"/>
      <c r="E336" s="73"/>
      <c r="F336" s="73"/>
      <c r="G336" s="73"/>
      <c r="H336" s="73"/>
      <c r="J336" s="73"/>
    </row>
    <row r="337" spans="1:10" ht="15.75" customHeight="1">
      <c r="A337" s="73"/>
      <c r="B337" s="73"/>
      <c r="C337" s="73"/>
      <c r="D337" s="73"/>
      <c r="E337" s="73"/>
      <c r="F337" s="73"/>
      <c r="G337" s="73"/>
      <c r="H337" s="73"/>
      <c r="J337" s="73"/>
    </row>
    <row r="338" spans="1:10" ht="15.75" customHeight="1">
      <c r="A338" s="73"/>
      <c r="B338" s="73"/>
      <c r="C338" s="73"/>
      <c r="D338" s="73"/>
      <c r="E338" s="73"/>
      <c r="F338" s="73"/>
      <c r="G338" s="73"/>
      <c r="H338" s="73"/>
      <c r="J338" s="73"/>
    </row>
    <row r="339" spans="1:10" ht="15.75" customHeight="1">
      <c r="A339" s="73"/>
      <c r="B339" s="73"/>
      <c r="C339" s="73"/>
      <c r="D339" s="73"/>
      <c r="E339" s="73"/>
      <c r="F339" s="73"/>
      <c r="G339" s="73"/>
      <c r="H339" s="73"/>
      <c r="J339" s="73"/>
    </row>
    <row r="340" spans="1:10" ht="15.75" customHeight="1">
      <c r="A340" s="73"/>
      <c r="B340" s="73"/>
      <c r="C340" s="73"/>
      <c r="D340" s="73"/>
      <c r="E340" s="73"/>
      <c r="F340" s="73"/>
      <c r="G340" s="73"/>
      <c r="H340" s="73"/>
      <c r="J340" s="73"/>
    </row>
    <row r="341" spans="1:10" ht="15.75" customHeight="1">
      <c r="A341" s="73"/>
      <c r="B341" s="73"/>
      <c r="C341" s="73"/>
      <c r="D341" s="73"/>
      <c r="E341" s="73"/>
      <c r="F341" s="73"/>
      <c r="G341" s="73"/>
      <c r="H341" s="73"/>
      <c r="J341" s="73"/>
    </row>
    <row r="342" spans="1:10" ht="15.75" customHeight="1">
      <c r="A342" s="73"/>
      <c r="B342" s="73"/>
      <c r="C342" s="73"/>
      <c r="D342" s="73"/>
      <c r="E342" s="73"/>
      <c r="F342" s="73"/>
      <c r="G342" s="73"/>
      <c r="H342" s="73"/>
      <c r="J342" s="73"/>
    </row>
    <row r="343" spans="1:10" ht="15.75" customHeight="1">
      <c r="A343" s="73"/>
      <c r="B343" s="73"/>
      <c r="C343" s="73"/>
      <c r="D343" s="73"/>
      <c r="E343" s="73"/>
      <c r="F343" s="73"/>
      <c r="G343" s="73"/>
      <c r="H343" s="73"/>
      <c r="J343" s="73"/>
    </row>
    <row r="344" spans="1:10" ht="15.75" customHeight="1">
      <c r="A344" s="73"/>
      <c r="B344" s="73"/>
      <c r="C344" s="73"/>
      <c r="D344" s="73"/>
      <c r="E344" s="73"/>
      <c r="F344" s="73"/>
      <c r="G344" s="73"/>
      <c r="H344" s="73"/>
      <c r="J344" s="73"/>
    </row>
    <row r="345" spans="1:10" ht="15.75" customHeight="1">
      <c r="A345" s="73"/>
      <c r="B345" s="73"/>
      <c r="C345" s="73"/>
      <c r="D345" s="73"/>
      <c r="E345" s="73"/>
      <c r="F345" s="73"/>
      <c r="G345" s="73"/>
      <c r="H345" s="73"/>
      <c r="J345" s="73"/>
    </row>
    <row r="346" spans="1:10" ht="15.75" customHeight="1">
      <c r="A346" s="73"/>
      <c r="B346" s="73"/>
      <c r="C346" s="73"/>
      <c r="D346" s="73"/>
      <c r="E346" s="73"/>
      <c r="F346" s="73"/>
      <c r="G346" s="73"/>
      <c r="H346" s="73"/>
      <c r="J346" s="73"/>
    </row>
    <row r="347" spans="1:10" ht="15.75" customHeight="1">
      <c r="A347" s="73"/>
      <c r="B347" s="73"/>
      <c r="C347" s="73"/>
      <c r="D347" s="73"/>
      <c r="E347" s="73"/>
      <c r="F347" s="73"/>
      <c r="G347" s="73"/>
      <c r="H347" s="73"/>
      <c r="J347" s="73"/>
    </row>
    <row r="348" spans="1:10" ht="15.75" customHeight="1">
      <c r="A348" s="73"/>
      <c r="B348" s="73"/>
      <c r="C348" s="73"/>
      <c r="D348" s="73"/>
      <c r="E348" s="73"/>
      <c r="F348" s="73"/>
      <c r="G348" s="73"/>
      <c r="H348" s="73"/>
      <c r="J348" s="73"/>
    </row>
    <row r="349" spans="1:10" ht="15.75" customHeight="1">
      <c r="A349" s="73"/>
      <c r="B349" s="73"/>
      <c r="C349" s="73"/>
      <c r="D349" s="73"/>
      <c r="E349" s="73"/>
      <c r="F349" s="73"/>
      <c r="G349" s="73"/>
      <c r="H349" s="73"/>
      <c r="J349" s="73"/>
    </row>
    <row r="350" spans="1:10" ht="15.75" customHeight="1">
      <c r="A350" s="73"/>
      <c r="B350" s="73"/>
      <c r="C350" s="73"/>
      <c r="D350" s="73"/>
      <c r="E350" s="73"/>
      <c r="F350" s="73"/>
      <c r="G350" s="73"/>
      <c r="H350" s="73"/>
      <c r="J350" s="73"/>
    </row>
    <row r="351" spans="1:10" ht="15.75" customHeight="1">
      <c r="A351" s="73"/>
      <c r="B351" s="73"/>
      <c r="C351" s="73"/>
      <c r="D351" s="73"/>
      <c r="E351" s="73"/>
      <c r="F351" s="73"/>
      <c r="G351" s="73"/>
      <c r="H351" s="73"/>
      <c r="J351" s="73"/>
    </row>
    <row r="352" spans="1:10" ht="15.75" customHeight="1">
      <c r="A352" s="73"/>
      <c r="B352" s="73"/>
      <c r="C352" s="73"/>
      <c r="D352" s="73"/>
      <c r="E352" s="73"/>
      <c r="F352" s="73"/>
      <c r="G352" s="73"/>
      <c r="H352" s="73"/>
      <c r="J352" s="73"/>
    </row>
    <row r="353" spans="1:10" ht="15.75" customHeight="1">
      <c r="A353" s="73"/>
      <c r="B353" s="73"/>
      <c r="C353" s="73"/>
      <c r="D353" s="73"/>
      <c r="E353" s="73"/>
      <c r="F353" s="73"/>
      <c r="G353" s="73"/>
      <c r="H353" s="73"/>
      <c r="J353" s="73"/>
    </row>
    <row r="354" spans="1:10" ht="15.75" customHeight="1">
      <c r="A354" s="73"/>
      <c r="B354" s="73"/>
      <c r="C354" s="73"/>
      <c r="D354" s="73"/>
      <c r="E354" s="73"/>
      <c r="F354" s="73"/>
      <c r="G354" s="73"/>
      <c r="H354" s="73"/>
      <c r="J354" s="73"/>
    </row>
    <row r="355" spans="1:10" ht="15.75" customHeight="1">
      <c r="A355" s="73"/>
      <c r="B355" s="73"/>
      <c r="C355" s="73"/>
      <c r="D355" s="73"/>
      <c r="E355" s="73"/>
      <c r="F355" s="73"/>
      <c r="G355" s="73"/>
      <c r="H355" s="73"/>
      <c r="J355" s="73"/>
    </row>
    <row r="356" spans="1:10" ht="15.75" customHeight="1">
      <c r="A356" s="73"/>
      <c r="B356" s="73"/>
      <c r="C356" s="73"/>
      <c r="D356" s="73"/>
      <c r="E356" s="73"/>
      <c r="F356" s="73"/>
      <c r="G356" s="73"/>
      <c r="H356" s="73"/>
      <c r="J356" s="73"/>
    </row>
    <row r="357" spans="1:10" ht="15.75" customHeight="1">
      <c r="A357" s="73"/>
      <c r="B357" s="73"/>
      <c r="C357" s="73"/>
      <c r="D357" s="73"/>
      <c r="E357" s="73"/>
      <c r="F357" s="73"/>
      <c r="G357" s="73"/>
      <c r="H357" s="73"/>
      <c r="J357" s="73"/>
    </row>
    <row r="358" spans="1:10" ht="15.75" customHeight="1">
      <c r="A358" s="73"/>
      <c r="B358" s="73"/>
      <c r="C358" s="73"/>
      <c r="D358" s="73"/>
      <c r="E358" s="73"/>
      <c r="F358" s="73"/>
      <c r="G358" s="73"/>
      <c r="H358" s="73"/>
      <c r="J358" s="73"/>
    </row>
    <row r="359" spans="1:10" ht="15.75" customHeight="1">
      <c r="A359" s="73"/>
      <c r="B359" s="73"/>
      <c r="C359" s="73"/>
      <c r="D359" s="73"/>
      <c r="E359" s="73"/>
      <c r="F359" s="73"/>
      <c r="G359" s="73"/>
      <c r="H359" s="73"/>
      <c r="J359" s="73"/>
    </row>
    <row r="360" spans="1:10" ht="15.75" customHeight="1">
      <c r="A360" s="73"/>
      <c r="B360" s="73"/>
      <c r="C360" s="73"/>
      <c r="D360" s="73"/>
      <c r="E360" s="73"/>
      <c r="F360" s="73"/>
      <c r="G360" s="73"/>
      <c r="H360" s="73"/>
      <c r="J360" s="73"/>
    </row>
    <row r="361" spans="1:10" ht="15.75" customHeight="1">
      <c r="A361" s="73"/>
      <c r="B361" s="73"/>
      <c r="C361" s="73"/>
      <c r="D361" s="73"/>
      <c r="E361" s="73"/>
      <c r="F361" s="73"/>
      <c r="G361" s="73"/>
      <c r="H361" s="73"/>
      <c r="J361" s="73"/>
    </row>
    <row r="362" spans="1:10" ht="15.75" customHeight="1">
      <c r="A362" s="73"/>
      <c r="B362" s="73"/>
      <c r="C362" s="73"/>
      <c r="D362" s="73"/>
      <c r="E362" s="73"/>
      <c r="F362" s="73"/>
      <c r="G362" s="73"/>
      <c r="H362" s="73"/>
      <c r="J362" s="73"/>
    </row>
    <row r="363" spans="1:10" ht="15.75" customHeight="1">
      <c r="A363" s="73"/>
      <c r="B363" s="73"/>
      <c r="C363" s="73"/>
      <c r="D363" s="73"/>
      <c r="E363" s="73"/>
      <c r="F363" s="73"/>
      <c r="G363" s="73"/>
      <c r="H363" s="73"/>
      <c r="J363" s="73"/>
    </row>
    <row r="364" spans="1:10" ht="15.75" customHeight="1">
      <c r="A364" s="73"/>
      <c r="B364" s="73"/>
      <c r="C364" s="73"/>
      <c r="D364" s="73"/>
      <c r="E364" s="73"/>
      <c r="F364" s="73"/>
      <c r="G364" s="73"/>
      <c r="H364" s="73"/>
      <c r="J364" s="73"/>
    </row>
    <row r="365" spans="1:10" ht="15.75" customHeight="1">
      <c r="A365" s="73"/>
      <c r="B365" s="73"/>
      <c r="C365" s="73"/>
      <c r="D365" s="73"/>
      <c r="E365" s="73"/>
      <c r="F365" s="73"/>
      <c r="G365" s="73"/>
      <c r="H365" s="73"/>
      <c r="J365" s="73"/>
    </row>
    <row r="366" spans="1:10" ht="15.75" customHeight="1">
      <c r="A366" s="73"/>
      <c r="B366" s="73"/>
      <c r="C366" s="73"/>
      <c r="D366" s="73"/>
      <c r="E366" s="73"/>
      <c r="F366" s="73"/>
      <c r="G366" s="73"/>
      <c r="H366" s="73"/>
      <c r="J366" s="73"/>
    </row>
    <row r="367" spans="1:10" ht="15.75" customHeight="1">
      <c r="A367" s="73"/>
      <c r="B367" s="73"/>
      <c r="C367" s="73"/>
      <c r="D367" s="73"/>
      <c r="E367" s="73"/>
      <c r="F367" s="73"/>
      <c r="G367" s="73"/>
      <c r="H367" s="73"/>
      <c r="J367" s="73"/>
    </row>
    <row r="368" spans="1:10" ht="15.75" customHeight="1">
      <c r="A368" s="73"/>
      <c r="B368" s="73"/>
      <c r="C368" s="73"/>
      <c r="D368" s="73"/>
      <c r="E368" s="73"/>
      <c r="F368" s="73"/>
      <c r="G368" s="73"/>
      <c r="H368" s="73"/>
      <c r="J368" s="73"/>
    </row>
    <row r="369" spans="1:10" ht="15.75" customHeight="1">
      <c r="A369" s="73"/>
      <c r="B369" s="73"/>
      <c r="C369" s="73"/>
      <c r="D369" s="73"/>
      <c r="E369" s="73"/>
      <c r="F369" s="73"/>
      <c r="G369" s="73"/>
      <c r="H369" s="73"/>
      <c r="J369" s="73"/>
    </row>
    <row r="370" spans="1:10" ht="15.75" customHeight="1">
      <c r="A370" s="73"/>
      <c r="B370" s="73"/>
      <c r="C370" s="73"/>
      <c r="D370" s="73"/>
      <c r="E370" s="73"/>
      <c r="F370" s="73"/>
      <c r="G370" s="73"/>
      <c r="H370" s="73"/>
      <c r="J370" s="73"/>
    </row>
    <row r="371" spans="1:10" ht="15.75" customHeight="1">
      <c r="A371" s="73"/>
      <c r="B371" s="73"/>
      <c r="C371" s="73"/>
      <c r="D371" s="73"/>
      <c r="E371" s="73"/>
      <c r="F371" s="73"/>
      <c r="G371" s="73"/>
      <c r="H371" s="73"/>
      <c r="J371" s="73"/>
    </row>
    <row r="372" spans="1:10" ht="15.75" customHeight="1">
      <c r="A372" s="73"/>
      <c r="B372" s="73"/>
      <c r="C372" s="73"/>
      <c r="D372" s="73"/>
      <c r="E372" s="73"/>
      <c r="F372" s="73"/>
      <c r="G372" s="73"/>
      <c r="H372" s="73"/>
      <c r="J372" s="73"/>
    </row>
    <row r="373" spans="1:10" ht="15.75" customHeight="1">
      <c r="A373" s="73"/>
      <c r="B373" s="73"/>
      <c r="C373" s="73"/>
      <c r="D373" s="73"/>
      <c r="E373" s="73"/>
      <c r="F373" s="73"/>
      <c r="G373" s="73"/>
      <c r="H373" s="73"/>
      <c r="J373" s="73"/>
    </row>
    <row r="374" spans="1:10" ht="15.75" customHeight="1">
      <c r="A374" s="73"/>
      <c r="B374" s="73"/>
      <c r="C374" s="73"/>
      <c r="D374" s="73"/>
      <c r="E374" s="73"/>
      <c r="F374" s="73"/>
      <c r="G374" s="73"/>
      <c r="H374" s="73"/>
      <c r="J374" s="73"/>
    </row>
    <row r="375" spans="1:10" ht="15.75" customHeight="1">
      <c r="A375" s="73"/>
      <c r="B375" s="73"/>
      <c r="C375" s="73"/>
      <c r="D375" s="73"/>
      <c r="E375" s="73"/>
      <c r="F375" s="73"/>
      <c r="G375" s="73"/>
      <c r="H375" s="73"/>
      <c r="J375" s="73"/>
    </row>
    <row r="376" spans="1:10" ht="15.75" customHeight="1">
      <c r="A376" s="73"/>
      <c r="B376" s="73"/>
      <c r="C376" s="73"/>
      <c r="D376" s="73"/>
      <c r="E376" s="73"/>
      <c r="F376" s="73"/>
      <c r="G376" s="73"/>
      <c r="H376" s="73"/>
      <c r="J376" s="73"/>
    </row>
    <row r="377" spans="1:10" ht="15.75" customHeight="1">
      <c r="A377" s="73"/>
      <c r="B377" s="73"/>
      <c r="C377" s="73"/>
      <c r="D377" s="73"/>
      <c r="E377" s="73"/>
      <c r="F377" s="73"/>
      <c r="G377" s="73"/>
      <c r="H377" s="73"/>
      <c r="J377" s="73"/>
    </row>
    <row r="378" spans="1:10" ht="15.75" customHeight="1">
      <c r="A378" s="73"/>
      <c r="B378" s="73"/>
      <c r="C378" s="73"/>
      <c r="D378" s="73"/>
      <c r="E378" s="73"/>
      <c r="F378" s="73"/>
      <c r="G378" s="73"/>
      <c r="H378" s="73"/>
      <c r="J378" s="73"/>
    </row>
    <row r="379" spans="1:10" ht="15.75" customHeight="1">
      <c r="A379" s="73"/>
      <c r="B379" s="73"/>
      <c r="C379" s="73"/>
      <c r="D379" s="73"/>
      <c r="E379" s="73"/>
      <c r="F379" s="73"/>
      <c r="G379" s="73"/>
      <c r="H379" s="73"/>
      <c r="J379" s="73"/>
    </row>
    <row r="380" spans="1:10" ht="15.75" customHeight="1">
      <c r="A380" s="73"/>
      <c r="B380" s="73"/>
      <c r="C380" s="73"/>
      <c r="D380" s="73"/>
      <c r="E380" s="73"/>
      <c r="F380" s="73"/>
      <c r="G380" s="73"/>
      <c r="H380" s="73"/>
      <c r="J380" s="73"/>
    </row>
    <row r="381" spans="1:10" ht="15.75" customHeight="1">
      <c r="A381" s="73"/>
      <c r="B381" s="73"/>
      <c r="C381" s="73"/>
      <c r="D381" s="73"/>
      <c r="E381" s="73"/>
      <c r="F381" s="73"/>
      <c r="G381" s="73"/>
      <c r="H381" s="73"/>
      <c r="J381" s="73"/>
    </row>
    <row r="382" spans="1:10" ht="15.75" customHeight="1">
      <c r="A382" s="73"/>
      <c r="B382" s="73"/>
      <c r="C382" s="73"/>
      <c r="D382" s="73"/>
      <c r="E382" s="73"/>
      <c r="F382" s="73"/>
      <c r="G382" s="73"/>
      <c r="H382" s="73"/>
      <c r="J382" s="73"/>
    </row>
    <row r="383" spans="1:10" ht="15.75" customHeight="1">
      <c r="A383" s="73"/>
      <c r="B383" s="73"/>
      <c r="C383" s="73"/>
      <c r="D383" s="73"/>
      <c r="E383" s="73"/>
      <c r="F383" s="73"/>
      <c r="G383" s="73"/>
      <c r="H383" s="73"/>
      <c r="J383" s="73"/>
    </row>
    <row r="384" spans="1:10" ht="15.75" customHeight="1">
      <c r="A384" s="73"/>
      <c r="B384" s="73"/>
      <c r="C384" s="73"/>
      <c r="D384" s="73"/>
      <c r="E384" s="73"/>
      <c r="F384" s="73"/>
      <c r="G384" s="73"/>
      <c r="H384" s="73"/>
      <c r="J384" s="73"/>
    </row>
    <row r="385" spans="1:10" ht="15.75" customHeight="1">
      <c r="A385" s="73"/>
      <c r="B385" s="73"/>
      <c r="C385" s="73"/>
      <c r="D385" s="73"/>
      <c r="E385" s="73"/>
      <c r="F385" s="73"/>
      <c r="G385" s="73"/>
      <c r="H385" s="73"/>
      <c r="J385" s="73"/>
    </row>
    <row r="386" spans="1:10" ht="15.75" customHeight="1">
      <c r="A386" s="73"/>
      <c r="B386" s="73"/>
      <c r="C386" s="73"/>
      <c r="D386" s="73"/>
      <c r="E386" s="73"/>
      <c r="F386" s="73"/>
      <c r="G386" s="73"/>
      <c r="H386" s="73"/>
      <c r="J386" s="73"/>
    </row>
    <row r="387" spans="1:10" ht="15.75" customHeight="1">
      <c r="A387" s="73"/>
      <c r="B387" s="73"/>
      <c r="C387" s="73"/>
      <c r="D387" s="73"/>
      <c r="E387" s="73"/>
      <c r="F387" s="73"/>
      <c r="G387" s="73"/>
      <c r="H387" s="73"/>
      <c r="J387" s="73"/>
    </row>
    <row r="388" spans="1:10" ht="15.75" customHeight="1">
      <c r="A388" s="73"/>
      <c r="B388" s="73"/>
      <c r="C388" s="73"/>
      <c r="D388" s="73"/>
      <c r="E388" s="73"/>
      <c r="F388" s="73"/>
      <c r="G388" s="73"/>
      <c r="H388" s="73"/>
      <c r="J388" s="73"/>
    </row>
    <row r="389" spans="1:10" ht="15.75" customHeight="1">
      <c r="A389" s="73"/>
      <c r="B389" s="73"/>
      <c r="C389" s="73"/>
      <c r="D389" s="73"/>
      <c r="E389" s="73"/>
      <c r="F389" s="73"/>
      <c r="G389" s="73"/>
      <c r="H389" s="73"/>
      <c r="J389" s="73"/>
    </row>
    <row r="390" spans="1:10" ht="15.75" customHeight="1">
      <c r="A390" s="73"/>
      <c r="B390" s="73"/>
      <c r="C390" s="73"/>
      <c r="D390" s="73"/>
      <c r="E390" s="73"/>
      <c r="F390" s="73"/>
      <c r="G390" s="73"/>
      <c r="H390" s="73"/>
      <c r="J390" s="73"/>
    </row>
    <row r="391" spans="1:10" ht="15.75" customHeight="1">
      <c r="A391" s="73"/>
      <c r="B391" s="73"/>
      <c r="C391" s="73"/>
      <c r="D391" s="73"/>
      <c r="E391" s="73"/>
      <c r="F391" s="73"/>
      <c r="G391" s="73"/>
      <c r="H391" s="73"/>
      <c r="J391" s="73"/>
    </row>
    <row r="392" spans="1:10" ht="15.75" customHeight="1">
      <c r="A392" s="73"/>
      <c r="B392" s="73"/>
      <c r="C392" s="73"/>
      <c r="D392" s="73"/>
      <c r="E392" s="73"/>
      <c r="F392" s="73"/>
      <c r="G392" s="73"/>
      <c r="H392" s="73"/>
      <c r="J392" s="73"/>
    </row>
    <row r="393" spans="1:10" ht="15.75" customHeight="1">
      <c r="A393" s="73"/>
      <c r="B393" s="73"/>
      <c r="C393" s="73"/>
      <c r="D393" s="73"/>
      <c r="E393" s="73"/>
      <c r="F393" s="73"/>
      <c r="G393" s="73"/>
      <c r="H393" s="73"/>
      <c r="J393" s="73"/>
    </row>
    <row r="394" spans="1:10" ht="15.75" customHeight="1">
      <c r="A394" s="73"/>
      <c r="B394" s="73"/>
      <c r="C394" s="73"/>
      <c r="D394" s="73"/>
      <c r="E394" s="73"/>
      <c r="F394" s="73"/>
      <c r="G394" s="73"/>
      <c r="H394" s="73"/>
      <c r="J394" s="73"/>
    </row>
    <row r="395" spans="1:10" ht="15.75" customHeight="1">
      <c r="A395" s="73"/>
      <c r="B395" s="73"/>
      <c r="C395" s="73"/>
      <c r="D395" s="73"/>
      <c r="E395" s="73"/>
      <c r="F395" s="73"/>
      <c r="G395" s="73"/>
      <c r="H395" s="73"/>
      <c r="J395" s="73"/>
    </row>
    <row r="396" spans="1:10" ht="15.75" customHeight="1">
      <c r="A396" s="73"/>
      <c r="B396" s="73"/>
      <c r="C396" s="73"/>
      <c r="D396" s="73"/>
      <c r="E396" s="73"/>
      <c r="F396" s="73"/>
      <c r="G396" s="73"/>
      <c r="H396" s="73"/>
      <c r="J396" s="73"/>
    </row>
    <row r="397" spans="1:10" ht="15.75" customHeight="1">
      <c r="A397" s="73"/>
      <c r="B397" s="73"/>
      <c r="C397" s="73"/>
      <c r="D397" s="73"/>
      <c r="E397" s="73"/>
      <c r="F397" s="73"/>
      <c r="G397" s="73"/>
      <c r="H397" s="73"/>
      <c r="J397" s="73"/>
    </row>
    <row r="398" spans="1:10" ht="15.75" customHeight="1">
      <c r="A398" s="73"/>
      <c r="B398" s="73"/>
      <c r="C398" s="73"/>
      <c r="D398" s="73"/>
      <c r="E398" s="73"/>
      <c r="F398" s="73"/>
      <c r="G398" s="73"/>
      <c r="H398" s="73"/>
      <c r="J398" s="73"/>
    </row>
    <row r="399" spans="1:10" ht="15.75" customHeight="1">
      <c r="A399" s="73"/>
      <c r="B399" s="73"/>
      <c r="C399" s="73"/>
      <c r="D399" s="73"/>
      <c r="E399" s="73"/>
      <c r="F399" s="73"/>
      <c r="G399" s="73"/>
      <c r="H399" s="73"/>
      <c r="J399" s="73"/>
    </row>
    <row r="400" spans="1:10" ht="15.75" customHeight="1">
      <c r="A400" s="73"/>
      <c r="B400" s="73"/>
      <c r="C400" s="73"/>
      <c r="D400" s="73"/>
      <c r="E400" s="73"/>
      <c r="F400" s="73"/>
      <c r="G400" s="73"/>
      <c r="H400" s="73"/>
      <c r="J400" s="73"/>
    </row>
    <row r="401" spans="1:10" ht="15.75" customHeight="1">
      <c r="A401" s="73"/>
      <c r="B401" s="73"/>
      <c r="C401" s="73"/>
      <c r="D401" s="73"/>
      <c r="E401" s="73"/>
      <c r="F401" s="73"/>
      <c r="G401" s="73"/>
      <c r="H401" s="73"/>
      <c r="J401" s="73"/>
    </row>
    <row r="402" spans="1:10" ht="15.75" customHeight="1">
      <c r="A402" s="73"/>
      <c r="B402" s="73"/>
      <c r="C402" s="73"/>
      <c r="D402" s="73"/>
      <c r="E402" s="73"/>
      <c r="F402" s="73"/>
      <c r="G402" s="73"/>
      <c r="H402" s="73"/>
      <c r="J402" s="73"/>
    </row>
    <row r="403" spans="1:10" ht="15.75" customHeight="1">
      <c r="A403" s="73"/>
      <c r="B403" s="73"/>
      <c r="C403" s="73"/>
      <c r="D403" s="73"/>
      <c r="E403" s="73"/>
      <c r="F403" s="73"/>
      <c r="G403" s="73"/>
      <c r="H403" s="73"/>
      <c r="J403" s="73"/>
    </row>
    <row r="404" spans="1:10" ht="15.75" customHeight="1">
      <c r="A404" s="73"/>
      <c r="B404" s="73"/>
      <c r="C404" s="73"/>
      <c r="D404" s="73"/>
      <c r="E404" s="73"/>
      <c r="F404" s="73"/>
      <c r="G404" s="73"/>
      <c r="H404" s="73"/>
      <c r="J404" s="73"/>
    </row>
    <row r="405" spans="1:10" ht="15.75" customHeight="1">
      <c r="A405" s="73"/>
      <c r="B405" s="73"/>
      <c r="C405" s="73"/>
      <c r="D405" s="73"/>
      <c r="E405" s="73"/>
      <c r="F405" s="73"/>
      <c r="G405" s="73"/>
      <c r="H405" s="73"/>
      <c r="J405" s="73"/>
    </row>
    <row r="406" spans="1:10" ht="15.75" customHeight="1">
      <c r="A406" s="73"/>
      <c r="B406" s="73"/>
      <c r="C406" s="73"/>
      <c r="D406" s="73"/>
      <c r="E406" s="73"/>
      <c r="F406" s="73"/>
      <c r="G406" s="73"/>
      <c r="H406" s="73"/>
      <c r="J406" s="73"/>
    </row>
    <row r="407" spans="1:10" ht="15.75" customHeight="1">
      <c r="A407" s="73"/>
      <c r="B407" s="73"/>
      <c r="C407" s="73"/>
      <c r="D407" s="73"/>
      <c r="E407" s="73"/>
      <c r="F407" s="73"/>
      <c r="G407" s="73"/>
      <c r="H407" s="73"/>
      <c r="J407" s="73"/>
    </row>
    <row r="408" spans="1:10" ht="15.75" customHeight="1">
      <c r="A408" s="73"/>
      <c r="B408" s="73"/>
      <c r="C408" s="73"/>
      <c r="D408" s="73"/>
      <c r="E408" s="73"/>
      <c r="F408" s="73"/>
      <c r="G408" s="73"/>
      <c r="H408" s="73"/>
      <c r="J408" s="73"/>
    </row>
    <row r="409" spans="1:10" ht="15.75" customHeight="1">
      <c r="A409" s="73"/>
      <c r="B409" s="73"/>
      <c r="C409" s="73"/>
      <c r="D409" s="73"/>
      <c r="E409" s="73"/>
      <c r="F409" s="73"/>
      <c r="G409" s="73"/>
      <c r="H409" s="73"/>
      <c r="J409" s="73"/>
    </row>
    <row r="410" spans="1:10" ht="15.75" customHeight="1">
      <c r="A410" s="73"/>
      <c r="B410" s="73"/>
      <c r="C410" s="73"/>
      <c r="D410" s="73"/>
      <c r="E410" s="73"/>
      <c r="F410" s="73"/>
      <c r="G410" s="73"/>
      <c r="H410" s="73"/>
      <c r="J410" s="73"/>
    </row>
    <row r="411" spans="1:10" ht="15.75" customHeight="1">
      <c r="A411" s="73"/>
      <c r="B411" s="73"/>
      <c r="C411" s="73"/>
      <c r="D411" s="73"/>
      <c r="E411" s="73"/>
      <c r="F411" s="73"/>
      <c r="G411" s="73"/>
      <c r="H411" s="73"/>
      <c r="J411" s="73"/>
    </row>
    <row r="412" spans="1:10" ht="15.75" customHeight="1">
      <c r="A412" s="73"/>
      <c r="B412" s="73"/>
      <c r="C412" s="73"/>
      <c r="D412" s="73"/>
      <c r="E412" s="73"/>
      <c r="F412" s="73"/>
      <c r="G412" s="73"/>
      <c r="H412" s="73"/>
      <c r="J412" s="73"/>
    </row>
    <row r="413" spans="1:10" ht="15.75" customHeight="1">
      <c r="A413" s="73"/>
      <c r="B413" s="73"/>
      <c r="C413" s="73"/>
      <c r="D413" s="73"/>
      <c r="E413" s="73"/>
      <c r="F413" s="73"/>
      <c r="G413" s="73"/>
      <c r="H413" s="73"/>
      <c r="J413" s="73"/>
    </row>
    <row r="414" spans="1:10" ht="15.75" customHeight="1">
      <c r="A414" s="73"/>
      <c r="B414" s="73"/>
      <c r="C414" s="73"/>
      <c r="D414" s="73"/>
      <c r="E414" s="73"/>
      <c r="F414" s="73"/>
      <c r="G414" s="73"/>
      <c r="H414" s="73"/>
      <c r="J414" s="73"/>
    </row>
    <row r="415" spans="1:10" ht="15.75" customHeight="1">
      <c r="A415" s="73"/>
      <c r="B415" s="73"/>
      <c r="C415" s="73"/>
      <c r="D415" s="73"/>
      <c r="E415" s="73"/>
      <c r="F415" s="73"/>
      <c r="G415" s="73"/>
      <c r="H415" s="73"/>
      <c r="J415" s="73"/>
    </row>
    <row r="416" spans="1:10" ht="15.75" customHeight="1">
      <c r="A416" s="73"/>
      <c r="B416" s="73"/>
      <c r="C416" s="73"/>
      <c r="D416" s="73"/>
      <c r="E416" s="73"/>
      <c r="F416" s="73"/>
      <c r="G416" s="73"/>
      <c r="H416" s="73"/>
      <c r="J416" s="73"/>
    </row>
    <row r="417" spans="1:10" ht="15.75" customHeight="1">
      <c r="A417" s="73"/>
      <c r="B417" s="73"/>
      <c r="C417" s="73"/>
      <c r="D417" s="73"/>
      <c r="E417" s="73"/>
      <c r="F417" s="73"/>
      <c r="G417" s="73"/>
      <c r="H417" s="73"/>
      <c r="J417" s="73"/>
    </row>
    <row r="418" spans="1:10" ht="15.75" customHeight="1">
      <c r="A418" s="73"/>
      <c r="B418" s="73"/>
      <c r="C418" s="73"/>
      <c r="D418" s="73"/>
      <c r="E418" s="73"/>
      <c r="F418" s="73"/>
      <c r="G418" s="73"/>
      <c r="H418" s="73"/>
      <c r="J418" s="73"/>
    </row>
    <row r="419" spans="1:10" ht="15.75" customHeight="1">
      <c r="A419" s="73"/>
      <c r="B419" s="73"/>
      <c r="C419" s="73"/>
      <c r="D419" s="73"/>
      <c r="E419" s="73"/>
      <c r="F419" s="73"/>
      <c r="G419" s="73"/>
      <c r="H419" s="73"/>
      <c r="J419" s="73"/>
    </row>
    <row r="420" spans="1:10" ht="15.75" customHeight="1">
      <c r="A420" s="73"/>
      <c r="B420" s="73"/>
      <c r="C420" s="73"/>
      <c r="D420" s="73"/>
      <c r="E420" s="73"/>
      <c r="F420" s="73"/>
      <c r="G420" s="73"/>
      <c r="H420" s="73"/>
      <c r="J420" s="73"/>
    </row>
    <row r="421" spans="1:10" ht="15.75" customHeight="1">
      <c r="A421" s="73"/>
      <c r="B421" s="73"/>
      <c r="C421" s="73"/>
      <c r="D421" s="73"/>
      <c r="E421" s="73"/>
      <c r="F421" s="73"/>
      <c r="G421" s="73"/>
      <c r="H421" s="73"/>
      <c r="J421" s="73"/>
    </row>
    <row r="422" spans="1:10" ht="15.75" customHeight="1">
      <c r="A422" s="73"/>
      <c r="B422" s="73"/>
      <c r="C422" s="73"/>
      <c r="D422" s="73"/>
      <c r="E422" s="73"/>
      <c r="F422" s="73"/>
      <c r="G422" s="73"/>
      <c r="H422" s="73"/>
      <c r="J422" s="73"/>
    </row>
    <row r="423" spans="1:10" ht="15.75" customHeight="1">
      <c r="A423" s="73"/>
      <c r="B423" s="73"/>
      <c r="C423" s="73"/>
      <c r="D423" s="73"/>
      <c r="E423" s="73"/>
      <c r="F423" s="73"/>
      <c r="G423" s="73"/>
      <c r="H423" s="73"/>
      <c r="J423" s="73"/>
    </row>
    <row r="424" spans="1:10" ht="15.75" customHeight="1">
      <c r="A424" s="73"/>
      <c r="B424" s="73"/>
      <c r="C424" s="73"/>
      <c r="D424" s="73"/>
      <c r="E424" s="73"/>
      <c r="F424" s="73"/>
      <c r="G424" s="73"/>
      <c r="H424" s="73"/>
      <c r="J424" s="73"/>
    </row>
    <row r="425" spans="1:10" ht="15.75" customHeight="1">
      <c r="A425" s="73"/>
      <c r="B425" s="73"/>
      <c r="C425" s="73"/>
      <c r="D425" s="73"/>
      <c r="E425" s="73"/>
      <c r="F425" s="73"/>
      <c r="G425" s="73"/>
      <c r="H425" s="73"/>
      <c r="J425" s="73"/>
    </row>
    <row r="426" spans="1:10" ht="15.75" customHeight="1">
      <c r="A426" s="73"/>
      <c r="B426" s="73"/>
      <c r="C426" s="73"/>
      <c r="D426" s="73"/>
      <c r="E426" s="73"/>
      <c r="F426" s="73"/>
      <c r="G426" s="73"/>
      <c r="H426" s="73"/>
      <c r="J426" s="73"/>
    </row>
    <row r="427" spans="1:10" ht="15.75" customHeight="1">
      <c r="A427" s="73"/>
      <c r="B427" s="73"/>
      <c r="C427" s="73"/>
      <c r="D427" s="73"/>
      <c r="E427" s="73"/>
      <c r="F427" s="73"/>
      <c r="G427" s="73"/>
      <c r="H427" s="73"/>
      <c r="J427" s="73"/>
    </row>
    <row r="428" spans="1:10" ht="15.75" customHeight="1">
      <c r="A428" s="73"/>
      <c r="B428" s="73"/>
      <c r="C428" s="73"/>
      <c r="D428" s="73"/>
      <c r="E428" s="73"/>
      <c r="F428" s="73"/>
      <c r="G428" s="73"/>
      <c r="H428" s="73"/>
      <c r="J428" s="73"/>
    </row>
    <row r="429" spans="1:10" ht="15.75" customHeight="1">
      <c r="A429" s="73"/>
      <c r="B429" s="73"/>
      <c r="C429" s="73"/>
      <c r="D429" s="73"/>
      <c r="E429" s="73"/>
      <c r="F429" s="73"/>
      <c r="G429" s="73"/>
      <c r="H429" s="73"/>
      <c r="J429" s="73"/>
    </row>
    <row r="430" spans="1:10" ht="15.75" customHeight="1">
      <c r="A430" s="73"/>
      <c r="B430" s="73"/>
      <c r="C430" s="73"/>
      <c r="D430" s="73"/>
      <c r="E430" s="73"/>
      <c r="F430" s="73"/>
      <c r="G430" s="73"/>
      <c r="H430" s="73"/>
      <c r="J430" s="73"/>
    </row>
    <row r="431" spans="1:10" ht="15.75" customHeight="1">
      <c r="A431" s="73"/>
      <c r="B431" s="73"/>
      <c r="C431" s="73"/>
      <c r="D431" s="73"/>
      <c r="E431" s="73"/>
      <c r="F431" s="73"/>
      <c r="G431" s="73"/>
      <c r="H431" s="73"/>
      <c r="J431" s="73"/>
    </row>
    <row r="432" spans="1:10" ht="15.75" customHeight="1">
      <c r="A432" s="73"/>
      <c r="B432" s="73"/>
      <c r="C432" s="73"/>
      <c r="D432" s="73"/>
      <c r="E432" s="73"/>
      <c r="F432" s="73"/>
      <c r="G432" s="73"/>
      <c r="H432" s="73"/>
      <c r="J432" s="73"/>
    </row>
    <row r="433" spans="1:10" ht="15.75" customHeight="1">
      <c r="A433" s="73"/>
      <c r="B433" s="73"/>
      <c r="C433" s="73"/>
      <c r="D433" s="73"/>
      <c r="E433" s="73"/>
      <c r="F433" s="73"/>
      <c r="G433" s="73"/>
      <c r="H433" s="73"/>
      <c r="J433" s="73"/>
    </row>
    <row r="434" spans="1:10" ht="15.75" customHeight="1">
      <c r="A434" s="73"/>
      <c r="B434" s="73"/>
      <c r="C434" s="73"/>
      <c r="D434" s="73"/>
      <c r="E434" s="73"/>
      <c r="F434" s="73"/>
      <c r="G434" s="73"/>
      <c r="H434" s="73"/>
      <c r="J434" s="73"/>
    </row>
    <row r="435" spans="1:10" ht="15.75" customHeight="1">
      <c r="A435" s="73"/>
      <c r="B435" s="73"/>
      <c r="C435" s="73"/>
      <c r="D435" s="73"/>
      <c r="E435" s="73"/>
      <c r="F435" s="73"/>
      <c r="G435" s="73"/>
      <c r="H435" s="73"/>
      <c r="J435" s="73"/>
    </row>
    <row r="436" spans="1:10" ht="15.75" customHeight="1">
      <c r="A436" s="73"/>
      <c r="B436" s="73"/>
      <c r="C436" s="73"/>
      <c r="D436" s="73"/>
      <c r="E436" s="73"/>
      <c r="F436" s="73"/>
      <c r="G436" s="73"/>
      <c r="H436" s="73"/>
      <c r="J436" s="73"/>
    </row>
    <row r="437" spans="1:10" ht="15.75" customHeight="1">
      <c r="A437" s="73"/>
      <c r="B437" s="73"/>
      <c r="C437" s="73"/>
      <c r="D437" s="73"/>
      <c r="E437" s="73"/>
      <c r="F437" s="73"/>
      <c r="G437" s="73"/>
      <c r="H437" s="73"/>
      <c r="J437" s="73"/>
    </row>
    <row r="438" spans="1:10" ht="15.75" customHeight="1">
      <c r="A438" s="73"/>
      <c r="B438" s="73"/>
      <c r="C438" s="73"/>
      <c r="D438" s="73"/>
      <c r="E438" s="73"/>
      <c r="F438" s="73"/>
      <c r="G438" s="73"/>
      <c r="H438" s="73"/>
      <c r="J438" s="73"/>
    </row>
    <row r="439" spans="1:10" ht="15.75" customHeight="1">
      <c r="A439" s="73"/>
      <c r="B439" s="73"/>
      <c r="C439" s="73"/>
      <c r="D439" s="73"/>
      <c r="E439" s="73"/>
      <c r="F439" s="73"/>
      <c r="G439" s="73"/>
      <c r="H439" s="73"/>
      <c r="J439" s="73"/>
    </row>
    <row r="440" spans="1:10" ht="15.75" customHeight="1">
      <c r="A440" s="73"/>
      <c r="B440" s="73"/>
      <c r="C440" s="73"/>
      <c r="D440" s="73"/>
      <c r="E440" s="73"/>
      <c r="F440" s="73"/>
      <c r="G440" s="73"/>
      <c r="H440" s="73"/>
      <c r="J440" s="73"/>
    </row>
    <row r="441" spans="1:10" ht="15.75" customHeight="1">
      <c r="A441" s="73"/>
      <c r="B441" s="73"/>
      <c r="C441" s="73"/>
      <c r="D441" s="73"/>
      <c r="E441" s="73"/>
      <c r="F441" s="73"/>
      <c r="G441" s="73"/>
      <c r="H441" s="73"/>
      <c r="J441" s="73"/>
    </row>
    <row r="442" spans="1:10" ht="15.75" customHeight="1">
      <c r="A442" s="73"/>
      <c r="B442" s="73"/>
      <c r="C442" s="73"/>
      <c r="D442" s="73"/>
      <c r="E442" s="73"/>
      <c r="F442" s="73"/>
      <c r="G442" s="73"/>
      <c r="H442" s="73"/>
      <c r="J442" s="73"/>
    </row>
    <row r="443" spans="1:10" ht="15.75" customHeight="1">
      <c r="A443" s="73"/>
      <c r="B443" s="73"/>
      <c r="C443" s="73"/>
      <c r="D443" s="73"/>
      <c r="E443" s="73"/>
      <c r="F443" s="73"/>
      <c r="G443" s="73"/>
      <c r="H443" s="73"/>
      <c r="J443" s="73"/>
    </row>
    <row r="444" spans="1:10" ht="15.75" customHeight="1">
      <c r="A444" s="73"/>
      <c r="B444" s="73"/>
      <c r="C444" s="73"/>
      <c r="D444" s="73"/>
      <c r="E444" s="73"/>
      <c r="F444" s="73"/>
      <c r="G444" s="73"/>
      <c r="H444" s="73"/>
      <c r="J444" s="73"/>
    </row>
    <row r="445" spans="1:10" ht="15.75" customHeight="1">
      <c r="A445" s="73"/>
      <c r="B445" s="73"/>
      <c r="C445" s="73"/>
      <c r="D445" s="73"/>
      <c r="E445" s="73"/>
      <c r="F445" s="73"/>
      <c r="G445" s="73"/>
      <c r="H445" s="73"/>
      <c r="J445" s="73"/>
    </row>
    <row r="446" spans="1:10" ht="15.75" customHeight="1">
      <c r="A446" s="73"/>
      <c r="B446" s="73"/>
      <c r="C446" s="73"/>
      <c r="D446" s="73"/>
      <c r="E446" s="73"/>
      <c r="F446" s="73"/>
      <c r="G446" s="73"/>
      <c r="H446" s="73"/>
      <c r="J446" s="73"/>
    </row>
    <row r="447" spans="1:10" ht="15.75" customHeight="1">
      <c r="A447" s="73"/>
      <c r="B447" s="73"/>
      <c r="C447" s="73"/>
      <c r="D447" s="73"/>
      <c r="E447" s="73"/>
      <c r="F447" s="73"/>
      <c r="G447" s="73"/>
      <c r="H447" s="73"/>
      <c r="J447" s="73"/>
    </row>
    <row r="448" spans="1:10" ht="15.75" customHeight="1">
      <c r="A448" s="73"/>
      <c r="B448" s="73"/>
      <c r="C448" s="73"/>
      <c r="D448" s="73"/>
      <c r="E448" s="73"/>
      <c r="F448" s="73"/>
      <c r="G448" s="73"/>
      <c r="H448" s="73"/>
      <c r="J448" s="73"/>
    </row>
    <row r="449" spans="1:10" ht="15.75" customHeight="1">
      <c r="A449" s="73"/>
      <c r="B449" s="73"/>
      <c r="C449" s="73"/>
      <c r="D449" s="73"/>
      <c r="E449" s="73"/>
      <c r="F449" s="73"/>
      <c r="G449" s="73"/>
      <c r="H449" s="73"/>
      <c r="J449" s="73"/>
    </row>
    <row r="450" spans="1:10" ht="15.75" customHeight="1">
      <c r="A450" s="73"/>
      <c r="B450" s="73"/>
      <c r="C450" s="73"/>
      <c r="D450" s="73"/>
      <c r="E450" s="73"/>
      <c r="F450" s="73"/>
      <c r="G450" s="73"/>
      <c r="H450" s="73"/>
      <c r="J450" s="73"/>
    </row>
    <row r="451" spans="1:10" ht="15.75" customHeight="1">
      <c r="A451" s="73"/>
      <c r="B451" s="73"/>
      <c r="C451" s="73"/>
      <c r="D451" s="73"/>
      <c r="E451" s="73"/>
      <c r="F451" s="73"/>
      <c r="G451" s="73"/>
      <c r="H451" s="73"/>
      <c r="J451" s="73"/>
    </row>
    <row r="452" spans="1:10" ht="15.75" customHeight="1">
      <c r="A452" s="73"/>
      <c r="B452" s="73"/>
      <c r="C452" s="73"/>
      <c r="D452" s="73"/>
      <c r="E452" s="73"/>
      <c r="F452" s="73"/>
      <c r="G452" s="73"/>
      <c r="H452" s="73"/>
      <c r="J452" s="73"/>
    </row>
    <row r="453" spans="1:10" ht="15.75" customHeight="1">
      <c r="A453" s="73"/>
      <c r="B453" s="73"/>
      <c r="C453" s="73"/>
      <c r="D453" s="73"/>
      <c r="E453" s="73"/>
      <c r="F453" s="73"/>
      <c r="G453" s="73"/>
      <c r="H453" s="73"/>
      <c r="J453" s="73"/>
    </row>
    <row r="454" spans="1:10" ht="15.75" customHeight="1">
      <c r="A454" s="73"/>
      <c r="B454" s="73"/>
      <c r="C454" s="73"/>
      <c r="D454" s="73"/>
      <c r="E454" s="73"/>
      <c r="F454" s="73"/>
      <c r="G454" s="73"/>
      <c r="H454" s="73"/>
      <c r="J454" s="73"/>
    </row>
    <row r="455" spans="1:10" ht="15.75" customHeight="1">
      <c r="A455" s="73"/>
      <c r="B455" s="73"/>
      <c r="C455" s="73"/>
      <c r="D455" s="73"/>
      <c r="E455" s="73"/>
      <c r="F455" s="73"/>
      <c r="G455" s="73"/>
      <c r="H455" s="73"/>
      <c r="J455" s="73"/>
    </row>
    <row r="456" spans="1:10" ht="15.75" customHeight="1">
      <c r="A456" s="73"/>
      <c r="B456" s="73"/>
      <c r="C456" s="73"/>
      <c r="D456" s="73"/>
      <c r="E456" s="73"/>
      <c r="F456" s="73"/>
      <c r="G456" s="73"/>
      <c r="H456" s="73"/>
      <c r="J456" s="73"/>
    </row>
    <row r="457" spans="1:10" ht="15.75" customHeight="1">
      <c r="A457" s="73"/>
      <c r="B457" s="73"/>
      <c r="C457" s="73"/>
      <c r="D457" s="73"/>
      <c r="E457" s="73"/>
      <c r="F457" s="73"/>
      <c r="G457" s="73"/>
      <c r="H457" s="73"/>
      <c r="J457" s="73"/>
    </row>
    <row r="458" spans="1:10" ht="15.75" customHeight="1">
      <c r="A458" s="73"/>
      <c r="B458" s="73"/>
      <c r="C458" s="73"/>
      <c r="D458" s="73"/>
      <c r="E458" s="73"/>
      <c r="F458" s="73"/>
      <c r="G458" s="73"/>
      <c r="H458" s="73"/>
      <c r="J458" s="73"/>
    </row>
    <row r="459" spans="1:10" ht="15.75" customHeight="1">
      <c r="A459" s="73"/>
      <c r="B459" s="73"/>
      <c r="C459" s="73"/>
      <c r="D459" s="73"/>
      <c r="E459" s="73"/>
      <c r="F459" s="73"/>
      <c r="G459" s="73"/>
      <c r="H459" s="73"/>
      <c r="J459" s="73"/>
    </row>
    <row r="460" spans="1:10" ht="15.75" customHeight="1">
      <c r="A460" s="73"/>
      <c r="B460" s="73"/>
      <c r="C460" s="73"/>
      <c r="D460" s="73"/>
      <c r="E460" s="73"/>
      <c r="F460" s="73"/>
      <c r="G460" s="73"/>
      <c r="H460" s="73"/>
      <c r="J460" s="73"/>
    </row>
    <row r="461" spans="1:10" ht="15.75" customHeight="1">
      <c r="A461" s="73"/>
      <c r="B461" s="73"/>
      <c r="C461" s="73"/>
      <c r="D461" s="73"/>
      <c r="E461" s="73"/>
      <c r="F461" s="73"/>
      <c r="G461" s="73"/>
      <c r="H461" s="73"/>
      <c r="J461" s="73"/>
    </row>
    <row r="462" spans="1:10" ht="15.75" customHeight="1">
      <c r="A462" s="73"/>
      <c r="B462" s="73"/>
      <c r="C462" s="73"/>
      <c r="D462" s="73"/>
      <c r="E462" s="73"/>
      <c r="F462" s="73"/>
      <c r="G462" s="73"/>
      <c r="H462" s="73"/>
      <c r="J462" s="73"/>
    </row>
    <row r="463" spans="1:10" ht="15.75" customHeight="1">
      <c r="A463" s="73"/>
      <c r="B463" s="73"/>
      <c r="C463" s="73"/>
      <c r="D463" s="73"/>
      <c r="E463" s="73"/>
      <c r="F463" s="73"/>
      <c r="G463" s="73"/>
      <c r="H463" s="73"/>
      <c r="J463" s="73"/>
    </row>
    <row r="464" spans="1:10" ht="15.75" customHeight="1">
      <c r="A464" s="73"/>
      <c r="B464" s="73"/>
      <c r="C464" s="73"/>
      <c r="D464" s="73"/>
      <c r="E464" s="73"/>
      <c r="F464" s="73"/>
      <c r="G464" s="73"/>
      <c r="H464" s="73"/>
      <c r="J464" s="73"/>
    </row>
    <row r="465" spans="1:10" ht="15.75" customHeight="1">
      <c r="A465" s="73"/>
      <c r="B465" s="73"/>
      <c r="C465" s="73"/>
      <c r="D465" s="73"/>
      <c r="E465" s="73"/>
      <c r="F465" s="73"/>
      <c r="G465" s="73"/>
      <c r="H465" s="73"/>
      <c r="J465" s="73"/>
    </row>
    <row r="466" spans="1:10" ht="15.75" customHeight="1">
      <c r="A466" s="73"/>
      <c r="B466" s="73"/>
      <c r="C466" s="73"/>
      <c r="D466" s="73"/>
      <c r="E466" s="73"/>
      <c r="F466" s="73"/>
      <c r="G466" s="73"/>
      <c r="H466" s="73"/>
      <c r="J466" s="73"/>
    </row>
    <row r="467" spans="1:10" ht="15.75" customHeight="1">
      <c r="A467" s="73"/>
      <c r="B467" s="73"/>
      <c r="C467" s="73"/>
      <c r="D467" s="73"/>
      <c r="E467" s="73"/>
      <c r="F467" s="73"/>
      <c r="G467" s="73"/>
      <c r="H467" s="73"/>
      <c r="J467" s="73"/>
    </row>
    <row r="468" spans="1:10" ht="15.75" customHeight="1">
      <c r="A468" s="73"/>
      <c r="B468" s="73"/>
      <c r="C468" s="73"/>
      <c r="D468" s="73"/>
      <c r="E468" s="73"/>
      <c r="F468" s="73"/>
      <c r="G468" s="73"/>
      <c r="H468" s="73"/>
      <c r="J468" s="73"/>
    </row>
    <row r="469" spans="1:10" ht="15.75" customHeight="1">
      <c r="A469" s="73"/>
      <c r="B469" s="73"/>
      <c r="C469" s="73"/>
      <c r="D469" s="73"/>
      <c r="E469" s="73"/>
      <c r="F469" s="73"/>
      <c r="G469" s="73"/>
      <c r="H469" s="73"/>
      <c r="J469" s="73"/>
    </row>
    <row r="470" spans="1:10" ht="15.75" customHeight="1">
      <c r="A470" s="73"/>
      <c r="B470" s="73"/>
      <c r="C470" s="73"/>
      <c r="D470" s="73"/>
      <c r="E470" s="73"/>
      <c r="F470" s="73"/>
      <c r="G470" s="73"/>
      <c r="H470" s="73"/>
      <c r="J470" s="73"/>
    </row>
    <row r="471" spans="1:10" ht="15.75" customHeight="1">
      <c r="A471" s="73"/>
      <c r="B471" s="73"/>
      <c r="C471" s="73"/>
      <c r="D471" s="73"/>
      <c r="E471" s="73"/>
      <c r="F471" s="73"/>
      <c r="G471" s="73"/>
      <c r="H471" s="73"/>
      <c r="J471" s="73"/>
    </row>
    <row r="472" spans="1:10" ht="15.75" customHeight="1">
      <c r="A472" s="73"/>
      <c r="B472" s="73"/>
      <c r="C472" s="73"/>
      <c r="D472" s="73"/>
      <c r="E472" s="73"/>
      <c r="F472" s="73"/>
      <c r="G472" s="73"/>
      <c r="H472" s="73"/>
      <c r="J472" s="73"/>
    </row>
    <row r="473" spans="1:10" ht="15.75" customHeight="1">
      <c r="A473" s="73"/>
      <c r="B473" s="73"/>
      <c r="C473" s="73"/>
      <c r="D473" s="73"/>
      <c r="E473" s="73"/>
      <c r="F473" s="73"/>
      <c r="G473" s="73"/>
      <c r="H473" s="73"/>
      <c r="J473" s="73"/>
    </row>
    <row r="474" spans="1:10" ht="15.75" customHeight="1">
      <c r="A474" s="73"/>
      <c r="B474" s="73"/>
      <c r="C474" s="73"/>
      <c r="D474" s="73"/>
      <c r="E474" s="73"/>
      <c r="F474" s="73"/>
      <c r="G474" s="73"/>
      <c r="H474" s="73"/>
      <c r="J474" s="73"/>
    </row>
    <row r="475" spans="1:10" ht="15.75" customHeight="1">
      <c r="A475" s="73"/>
      <c r="B475" s="73"/>
      <c r="C475" s="73"/>
      <c r="D475" s="73"/>
      <c r="E475" s="73"/>
      <c r="F475" s="73"/>
      <c r="G475" s="73"/>
      <c r="H475" s="73"/>
      <c r="J475" s="73"/>
    </row>
    <row r="476" spans="1:10" ht="15.75" customHeight="1">
      <c r="A476" s="73"/>
      <c r="B476" s="73"/>
      <c r="C476" s="73"/>
      <c r="D476" s="73"/>
      <c r="E476" s="73"/>
      <c r="F476" s="73"/>
      <c r="G476" s="73"/>
      <c r="H476" s="73"/>
      <c r="J476" s="73"/>
    </row>
    <row r="477" spans="1:10" ht="15.75" customHeight="1">
      <c r="A477" s="73"/>
      <c r="B477" s="73"/>
      <c r="C477" s="73"/>
      <c r="D477" s="73"/>
      <c r="E477" s="73"/>
      <c r="F477" s="73"/>
      <c r="G477" s="73"/>
      <c r="H477" s="73"/>
      <c r="J477" s="73"/>
    </row>
    <row r="478" spans="1:10" ht="15.75" customHeight="1">
      <c r="A478" s="73"/>
      <c r="B478" s="73"/>
      <c r="C478" s="73"/>
      <c r="D478" s="73"/>
      <c r="E478" s="73"/>
      <c r="F478" s="73"/>
      <c r="G478" s="73"/>
      <c r="H478" s="73"/>
      <c r="J478" s="73"/>
    </row>
    <row r="479" spans="1:10" ht="15.75" customHeight="1">
      <c r="A479" s="73"/>
      <c r="B479" s="73"/>
      <c r="C479" s="73"/>
      <c r="D479" s="73"/>
      <c r="E479" s="73"/>
      <c r="F479" s="73"/>
      <c r="G479" s="73"/>
      <c r="H479" s="73"/>
      <c r="J479" s="73"/>
    </row>
    <row r="480" spans="1:10" ht="15.75" customHeight="1">
      <c r="A480" s="73"/>
      <c r="B480" s="73"/>
      <c r="C480" s="73"/>
      <c r="D480" s="73"/>
      <c r="E480" s="73"/>
      <c r="F480" s="73"/>
      <c r="G480" s="73"/>
      <c r="H480" s="73"/>
      <c r="J480" s="73"/>
    </row>
    <row r="481" spans="1:10" ht="15.75" customHeight="1">
      <c r="A481" s="73"/>
      <c r="B481" s="73"/>
      <c r="C481" s="73"/>
      <c r="D481" s="73"/>
      <c r="E481" s="73"/>
      <c r="F481" s="73"/>
      <c r="G481" s="73"/>
      <c r="H481" s="73"/>
      <c r="J481" s="73"/>
    </row>
    <row r="482" spans="1:10" ht="15.75" customHeight="1">
      <c r="A482" s="73"/>
      <c r="B482" s="73"/>
      <c r="C482" s="73"/>
      <c r="D482" s="73"/>
      <c r="E482" s="73"/>
      <c r="F482" s="73"/>
      <c r="G482" s="73"/>
      <c r="H482" s="73"/>
      <c r="J482" s="73"/>
    </row>
    <row r="483" spans="1:10" ht="15.75" customHeight="1">
      <c r="A483" s="73"/>
      <c r="B483" s="73"/>
      <c r="C483" s="73"/>
      <c r="D483" s="73"/>
      <c r="E483" s="73"/>
      <c r="F483" s="73"/>
      <c r="G483" s="73"/>
      <c r="H483" s="73"/>
      <c r="J483" s="73"/>
    </row>
    <row r="484" spans="1:10" ht="15.75" customHeight="1">
      <c r="A484" s="73"/>
      <c r="B484" s="73"/>
      <c r="C484" s="73"/>
      <c r="D484" s="73"/>
      <c r="E484" s="73"/>
      <c r="F484" s="73"/>
      <c r="G484" s="73"/>
      <c r="H484" s="73"/>
      <c r="J484" s="73"/>
    </row>
    <row r="485" spans="1:10" ht="15.75" customHeight="1">
      <c r="A485" s="73"/>
      <c r="B485" s="73"/>
      <c r="C485" s="73"/>
      <c r="D485" s="73"/>
      <c r="E485" s="73"/>
      <c r="F485" s="73"/>
      <c r="G485" s="73"/>
      <c r="H485" s="73"/>
      <c r="J485" s="73"/>
    </row>
    <row r="486" spans="1:10" ht="15.75" customHeight="1">
      <c r="A486" s="73"/>
      <c r="B486" s="73"/>
      <c r="C486" s="73"/>
      <c r="D486" s="73"/>
      <c r="E486" s="73"/>
      <c r="F486" s="73"/>
      <c r="G486" s="73"/>
      <c r="H486" s="73"/>
      <c r="J486" s="73"/>
    </row>
    <row r="487" spans="1:10" ht="15.75" customHeight="1">
      <c r="A487" s="73"/>
      <c r="B487" s="73"/>
      <c r="C487" s="73"/>
      <c r="D487" s="73"/>
      <c r="E487" s="73"/>
      <c r="F487" s="73"/>
      <c r="G487" s="73"/>
      <c r="H487" s="73"/>
      <c r="J487" s="73"/>
    </row>
    <row r="488" spans="1:10" ht="15.75" customHeight="1">
      <c r="A488" s="73"/>
      <c r="B488" s="73"/>
      <c r="C488" s="73"/>
      <c r="D488" s="73"/>
      <c r="E488" s="73"/>
      <c r="F488" s="73"/>
      <c r="G488" s="73"/>
      <c r="H488" s="73"/>
      <c r="J488" s="73"/>
    </row>
    <row r="489" spans="1:10" ht="15.75" customHeight="1">
      <c r="A489" s="73"/>
      <c r="B489" s="73"/>
      <c r="C489" s="73"/>
      <c r="D489" s="73"/>
      <c r="E489" s="73"/>
      <c r="F489" s="73"/>
      <c r="G489" s="73"/>
      <c r="H489" s="73"/>
      <c r="J489" s="73"/>
    </row>
    <row r="490" spans="1:10" ht="15.75" customHeight="1">
      <c r="A490" s="73"/>
      <c r="B490" s="73"/>
      <c r="C490" s="73"/>
      <c r="D490" s="73"/>
      <c r="E490" s="73"/>
      <c r="F490" s="73"/>
      <c r="G490" s="73"/>
      <c r="H490" s="73"/>
      <c r="J490" s="73"/>
    </row>
    <row r="491" spans="1:10" ht="15.75" customHeight="1">
      <c r="A491" s="73"/>
      <c r="B491" s="73"/>
      <c r="C491" s="73"/>
      <c r="D491" s="73"/>
      <c r="E491" s="73"/>
      <c r="F491" s="73"/>
      <c r="G491" s="73"/>
      <c r="H491" s="73"/>
      <c r="J491" s="73"/>
    </row>
    <row r="492" spans="1:10" ht="15.75" customHeight="1">
      <c r="A492" s="73"/>
      <c r="B492" s="73"/>
      <c r="C492" s="73"/>
      <c r="D492" s="73"/>
      <c r="E492" s="73"/>
      <c r="F492" s="73"/>
      <c r="G492" s="73"/>
      <c r="H492" s="73"/>
      <c r="J492" s="73"/>
    </row>
    <row r="493" spans="1:10" ht="15.75" customHeight="1">
      <c r="A493" s="73"/>
      <c r="B493" s="73"/>
      <c r="C493" s="73"/>
      <c r="D493" s="73"/>
      <c r="E493" s="73"/>
      <c r="F493" s="73"/>
      <c r="G493" s="73"/>
      <c r="H493" s="73"/>
      <c r="J493" s="73"/>
    </row>
    <row r="494" spans="1:10" ht="15.75" customHeight="1">
      <c r="A494" s="73"/>
      <c r="B494" s="73"/>
      <c r="C494" s="73"/>
      <c r="D494" s="73"/>
      <c r="E494" s="73"/>
      <c r="F494" s="73"/>
      <c r="G494" s="73"/>
      <c r="H494" s="73"/>
      <c r="J494" s="73"/>
    </row>
    <row r="495" spans="1:10" ht="15.75" customHeight="1">
      <c r="A495" s="73"/>
      <c r="B495" s="73"/>
      <c r="C495" s="73"/>
      <c r="D495" s="73"/>
      <c r="E495" s="73"/>
      <c r="F495" s="73"/>
      <c r="G495" s="73"/>
      <c r="H495" s="73"/>
      <c r="J495" s="73"/>
    </row>
    <row r="496" spans="1:10" ht="15.75" customHeight="1">
      <c r="A496" s="73"/>
      <c r="B496" s="73"/>
      <c r="C496" s="73"/>
      <c r="D496" s="73"/>
      <c r="E496" s="73"/>
      <c r="F496" s="73"/>
      <c r="G496" s="73"/>
      <c r="H496" s="73"/>
      <c r="J496" s="73"/>
    </row>
    <row r="497" spans="1:10" ht="15.75" customHeight="1">
      <c r="A497" s="73"/>
      <c r="B497" s="73"/>
      <c r="C497" s="73"/>
      <c r="D497" s="73"/>
      <c r="E497" s="73"/>
      <c r="F497" s="73"/>
      <c r="G497" s="73"/>
      <c r="H497" s="73"/>
      <c r="J497" s="73"/>
    </row>
    <row r="498" spans="1:10" ht="15.75" customHeight="1">
      <c r="A498" s="73"/>
      <c r="B498" s="73"/>
      <c r="C498" s="73"/>
      <c r="D498" s="73"/>
      <c r="E498" s="73"/>
      <c r="F498" s="73"/>
      <c r="G498" s="73"/>
      <c r="H498" s="73"/>
      <c r="J498" s="73"/>
    </row>
    <row r="499" spans="1:10" ht="15.75" customHeight="1">
      <c r="A499" s="73"/>
      <c r="B499" s="73"/>
      <c r="C499" s="73"/>
      <c r="D499" s="73"/>
      <c r="E499" s="73"/>
      <c r="F499" s="73"/>
      <c r="G499" s="73"/>
      <c r="H499" s="73"/>
      <c r="J499" s="73"/>
    </row>
    <row r="500" spans="1:10" ht="15.75" customHeight="1">
      <c r="A500" s="73"/>
      <c r="B500" s="73"/>
      <c r="C500" s="73"/>
      <c r="D500" s="73"/>
      <c r="E500" s="73"/>
      <c r="F500" s="73"/>
      <c r="G500" s="73"/>
      <c r="H500" s="73"/>
      <c r="J500" s="73"/>
    </row>
    <row r="501" spans="1:10" ht="15.75" customHeight="1">
      <c r="A501" s="73"/>
      <c r="B501" s="73"/>
      <c r="C501" s="73"/>
      <c r="D501" s="73"/>
      <c r="E501" s="73"/>
      <c r="F501" s="73"/>
      <c r="G501" s="73"/>
      <c r="H501" s="73"/>
      <c r="J501" s="73"/>
    </row>
    <row r="502" spans="1:10" ht="15.75" customHeight="1">
      <c r="A502" s="73"/>
      <c r="B502" s="73"/>
      <c r="C502" s="73"/>
      <c r="D502" s="73"/>
      <c r="E502" s="73"/>
      <c r="F502" s="73"/>
      <c r="G502" s="73"/>
      <c r="H502" s="73"/>
      <c r="J502" s="73"/>
    </row>
    <row r="503" spans="1:10" ht="15.75" customHeight="1">
      <c r="A503" s="73"/>
      <c r="B503" s="73"/>
      <c r="C503" s="73"/>
      <c r="D503" s="73"/>
      <c r="E503" s="73"/>
      <c r="F503" s="73"/>
      <c r="G503" s="73"/>
      <c r="H503" s="73"/>
      <c r="J503" s="73"/>
    </row>
    <row r="504" spans="1:10" ht="15.75" customHeight="1">
      <c r="A504" s="73"/>
      <c r="B504" s="73"/>
      <c r="C504" s="73"/>
      <c r="D504" s="73"/>
      <c r="E504" s="73"/>
      <c r="F504" s="73"/>
      <c r="G504" s="73"/>
      <c r="H504" s="73"/>
      <c r="J504" s="73"/>
    </row>
    <row r="505" spans="1:10" ht="15.75" customHeight="1">
      <c r="A505" s="73"/>
      <c r="B505" s="73"/>
      <c r="C505" s="73"/>
      <c r="D505" s="73"/>
      <c r="E505" s="73"/>
      <c r="F505" s="73"/>
      <c r="G505" s="73"/>
      <c r="H505" s="73"/>
      <c r="J505" s="73"/>
    </row>
    <row r="506" spans="1:10" ht="15.75" customHeight="1">
      <c r="A506" s="73"/>
      <c r="B506" s="73"/>
      <c r="C506" s="73"/>
      <c r="D506" s="73"/>
      <c r="E506" s="73"/>
      <c r="F506" s="73"/>
      <c r="G506" s="73"/>
      <c r="H506" s="73"/>
      <c r="J506" s="73"/>
    </row>
    <row r="507" spans="1:10" ht="15.75" customHeight="1">
      <c r="A507" s="73"/>
      <c r="B507" s="73"/>
      <c r="C507" s="73"/>
      <c r="D507" s="73"/>
      <c r="E507" s="73"/>
      <c r="F507" s="73"/>
      <c r="G507" s="73"/>
      <c r="H507" s="73"/>
      <c r="J507" s="73"/>
    </row>
    <row r="508" spans="1:10" ht="15.75" customHeight="1">
      <c r="A508" s="73"/>
      <c r="B508" s="73"/>
      <c r="C508" s="73"/>
      <c r="D508" s="73"/>
      <c r="E508" s="73"/>
      <c r="F508" s="73"/>
      <c r="G508" s="73"/>
      <c r="H508" s="73"/>
      <c r="J508" s="73"/>
    </row>
    <row r="509" spans="1:10" ht="15.75" customHeight="1">
      <c r="A509" s="73"/>
      <c r="B509" s="73"/>
      <c r="C509" s="73"/>
      <c r="D509" s="73"/>
      <c r="E509" s="73"/>
      <c r="F509" s="73"/>
      <c r="G509" s="73"/>
      <c r="H509" s="73"/>
      <c r="J509" s="73"/>
    </row>
    <row r="510" spans="1:10" ht="15.75" customHeight="1">
      <c r="A510" s="73"/>
      <c r="B510" s="73"/>
      <c r="C510" s="73"/>
      <c r="D510" s="73"/>
      <c r="E510" s="73"/>
      <c r="F510" s="73"/>
      <c r="G510" s="73"/>
      <c r="H510" s="73"/>
      <c r="J510" s="73"/>
    </row>
    <row r="511" spans="1:10" ht="15.75" customHeight="1">
      <c r="A511" s="73"/>
      <c r="B511" s="73"/>
      <c r="C511" s="73"/>
      <c r="D511" s="73"/>
      <c r="E511" s="73"/>
      <c r="F511" s="73"/>
      <c r="G511" s="73"/>
      <c r="H511" s="73"/>
      <c r="J511" s="73"/>
    </row>
    <row r="512" spans="1:10" ht="15.75" customHeight="1">
      <c r="A512" s="73"/>
      <c r="B512" s="73"/>
      <c r="C512" s="73"/>
      <c r="D512" s="73"/>
      <c r="E512" s="73"/>
      <c r="F512" s="73"/>
      <c r="G512" s="73"/>
      <c r="H512" s="73"/>
      <c r="J512" s="73"/>
    </row>
    <row r="513" spans="1:10" ht="15.75" customHeight="1">
      <c r="A513" s="73"/>
      <c r="B513" s="73"/>
      <c r="C513" s="73"/>
      <c r="D513" s="73"/>
      <c r="E513" s="73"/>
      <c r="F513" s="73"/>
      <c r="G513" s="73"/>
      <c r="H513" s="73"/>
      <c r="J513" s="73"/>
    </row>
    <row r="514" spans="1:10" ht="15.75" customHeight="1">
      <c r="A514" s="73"/>
      <c r="B514" s="73"/>
      <c r="C514" s="73"/>
      <c r="D514" s="73"/>
      <c r="E514" s="73"/>
      <c r="F514" s="73"/>
      <c r="G514" s="73"/>
      <c r="H514" s="73"/>
      <c r="J514" s="73"/>
    </row>
    <row r="515" spans="1:10" ht="15.75" customHeight="1">
      <c r="A515" s="73"/>
      <c r="B515" s="73"/>
      <c r="C515" s="73"/>
      <c r="D515" s="73"/>
      <c r="E515" s="73"/>
      <c r="F515" s="73"/>
      <c r="G515" s="73"/>
      <c r="H515" s="73"/>
      <c r="J515" s="73"/>
    </row>
    <row r="516" spans="1:10" ht="15.75" customHeight="1">
      <c r="A516" s="73"/>
      <c r="B516" s="73"/>
      <c r="C516" s="73"/>
      <c r="D516" s="73"/>
      <c r="E516" s="73"/>
      <c r="F516" s="73"/>
      <c r="G516" s="73"/>
      <c r="H516" s="73"/>
      <c r="J516" s="73"/>
    </row>
    <row r="517" spans="1:10" ht="15.75" customHeight="1">
      <c r="A517" s="73"/>
      <c r="B517" s="73"/>
      <c r="C517" s="73"/>
      <c r="D517" s="73"/>
      <c r="E517" s="73"/>
      <c r="F517" s="73"/>
      <c r="G517" s="73"/>
      <c r="H517" s="73"/>
      <c r="J517" s="73"/>
    </row>
    <row r="518" spans="1:10" ht="15.75" customHeight="1">
      <c r="A518" s="73"/>
      <c r="B518" s="73"/>
      <c r="C518" s="73"/>
      <c r="D518" s="73"/>
      <c r="E518" s="73"/>
      <c r="F518" s="73"/>
      <c r="G518" s="73"/>
      <c r="H518" s="73"/>
      <c r="J518" s="73"/>
    </row>
    <row r="519" spans="1:10" ht="15.75" customHeight="1">
      <c r="A519" s="73"/>
      <c r="B519" s="73"/>
      <c r="C519" s="73"/>
      <c r="D519" s="73"/>
      <c r="E519" s="73"/>
      <c r="F519" s="73"/>
      <c r="G519" s="73"/>
      <c r="H519" s="73"/>
      <c r="J519" s="73"/>
    </row>
    <row r="520" spans="1:10" ht="15.75" customHeight="1">
      <c r="A520" s="73"/>
      <c r="B520" s="73"/>
      <c r="C520" s="73"/>
      <c r="D520" s="73"/>
      <c r="E520" s="73"/>
      <c r="F520" s="73"/>
      <c r="G520" s="73"/>
      <c r="H520" s="73"/>
      <c r="J520" s="73"/>
    </row>
    <row r="521" spans="1:10" ht="15.75" customHeight="1">
      <c r="A521" s="73"/>
      <c r="B521" s="73"/>
      <c r="C521" s="73"/>
      <c r="D521" s="73"/>
      <c r="E521" s="73"/>
      <c r="F521" s="73"/>
      <c r="G521" s="73"/>
      <c r="H521" s="73"/>
      <c r="J521" s="73"/>
    </row>
    <row r="522" spans="1:10" ht="15.75" customHeight="1">
      <c r="A522" s="73"/>
      <c r="B522" s="73"/>
      <c r="C522" s="73"/>
      <c r="D522" s="73"/>
      <c r="E522" s="73"/>
      <c r="F522" s="73"/>
      <c r="G522" s="73"/>
      <c r="H522" s="73"/>
      <c r="J522" s="73"/>
    </row>
    <row r="523" spans="1:10" ht="15.75" customHeight="1">
      <c r="A523" s="73"/>
      <c r="B523" s="73"/>
      <c r="C523" s="73"/>
      <c r="D523" s="73"/>
      <c r="E523" s="73"/>
      <c r="F523" s="73"/>
      <c r="G523" s="73"/>
      <c r="H523" s="73"/>
      <c r="J523" s="73"/>
    </row>
    <row r="524" spans="1:10" ht="15.75" customHeight="1">
      <c r="A524" s="73"/>
      <c r="B524" s="73"/>
      <c r="C524" s="73"/>
      <c r="D524" s="73"/>
      <c r="E524" s="73"/>
      <c r="F524" s="73"/>
      <c r="G524" s="73"/>
      <c r="H524" s="73"/>
      <c r="J524" s="73"/>
    </row>
    <row r="525" spans="1:10" ht="15.75" customHeight="1">
      <c r="A525" s="73"/>
      <c r="B525" s="73"/>
      <c r="C525" s="73"/>
      <c r="D525" s="73"/>
      <c r="E525" s="73"/>
      <c r="F525" s="73"/>
      <c r="G525" s="73"/>
      <c r="H525" s="73"/>
      <c r="J525" s="73"/>
    </row>
    <row r="526" spans="1:10" ht="15.75" customHeight="1">
      <c r="A526" s="73"/>
      <c r="B526" s="73"/>
      <c r="C526" s="73"/>
      <c r="D526" s="73"/>
      <c r="E526" s="73"/>
      <c r="F526" s="73"/>
      <c r="G526" s="73"/>
      <c r="H526" s="73"/>
      <c r="J526" s="73"/>
    </row>
    <row r="527" spans="1:10" ht="15.75" customHeight="1">
      <c r="A527" s="73"/>
      <c r="B527" s="73"/>
      <c r="C527" s="73"/>
      <c r="D527" s="73"/>
      <c r="E527" s="73"/>
      <c r="F527" s="73"/>
      <c r="G527" s="73"/>
      <c r="H527" s="73"/>
      <c r="J527" s="73"/>
    </row>
    <row r="528" spans="1:10" ht="15.75" customHeight="1">
      <c r="A528" s="73"/>
      <c r="B528" s="73"/>
      <c r="C528" s="73"/>
      <c r="D528" s="73"/>
      <c r="E528" s="73"/>
      <c r="F528" s="73"/>
      <c r="G528" s="73"/>
      <c r="H528" s="73"/>
      <c r="J528" s="73"/>
    </row>
    <row r="529" spans="1:10" ht="15.75" customHeight="1">
      <c r="A529" s="73"/>
      <c r="B529" s="73"/>
      <c r="C529" s="73"/>
      <c r="D529" s="73"/>
      <c r="E529" s="73"/>
      <c r="F529" s="73"/>
      <c r="G529" s="73"/>
      <c r="H529" s="73"/>
      <c r="J529" s="73"/>
    </row>
    <row r="530" spans="1:10" ht="15.75" customHeight="1">
      <c r="A530" s="73"/>
      <c r="B530" s="73"/>
      <c r="C530" s="73"/>
      <c r="D530" s="73"/>
      <c r="E530" s="73"/>
      <c r="F530" s="73"/>
      <c r="G530" s="73"/>
      <c r="H530" s="73"/>
      <c r="J530" s="73"/>
    </row>
    <row r="531" spans="1:10" ht="15.75" customHeight="1">
      <c r="A531" s="73"/>
      <c r="B531" s="73"/>
      <c r="C531" s="73"/>
      <c r="D531" s="73"/>
      <c r="E531" s="73"/>
      <c r="F531" s="73"/>
      <c r="G531" s="73"/>
      <c r="H531" s="73"/>
      <c r="J531" s="73"/>
    </row>
    <row r="532" spans="1:10" ht="15.75" customHeight="1">
      <c r="A532" s="73"/>
      <c r="B532" s="73"/>
      <c r="C532" s="73"/>
      <c r="D532" s="73"/>
      <c r="E532" s="73"/>
      <c r="F532" s="73"/>
      <c r="G532" s="73"/>
      <c r="H532" s="73"/>
      <c r="J532" s="73"/>
    </row>
    <row r="533" spans="1:10" ht="15.75" customHeight="1">
      <c r="A533" s="73"/>
      <c r="B533" s="73"/>
      <c r="C533" s="73"/>
      <c r="D533" s="73"/>
      <c r="E533" s="73"/>
      <c r="F533" s="73"/>
      <c r="G533" s="73"/>
      <c r="H533" s="73"/>
      <c r="J533" s="73"/>
    </row>
    <row r="534" spans="1:10" ht="15.75" customHeight="1">
      <c r="A534" s="73"/>
      <c r="B534" s="73"/>
      <c r="C534" s="73"/>
      <c r="D534" s="73"/>
      <c r="E534" s="73"/>
      <c r="F534" s="73"/>
      <c r="G534" s="73"/>
      <c r="H534" s="73"/>
      <c r="J534" s="73"/>
    </row>
    <row r="535" spans="1:10" ht="15.75" customHeight="1">
      <c r="A535" s="73"/>
      <c r="B535" s="73"/>
      <c r="C535" s="73"/>
      <c r="D535" s="73"/>
      <c r="E535" s="73"/>
      <c r="F535" s="73"/>
      <c r="G535" s="73"/>
      <c r="H535" s="73"/>
      <c r="J535" s="73"/>
    </row>
    <row r="536" spans="1:10" ht="15.75" customHeight="1">
      <c r="A536" s="73"/>
      <c r="B536" s="73"/>
      <c r="C536" s="73"/>
      <c r="D536" s="73"/>
      <c r="E536" s="73"/>
      <c r="F536" s="73"/>
      <c r="G536" s="73"/>
      <c r="H536" s="73"/>
      <c r="J536" s="73"/>
    </row>
    <row r="537" spans="1:10" ht="15.75" customHeight="1">
      <c r="A537" s="73"/>
      <c r="B537" s="73"/>
      <c r="C537" s="73"/>
      <c r="D537" s="73"/>
      <c r="E537" s="73"/>
      <c r="F537" s="73"/>
      <c r="G537" s="73"/>
      <c r="H537" s="73"/>
      <c r="J537" s="73"/>
    </row>
    <row r="538" spans="1:10" ht="15.75" customHeight="1">
      <c r="A538" s="73"/>
      <c r="B538" s="73"/>
      <c r="C538" s="73"/>
      <c r="D538" s="73"/>
      <c r="E538" s="73"/>
      <c r="F538" s="73"/>
      <c r="G538" s="73"/>
      <c r="H538" s="73"/>
      <c r="J538" s="73"/>
    </row>
    <row r="539" spans="1:10" ht="15.75" customHeight="1">
      <c r="A539" s="73"/>
      <c r="B539" s="73"/>
      <c r="C539" s="73"/>
      <c r="D539" s="73"/>
      <c r="E539" s="73"/>
      <c r="F539" s="73"/>
      <c r="G539" s="73"/>
      <c r="H539" s="73"/>
      <c r="J539" s="73"/>
    </row>
    <row r="540" spans="1:10" ht="15.75" customHeight="1">
      <c r="A540" s="73"/>
      <c r="B540" s="73"/>
      <c r="C540" s="73"/>
      <c r="D540" s="73"/>
      <c r="E540" s="73"/>
      <c r="F540" s="73"/>
      <c r="G540" s="73"/>
      <c r="H540" s="73"/>
      <c r="J540" s="73"/>
    </row>
    <row r="541" spans="1:10" ht="15.75" customHeight="1">
      <c r="A541" s="73"/>
      <c r="B541" s="73"/>
      <c r="C541" s="73"/>
      <c r="D541" s="73"/>
      <c r="E541" s="73"/>
      <c r="F541" s="73"/>
      <c r="G541" s="73"/>
      <c r="H541" s="73"/>
      <c r="J541" s="73"/>
    </row>
    <row r="542" spans="1:10" ht="15.75" customHeight="1">
      <c r="A542" s="73"/>
      <c r="B542" s="73"/>
      <c r="C542" s="73"/>
      <c r="D542" s="73"/>
      <c r="E542" s="73"/>
      <c r="F542" s="73"/>
      <c r="G542" s="73"/>
      <c r="H542" s="73"/>
      <c r="J542" s="73"/>
    </row>
    <row r="543" spans="1:10" ht="15.75" customHeight="1">
      <c r="A543" s="73"/>
      <c r="B543" s="73"/>
      <c r="C543" s="73"/>
      <c r="D543" s="73"/>
      <c r="E543" s="73"/>
      <c r="F543" s="73"/>
      <c r="G543" s="73"/>
      <c r="H543" s="73"/>
      <c r="J543" s="73"/>
    </row>
    <row r="544" spans="1:10" ht="15.75" customHeight="1">
      <c r="A544" s="73"/>
      <c r="B544" s="73"/>
      <c r="C544" s="73"/>
      <c r="D544" s="73"/>
      <c r="E544" s="73"/>
      <c r="F544" s="73"/>
      <c r="G544" s="73"/>
      <c r="H544" s="73"/>
      <c r="J544" s="73"/>
    </row>
    <row r="545" spans="1:10" ht="15.75" customHeight="1">
      <c r="A545" s="73"/>
      <c r="B545" s="73"/>
      <c r="C545" s="73"/>
      <c r="D545" s="73"/>
      <c r="E545" s="73"/>
      <c r="F545" s="73"/>
      <c r="G545" s="73"/>
      <c r="H545" s="73"/>
      <c r="J545" s="73"/>
    </row>
    <row r="546" spans="1:10" ht="15.75" customHeight="1">
      <c r="A546" s="73"/>
      <c r="B546" s="73"/>
      <c r="C546" s="73"/>
      <c r="D546" s="73"/>
      <c r="E546" s="73"/>
      <c r="F546" s="73"/>
      <c r="G546" s="73"/>
      <c r="H546" s="73"/>
      <c r="J546" s="73"/>
    </row>
    <row r="547" spans="1:10" ht="15.75" customHeight="1">
      <c r="A547" s="73"/>
      <c r="B547" s="73"/>
      <c r="C547" s="73"/>
      <c r="D547" s="73"/>
      <c r="E547" s="73"/>
      <c r="F547" s="73"/>
      <c r="G547" s="73"/>
      <c r="H547" s="73"/>
      <c r="J547" s="73"/>
    </row>
    <row r="548" spans="1:10" ht="15.75" customHeight="1">
      <c r="A548" s="73"/>
      <c r="B548" s="73"/>
      <c r="C548" s="73"/>
      <c r="D548" s="73"/>
      <c r="E548" s="73"/>
      <c r="F548" s="73"/>
      <c r="G548" s="73"/>
      <c r="H548" s="73"/>
      <c r="J548" s="73"/>
    </row>
    <row r="549" spans="1:10" ht="15.75" customHeight="1">
      <c r="A549" s="73"/>
      <c r="B549" s="73"/>
      <c r="C549" s="73"/>
      <c r="D549" s="73"/>
      <c r="E549" s="73"/>
      <c r="F549" s="73"/>
      <c r="G549" s="73"/>
      <c r="H549" s="73"/>
      <c r="J549" s="73"/>
    </row>
    <row r="550" spans="1:10" ht="15.75" customHeight="1">
      <c r="A550" s="73"/>
      <c r="B550" s="73"/>
      <c r="C550" s="73"/>
      <c r="D550" s="73"/>
      <c r="E550" s="73"/>
      <c r="F550" s="73"/>
      <c r="G550" s="73"/>
      <c r="H550" s="73"/>
      <c r="J550" s="73"/>
    </row>
    <row r="551" spans="1:10" ht="15.75" customHeight="1">
      <c r="A551" s="73"/>
      <c r="B551" s="73"/>
      <c r="C551" s="73"/>
      <c r="D551" s="73"/>
      <c r="E551" s="73"/>
      <c r="F551" s="73"/>
      <c r="G551" s="73"/>
      <c r="H551" s="73"/>
      <c r="J551" s="73"/>
    </row>
    <row r="552" spans="1:10" ht="15.75" customHeight="1">
      <c r="A552" s="73"/>
      <c r="B552" s="73"/>
      <c r="C552" s="73"/>
      <c r="D552" s="73"/>
      <c r="E552" s="73"/>
      <c r="F552" s="73"/>
      <c r="G552" s="73"/>
      <c r="H552" s="73"/>
      <c r="J552" s="73"/>
    </row>
    <row r="553" spans="1:10" ht="15.75" customHeight="1">
      <c r="A553" s="73"/>
      <c r="B553" s="73"/>
      <c r="C553" s="73"/>
      <c r="D553" s="73"/>
      <c r="E553" s="73"/>
      <c r="F553" s="73"/>
      <c r="G553" s="73"/>
      <c r="H553" s="73"/>
      <c r="J553" s="73"/>
    </row>
    <row r="554" spans="1:10" ht="15.75" customHeight="1">
      <c r="A554" s="73"/>
      <c r="B554" s="73"/>
      <c r="C554" s="73"/>
      <c r="D554" s="73"/>
      <c r="E554" s="73"/>
      <c r="F554" s="73"/>
      <c r="G554" s="73"/>
      <c r="H554" s="73"/>
      <c r="J554" s="73"/>
    </row>
    <row r="555" spans="1:10" ht="15.75" customHeight="1">
      <c r="A555" s="73"/>
      <c r="B555" s="73"/>
      <c r="C555" s="73"/>
      <c r="D555" s="73"/>
      <c r="E555" s="73"/>
      <c r="F555" s="73"/>
      <c r="G555" s="73"/>
      <c r="H555" s="73"/>
      <c r="J555" s="73"/>
    </row>
    <row r="556" spans="1:10" ht="15.75" customHeight="1">
      <c r="A556" s="73"/>
      <c r="B556" s="73"/>
      <c r="C556" s="73"/>
      <c r="D556" s="73"/>
      <c r="E556" s="73"/>
      <c r="F556" s="73"/>
      <c r="G556" s="73"/>
      <c r="H556" s="73"/>
      <c r="J556" s="73"/>
    </row>
    <row r="557" spans="1:10" ht="15.75" customHeight="1">
      <c r="A557" s="73"/>
      <c r="B557" s="73"/>
      <c r="C557" s="73"/>
      <c r="D557" s="73"/>
      <c r="E557" s="73"/>
      <c r="F557" s="73"/>
      <c r="G557" s="73"/>
      <c r="H557" s="73"/>
      <c r="J557" s="73"/>
    </row>
    <row r="558" spans="1:10" ht="15.75" customHeight="1">
      <c r="A558" s="73"/>
      <c r="B558" s="73"/>
      <c r="C558" s="73"/>
      <c r="D558" s="73"/>
      <c r="E558" s="73"/>
      <c r="F558" s="73"/>
      <c r="G558" s="73"/>
      <c r="H558" s="73"/>
      <c r="J558" s="73"/>
    </row>
    <row r="559" spans="1:10" ht="15.75" customHeight="1">
      <c r="A559" s="73"/>
      <c r="B559" s="73"/>
      <c r="C559" s="73"/>
      <c r="D559" s="73"/>
      <c r="E559" s="73"/>
      <c r="F559" s="73"/>
      <c r="G559" s="73"/>
      <c r="H559" s="73"/>
      <c r="J559" s="73"/>
    </row>
    <row r="560" spans="1:10" ht="15.75" customHeight="1">
      <c r="A560" s="73"/>
      <c r="B560" s="73"/>
      <c r="C560" s="73"/>
      <c r="D560" s="73"/>
      <c r="E560" s="73"/>
      <c r="F560" s="73"/>
      <c r="G560" s="73"/>
      <c r="H560" s="73"/>
      <c r="J560" s="73"/>
    </row>
    <row r="561" spans="1:10" ht="15.75" customHeight="1">
      <c r="A561" s="73"/>
      <c r="B561" s="73"/>
      <c r="C561" s="73"/>
      <c r="D561" s="73"/>
      <c r="E561" s="73"/>
      <c r="F561" s="73"/>
      <c r="G561" s="73"/>
      <c r="H561" s="73"/>
      <c r="J561" s="73"/>
    </row>
    <row r="562" spans="1:10" ht="15.75" customHeight="1">
      <c r="A562" s="73"/>
      <c r="B562" s="73"/>
      <c r="C562" s="73"/>
      <c r="D562" s="73"/>
      <c r="E562" s="73"/>
      <c r="F562" s="73"/>
      <c r="G562" s="73"/>
      <c r="H562" s="73"/>
      <c r="J562" s="73"/>
    </row>
    <row r="563" spans="1:10" ht="15.75" customHeight="1">
      <c r="A563" s="73"/>
      <c r="B563" s="73"/>
      <c r="C563" s="73"/>
      <c r="D563" s="73"/>
      <c r="E563" s="73"/>
      <c r="F563" s="73"/>
      <c r="G563" s="73"/>
      <c r="H563" s="73"/>
      <c r="J563" s="73"/>
    </row>
    <row r="564" spans="1:10" ht="15.75" customHeight="1">
      <c r="A564" s="73"/>
      <c r="B564" s="73"/>
      <c r="C564" s="73"/>
      <c r="D564" s="73"/>
      <c r="E564" s="73"/>
      <c r="F564" s="73"/>
      <c r="G564" s="73"/>
      <c r="H564" s="73"/>
      <c r="J564" s="73"/>
    </row>
    <row r="565" spans="1:10" ht="15.75" customHeight="1">
      <c r="A565" s="73"/>
      <c r="B565" s="73"/>
      <c r="C565" s="73"/>
      <c r="D565" s="73"/>
      <c r="E565" s="73"/>
      <c r="F565" s="73"/>
      <c r="G565" s="73"/>
      <c r="H565" s="73"/>
      <c r="J565" s="73"/>
    </row>
    <row r="566" spans="1:10" ht="15.75" customHeight="1">
      <c r="A566" s="73"/>
      <c r="B566" s="73"/>
      <c r="C566" s="73"/>
      <c r="D566" s="73"/>
      <c r="E566" s="73"/>
      <c r="F566" s="73"/>
      <c r="G566" s="73"/>
      <c r="H566" s="73"/>
      <c r="J566" s="73"/>
    </row>
    <row r="567" spans="1:10" ht="15.75" customHeight="1">
      <c r="A567" s="73"/>
      <c r="B567" s="73"/>
      <c r="C567" s="73"/>
      <c r="D567" s="73"/>
      <c r="E567" s="73"/>
      <c r="F567" s="73"/>
      <c r="G567" s="73"/>
      <c r="H567" s="73"/>
      <c r="J567" s="73"/>
    </row>
    <row r="568" spans="1:10" ht="15.75" customHeight="1">
      <c r="A568" s="73"/>
      <c r="B568" s="73"/>
      <c r="C568" s="73"/>
      <c r="D568" s="73"/>
      <c r="E568" s="73"/>
      <c r="F568" s="73"/>
      <c r="G568" s="73"/>
      <c r="H568" s="73"/>
      <c r="J568" s="73"/>
    </row>
    <row r="569" spans="1:10" ht="15.75" customHeight="1">
      <c r="A569" s="73"/>
      <c r="B569" s="73"/>
      <c r="C569" s="73"/>
      <c r="D569" s="73"/>
      <c r="E569" s="73"/>
      <c r="F569" s="73"/>
      <c r="G569" s="73"/>
      <c r="H569" s="73"/>
      <c r="J569" s="73"/>
    </row>
    <row r="570" spans="1:10" ht="15.75" customHeight="1">
      <c r="A570" s="73"/>
      <c r="B570" s="73"/>
      <c r="C570" s="73"/>
      <c r="D570" s="73"/>
      <c r="E570" s="73"/>
      <c r="F570" s="73"/>
      <c r="G570" s="73"/>
      <c r="H570" s="73"/>
      <c r="J570" s="73"/>
    </row>
    <row r="571" spans="1:10" ht="15.75" customHeight="1">
      <c r="A571" s="73"/>
      <c r="B571" s="73"/>
      <c r="C571" s="73"/>
      <c r="D571" s="73"/>
      <c r="E571" s="73"/>
      <c r="F571" s="73"/>
      <c r="G571" s="73"/>
      <c r="H571" s="73"/>
      <c r="J571" s="73"/>
    </row>
    <row r="572" spans="1:10" ht="15.75" customHeight="1">
      <c r="A572" s="73"/>
      <c r="B572" s="73"/>
      <c r="C572" s="73"/>
      <c r="D572" s="73"/>
      <c r="E572" s="73"/>
      <c r="F572" s="73"/>
      <c r="G572" s="73"/>
      <c r="H572" s="73"/>
      <c r="J572" s="73"/>
    </row>
    <row r="573" spans="1:10" ht="15.75" customHeight="1">
      <c r="A573" s="73"/>
      <c r="B573" s="73"/>
      <c r="C573" s="73"/>
      <c r="D573" s="73"/>
      <c r="E573" s="73"/>
      <c r="F573" s="73"/>
      <c r="G573" s="73"/>
      <c r="H573" s="73"/>
      <c r="J573" s="73"/>
    </row>
    <row r="574" spans="1:10" ht="15.75" customHeight="1">
      <c r="A574" s="73"/>
      <c r="B574" s="73"/>
      <c r="C574" s="73"/>
      <c r="D574" s="73"/>
      <c r="E574" s="73"/>
      <c r="F574" s="73"/>
      <c r="G574" s="73"/>
      <c r="H574" s="73"/>
      <c r="J574" s="73"/>
    </row>
    <row r="575" spans="1:10" ht="15.75" customHeight="1">
      <c r="A575" s="73"/>
      <c r="B575" s="73"/>
      <c r="C575" s="73"/>
      <c r="D575" s="73"/>
      <c r="E575" s="73"/>
      <c r="F575" s="73"/>
      <c r="G575" s="73"/>
      <c r="H575" s="73"/>
      <c r="J575" s="73"/>
    </row>
    <row r="576" spans="1:10" ht="15.75" customHeight="1">
      <c r="A576" s="73"/>
      <c r="B576" s="73"/>
      <c r="C576" s="73"/>
      <c r="D576" s="73"/>
      <c r="E576" s="73"/>
      <c r="F576" s="73"/>
      <c r="G576" s="73"/>
      <c r="H576" s="73"/>
      <c r="J576" s="73"/>
    </row>
    <row r="577" spans="1:10" ht="15.75" customHeight="1">
      <c r="A577" s="73"/>
      <c r="B577" s="73"/>
      <c r="C577" s="73"/>
      <c r="D577" s="73"/>
      <c r="E577" s="73"/>
      <c r="F577" s="73"/>
      <c r="G577" s="73"/>
      <c r="H577" s="73"/>
      <c r="J577" s="73"/>
    </row>
    <row r="578" spans="1:10" ht="15.75" customHeight="1">
      <c r="A578" s="73"/>
      <c r="B578" s="73"/>
      <c r="C578" s="73"/>
      <c r="D578" s="73"/>
      <c r="E578" s="73"/>
      <c r="F578" s="73"/>
      <c r="G578" s="73"/>
      <c r="H578" s="73"/>
      <c r="J578" s="73"/>
    </row>
    <row r="579" spans="1:10" ht="15.75" customHeight="1">
      <c r="A579" s="73"/>
      <c r="B579" s="73"/>
      <c r="C579" s="73"/>
      <c r="D579" s="73"/>
      <c r="E579" s="73"/>
      <c r="F579" s="73"/>
      <c r="G579" s="73"/>
      <c r="H579" s="73"/>
      <c r="J579" s="73"/>
    </row>
    <row r="580" spans="1:10" ht="15.75" customHeight="1">
      <c r="A580" s="73"/>
      <c r="B580" s="73"/>
      <c r="C580" s="73"/>
      <c r="D580" s="73"/>
      <c r="E580" s="73"/>
      <c r="F580" s="73"/>
      <c r="G580" s="73"/>
      <c r="H580" s="73"/>
      <c r="J580" s="73"/>
    </row>
    <row r="581" spans="1:10" ht="15.75" customHeight="1">
      <c r="A581" s="73"/>
      <c r="B581" s="73"/>
      <c r="C581" s="73"/>
      <c r="D581" s="73"/>
      <c r="E581" s="73"/>
      <c r="F581" s="73"/>
      <c r="G581" s="73"/>
      <c r="H581" s="73"/>
      <c r="J581" s="73"/>
    </row>
    <row r="582" spans="1:10" ht="15.75" customHeight="1">
      <c r="A582" s="73"/>
      <c r="B582" s="73"/>
      <c r="C582" s="73"/>
      <c r="D582" s="73"/>
      <c r="E582" s="73"/>
      <c r="F582" s="73"/>
      <c r="G582" s="73"/>
      <c r="H582" s="73"/>
      <c r="J582" s="73"/>
    </row>
    <row r="583" spans="1:10" ht="15.75" customHeight="1">
      <c r="A583" s="73"/>
      <c r="B583" s="73"/>
      <c r="C583" s="73"/>
      <c r="D583" s="73"/>
      <c r="E583" s="73"/>
      <c r="F583" s="73"/>
      <c r="G583" s="73"/>
      <c r="H583" s="73"/>
      <c r="J583" s="73"/>
    </row>
    <row r="584" spans="1:10" ht="15.75" customHeight="1">
      <c r="A584" s="73"/>
      <c r="B584" s="73"/>
      <c r="C584" s="73"/>
      <c r="D584" s="73"/>
      <c r="E584" s="73"/>
      <c r="F584" s="73"/>
      <c r="G584" s="73"/>
      <c r="H584" s="73"/>
      <c r="J584" s="73"/>
    </row>
    <row r="585" spans="1:10" ht="15.75" customHeight="1">
      <c r="A585" s="73"/>
      <c r="B585" s="73"/>
      <c r="C585" s="73"/>
      <c r="D585" s="73"/>
      <c r="E585" s="73"/>
      <c r="F585" s="73"/>
      <c r="G585" s="73"/>
      <c r="H585" s="73"/>
      <c r="J585" s="73"/>
    </row>
    <row r="586" spans="1:10" ht="15.75" customHeight="1">
      <c r="A586" s="73"/>
      <c r="B586" s="73"/>
      <c r="C586" s="73"/>
      <c r="D586" s="73"/>
      <c r="E586" s="73"/>
      <c r="F586" s="73"/>
      <c r="G586" s="73"/>
      <c r="H586" s="73"/>
      <c r="J586" s="73"/>
    </row>
    <row r="587" spans="1:10" ht="15.75" customHeight="1">
      <c r="A587" s="73"/>
      <c r="B587" s="73"/>
      <c r="C587" s="73"/>
      <c r="D587" s="73"/>
      <c r="E587" s="73"/>
      <c r="F587" s="73"/>
      <c r="G587" s="73"/>
      <c r="H587" s="73"/>
      <c r="J587" s="73"/>
    </row>
    <row r="588" spans="1:10" ht="15.75" customHeight="1">
      <c r="A588" s="73"/>
      <c r="B588" s="73"/>
      <c r="C588" s="73"/>
      <c r="D588" s="73"/>
      <c r="E588" s="73"/>
      <c r="F588" s="73"/>
      <c r="G588" s="73"/>
      <c r="H588" s="73"/>
      <c r="J588" s="73"/>
    </row>
    <row r="589" spans="1:10" ht="15.75" customHeight="1">
      <c r="A589" s="73"/>
      <c r="B589" s="73"/>
      <c r="C589" s="73"/>
      <c r="D589" s="73"/>
      <c r="E589" s="73"/>
      <c r="F589" s="73"/>
      <c r="G589" s="73"/>
      <c r="H589" s="73"/>
      <c r="J589" s="73"/>
    </row>
    <row r="590" spans="1:10" ht="15.75" customHeight="1">
      <c r="A590" s="73"/>
      <c r="B590" s="73"/>
      <c r="C590" s="73"/>
      <c r="D590" s="73"/>
      <c r="E590" s="73"/>
      <c r="F590" s="73"/>
      <c r="G590" s="73"/>
      <c r="H590" s="73"/>
      <c r="J590" s="73"/>
    </row>
    <row r="591" spans="1:10" ht="15.75" customHeight="1">
      <c r="A591" s="73"/>
      <c r="B591" s="73"/>
      <c r="C591" s="73"/>
      <c r="D591" s="73"/>
      <c r="E591" s="73"/>
      <c r="F591" s="73"/>
      <c r="G591" s="73"/>
      <c r="H591" s="73"/>
      <c r="J591" s="73"/>
    </row>
    <row r="592" spans="1:10" ht="15.75" customHeight="1">
      <c r="A592" s="73"/>
      <c r="B592" s="73"/>
      <c r="C592" s="73"/>
      <c r="D592" s="73"/>
      <c r="E592" s="73"/>
      <c r="F592" s="73"/>
      <c r="G592" s="73"/>
      <c r="H592" s="73"/>
      <c r="J592" s="73"/>
    </row>
    <row r="593" spans="1:10" ht="15.75" customHeight="1">
      <c r="A593" s="73"/>
      <c r="B593" s="73"/>
      <c r="C593" s="73"/>
      <c r="D593" s="73"/>
      <c r="E593" s="73"/>
      <c r="F593" s="73"/>
      <c r="G593" s="73"/>
      <c r="H593" s="73"/>
      <c r="J593" s="73"/>
    </row>
    <row r="594" spans="1:10" ht="15.75" customHeight="1">
      <c r="A594" s="73"/>
      <c r="B594" s="73"/>
      <c r="C594" s="73"/>
      <c r="D594" s="73"/>
      <c r="E594" s="73"/>
      <c r="F594" s="73"/>
      <c r="G594" s="73"/>
      <c r="H594" s="73"/>
      <c r="J594" s="73"/>
    </row>
    <row r="595" spans="1:10" ht="15.75" customHeight="1">
      <c r="A595" s="73"/>
      <c r="B595" s="73"/>
      <c r="C595" s="73"/>
      <c r="D595" s="73"/>
      <c r="E595" s="73"/>
      <c r="F595" s="73"/>
      <c r="G595" s="73"/>
      <c r="H595" s="73"/>
      <c r="J595" s="73"/>
    </row>
    <row r="596" spans="1:10" ht="15.75" customHeight="1">
      <c r="A596" s="73"/>
      <c r="B596" s="73"/>
      <c r="C596" s="73"/>
      <c r="D596" s="73"/>
      <c r="E596" s="73"/>
      <c r="F596" s="73"/>
      <c r="G596" s="73"/>
      <c r="H596" s="73"/>
      <c r="J596" s="73"/>
    </row>
    <row r="597" spans="1:10" ht="15.75" customHeight="1">
      <c r="A597" s="73"/>
      <c r="B597" s="73"/>
      <c r="C597" s="73"/>
      <c r="D597" s="73"/>
      <c r="E597" s="73"/>
      <c r="F597" s="73"/>
      <c r="G597" s="73"/>
      <c r="H597" s="73"/>
      <c r="J597" s="73"/>
    </row>
    <row r="598" spans="1:10" ht="15.75" customHeight="1">
      <c r="A598" s="73"/>
      <c r="B598" s="73"/>
      <c r="C598" s="73"/>
      <c r="D598" s="73"/>
      <c r="E598" s="73"/>
      <c r="F598" s="73"/>
      <c r="G598" s="73"/>
      <c r="H598" s="73"/>
      <c r="J598" s="73"/>
    </row>
    <row r="599" spans="1:10" ht="15.75" customHeight="1">
      <c r="A599" s="73"/>
      <c r="B599" s="73"/>
      <c r="C599" s="73"/>
      <c r="D599" s="73"/>
      <c r="E599" s="73"/>
      <c r="F599" s="73"/>
      <c r="G599" s="73"/>
      <c r="H599" s="73"/>
      <c r="J599" s="73"/>
    </row>
    <row r="600" spans="1:10" ht="15.75" customHeight="1">
      <c r="A600" s="73"/>
      <c r="B600" s="73"/>
      <c r="C600" s="73"/>
      <c r="D600" s="73"/>
      <c r="E600" s="73"/>
      <c r="F600" s="73"/>
      <c r="G600" s="73"/>
      <c r="H600" s="73"/>
      <c r="J600" s="73"/>
    </row>
    <row r="601" spans="1:10" ht="15.75" customHeight="1">
      <c r="A601" s="73"/>
      <c r="B601" s="73"/>
      <c r="C601" s="73"/>
      <c r="D601" s="73"/>
      <c r="E601" s="73"/>
      <c r="F601" s="73"/>
      <c r="G601" s="73"/>
      <c r="H601" s="73"/>
      <c r="J601" s="73"/>
    </row>
    <row r="602" spans="1:10" ht="15.75" customHeight="1">
      <c r="A602" s="73"/>
      <c r="B602" s="73"/>
      <c r="C602" s="73"/>
      <c r="D602" s="73"/>
      <c r="E602" s="73"/>
      <c r="F602" s="73"/>
      <c r="G602" s="73"/>
      <c r="H602" s="73"/>
      <c r="J602" s="73"/>
    </row>
    <row r="603" spans="1:10" ht="15.75" customHeight="1">
      <c r="A603" s="73"/>
      <c r="B603" s="73"/>
      <c r="C603" s="73"/>
      <c r="D603" s="73"/>
      <c r="E603" s="73"/>
      <c r="F603" s="73"/>
      <c r="G603" s="73"/>
      <c r="H603" s="73"/>
      <c r="J603" s="73"/>
    </row>
    <row r="604" spans="1:10" ht="15.75" customHeight="1">
      <c r="A604" s="73"/>
      <c r="B604" s="73"/>
      <c r="C604" s="73"/>
      <c r="D604" s="73"/>
      <c r="E604" s="73"/>
      <c r="F604" s="73"/>
      <c r="G604" s="73"/>
      <c r="H604" s="73"/>
      <c r="J604" s="73"/>
    </row>
    <row r="605" spans="1:10" ht="15.75" customHeight="1">
      <c r="A605" s="73"/>
      <c r="B605" s="73"/>
      <c r="C605" s="73"/>
      <c r="D605" s="73"/>
      <c r="E605" s="73"/>
      <c r="F605" s="73"/>
      <c r="G605" s="73"/>
      <c r="H605" s="73"/>
      <c r="J605" s="73"/>
    </row>
    <row r="606" spans="1:10" ht="15.75" customHeight="1">
      <c r="A606" s="73"/>
      <c r="B606" s="73"/>
      <c r="C606" s="73"/>
      <c r="D606" s="73"/>
      <c r="E606" s="73"/>
      <c r="F606" s="73"/>
      <c r="G606" s="73"/>
      <c r="H606" s="73"/>
      <c r="J606" s="73"/>
    </row>
    <row r="607" spans="1:10" ht="15.75" customHeight="1">
      <c r="A607" s="73"/>
      <c r="B607" s="73"/>
      <c r="C607" s="73"/>
      <c r="D607" s="73"/>
      <c r="E607" s="73"/>
      <c r="F607" s="73"/>
      <c r="G607" s="73"/>
      <c r="H607" s="73"/>
      <c r="J607" s="73"/>
    </row>
    <row r="608" spans="1:10" ht="15.75" customHeight="1">
      <c r="A608" s="73"/>
      <c r="B608" s="73"/>
      <c r="C608" s="73"/>
      <c r="D608" s="73"/>
      <c r="E608" s="73"/>
      <c r="F608" s="73"/>
      <c r="G608" s="73"/>
      <c r="H608" s="73"/>
      <c r="J608" s="73"/>
    </row>
    <row r="609" spans="1:10" ht="15.75" customHeight="1">
      <c r="A609" s="73"/>
      <c r="B609" s="73"/>
      <c r="C609" s="73"/>
      <c r="D609" s="73"/>
      <c r="E609" s="73"/>
      <c r="F609" s="73"/>
      <c r="G609" s="73"/>
      <c r="H609" s="73"/>
      <c r="J609" s="73"/>
    </row>
    <row r="610" spans="1:10" ht="15.75" customHeight="1">
      <c r="A610" s="73"/>
      <c r="B610" s="73"/>
      <c r="C610" s="73"/>
      <c r="D610" s="73"/>
      <c r="E610" s="73"/>
      <c r="F610" s="73"/>
      <c r="G610" s="73"/>
      <c r="H610" s="73"/>
      <c r="J610" s="73"/>
    </row>
    <row r="611" spans="1:10" ht="15.75" customHeight="1">
      <c r="A611" s="73"/>
      <c r="B611" s="73"/>
      <c r="C611" s="73"/>
      <c r="D611" s="73"/>
      <c r="E611" s="73"/>
      <c r="F611" s="73"/>
      <c r="G611" s="73"/>
      <c r="H611" s="73"/>
      <c r="J611" s="73"/>
    </row>
    <row r="612" spans="1:10" ht="15.75" customHeight="1">
      <c r="A612" s="73"/>
      <c r="B612" s="73"/>
      <c r="C612" s="73"/>
      <c r="D612" s="73"/>
      <c r="E612" s="73"/>
      <c r="F612" s="73"/>
      <c r="G612" s="73"/>
      <c r="H612" s="73"/>
      <c r="J612" s="73"/>
    </row>
    <row r="613" spans="1:10" ht="15.75" customHeight="1">
      <c r="A613" s="73"/>
      <c r="B613" s="73"/>
      <c r="C613" s="73"/>
      <c r="D613" s="73"/>
      <c r="E613" s="73"/>
      <c r="F613" s="73"/>
      <c r="G613" s="73"/>
      <c r="H613" s="73"/>
      <c r="J613" s="73"/>
    </row>
    <row r="614" spans="1:10" ht="15.75" customHeight="1">
      <c r="A614" s="73"/>
      <c r="B614" s="73"/>
      <c r="C614" s="73"/>
      <c r="D614" s="73"/>
      <c r="E614" s="73"/>
      <c r="F614" s="73"/>
      <c r="G614" s="73"/>
      <c r="H614" s="73"/>
      <c r="J614" s="73"/>
    </row>
    <row r="615" spans="1:10" ht="15.75" customHeight="1">
      <c r="A615" s="73"/>
      <c r="B615" s="73"/>
      <c r="C615" s="73"/>
      <c r="D615" s="73"/>
      <c r="E615" s="73"/>
      <c r="F615" s="73"/>
      <c r="G615" s="73"/>
      <c r="H615" s="73"/>
      <c r="J615" s="73"/>
    </row>
    <row r="616" spans="1:10" ht="15.75" customHeight="1">
      <c r="A616" s="73"/>
      <c r="B616" s="73"/>
      <c r="C616" s="73"/>
      <c r="D616" s="73"/>
      <c r="E616" s="73"/>
      <c r="F616" s="73"/>
      <c r="G616" s="73"/>
      <c r="H616" s="73"/>
      <c r="J616" s="73"/>
    </row>
    <row r="617" spans="1:10" ht="15.75" customHeight="1">
      <c r="A617" s="73"/>
      <c r="B617" s="73"/>
      <c r="C617" s="73"/>
      <c r="D617" s="73"/>
      <c r="E617" s="73"/>
      <c r="F617" s="73"/>
      <c r="G617" s="73"/>
      <c r="H617" s="73"/>
      <c r="J617" s="73"/>
    </row>
    <row r="618" spans="1:10" ht="15.75" customHeight="1">
      <c r="A618" s="73"/>
      <c r="B618" s="73"/>
      <c r="C618" s="73"/>
      <c r="D618" s="73"/>
      <c r="E618" s="73"/>
      <c r="F618" s="73"/>
      <c r="G618" s="73"/>
      <c r="H618" s="73"/>
      <c r="J618" s="73"/>
    </row>
    <row r="619" spans="1:10" ht="15.75" customHeight="1">
      <c r="A619" s="73"/>
      <c r="B619" s="73"/>
      <c r="C619" s="73"/>
      <c r="D619" s="73"/>
      <c r="E619" s="73"/>
      <c r="F619" s="73"/>
      <c r="G619" s="73"/>
      <c r="H619" s="73"/>
      <c r="J619" s="73"/>
    </row>
    <row r="620" spans="1:10" ht="15.75" customHeight="1">
      <c r="A620" s="73"/>
      <c r="B620" s="73"/>
      <c r="C620" s="73"/>
      <c r="D620" s="73"/>
      <c r="E620" s="73"/>
      <c r="F620" s="73"/>
      <c r="G620" s="73"/>
      <c r="H620" s="73"/>
      <c r="J620" s="73"/>
    </row>
    <row r="621" spans="1:10" ht="15.75" customHeight="1">
      <c r="A621" s="73"/>
      <c r="B621" s="73"/>
      <c r="C621" s="73"/>
      <c r="D621" s="73"/>
      <c r="E621" s="73"/>
      <c r="F621" s="73"/>
      <c r="G621" s="73"/>
      <c r="H621" s="73"/>
      <c r="J621" s="73"/>
    </row>
    <row r="622" spans="1:10" ht="15.75" customHeight="1">
      <c r="A622" s="73"/>
      <c r="B622" s="73"/>
      <c r="C622" s="73"/>
      <c r="D622" s="73"/>
      <c r="E622" s="73"/>
      <c r="F622" s="73"/>
      <c r="G622" s="73"/>
      <c r="H622" s="73"/>
      <c r="J622" s="73"/>
    </row>
    <row r="623" spans="1:10" ht="15.75" customHeight="1">
      <c r="A623" s="73"/>
      <c r="B623" s="73"/>
      <c r="C623" s="73"/>
      <c r="D623" s="73"/>
      <c r="E623" s="73"/>
      <c r="F623" s="73"/>
      <c r="G623" s="73"/>
      <c r="H623" s="73"/>
      <c r="J623" s="73"/>
    </row>
    <row r="624" spans="1:10" ht="15.75" customHeight="1">
      <c r="A624" s="73"/>
      <c r="B624" s="73"/>
      <c r="C624" s="73"/>
      <c r="D624" s="73"/>
      <c r="E624" s="73"/>
      <c r="F624" s="73"/>
      <c r="G624" s="73"/>
      <c r="H624" s="73"/>
      <c r="J624" s="73"/>
    </row>
    <row r="625" spans="1:10" ht="15.75" customHeight="1">
      <c r="A625" s="73"/>
      <c r="B625" s="73"/>
      <c r="C625" s="73"/>
      <c r="D625" s="73"/>
      <c r="E625" s="73"/>
      <c r="F625" s="73"/>
      <c r="G625" s="73"/>
      <c r="H625" s="73"/>
      <c r="J625" s="73"/>
    </row>
    <row r="626" spans="1:10" ht="15.75" customHeight="1">
      <c r="A626" s="73"/>
      <c r="B626" s="73"/>
      <c r="C626" s="73"/>
      <c r="D626" s="73"/>
      <c r="E626" s="73"/>
      <c r="F626" s="73"/>
      <c r="G626" s="73"/>
      <c r="H626" s="73"/>
      <c r="J626" s="73"/>
    </row>
    <row r="627" spans="1:10" ht="15.75" customHeight="1">
      <c r="A627" s="73"/>
      <c r="B627" s="73"/>
      <c r="C627" s="73"/>
      <c r="D627" s="73"/>
      <c r="E627" s="73"/>
      <c r="F627" s="73"/>
      <c r="G627" s="73"/>
      <c r="H627" s="73"/>
      <c r="J627" s="73"/>
    </row>
    <row r="628" spans="1:10" ht="15.75" customHeight="1">
      <c r="A628" s="73"/>
      <c r="B628" s="73"/>
      <c r="C628" s="73"/>
      <c r="D628" s="73"/>
      <c r="E628" s="73"/>
      <c r="F628" s="73"/>
      <c r="G628" s="73"/>
      <c r="H628" s="73"/>
      <c r="J628" s="73"/>
    </row>
    <row r="629" spans="1:10" ht="15.75" customHeight="1">
      <c r="A629" s="73"/>
      <c r="B629" s="73"/>
      <c r="C629" s="73"/>
      <c r="D629" s="73"/>
      <c r="E629" s="73"/>
      <c r="F629" s="73"/>
      <c r="G629" s="73"/>
      <c r="H629" s="73"/>
      <c r="J629" s="73"/>
    </row>
    <row r="630" spans="1:10" ht="15.75" customHeight="1">
      <c r="A630" s="73"/>
      <c r="B630" s="73"/>
      <c r="C630" s="73"/>
      <c r="D630" s="73"/>
      <c r="E630" s="73"/>
      <c r="F630" s="73"/>
      <c r="G630" s="73"/>
      <c r="H630" s="73"/>
      <c r="J630" s="73"/>
    </row>
    <row r="631" spans="1:10" ht="15.75" customHeight="1">
      <c r="A631" s="73"/>
      <c r="B631" s="73"/>
      <c r="C631" s="73"/>
      <c r="D631" s="73"/>
      <c r="E631" s="73"/>
      <c r="F631" s="73"/>
      <c r="G631" s="73"/>
      <c r="H631" s="73"/>
      <c r="J631" s="73"/>
    </row>
    <row r="632" spans="1:10" ht="15.75" customHeight="1">
      <c r="A632" s="73"/>
      <c r="B632" s="73"/>
      <c r="C632" s="73"/>
      <c r="D632" s="73"/>
      <c r="E632" s="73"/>
      <c r="F632" s="73"/>
      <c r="G632" s="73"/>
      <c r="H632" s="73"/>
      <c r="J632" s="73"/>
    </row>
    <row r="633" spans="1:10" ht="15.75" customHeight="1">
      <c r="A633" s="73"/>
      <c r="B633" s="73"/>
      <c r="C633" s="73"/>
      <c r="D633" s="73"/>
      <c r="E633" s="73"/>
      <c r="F633" s="73"/>
      <c r="G633" s="73"/>
      <c r="H633" s="73"/>
      <c r="J633" s="73"/>
    </row>
    <row r="634" spans="1:10" ht="15.75" customHeight="1">
      <c r="A634" s="73"/>
      <c r="B634" s="73"/>
      <c r="C634" s="73"/>
      <c r="D634" s="73"/>
      <c r="E634" s="73"/>
      <c r="F634" s="73"/>
      <c r="G634" s="73"/>
      <c r="H634" s="73"/>
      <c r="J634" s="73"/>
    </row>
    <row r="635" spans="1:10" ht="15.75" customHeight="1">
      <c r="A635" s="73"/>
      <c r="B635" s="73"/>
      <c r="C635" s="73"/>
      <c r="D635" s="73"/>
      <c r="E635" s="73"/>
      <c r="F635" s="73"/>
      <c r="G635" s="73"/>
      <c r="H635" s="73"/>
      <c r="J635" s="73"/>
    </row>
    <row r="636" spans="1:10" ht="15.75" customHeight="1">
      <c r="A636" s="73"/>
      <c r="B636" s="73"/>
      <c r="C636" s="73"/>
      <c r="D636" s="73"/>
      <c r="E636" s="73"/>
      <c r="F636" s="73"/>
      <c r="G636" s="73"/>
      <c r="H636" s="73"/>
      <c r="J636" s="73"/>
    </row>
    <row r="637" spans="1:10" ht="15.75" customHeight="1">
      <c r="A637" s="73"/>
      <c r="B637" s="73"/>
      <c r="C637" s="73"/>
      <c r="D637" s="73"/>
      <c r="E637" s="73"/>
      <c r="F637" s="73"/>
      <c r="G637" s="73"/>
      <c r="H637" s="73"/>
      <c r="J637" s="73"/>
    </row>
    <row r="638" spans="1:10" ht="15.75" customHeight="1">
      <c r="A638" s="73"/>
      <c r="B638" s="73"/>
      <c r="C638" s="73"/>
      <c r="D638" s="73"/>
      <c r="E638" s="73"/>
      <c r="F638" s="73"/>
      <c r="G638" s="73"/>
      <c r="H638" s="73"/>
      <c r="J638" s="73"/>
    </row>
    <row r="639" spans="1:10" ht="15.75" customHeight="1">
      <c r="A639" s="73"/>
      <c r="B639" s="73"/>
      <c r="C639" s="73"/>
      <c r="D639" s="73"/>
      <c r="E639" s="73"/>
      <c r="F639" s="73"/>
      <c r="G639" s="73"/>
      <c r="H639" s="73"/>
      <c r="J639" s="73"/>
    </row>
    <row r="640" spans="1:10" ht="15.75" customHeight="1">
      <c r="A640" s="73"/>
      <c r="B640" s="73"/>
      <c r="C640" s="73"/>
      <c r="D640" s="73"/>
      <c r="E640" s="73"/>
      <c r="F640" s="73"/>
      <c r="G640" s="73"/>
      <c r="H640" s="73"/>
      <c r="J640" s="73"/>
    </row>
    <row r="641" spans="1:10" ht="15.75" customHeight="1">
      <c r="A641" s="73"/>
      <c r="B641" s="73"/>
      <c r="C641" s="73"/>
      <c r="D641" s="73"/>
      <c r="E641" s="73"/>
      <c r="F641" s="73"/>
      <c r="G641" s="73"/>
      <c r="H641" s="73"/>
      <c r="J641" s="73"/>
    </row>
    <row r="642" spans="1:10" ht="15.75" customHeight="1">
      <c r="A642" s="73"/>
      <c r="B642" s="73"/>
      <c r="C642" s="73"/>
      <c r="D642" s="73"/>
      <c r="E642" s="73"/>
      <c r="F642" s="73"/>
      <c r="G642" s="73"/>
      <c r="H642" s="73"/>
      <c r="J642" s="73"/>
    </row>
    <row r="643" spans="1:10" ht="15.75" customHeight="1">
      <c r="A643" s="73"/>
      <c r="B643" s="73"/>
      <c r="C643" s="73"/>
      <c r="D643" s="73"/>
      <c r="E643" s="73"/>
      <c r="F643" s="73"/>
      <c r="G643" s="73"/>
      <c r="H643" s="73"/>
      <c r="J643" s="73"/>
    </row>
    <row r="644" spans="1:10" ht="15.75" customHeight="1">
      <c r="A644" s="73"/>
      <c r="B644" s="73"/>
      <c r="C644" s="73"/>
      <c r="D644" s="73"/>
      <c r="E644" s="73"/>
      <c r="F644" s="73"/>
      <c r="G644" s="73"/>
      <c r="H644" s="73"/>
      <c r="J644" s="73"/>
    </row>
    <row r="645" spans="1:10" ht="15.75" customHeight="1">
      <c r="A645" s="73"/>
      <c r="B645" s="73"/>
      <c r="C645" s="73"/>
      <c r="D645" s="73"/>
      <c r="E645" s="73"/>
      <c r="F645" s="73"/>
      <c r="G645" s="73"/>
      <c r="H645" s="73"/>
      <c r="J645" s="73"/>
    </row>
    <row r="646" spans="1:10" ht="15.75" customHeight="1">
      <c r="A646" s="73"/>
      <c r="B646" s="73"/>
      <c r="C646" s="73"/>
      <c r="D646" s="73"/>
      <c r="E646" s="73"/>
      <c r="F646" s="73"/>
      <c r="G646" s="73"/>
      <c r="H646" s="73"/>
      <c r="J646" s="73"/>
    </row>
    <row r="647" spans="1:10" ht="15.75" customHeight="1">
      <c r="A647" s="73"/>
      <c r="B647" s="73"/>
      <c r="C647" s="73"/>
      <c r="D647" s="73"/>
      <c r="E647" s="73"/>
      <c r="F647" s="73"/>
      <c r="G647" s="73"/>
      <c r="H647" s="73"/>
      <c r="J647" s="73"/>
    </row>
    <row r="648" spans="1:10" ht="15.75" customHeight="1">
      <c r="A648" s="73"/>
      <c r="B648" s="73"/>
      <c r="C648" s="73"/>
      <c r="D648" s="73"/>
      <c r="E648" s="73"/>
      <c r="F648" s="73"/>
      <c r="G648" s="73"/>
      <c r="H648" s="73"/>
      <c r="J648" s="73"/>
    </row>
    <row r="649" spans="1:10" ht="15.75" customHeight="1">
      <c r="A649" s="73"/>
      <c r="B649" s="73"/>
      <c r="C649" s="73"/>
      <c r="D649" s="73"/>
      <c r="E649" s="73"/>
      <c r="F649" s="73"/>
      <c r="G649" s="73"/>
      <c r="H649" s="73"/>
      <c r="J649" s="73"/>
    </row>
    <row r="650" spans="1:10" ht="15.75" customHeight="1">
      <c r="A650" s="73"/>
      <c r="B650" s="73"/>
      <c r="C650" s="73"/>
      <c r="D650" s="73"/>
      <c r="E650" s="73"/>
      <c r="F650" s="73"/>
      <c r="G650" s="73"/>
      <c r="H650" s="73"/>
      <c r="J650" s="73"/>
    </row>
    <row r="651" spans="1:10" ht="15.75" customHeight="1">
      <c r="A651" s="73"/>
      <c r="B651" s="73"/>
      <c r="C651" s="73"/>
      <c r="D651" s="73"/>
      <c r="E651" s="73"/>
      <c r="F651" s="73"/>
      <c r="G651" s="73"/>
      <c r="H651" s="73"/>
      <c r="J651" s="73"/>
    </row>
    <row r="652" spans="1:10" ht="15.75" customHeight="1">
      <c r="A652" s="73"/>
      <c r="B652" s="73"/>
      <c r="C652" s="73"/>
      <c r="D652" s="73"/>
      <c r="E652" s="73"/>
      <c r="F652" s="73"/>
      <c r="G652" s="73"/>
      <c r="H652" s="73"/>
      <c r="J652" s="73"/>
    </row>
    <row r="653" spans="1:10" ht="15.75" customHeight="1">
      <c r="A653" s="73"/>
      <c r="B653" s="73"/>
      <c r="C653" s="73"/>
      <c r="D653" s="73"/>
      <c r="E653" s="73"/>
      <c r="F653" s="73"/>
      <c r="G653" s="73"/>
      <c r="H653" s="73"/>
      <c r="J653" s="73"/>
    </row>
    <row r="654" spans="1:10" ht="15.75" customHeight="1">
      <c r="A654" s="73"/>
      <c r="B654" s="73"/>
      <c r="C654" s="73"/>
      <c r="D654" s="73"/>
      <c r="E654" s="73"/>
      <c r="F654" s="73"/>
      <c r="G654" s="73"/>
      <c r="H654" s="73"/>
      <c r="J654" s="73"/>
    </row>
    <row r="655" spans="1:10" ht="15.75" customHeight="1">
      <c r="A655" s="73"/>
      <c r="B655" s="73"/>
      <c r="C655" s="73"/>
      <c r="D655" s="73"/>
      <c r="E655" s="73"/>
      <c r="F655" s="73"/>
      <c r="G655" s="73"/>
      <c r="H655" s="73"/>
      <c r="J655" s="73"/>
    </row>
    <row r="656" spans="1:10" ht="15.75" customHeight="1">
      <c r="A656" s="73"/>
      <c r="B656" s="73"/>
      <c r="C656" s="73"/>
      <c r="D656" s="73"/>
      <c r="E656" s="73"/>
      <c r="F656" s="73"/>
      <c r="G656" s="73"/>
      <c r="H656" s="73"/>
      <c r="J656" s="73"/>
    </row>
    <row r="657" spans="1:10" ht="15.75" customHeight="1">
      <c r="A657" s="73"/>
      <c r="B657" s="73"/>
      <c r="C657" s="73"/>
      <c r="D657" s="73"/>
      <c r="E657" s="73"/>
      <c r="F657" s="73"/>
      <c r="G657" s="73"/>
      <c r="H657" s="73"/>
      <c r="J657" s="73"/>
    </row>
    <row r="658" spans="1:10" ht="15.75" customHeight="1">
      <c r="A658" s="73"/>
      <c r="B658" s="73"/>
      <c r="C658" s="73"/>
      <c r="D658" s="73"/>
      <c r="E658" s="73"/>
      <c r="F658" s="73"/>
      <c r="G658" s="73"/>
      <c r="H658" s="73"/>
      <c r="J658" s="73"/>
    </row>
    <row r="659" spans="1:10" ht="15.75" customHeight="1">
      <c r="A659" s="73"/>
      <c r="B659" s="73"/>
      <c r="C659" s="73"/>
      <c r="D659" s="73"/>
      <c r="E659" s="73"/>
      <c r="F659" s="73"/>
      <c r="G659" s="73"/>
      <c r="H659" s="73"/>
      <c r="J659" s="73"/>
    </row>
    <row r="660" spans="1:10" ht="15.75" customHeight="1">
      <c r="A660" s="73"/>
      <c r="B660" s="73"/>
      <c r="C660" s="73"/>
      <c r="D660" s="73"/>
      <c r="E660" s="73"/>
      <c r="F660" s="73"/>
      <c r="G660" s="73"/>
      <c r="H660" s="73"/>
      <c r="J660" s="73"/>
    </row>
    <row r="661" spans="1:10" ht="15.75" customHeight="1">
      <c r="A661" s="73"/>
      <c r="B661" s="73"/>
      <c r="C661" s="73"/>
      <c r="D661" s="73"/>
      <c r="E661" s="73"/>
      <c r="F661" s="73"/>
      <c r="G661" s="73"/>
      <c r="H661" s="73"/>
      <c r="J661" s="73"/>
    </row>
    <row r="662" spans="1:10" ht="15.75" customHeight="1">
      <c r="A662" s="73"/>
      <c r="B662" s="73"/>
      <c r="C662" s="73"/>
      <c r="D662" s="73"/>
      <c r="E662" s="73"/>
      <c r="F662" s="73"/>
      <c r="G662" s="73"/>
      <c r="H662" s="73"/>
      <c r="J662" s="73"/>
    </row>
    <row r="663" spans="1:10" ht="15.75" customHeight="1">
      <c r="A663" s="73"/>
      <c r="B663" s="73"/>
      <c r="C663" s="73"/>
      <c r="D663" s="73"/>
      <c r="E663" s="73"/>
      <c r="F663" s="73"/>
      <c r="G663" s="73"/>
      <c r="H663" s="73"/>
      <c r="J663" s="73"/>
    </row>
    <row r="664" spans="1:10" ht="15.75" customHeight="1">
      <c r="A664" s="73"/>
      <c r="B664" s="73"/>
      <c r="C664" s="73"/>
      <c r="D664" s="73"/>
      <c r="E664" s="73"/>
      <c r="F664" s="73"/>
      <c r="G664" s="73"/>
      <c r="H664" s="73"/>
      <c r="J664" s="73"/>
    </row>
    <row r="665" spans="1:10" ht="15.75" customHeight="1">
      <c r="A665" s="73"/>
      <c r="B665" s="73"/>
      <c r="C665" s="73"/>
      <c r="D665" s="73"/>
      <c r="E665" s="73"/>
      <c r="F665" s="73"/>
      <c r="G665" s="73"/>
      <c r="H665" s="73"/>
      <c r="J665" s="73"/>
    </row>
    <row r="666" spans="1:10" ht="15.75" customHeight="1">
      <c r="A666" s="73"/>
      <c r="B666" s="73"/>
      <c r="C666" s="73"/>
      <c r="D666" s="73"/>
      <c r="E666" s="73"/>
      <c r="F666" s="73"/>
      <c r="G666" s="73"/>
      <c r="H666" s="73"/>
      <c r="J666" s="73"/>
    </row>
    <row r="667" spans="1:10" ht="15.75" customHeight="1">
      <c r="A667" s="73"/>
      <c r="B667" s="73"/>
      <c r="C667" s="73"/>
      <c r="D667" s="73"/>
      <c r="E667" s="73"/>
      <c r="F667" s="73"/>
      <c r="G667" s="73"/>
      <c r="H667" s="73"/>
      <c r="J667" s="73"/>
    </row>
    <row r="668" spans="1:10" ht="15.75" customHeight="1">
      <c r="A668" s="73"/>
      <c r="B668" s="73"/>
      <c r="C668" s="73"/>
      <c r="D668" s="73"/>
      <c r="E668" s="73"/>
      <c r="F668" s="73"/>
      <c r="G668" s="73"/>
      <c r="H668" s="73"/>
      <c r="J668" s="73"/>
    </row>
    <row r="669" spans="1:10" ht="15.75" customHeight="1">
      <c r="A669" s="73"/>
      <c r="B669" s="73"/>
      <c r="C669" s="73"/>
      <c r="D669" s="73"/>
      <c r="E669" s="73"/>
      <c r="F669" s="73"/>
      <c r="G669" s="73"/>
      <c r="H669" s="73"/>
      <c r="J669" s="73"/>
    </row>
    <row r="670" spans="1:10" ht="15.75" customHeight="1">
      <c r="A670" s="73"/>
      <c r="B670" s="73"/>
      <c r="C670" s="73"/>
      <c r="D670" s="73"/>
      <c r="E670" s="73"/>
      <c r="F670" s="73"/>
      <c r="G670" s="73"/>
      <c r="H670" s="73"/>
      <c r="J670" s="73"/>
    </row>
    <row r="671" spans="1:10" ht="15.75" customHeight="1">
      <c r="A671" s="73"/>
      <c r="B671" s="73"/>
      <c r="C671" s="73"/>
      <c r="D671" s="73"/>
      <c r="E671" s="73"/>
      <c r="F671" s="73"/>
      <c r="G671" s="73"/>
      <c r="H671" s="73"/>
      <c r="J671" s="73"/>
    </row>
    <row r="672" spans="1:10" ht="15.75" customHeight="1">
      <c r="A672" s="73"/>
      <c r="B672" s="73"/>
      <c r="C672" s="73"/>
      <c r="D672" s="73"/>
      <c r="E672" s="73"/>
      <c r="F672" s="73"/>
      <c r="G672" s="73"/>
      <c r="H672" s="73"/>
      <c r="J672" s="73"/>
    </row>
    <row r="673" spans="1:10" ht="15.75" customHeight="1">
      <c r="A673" s="73"/>
      <c r="B673" s="73"/>
      <c r="C673" s="73"/>
      <c r="D673" s="73"/>
      <c r="E673" s="73"/>
      <c r="F673" s="73"/>
      <c r="G673" s="73"/>
      <c r="H673" s="73"/>
      <c r="J673" s="73"/>
    </row>
    <row r="674" spans="1:10" ht="15.75" customHeight="1">
      <c r="A674" s="73"/>
      <c r="B674" s="73"/>
      <c r="C674" s="73"/>
      <c r="D674" s="73"/>
      <c r="E674" s="73"/>
      <c r="F674" s="73"/>
      <c r="G674" s="73"/>
      <c r="H674" s="73"/>
      <c r="J674" s="73"/>
    </row>
    <row r="675" spans="1:10" ht="15.75" customHeight="1">
      <c r="A675" s="73"/>
      <c r="B675" s="73"/>
      <c r="C675" s="73"/>
      <c r="D675" s="73"/>
      <c r="E675" s="73"/>
      <c r="F675" s="73"/>
      <c r="G675" s="73"/>
      <c r="H675" s="73"/>
      <c r="J675" s="73"/>
    </row>
    <row r="676" spans="1:10" ht="15.75" customHeight="1">
      <c r="A676" s="73"/>
      <c r="B676" s="73"/>
      <c r="C676" s="73"/>
      <c r="D676" s="73"/>
      <c r="E676" s="73"/>
      <c r="F676" s="73"/>
      <c r="G676" s="73"/>
      <c r="H676" s="73"/>
      <c r="J676" s="73"/>
    </row>
    <row r="677" spans="1:10" ht="15.75" customHeight="1">
      <c r="A677" s="73"/>
      <c r="B677" s="73"/>
      <c r="C677" s="73"/>
      <c r="D677" s="73"/>
      <c r="E677" s="73"/>
      <c r="F677" s="73"/>
      <c r="G677" s="73"/>
      <c r="H677" s="73"/>
      <c r="J677" s="73"/>
    </row>
    <row r="678" spans="1:10" ht="15.75" customHeight="1">
      <c r="A678" s="73"/>
      <c r="B678" s="73"/>
      <c r="C678" s="73"/>
      <c r="D678" s="73"/>
      <c r="E678" s="73"/>
      <c r="F678" s="73"/>
      <c r="G678" s="73"/>
      <c r="H678" s="73"/>
      <c r="J678" s="73"/>
    </row>
    <row r="679" spans="1:10" ht="15.75" customHeight="1">
      <c r="A679" s="73"/>
      <c r="B679" s="73"/>
      <c r="C679" s="73"/>
      <c r="D679" s="73"/>
      <c r="E679" s="73"/>
      <c r="F679" s="73"/>
      <c r="G679" s="73"/>
      <c r="H679" s="73"/>
      <c r="J679" s="73"/>
    </row>
    <row r="680" spans="1:10" ht="15.75" customHeight="1">
      <c r="A680" s="73"/>
      <c r="B680" s="73"/>
      <c r="C680" s="73"/>
      <c r="D680" s="73"/>
      <c r="E680" s="73"/>
      <c r="F680" s="73"/>
      <c r="G680" s="73"/>
      <c r="H680" s="73"/>
      <c r="J680" s="73"/>
    </row>
    <row r="681" spans="1:10" ht="15.75" customHeight="1">
      <c r="A681" s="73"/>
      <c r="B681" s="73"/>
      <c r="C681" s="73"/>
      <c r="D681" s="73"/>
      <c r="E681" s="73"/>
      <c r="F681" s="73"/>
      <c r="G681" s="73"/>
      <c r="H681" s="73"/>
      <c r="J681" s="73"/>
    </row>
    <row r="682" spans="1:10" ht="15.75" customHeight="1">
      <c r="A682" s="73"/>
      <c r="B682" s="73"/>
      <c r="C682" s="73"/>
      <c r="D682" s="73"/>
      <c r="E682" s="73"/>
      <c r="F682" s="73"/>
      <c r="G682" s="73"/>
      <c r="H682" s="73"/>
      <c r="J682" s="73"/>
    </row>
    <row r="683" spans="1:10" ht="15.75" customHeight="1">
      <c r="A683" s="73"/>
      <c r="B683" s="73"/>
      <c r="C683" s="73"/>
      <c r="D683" s="73"/>
      <c r="E683" s="73"/>
      <c r="F683" s="73"/>
      <c r="G683" s="73"/>
      <c r="H683" s="73"/>
      <c r="J683" s="73"/>
    </row>
    <row r="684" spans="1:10" ht="15.75" customHeight="1">
      <c r="A684" s="73"/>
      <c r="B684" s="73"/>
      <c r="C684" s="73"/>
      <c r="D684" s="73"/>
      <c r="E684" s="73"/>
      <c r="F684" s="73"/>
      <c r="G684" s="73"/>
      <c r="H684" s="73"/>
      <c r="J684" s="73"/>
    </row>
    <row r="685" spans="1:10" ht="15.75" customHeight="1">
      <c r="A685" s="73"/>
      <c r="B685" s="73"/>
      <c r="C685" s="73"/>
      <c r="D685" s="73"/>
      <c r="E685" s="73"/>
      <c r="F685" s="73"/>
      <c r="G685" s="73"/>
      <c r="H685" s="73"/>
      <c r="J685" s="73"/>
    </row>
    <row r="686" spans="1:10" ht="15.75" customHeight="1">
      <c r="A686" s="73"/>
      <c r="B686" s="73"/>
      <c r="C686" s="73"/>
      <c r="D686" s="73"/>
      <c r="E686" s="73"/>
      <c r="F686" s="73"/>
      <c r="G686" s="73"/>
      <c r="H686" s="73"/>
      <c r="J686" s="73"/>
    </row>
    <row r="687" spans="1:10" ht="15.75" customHeight="1">
      <c r="A687" s="73"/>
      <c r="B687" s="73"/>
      <c r="C687" s="73"/>
      <c r="D687" s="73"/>
      <c r="E687" s="73"/>
      <c r="F687" s="73"/>
      <c r="G687" s="73"/>
      <c r="H687" s="73"/>
      <c r="J687" s="73"/>
    </row>
    <row r="688" spans="1:10" ht="15.75" customHeight="1">
      <c r="A688" s="73"/>
      <c r="B688" s="73"/>
      <c r="C688" s="73"/>
      <c r="D688" s="73"/>
      <c r="E688" s="73"/>
      <c r="F688" s="73"/>
      <c r="G688" s="73"/>
      <c r="H688" s="73"/>
      <c r="J688" s="73"/>
    </row>
    <row r="689" spans="1:10" ht="15.75" customHeight="1">
      <c r="A689" s="73"/>
      <c r="B689" s="73"/>
      <c r="C689" s="73"/>
      <c r="D689" s="73"/>
      <c r="E689" s="73"/>
      <c r="F689" s="73"/>
      <c r="G689" s="73"/>
      <c r="H689" s="73"/>
      <c r="J689" s="73"/>
    </row>
    <row r="690" spans="1:10" ht="15.75" customHeight="1">
      <c r="A690" s="73"/>
      <c r="B690" s="73"/>
      <c r="C690" s="73"/>
      <c r="D690" s="73"/>
      <c r="E690" s="73"/>
      <c r="F690" s="73"/>
      <c r="G690" s="73"/>
      <c r="H690" s="73"/>
      <c r="J690" s="73"/>
    </row>
    <row r="691" spans="1:10" ht="15.75" customHeight="1">
      <c r="A691" s="73"/>
      <c r="B691" s="73"/>
      <c r="C691" s="73"/>
      <c r="D691" s="73"/>
      <c r="E691" s="73"/>
      <c r="F691" s="73"/>
      <c r="G691" s="73"/>
      <c r="H691" s="73"/>
      <c r="J691" s="73"/>
    </row>
    <row r="692" spans="1:10" ht="15.75" customHeight="1">
      <c r="A692" s="73"/>
      <c r="B692" s="73"/>
      <c r="C692" s="73"/>
      <c r="D692" s="73"/>
      <c r="E692" s="73"/>
      <c r="F692" s="73"/>
      <c r="G692" s="73"/>
      <c r="H692" s="73"/>
      <c r="J692" s="73"/>
    </row>
    <row r="693" spans="1:10" ht="15.75" customHeight="1">
      <c r="A693" s="73"/>
      <c r="B693" s="73"/>
      <c r="C693" s="73"/>
      <c r="D693" s="73"/>
      <c r="E693" s="73"/>
      <c r="F693" s="73"/>
      <c r="G693" s="73"/>
      <c r="H693" s="73"/>
      <c r="J693" s="73"/>
    </row>
    <row r="694" spans="1:10" ht="15.75" customHeight="1">
      <c r="A694" s="73"/>
      <c r="B694" s="73"/>
      <c r="C694" s="73"/>
      <c r="D694" s="73"/>
      <c r="E694" s="73"/>
      <c r="F694" s="73"/>
      <c r="G694" s="73"/>
      <c r="H694" s="73"/>
      <c r="J694" s="73"/>
    </row>
    <row r="695" spans="1:10" ht="15.75" customHeight="1">
      <c r="A695" s="73"/>
      <c r="B695" s="73"/>
      <c r="C695" s="73"/>
      <c r="D695" s="73"/>
      <c r="E695" s="73"/>
      <c r="F695" s="73"/>
      <c r="G695" s="73"/>
      <c r="H695" s="73"/>
      <c r="J695" s="73"/>
    </row>
    <row r="696" spans="1:10" ht="15.75" customHeight="1">
      <c r="A696" s="73"/>
      <c r="B696" s="73"/>
      <c r="C696" s="73"/>
      <c r="D696" s="73"/>
      <c r="E696" s="73"/>
      <c r="F696" s="73"/>
      <c r="G696" s="73"/>
      <c r="H696" s="73"/>
      <c r="J696" s="73"/>
    </row>
    <row r="697" spans="1:10" ht="15.75" customHeight="1">
      <c r="A697" s="73"/>
      <c r="B697" s="73"/>
      <c r="C697" s="73"/>
      <c r="D697" s="73"/>
      <c r="E697" s="73"/>
      <c r="F697" s="73"/>
      <c r="G697" s="73"/>
      <c r="H697" s="73"/>
      <c r="J697" s="73"/>
    </row>
    <row r="698" spans="1:10" ht="15.75" customHeight="1">
      <c r="A698" s="73"/>
      <c r="B698" s="73"/>
      <c r="C698" s="73"/>
      <c r="D698" s="73"/>
      <c r="E698" s="73"/>
      <c r="F698" s="73"/>
      <c r="G698" s="73"/>
      <c r="H698" s="73"/>
      <c r="J698" s="73"/>
    </row>
    <row r="699" spans="1:10" ht="15.75" customHeight="1">
      <c r="A699" s="73"/>
      <c r="B699" s="73"/>
      <c r="C699" s="73"/>
      <c r="D699" s="73"/>
      <c r="E699" s="73"/>
      <c r="F699" s="73"/>
      <c r="G699" s="73"/>
      <c r="H699" s="73"/>
      <c r="J699" s="73"/>
    </row>
    <row r="700" spans="1:10" ht="15.75" customHeight="1">
      <c r="A700" s="73"/>
      <c r="B700" s="73"/>
      <c r="C700" s="73"/>
      <c r="D700" s="73"/>
      <c r="E700" s="73"/>
      <c r="F700" s="73"/>
      <c r="G700" s="73"/>
      <c r="H700" s="73"/>
      <c r="J700" s="73"/>
    </row>
    <row r="701" spans="1:10" ht="15.75" customHeight="1">
      <c r="A701" s="73"/>
      <c r="B701" s="73"/>
      <c r="C701" s="73"/>
      <c r="D701" s="73"/>
      <c r="E701" s="73"/>
      <c r="F701" s="73"/>
      <c r="G701" s="73"/>
      <c r="H701" s="73"/>
      <c r="J701" s="73"/>
    </row>
    <row r="702" spans="1:10" ht="15.75" customHeight="1">
      <c r="A702" s="73"/>
      <c r="B702" s="73"/>
      <c r="C702" s="73"/>
      <c r="D702" s="73"/>
      <c r="E702" s="73"/>
      <c r="F702" s="73"/>
      <c r="G702" s="73"/>
      <c r="H702" s="73"/>
      <c r="J702" s="73"/>
    </row>
    <row r="703" spans="1:10" ht="15.75" customHeight="1">
      <c r="A703" s="73"/>
      <c r="B703" s="73"/>
      <c r="C703" s="73"/>
      <c r="D703" s="73"/>
      <c r="E703" s="73"/>
      <c r="F703" s="73"/>
      <c r="G703" s="73"/>
      <c r="H703" s="73"/>
      <c r="J703" s="73"/>
    </row>
    <row r="704" spans="1:10" ht="15.75" customHeight="1">
      <c r="A704" s="73"/>
      <c r="B704" s="73"/>
      <c r="C704" s="73"/>
      <c r="D704" s="73"/>
      <c r="E704" s="73"/>
      <c r="F704" s="73"/>
      <c r="G704" s="73"/>
      <c r="H704" s="73"/>
      <c r="J704" s="73"/>
    </row>
    <row r="705" spans="1:10" ht="15.75" customHeight="1">
      <c r="A705" s="73"/>
      <c r="B705" s="73"/>
      <c r="C705" s="73"/>
      <c r="D705" s="73"/>
      <c r="E705" s="73"/>
      <c r="F705" s="73"/>
      <c r="G705" s="73"/>
      <c r="H705" s="73"/>
      <c r="J705" s="73"/>
    </row>
    <row r="706" spans="1:10" ht="15.75" customHeight="1">
      <c r="A706" s="73"/>
      <c r="B706" s="73"/>
      <c r="C706" s="73"/>
      <c r="D706" s="73"/>
      <c r="E706" s="73"/>
      <c r="F706" s="73"/>
      <c r="G706" s="73"/>
      <c r="H706" s="73"/>
      <c r="J706" s="73"/>
    </row>
    <row r="707" spans="1:10" ht="15.75" customHeight="1">
      <c r="A707" s="73"/>
      <c r="B707" s="73"/>
      <c r="C707" s="73"/>
      <c r="D707" s="73"/>
      <c r="E707" s="73"/>
      <c r="F707" s="73"/>
      <c r="G707" s="73"/>
      <c r="H707" s="73"/>
      <c r="J707" s="73"/>
    </row>
    <row r="708" spans="1:10" ht="15.75" customHeight="1">
      <c r="A708" s="73"/>
      <c r="B708" s="73"/>
      <c r="C708" s="73"/>
      <c r="D708" s="73"/>
      <c r="E708" s="73"/>
      <c r="F708" s="73"/>
      <c r="G708" s="73"/>
      <c r="H708" s="73"/>
      <c r="J708" s="73"/>
    </row>
    <row r="709" spans="1:10" ht="15.75" customHeight="1">
      <c r="A709" s="73"/>
      <c r="B709" s="73"/>
      <c r="C709" s="73"/>
      <c r="D709" s="73"/>
      <c r="E709" s="73"/>
      <c r="F709" s="73"/>
      <c r="G709" s="73"/>
      <c r="H709" s="73"/>
      <c r="J709" s="73"/>
    </row>
    <row r="710" spans="1:10" ht="15.75" customHeight="1">
      <c r="A710" s="73"/>
      <c r="B710" s="73"/>
      <c r="C710" s="73"/>
      <c r="D710" s="73"/>
      <c r="E710" s="73"/>
      <c r="F710" s="73"/>
      <c r="G710" s="73"/>
      <c r="H710" s="73"/>
      <c r="J710" s="73"/>
    </row>
    <row r="711" spans="1:10" ht="15.75" customHeight="1">
      <c r="A711" s="73"/>
      <c r="B711" s="73"/>
      <c r="C711" s="73"/>
      <c r="D711" s="73"/>
      <c r="E711" s="73"/>
      <c r="F711" s="73"/>
      <c r="G711" s="73"/>
      <c r="H711" s="73"/>
      <c r="J711" s="73"/>
    </row>
    <row r="712" spans="1:10" ht="15.75" customHeight="1">
      <c r="A712" s="73"/>
      <c r="B712" s="73"/>
      <c r="C712" s="73"/>
      <c r="D712" s="73"/>
      <c r="E712" s="73"/>
      <c r="F712" s="73"/>
      <c r="G712" s="73"/>
      <c r="H712" s="73"/>
      <c r="J712" s="73"/>
    </row>
    <row r="713" spans="1:10" ht="15.75" customHeight="1">
      <c r="A713" s="73"/>
      <c r="B713" s="73"/>
      <c r="C713" s="73"/>
      <c r="D713" s="73"/>
      <c r="E713" s="73"/>
      <c r="F713" s="73"/>
      <c r="G713" s="73"/>
      <c r="H713" s="73"/>
      <c r="J713" s="73"/>
    </row>
    <row r="714" spans="1:10" ht="15.75" customHeight="1">
      <c r="A714" s="73"/>
      <c r="B714" s="73"/>
      <c r="C714" s="73"/>
      <c r="D714" s="73"/>
      <c r="E714" s="73"/>
      <c r="F714" s="73"/>
      <c r="G714" s="73"/>
      <c r="H714" s="73"/>
      <c r="J714" s="73"/>
    </row>
    <row r="715" spans="1:10" ht="15.75" customHeight="1">
      <c r="A715" s="73"/>
      <c r="B715" s="73"/>
      <c r="C715" s="73"/>
      <c r="D715" s="73"/>
      <c r="E715" s="73"/>
      <c r="F715" s="73"/>
      <c r="G715" s="73"/>
      <c r="H715" s="73"/>
      <c r="J715" s="73"/>
    </row>
    <row r="716" spans="1:10" ht="15.75" customHeight="1">
      <c r="A716" s="73"/>
      <c r="B716" s="73"/>
      <c r="C716" s="73"/>
      <c r="D716" s="73"/>
      <c r="E716" s="73"/>
      <c r="F716" s="73"/>
      <c r="G716" s="73"/>
      <c r="H716" s="73"/>
      <c r="J716" s="73"/>
    </row>
    <row r="717" spans="1:10" ht="15.75" customHeight="1">
      <c r="A717" s="73"/>
      <c r="B717" s="73"/>
      <c r="C717" s="73"/>
      <c r="D717" s="73"/>
      <c r="E717" s="73"/>
      <c r="F717" s="73"/>
      <c r="G717" s="73"/>
      <c r="H717" s="73"/>
      <c r="J717" s="73"/>
    </row>
    <row r="718" spans="1:10" ht="15.75" customHeight="1">
      <c r="A718" s="73"/>
      <c r="B718" s="73"/>
      <c r="C718" s="73"/>
      <c r="D718" s="73"/>
      <c r="E718" s="73"/>
      <c r="F718" s="73"/>
      <c r="G718" s="73"/>
      <c r="H718" s="73"/>
      <c r="J718" s="73"/>
    </row>
    <row r="719" spans="1:10" ht="15.75" customHeight="1">
      <c r="A719" s="73"/>
      <c r="B719" s="73"/>
      <c r="C719" s="73"/>
      <c r="D719" s="73"/>
      <c r="E719" s="73"/>
      <c r="F719" s="73"/>
      <c r="G719" s="73"/>
      <c r="H719" s="73"/>
      <c r="J719" s="73"/>
    </row>
    <row r="720" spans="1:10" ht="15.75" customHeight="1">
      <c r="A720" s="73"/>
      <c r="B720" s="73"/>
      <c r="C720" s="73"/>
      <c r="D720" s="73"/>
      <c r="E720" s="73"/>
      <c r="F720" s="73"/>
      <c r="G720" s="73"/>
      <c r="H720" s="73"/>
      <c r="J720" s="73"/>
    </row>
    <row r="721" spans="1:10" ht="15.75" customHeight="1">
      <c r="A721" s="73"/>
      <c r="B721" s="73"/>
      <c r="C721" s="73"/>
      <c r="D721" s="73"/>
      <c r="E721" s="73"/>
      <c r="F721" s="73"/>
      <c r="G721" s="73"/>
      <c r="H721" s="73"/>
      <c r="J721" s="73"/>
    </row>
    <row r="722" spans="1:10" ht="15.75" customHeight="1">
      <c r="A722" s="73"/>
      <c r="B722" s="73"/>
      <c r="C722" s="73"/>
      <c r="D722" s="73"/>
      <c r="E722" s="73"/>
      <c r="F722" s="73"/>
      <c r="G722" s="73"/>
      <c r="H722" s="73"/>
      <c r="J722" s="73"/>
    </row>
    <row r="723" spans="1:10" ht="15.75" customHeight="1">
      <c r="A723" s="73"/>
      <c r="B723" s="73"/>
      <c r="C723" s="73"/>
      <c r="D723" s="73"/>
      <c r="E723" s="73"/>
      <c r="F723" s="73"/>
      <c r="G723" s="73"/>
      <c r="H723" s="73"/>
      <c r="J723" s="73"/>
    </row>
    <row r="724" spans="1:10" ht="15.75" customHeight="1">
      <c r="A724" s="73"/>
      <c r="B724" s="73"/>
      <c r="C724" s="73"/>
      <c r="D724" s="73"/>
      <c r="E724" s="73"/>
      <c r="F724" s="73"/>
      <c r="G724" s="73"/>
      <c r="H724" s="73"/>
      <c r="J724" s="73"/>
    </row>
    <row r="725" spans="1:10" ht="15.75" customHeight="1">
      <c r="A725" s="73"/>
      <c r="B725" s="73"/>
      <c r="C725" s="73"/>
      <c r="D725" s="73"/>
      <c r="E725" s="73"/>
      <c r="F725" s="73"/>
      <c r="G725" s="73"/>
      <c r="H725" s="73"/>
      <c r="J725" s="73"/>
    </row>
    <row r="726" spans="1:10" ht="15.75" customHeight="1">
      <c r="A726" s="73"/>
      <c r="B726" s="73"/>
      <c r="C726" s="73"/>
      <c r="D726" s="73"/>
      <c r="E726" s="73"/>
      <c r="F726" s="73"/>
      <c r="G726" s="73"/>
      <c r="H726" s="73"/>
      <c r="J726" s="73"/>
    </row>
    <row r="727" spans="1:10" ht="15.75" customHeight="1">
      <c r="A727" s="73"/>
      <c r="B727" s="73"/>
      <c r="C727" s="73"/>
      <c r="D727" s="73"/>
      <c r="E727" s="73"/>
      <c r="F727" s="73"/>
      <c r="G727" s="73"/>
      <c r="H727" s="73"/>
      <c r="J727" s="73"/>
    </row>
    <row r="728" spans="1:10" ht="15.75" customHeight="1">
      <c r="A728" s="73"/>
      <c r="B728" s="73"/>
      <c r="C728" s="73"/>
      <c r="D728" s="73"/>
      <c r="E728" s="73"/>
      <c r="F728" s="73"/>
      <c r="G728" s="73"/>
      <c r="H728" s="73"/>
      <c r="J728" s="73"/>
    </row>
    <row r="729" spans="1:10" ht="15.75" customHeight="1">
      <c r="A729" s="73"/>
      <c r="B729" s="73"/>
      <c r="C729" s="73"/>
      <c r="D729" s="73"/>
      <c r="E729" s="73"/>
      <c r="F729" s="73"/>
      <c r="G729" s="73"/>
      <c r="H729" s="73"/>
      <c r="J729" s="73"/>
    </row>
    <row r="730" spans="1:10" ht="15.75" customHeight="1">
      <c r="A730" s="73"/>
      <c r="B730" s="73"/>
      <c r="C730" s="73"/>
      <c r="D730" s="73"/>
      <c r="E730" s="73"/>
      <c r="F730" s="73"/>
      <c r="G730" s="73"/>
      <c r="H730" s="73"/>
      <c r="J730" s="73"/>
    </row>
    <row r="731" spans="1:10" ht="15.75" customHeight="1">
      <c r="A731" s="73"/>
      <c r="B731" s="73"/>
      <c r="C731" s="73"/>
      <c r="D731" s="73"/>
      <c r="E731" s="73"/>
      <c r="F731" s="73"/>
      <c r="G731" s="73"/>
      <c r="H731" s="73"/>
      <c r="J731" s="73"/>
    </row>
    <row r="732" spans="1:10" ht="15.75" customHeight="1">
      <c r="A732" s="73"/>
      <c r="B732" s="73"/>
      <c r="C732" s="73"/>
      <c r="D732" s="73"/>
      <c r="E732" s="73"/>
      <c r="F732" s="73"/>
      <c r="G732" s="73"/>
      <c r="H732" s="73"/>
      <c r="J732" s="73"/>
    </row>
    <row r="733" spans="1:10" ht="15.75" customHeight="1">
      <c r="A733" s="73"/>
      <c r="B733" s="73"/>
      <c r="C733" s="73"/>
      <c r="D733" s="73"/>
      <c r="E733" s="73"/>
      <c r="F733" s="73"/>
      <c r="G733" s="73"/>
      <c r="H733" s="73"/>
      <c r="J733" s="73"/>
    </row>
    <row r="734" spans="1:10" ht="15.75" customHeight="1">
      <c r="A734" s="73"/>
      <c r="B734" s="73"/>
      <c r="C734" s="73"/>
      <c r="D734" s="73"/>
      <c r="E734" s="73"/>
      <c r="F734" s="73"/>
      <c r="G734" s="73"/>
      <c r="H734" s="73"/>
      <c r="J734" s="73"/>
    </row>
    <row r="735" spans="1:10" ht="15.75" customHeight="1">
      <c r="A735" s="73"/>
      <c r="B735" s="73"/>
      <c r="C735" s="73"/>
      <c r="D735" s="73"/>
      <c r="E735" s="73"/>
      <c r="F735" s="73"/>
      <c r="G735" s="73"/>
      <c r="H735" s="73"/>
      <c r="J735" s="73"/>
    </row>
    <row r="736" spans="1:10" ht="15.75" customHeight="1">
      <c r="A736" s="73"/>
      <c r="B736" s="73"/>
      <c r="C736" s="73"/>
      <c r="D736" s="73"/>
      <c r="E736" s="73"/>
      <c r="F736" s="73"/>
      <c r="G736" s="73"/>
      <c r="H736" s="73"/>
      <c r="J736" s="73"/>
    </row>
    <row r="737" spans="1:10" ht="15.75" customHeight="1">
      <c r="A737" s="73"/>
      <c r="B737" s="73"/>
      <c r="C737" s="73"/>
      <c r="D737" s="73"/>
      <c r="E737" s="73"/>
      <c r="F737" s="73"/>
      <c r="G737" s="73"/>
      <c r="H737" s="73"/>
      <c r="J737" s="73"/>
    </row>
    <row r="738" spans="1:10" ht="15.75" customHeight="1">
      <c r="A738" s="73"/>
      <c r="B738" s="73"/>
      <c r="C738" s="73"/>
      <c r="D738" s="73"/>
      <c r="E738" s="73"/>
      <c r="F738" s="73"/>
      <c r="G738" s="73"/>
      <c r="H738" s="73"/>
      <c r="J738" s="73"/>
    </row>
    <row r="739" spans="1:10" ht="15.75" customHeight="1">
      <c r="A739" s="73"/>
      <c r="B739" s="73"/>
      <c r="C739" s="73"/>
      <c r="D739" s="73"/>
      <c r="E739" s="73"/>
      <c r="F739" s="73"/>
      <c r="G739" s="73"/>
      <c r="H739" s="73"/>
      <c r="J739" s="73"/>
    </row>
    <row r="740" spans="1:10" ht="15.75" customHeight="1">
      <c r="A740" s="73"/>
      <c r="B740" s="73"/>
      <c r="C740" s="73"/>
      <c r="D740" s="73"/>
      <c r="E740" s="73"/>
      <c r="F740" s="73"/>
      <c r="G740" s="73"/>
      <c r="H740" s="73"/>
      <c r="J740" s="73"/>
    </row>
    <row r="741" spans="1:10" ht="15.75" customHeight="1">
      <c r="A741" s="73"/>
      <c r="B741" s="73"/>
      <c r="C741" s="73"/>
      <c r="D741" s="73"/>
      <c r="E741" s="73"/>
      <c r="F741" s="73"/>
      <c r="G741" s="73"/>
      <c r="H741" s="73"/>
      <c r="J741" s="73"/>
    </row>
    <row r="742" spans="1:10" ht="15.75" customHeight="1">
      <c r="A742" s="73"/>
      <c r="B742" s="73"/>
      <c r="C742" s="73"/>
      <c r="D742" s="73"/>
      <c r="E742" s="73"/>
      <c r="F742" s="73"/>
      <c r="G742" s="73"/>
      <c r="H742" s="73"/>
      <c r="J742" s="73"/>
    </row>
    <row r="743" spans="1:10" ht="15.75" customHeight="1">
      <c r="A743" s="73"/>
      <c r="B743" s="73"/>
      <c r="C743" s="73"/>
      <c r="D743" s="73"/>
      <c r="E743" s="73"/>
      <c r="F743" s="73"/>
      <c r="G743" s="73"/>
      <c r="H743" s="73"/>
      <c r="J743" s="73"/>
    </row>
    <row r="744" spans="1:10" ht="15.75" customHeight="1">
      <c r="A744" s="73"/>
      <c r="B744" s="73"/>
      <c r="C744" s="73"/>
      <c r="D744" s="73"/>
      <c r="E744" s="73"/>
      <c r="F744" s="73"/>
      <c r="G744" s="73"/>
      <c r="H744" s="73"/>
      <c r="J744" s="73"/>
    </row>
    <row r="745" spans="1:10" ht="15.75" customHeight="1">
      <c r="A745" s="73"/>
      <c r="B745" s="73"/>
      <c r="C745" s="73"/>
      <c r="D745" s="73"/>
      <c r="E745" s="73"/>
      <c r="F745" s="73"/>
      <c r="G745" s="73"/>
      <c r="H745" s="73"/>
      <c r="J745" s="73"/>
    </row>
    <row r="746" spans="1:10" ht="15.75" customHeight="1">
      <c r="A746" s="73"/>
      <c r="B746" s="73"/>
      <c r="C746" s="73"/>
      <c r="D746" s="73"/>
      <c r="E746" s="73"/>
      <c r="F746" s="73"/>
      <c r="G746" s="73"/>
      <c r="H746" s="73"/>
      <c r="J746" s="73"/>
    </row>
    <row r="747" spans="1:10" ht="15.75" customHeight="1">
      <c r="A747" s="73"/>
      <c r="B747" s="73"/>
      <c r="C747" s="73"/>
      <c r="D747" s="73"/>
      <c r="E747" s="73"/>
      <c r="F747" s="73"/>
      <c r="G747" s="73"/>
      <c r="H747" s="73"/>
      <c r="J747" s="73"/>
    </row>
    <row r="748" spans="1:10" ht="15.75" customHeight="1">
      <c r="A748" s="73"/>
      <c r="B748" s="73"/>
      <c r="C748" s="73"/>
      <c r="D748" s="73"/>
      <c r="E748" s="73"/>
      <c r="F748" s="73"/>
      <c r="G748" s="73"/>
      <c r="H748" s="73"/>
      <c r="J748" s="73"/>
    </row>
    <row r="749" spans="1:10" ht="15.75" customHeight="1">
      <c r="A749" s="73"/>
      <c r="B749" s="73"/>
      <c r="C749" s="73"/>
      <c r="D749" s="73"/>
      <c r="E749" s="73"/>
      <c r="F749" s="73"/>
      <c r="G749" s="73"/>
      <c r="H749" s="73"/>
      <c r="J749" s="73"/>
    </row>
    <row r="750" spans="1:10" ht="15.75" customHeight="1">
      <c r="A750" s="73"/>
      <c r="B750" s="73"/>
      <c r="C750" s="73"/>
      <c r="D750" s="73"/>
      <c r="E750" s="73"/>
      <c r="F750" s="73"/>
      <c r="G750" s="73"/>
      <c r="H750" s="73"/>
      <c r="J750" s="73"/>
    </row>
    <row r="751" spans="1:10" ht="15.75" customHeight="1">
      <c r="A751" s="73"/>
      <c r="B751" s="73"/>
      <c r="C751" s="73"/>
      <c r="D751" s="73"/>
      <c r="E751" s="73"/>
      <c r="F751" s="73"/>
      <c r="G751" s="73"/>
      <c r="H751" s="73"/>
      <c r="J751" s="73"/>
    </row>
    <row r="752" spans="1:10" ht="15.75" customHeight="1">
      <c r="A752" s="73"/>
      <c r="B752" s="73"/>
      <c r="C752" s="73"/>
      <c r="D752" s="73"/>
      <c r="E752" s="73"/>
      <c r="F752" s="73"/>
      <c r="G752" s="73"/>
      <c r="H752" s="73"/>
      <c r="J752" s="73"/>
    </row>
    <row r="753" spans="1:10" ht="15.75" customHeight="1">
      <c r="A753" s="73"/>
      <c r="B753" s="73"/>
      <c r="C753" s="73"/>
      <c r="D753" s="73"/>
      <c r="E753" s="73"/>
      <c r="F753" s="73"/>
      <c r="G753" s="73"/>
      <c r="H753" s="73"/>
      <c r="J753" s="73"/>
    </row>
    <row r="754" spans="1:10" ht="15.75" customHeight="1">
      <c r="A754" s="73"/>
      <c r="B754" s="73"/>
      <c r="C754" s="73"/>
      <c r="D754" s="73"/>
      <c r="E754" s="73"/>
      <c r="F754" s="73"/>
      <c r="G754" s="73"/>
      <c r="H754" s="73"/>
      <c r="J754" s="73"/>
    </row>
    <row r="755" spans="1:10" ht="15.75" customHeight="1">
      <c r="A755" s="73"/>
      <c r="B755" s="73"/>
      <c r="C755" s="73"/>
      <c r="D755" s="73"/>
      <c r="E755" s="73"/>
      <c r="F755" s="73"/>
      <c r="G755" s="73"/>
      <c r="H755" s="73"/>
      <c r="J755" s="73"/>
    </row>
    <row r="756" spans="1:10" ht="15.75" customHeight="1">
      <c r="A756" s="73"/>
      <c r="B756" s="73"/>
      <c r="C756" s="73"/>
      <c r="D756" s="73"/>
      <c r="E756" s="73"/>
      <c r="F756" s="73"/>
      <c r="G756" s="73"/>
      <c r="H756" s="73"/>
      <c r="J756" s="73"/>
    </row>
    <row r="757" spans="1:10" ht="15.75" customHeight="1">
      <c r="A757" s="73"/>
      <c r="B757" s="73"/>
      <c r="C757" s="73"/>
      <c r="D757" s="73"/>
      <c r="E757" s="73"/>
      <c r="F757" s="73"/>
      <c r="G757" s="73"/>
      <c r="H757" s="73"/>
      <c r="J757" s="73"/>
    </row>
    <row r="758" spans="1:10" ht="15.75" customHeight="1">
      <c r="A758" s="73"/>
      <c r="B758" s="73"/>
      <c r="C758" s="73"/>
      <c r="D758" s="73"/>
      <c r="E758" s="73"/>
      <c r="F758" s="73"/>
      <c r="G758" s="73"/>
      <c r="H758" s="73"/>
      <c r="J758" s="73"/>
    </row>
    <row r="759" spans="1:10" ht="15.75" customHeight="1">
      <c r="A759" s="73"/>
      <c r="B759" s="73"/>
      <c r="C759" s="73"/>
      <c r="D759" s="73"/>
      <c r="E759" s="73"/>
      <c r="F759" s="73"/>
      <c r="G759" s="73"/>
      <c r="H759" s="73"/>
      <c r="J759" s="73"/>
    </row>
    <row r="760" spans="1:10" ht="15.75" customHeight="1">
      <c r="A760" s="73"/>
      <c r="B760" s="73"/>
      <c r="C760" s="73"/>
      <c r="D760" s="73"/>
      <c r="E760" s="73"/>
      <c r="F760" s="73"/>
      <c r="G760" s="73"/>
      <c r="H760" s="73"/>
      <c r="J760" s="73"/>
    </row>
    <row r="761" spans="1:10" ht="15.75" customHeight="1">
      <c r="A761" s="73"/>
      <c r="B761" s="73"/>
      <c r="C761" s="73"/>
      <c r="D761" s="73"/>
      <c r="E761" s="73"/>
      <c r="F761" s="73"/>
      <c r="G761" s="73"/>
      <c r="H761" s="73"/>
      <c r="J761" s="73"/>
    </row>
    <row r="762" spans="1:10" ht="15.75" customHeight="1">
      <c r="A762" s="73"/>
      <c r="B762" s="73"/>
      <c r="C762" s="73"/>
      <c r="D762" s="73"/>
      <c r="E762" s="73"/>
      <c r="F762" s="73"/>
      <c r="G762" s="73"/>
      <c r="H762" s="73"/>
      <c r="J762" s="73"/>
    </row>
    <row r="763" spans="1:10" ht="15.75" customHeight="1">
      <c r="A763" s="73"/>
      <c r="B763" s="73"/>
      <c r="C763" s="73"/>
      <c r="D763" s="73"/>
      <c r="E763" s="73"/>
      <c r="F763" s="73"/>
      <c r="G763" s="73"/>
      <c r="H763" s="73"/>
      <c r="J763" s="73"/>
    </row>
    <row r="764" spans="1:10" ht="15.75" customHeight="1">
      <c r="A764" s="73"/>
      <c r="B764" s="73"/>
      <c r="C764" s="73"/>
      <c r="D764" s="73"/>
      <c r="E764" s="73"/>
      <c r="F764" s="73"/>
      <c r="G764" s="73"/>
      <c r="H764" s="73"/>
      <c r="J764" s="73"/>
    </row>
    <row r="765" spans="1:10" ht="15.75" customHeight="1">
      <c r="A765" s="73"/>
      <c r="B765" s="73"/>
      <c r="C765" s="73"/>
      <c r="D765" s="73"/>
      <c r="E765" s="73"/>
      <c r="F765" s="73"/>
      <c r="G765" s="73"/>
      <c r="H765" s="73"/>
      <c r="J765" s="73"/>
    </row>
    <row r="766" spans="1:10" ht="15.75" customHeight="1">
      <c r="A766" s="73"/>
      <c r="B766" s="73"/>
      <c r="C766" s="73"/>
      <c r="D766" s="73"/>
      <c r="E766" s="73"/>
      <c r="F766" s="73"/>
      <c r="G766" s="73"/>
      <c r="H766" s="73"/>
      <c r="J766" s="73"/>
    </row>
    <row r="767" spans="1:10" ht="15.75" customHeight="1">
      <c r="A767" s="73"/>
      <c r="B767" s="73"/>
      <c r="C767" s="73"/>
      <c r="D767" s="73"/>
      <c r="E767" s="73"/>
      <c r="F767" s="73"/>
      <c r="G767" s="73"/>
      <c r="H767" s="73"/>
      <c r="J767" s="73"/>
    </row>
    <row r="768" spans="1:10" ht="15.75" customHeight="1">
      <c r="A768" s="73"/>
      <c r="B768" s="73"/>
      <c r="C768" s="73"/>
      <c r="D768" s="73"/>
      <c r="E768" s="73"/>
      <c r="F768" s="73"/>
      <c r="G768" s="73"/>
      <c r="H768" s="73"/>
      <c r="J768" s="73"/>
    </row>
    <row r="769" spans="1:10" ht="15.75" customHeight="1">
      <c r="A769" s="73"/>
      <c r="B769" s="73"/>
      <c r="C769" s="73"/>
      <c r="D769" s="73"/>
      <c r="E769" s="73"/>
      <c r="F769" s="73"/>
      <c r="G769" s="73"/>
      <c r="H769" s="73"/>
      <c r="J769" s="73"/>
    </row>
    <row r="770" spans="1:10" ht="15.75" customHeight="1">
      <c r="A770" s="73"/>
      <c r="B770" s="73"/>
      <c r="C770" s="73"/>
      <c r="D770" s="73"/>
      <c r="E770" s="73"/>
      <c r="F770" s="73"/>
      <c r="G770" s="73"/>
      <c r="H770" s="73"/>
      <c r="J770" s="73"/>
    </row>
    <row r="771" spans="1:10" ht="15.75" customHeight="1">
      <c r="A771" s="73"/>
      <c r="B771" s="73"/>
      <c r="C771" s="73"/>
      <c r="D771" s="73"/>
      <c r="E771" s="73"/>
      <c r="F771" s="73"/>
      <c r="G771" s="73"/>
      <c r="H771" s="73"/>
      <c r="J771" s="73"/>
    </row>
    <row r="772" spans="1:10" ht="15.75" customHeight="1">
      <c r="A772" s="73"/>
      <c r="B772" s="73"/>
      <c r="C772" s="73"/>
      <c r="D772" s="73"/>
      <c r="E772" s="73"/>
      <c r="F772" s="73"/>
      <c r="G772" s="73"/>
      <c r="H772" s="73"/>
      <c r="J772" s="73"/>
    </row>
    <row r="773" spans="1:10" ht="15.75" customHeight="1">
      <c r="A773" s="73"/>
      <c r="B773" s="73"/>
      <c r="C773" s="73"/>
      <c r="D773" s="73"/>
      <c r="E773" s="73"/>
      <c r="F773" s="73"/>
      <c r="G773" s="73"/>
      <c r="H773" s="73"/>
      <c r="J773" s="73"/>
    </row>
    <row r="774" spans="1:10" ht="15.75" customHeight="1">
      <c r="A774" s="73"/>
      <c r="B774" s="73"/>
      <c r="C774" s="73"/>
      <c r="D774" s="73"/>
      <c r="E774" s="73"/>
      <c r="F774" s="73"/>
      <c r="G774" s="73"/>
      <c r="H774" s="73"/>
      <c r="J774" s="73"/>
    </row>
    <row r="775" spans="1:10" ht="15.75" customHeight="1">
      <c r="A775" s="73"/>
      <c r="B775" s="73"/>
      <c r="C775" s="73"/>
      <c r="D775" s="73"/>
      <c r="E775" s="73"/>
      <c r="F775" s="73"/>
      <c r="G775" s="73"/>
      <c r="H775" s="73"/>
      <c r="J775" s="73"/>
    </row>
    <row r="776" spans="1:10" ht="15.75" customHeight="1">
      <c r="A776" s="73"/>
      <c r="B776" s="73"/>
      <c r="C776" s="73"/>
      <c r="D776" s="73"/>
      <c r="E776" s="73"/>
      <c r="F776" s="73"/>
      <c r="G776" s="73"/>
      <c r="H776" s="73"/>
      <c r="J776" s="73"/>
    </row>
    <row r="777" spans="1:10" ht="15.75" customHeight="1">
      <c r="A777" s="73"/>
      <c r="B777" s="73"/>
      <c r="C777" s="73"/>
      <c r="D777" s="73"/>
      <c r="E777" s="73"/>
      <c r="F777" s="73"/>
      <c r="G777" s="73"/>
      <c r="H777" s="73"/>
      <c r="J777" s="73"/>
    </row>
    <row r="778" spans="1:10" ht="15.75" customHeight="1">
      <c r="A778" s="73"/>
      <c r="B778" s="73"/>
      <c r="C778" s="73"/>
      <c r="D778" s="73"/>
      <c r="E778" s="73"/>
      <c r="F778" s="73"/>
      <c r="G778" s="73"/>
      <c r="H778" s="73"/>
      <c r="J778" s="73"/>
    </row>
    <row r="779" spans="1:10" ht="15.75" customHeight="1">
      <c r="A779" s="73"/>
      <c r="B779" s="73"/>
      <c r="C779" s="73"/>
      <c r="D779" s="73"/>
      <c r="E779" s="73"/>
      <c r="F779" s="73"/>
      <c r="G779" s="73"/>
      <c r="H779" s="73"/>
      <c r="J779" s="73"/>
    </row>
    <row r="780" spans="1:10" ht="15.75" customHeight="1">
      <c r="A780" s="73"/>
      <c r="B780" s="73"/>
      <c r="C780" s="73"/>
      <c r="D780" s="73"/>
      <c r="E780" s="73"/>
      <c r="F780" s="73"/>
      <c r="G780" s="73"/>
      <c r="H780" s="73"/>
      <c r="J780" s="73"/>
    </row>
    <row r="781" spans="1:10" ht="15.75" customHeight="1">
      <c r="A781" s="73"/>
      <c r="B781" s="73"/>
      <c r="C781" s="73"/>
      <c r="D781" s="73"/>
      <c r="E781" s="73"/>
      <c r="F781" s="73"/>
      <c r="G781" s="73"/>
      <c r="H781" s="73"/>
      <c r="J781" s="73"/>
    </row>
    <row r="782" spans="1:10" ht="15.75" customHeight="1">
      <c r="A782" s="73"/>
      <c r="B782" s="73"/>
      <c r="C782" s="73"/>
      <c r="D782" s="73"/>
      <c r="E782" s="73"/>
      <c r="F782" s="73"/>
      <c r="G782" s="73"/>
      <c r="H782" s="73"/>
      <c r="J782" s="73"/>
    </row>
    <row r="783" spans="1:10" ht="15.75" customHeight="1">
      <c r="A783" s="73"/>
      <c r="B783" s="73"/>
      <c r="C783" s="73"/>
      <c r="D783" s="73"/>
      <c r="E783" s="73"/>
      <c r="F783" s="73"/>
      <c r="G783" s="73"/>
      <c r="H783" s="73"/>
      <c r="J783" s="73"/>
    </row>
    <row r="784" spans="1:10" ht="15.75" customHeight="1">
      <c r="A784" s="73"/>
      <c r="B784" s="73"/>
      <c r="C784" s="73"/>
      <c r="D784" s="73"/>
      <c r="E784" s="73"/>
      <c r="F784" s="73"/>
      <c r="G784" s="73"/>
      <c r="H784" s="73"/>
      <c r="J784" s="73"/>
    </row>
    <row r="785" spans="1:10" ht="15.75" customHeight="1">
      <c r="A785" s="73"/>
      <c r="B785" s="73"/>
      <c r="C785" s="73"/>
      <c r="D785" s="73"/>
      <c r="E785" s="73"/>
      <c r="F785" s="73"/>
      <c r="G785" s="73"/>
      <c r="H785" s="73"/>
      <c r="J785" s="73"/>
    </row>
    <row r="786" spans="1:10" ht="15.75" customHeight="1">
      <c r="A786" s="73"/>
      <c r="B786" s="73"/>
      <c r="C786" s="73"/>
      <c r="D786" s="73"/>
      <c r="E786" s="73"/>
      <c r="F786" s="73"/>
      <c r="G786" s="73"/>
      <c r="H786" s="73"/>
      <c r="J786" s="73"/>
    </row>
    <row r="787" spans="1:10" ht="15.75" customHeight="1">
      <c r="A787" s="73"/>
      <c r="B787" s="73"/>
      <c r="C787" s="73"/>
      <c r="D787" s="73"/>
      <c r="E787" s="73"/>
      <c r="F787" s="73"/>
      <c r="G787" s="73"/>
      <c r="H787" s="73"/>
      <c r="J787" s="73"/>
    </row>
    <row r="788" spans="1:10" ht="15.75" customHeight="1">
      <c r="A788" s="73"/>
      <c r="B788" s="73"/>
      <c r="C788" s="73"/>
      <c r="D788" s="73"/>
      <c r="E788" s="73"/>
      <c r="F788" s="73"/>
      <c r="G788" s="73"/>
      <c r="H788" s="73"/>
      <c r="J788" s="73"/>
    </row>
    <row r="789" spans="1:10" ht="15.75" customHeight="1">
      <c r="A789" s="73"/>
      <c r="B789" s="73"/>
      <c r="C789" s="73"/>
      <c r="D789" s="73"/>
      <c r="E789" s="73"/>
      <c r="F789" s="73"/>
      <c r="G789" s="73"/>
      <c r="H789" s="73"/>
      <c r="J789" s="73"/>
    </row>
    <row r="790" spans="1:10" ht="15.75" customHeight="1">
      <c r="A790" s="73"/>
      <c r="B790" s="73"/>
      <c r="C790" s="73"/>
      <c r="D790" s="73"/>
      <c r="E790" s="73"/>
      <c r="F790" s="73"/>
      <c r="G790" s="73"/>
      <c r="H790" s="73"/>
      <c r="J790" s="73"/>
    </row>
    <row r="791" spans="1:10" ht="15.75" customHeight="1">
      <c r="A791" s="73"/>
      <c r="B791" s="73"/>
      <c r="C791" s="73"/>
      <c r="D791" s="73"/>
      <c r="E791" s="73"/>
      <c r="F791" s="73"/>
      <c r="G791" s="73"/>
      <c r="H791" s="73"/>
      <c r="J791" s="73"/>
    </row>
    <row r="792" spans="1:10" ht="15.75" customHeight="1">
      <c r="A792" s="73"/>
      <c r="B792" s="73"/>
      <c r="C792" s="73"/>
      <c r="D792" s="73"/>
      <c r="E792" s="73"/>
      <c r="F792" s="73"/>
      <c r="G792" s="73"/>
      <c r="H792" s="73"/>
      <c r="J792" s="73"/>
    </row>
    <row r="793" spans="1:10" ht="15.75" customHeight="1">
      <c r="A793" s="73"/>
      <c r="B793" s="73"/>
      <c r="C793" s="73"/>
      <c r="D793" s="73"/>
      <c r="E793" s="73"/>
      <c r="F793" s="73"/>
      <c r="G793" s="73"/>
      <c r="H793" s="73"/>
      <c r="J793" s="73"/>
    </row>
    <row r="794" spans="1:10" ht="15.75" customHeight="1">
      <c r="A794" s="73"/>
      <c r="B794" s="73"/>
      <c r="C794" s="73"/>
      <c r="D794" s="73"/>
      <c r="E794" s="73"/>
      <c r="F794" s="73"/>
      <c r="G794" s="73"/>
      <c r="H794" s="73"/>
      <c r="J794" s="73"/>
    </row>
    <row r="795" spans="1:10" ht="15.75" customHeight="1">
      <c r="A795" s="73"/>
      <c r="B795" s="73"/>
      <c r="C795" s="73"/>
      <c r="D795" s="73"/>
      <c r="E795" s="73"/>
      <c r="F795" s="73"/>
      <c r="G795" s="73"/>
      <c r="H795" s="73"/>
      <c r="J795" s="73"/>
    </row>
    <row r="796" spans="1:10" ht="15.75" customHeight="1">
      <c r="A796" s="73"/>
      <c r="B796" s="73"/>
      <c r="C796" s="73"/>
      <c r="D796" s="73"/>
      <c r="E796" s="73"/>
      <c r="F796" s="73"/>
      <c r="G796" s="73"/>
      <c r="H796" s="73"/>
      <c r="J796" s="73"/>
    </row>
    <row r="797" spans="1:10" ht="15.75" customHeight="1">
      <c r="A797" s="73"/>
      <c r="B797" s="73"/>
      <c r="C797" s="73"/>
      <c r="D797" s="73"/>
      <c r="E797" s="73"/>
      <c r="F797" s="73"/>
      <c r="G797" s="73"/>
      <c r="H797" s="73"/>
      <c r="J797" s="73"/>
    </row>
    <row r="798" spans="1:10" ht="15.75" customHeight="1">
      <c r="A798" s="73"/>
      <c r="B798" s="73"/>
      <c r="C798" s="73"/>
      <c r="D798" s="73"/>
      <c r="E798" s="73"/>
      <c r="F798" s="73"/>
      <c r="G798" s="73"/>
      <c r="H798" s="73"/>
      <c r="J798" s="73"/>
    </row>
    <row r="799" spans="1:10" ht="15.75" customHeight="1">
      <c r="A799" s="73"/>
      <c r="B799" s="73"/>
      <c r="C799" s="73"/>
      <c r="D799" s="73"/>
      <c r="E799" s="73"/>
      <c r="F799" s="73"/>
      <c r="G799" s="73"/>
      <c r="H799" s="73"/>
      <c r="J799" s="73"/>
    </row>
    <row r="800" spans="1:10" ht="15.75" customHeight="1">
      <c r="A800" s="73"/>
      <c r="B800" s="73"/>
      <c r="C800" s="73"/>
      <c r="D800" s="73"/>
      <c r="E800" s="73"/>
      <c r="F800" s="73"/>
      <c r="G800" s="73"/>
      <c r="H800" s="73"/>
      <c r="J800" s="73"/>
    </row>
    <row r="801" spans="1:10" ht="15.75" customHeight="1">
      <c r="A801" s="73"/>
      <c r="B801" s="73"/>
      <c r="C801" s="73"/>
      <c r="D801" s="73"/>
      <c r="E801" s="73"/>
      <c r="F801" s="73"/>
      <c r="G801" s="73"/>
      <c r="H801" s="73"/>
      <c r="J801" s="73"/>
    </row>
    <row r="802" spans="1:10" ht="15.75" customHeight="1">
      <c r="A802" s="73"/>
      <c r="B802" s="73"/>
      <c r="C802" s="73"/>
      <c r="D802" s="73"/>
      <c r="E802" s="73"/>
      <c r="F802" s="73"/>
      <c r="G802" s="73"/>
      <c r="H802" s="73"/>
      <c r="J802" s="73"/>
    </row>
    <row r="803" spans="1:10" ht="15.75" customHeight="1">
      <c r="A803" s="73"/>
      <c r="B803" s="73"/>
      <c r="C803" s="73"/>
      <c r="D803" s="73"/>
      <c r="E803" s="73"/>
      <c r="F803" s="73"/>
      <c r="G803" s="73"/>
      <c r="H803" s="73"/>
      <c r="J803" s="73"/>
    </row>
    <row r="804" spans="1:10" ht="15.75" customHeight="1">
      <c r="A804" s="73"/>
      <c r="B804" s="73"/>
      <c r="C804" s="73"/>
      <c r="D804" s="73"/>
      <c r="E804" s="73"/>
      <c r="F804" s="73"/>
      <c r="G804" s="73"/>
      <c r="H804" s="73"/>
      <c r="J804" s="73"/>
    </row>
    <row r="805" spans="1:10" ht="15.75" customHeight="1">
      <c r="A805" s="73"/>
      <c r="B805" s="73"/>
      <c r="C805" s="73"/>
      <c r="D805" s="73"/>
      <c r="E805" s="73"/>
      <c r="F805" s="73"/>
      <c r="G805" s="73"/>
      <c r="H805" s="73"/>
      <c r="J805" s="73"/>
    </row>
    <row r="806" spans="1:10" ht="15.75" customHeight="1">
      <c r="A806" s="73"/>
      <c r="B806" s="73"/>
      <c r="C806" s="73"/>
      <c r="D806" s="73"/>
      <c r="E806" s="73"/>
      <c r="F806" s="73"/>
      <c r="G806" s="73"/>
      <c r="H806" s="73"/>
      <c r="J806" s="73"/>
    </row>
    <row r="807" spans="1:10" ht="15.75" customHeight="1">
      <c r="A807" s="73"/>
      <c r="B807" s="73"/>
      <c r="C807" s="73"/>
      <c r="D807" s="73"/>
      <c r="E807" s="73"/>
      <c r="F807" s="73"/>
      <c r="G807" s="73"/>
      <c r="H807" s="73"/>
      <c r="J807" s="73"/>
    </row>
    <row r="808" spans="1:10" ht="15.75" customHeight="1">
      <c r="A808" s="73"/>
      <c r="B808" s="73"/>
      <c r="C808" s="73"/>
      <c r="D808" s="73"/>
      <c r="E808" s="73"/>
      <c r="F808" s="73"/>
      <c r="G808" s="73"/>
      <c r="H808" s="73"/>
      <c r="J808" s="73"/>
    </row>
    <row r="809" spans="1:10" ht="15.75" customHeight="1">
      <c r="A809" s="73"/>
      <c r="B809" s="73"/>
      <c r="C809" s="73"/>
      <c r="D809" s="73"/>
      <c r="E809" s="73"/>
      <c r="F809" s="73"/>
      <c r="G809" s="73"/>
      <c r="H809" s="73"/>
      <c r="J809" s="73"/>
    </row>
    <row r="810" spans="1:10" ht="15.75" customHeight="1">
      <c r="A810" s="73"/>
      <c r="B810" s="73"/>
      <c r="C810" s="73"/>
      <c r="D810" s="73"/>
      <c r="E810" s="73"/>
      <c r="F810" s="73"/>
      <c r="G810" s="73"/>
      <c r="H810" s="73"/>
      <c r="J810" s="73"/>
    </row>
    <row r="811" spans="1:10" ht="15.75" customHeight="1">
      <c r="A811" s="73"/>
      <c r="B811" s="73"/>
      <c r="C811" s="73"/>
      <c r="D811" s="73"/>
      <c r="E811" s="73"/>
      <c r="F811" s="73"/>
      <c r="G811" s="73"/>
      <c r="H811" s="73"/>
      <c r="J811" s="73"/>
    </row>
    <row r="812" spans="1:10" ht="15.75" customHeight="1">
      <c r="A812" s="73"/>
      <c r="B812" s="73"/>
      <c r="C812" s="73"/>
      <c r="D812" s="73"/>
      <c r="E812" s="73"/>
      <c r="F812" s="73"/>
      <c r="G812" s="73"/>
      <c r="H812" s="73"/>
      <c r="J812" s="73"/>
    </row>
    <row r="813" spans="1:10" ht="15.75" customHeight="1">
      <c r="A813" s="73"/>
      <c r="B813" s="73"/>
      <c r="C813" s="73"/>
      <c r="D813" s="73"/>
      <c r="E813" s="73"/>
      <c r="F813" s="73"/>
      <c r="G813" s="73"/>
      <c r="H813" s="73"/>
      <c r="J813" s="73"/>
    </row>
    <row r="814" spans="1:10" ht="15.75" customHeight="1">
      <c r="A814" s="73"/>
      <c r="B814" s="73"/>
      <c r="C814" s="73"/>
      <c r="D814" s="73"/>
      <c r="E814" s="73"/>
      <c r="F814" s="73"/>
      <c r="G814" s="73"/>
      <c r="H814" s="73"/>
      <c r="J814" s="73"/>
    </row>
    <row r="815" spans="1:10" ht="15.75" customHeight="1">
      <c r="A815" s="73"/>
      <c r="B815" s="73"/>
      <c r="C815" s="73"/>
      <c r="D815" s="73"/>
      <c r="E815" s="73"/>
      <c r="F815" s="73"/>
      <c r="G815" s="73"/>
      <c r="H815" s="73"/>
      <c r="J815" s="73"/>
    </row>
    <row r="816" spans="1:10" ht="15.75" customHeight="1">
      <c r="A816" s="73"/>
      <c r="B816" s="73"/>
      <c r="C816" s="73"/>
      <c r="D816" s="73"/>
      <c r="E816" s="73"/>
      <c r="F816" s="73"/>
      <c r="G816" s="73"/>
      <c r="H816" s="73"/>
      <c r="J816" s="73"/>
    </row>
    <row r="817" spans="1:10" ht="15.75" customHeight="1">
      <c r="A817" s="73"/>
      <c r="B817" s="73"/>
      <c r="C817" s="73"/>
      <c r="D817" s="73"/>
      <c r="E817" s="73"/>
      <c r="F817" s="73"/>
      <c r="G817" s="73"/>
      <c r="H817" s="73"/>
      <c r="J817" s="73"/>
    </row>
    <row r="818" spans="1:10" ht="15.75" customHeight="1">
      <c r="A818" s="73"/>
      <c r="B818" s="73"/>
      <c r="C818" s="73"/>
      <c r="D818" s="73"/>
      <c r="E818" s="73"/>
      <c r="F818" s="73"/>
      <c r="G818" s="73"/>
      <c r="H818" s="73"/>
      <c r="J818" s="73"/>
    </row>
    <row r="819" spans="1:10" ht="15.75" customHeight="1">
      <c r="A819" s="73"/>
      <c r="B819" s="73"/>
      <c r="C819" s="73"/>
      <c r="D819" s="73"/>
      <c r="E819" s="73"/>
      <c r="F819" s="73"/>
      <c r="G819" s="73"/>
      <c r="H819" s="73"/>
      <c r="J819" s="73"/>
    </row>
    <row r="820" spans="1:10" ht="15.75" customHeight="1">
      <c r="A820" s="73"/>
      <c r="B820" s="73"/>
      <c r="C820" s="73"/>
      <c r="D820" s="73"/>
      <c r="E820" s="73"/>
      <c r="F820" s="73"/>
      <c r="G820" s="73"/>
      <c r="H820" s="73"/>
      <c r="J820" s="73"/>
    </row>
    <row r="821" spans="1:10" ht="15.75" customHeight="1">
      <c r="A821" s="73"/>
      <c r="B821" s="73"/>
      <c r="C821" s="73"/>
      <c r="D821" s="73"/>
      <c r="E821" s="73"/>
      <c r="F821" s="73"/>
      <c r="G821" s="73"/>
      <c r="H821" s="73"/>
      <c r="J821" s="73"/>
    </row>
    <row r="822" spans="1:10" ht="15.75" customHeight="1">
      <c r="A822" s="73"/>
      <c r="B822" s="73"/>
      <c r="C822" s="73"/>
      <c r="D822" s="73"/>
      <c r="E822" s="73"/>
      <c r="F822" s="73"/>
      <c r="G822" s="73"/>
      <c r="H822" s="73"/>
      <c r="J822" s="73"/>
    </row>
    <row r="823" spans="1:10" ht="15.75" customHeight="1">
      <c r="A823" s="73"/>
      <c r="B823" s="73"/>
      <c r="C823" s="73"/>
      <c r="D823" s="73"/>
      <c r="E823" s="73"/>
      <c r="F823" s="73"/>
      <c r="G823" s="73"/>
      <c r="H823" s="73"/>
      <c r="J823" s="73"/>
    </row>
    <row r="824" spans="1:10" ht="15.75" customHeight="1">
      <c r="A824" s="73"/>
      <c r="B824" s="73"/>
      <c r="C824" s="73"/>
      <c r="D824" s="73"/>
      <c r="E824" s="73"/>
      <c r="F824" s="73"/>
      <c r="G824" s="73"/>
      <c r="H824" s="73"/>
      <c r="J824" s="73"/>
    </row>
    <row r="825" spans="1:10" ht="15.75" customHeight="1">
      <c r="A825" s="73"/>
      <c r="B825" s="73"/>
      <c r="C825" s="73"/>
      <c r="D825" s="73"/>
      <c r="E825" s="73"/>
      <c r="F825" s="73"/>
      <c r="G825" s="73"/>
      <c r="H825" s="73"/>
      <c r="J825" s="73"/>
    </row>
    <row r="826" spans="1:10" ht="15.75" customHeight="1">
      <c r="A826" s="73"/>
      <c r="B826" s="73"/>
      <c r="C826" s="73"/>
      <c r="D826" s="73"/>
      <c r="E826" s="73"/>
      <c r="F826" s="73"/>
      <c r="G826" s="73"/>
      <c r="H826" s="73"/>
      <c r="J826" s="73"/>
    </row>
    <row r="827" spans="1:10" ht="15.75" customHeight="1">
      <c r="A827" s="73"/>
      <c r="B827" s="73"/>
      <c r="C827" s="73"/>
      <c r="D827" s="73"/>
      <c r="E827" s="73"/>
      <c r="F827" s="73"/>
      <c r="G827" s="73"/>
      <c r="H827" s="73"/>
      <c r="J827" s="73"/>
    </row>
    <row r="828" spans="1:10" ht="15.75" customHeight="1">
      <c r="A828" s="73"/>
      <c r="B828" s="73"/>
      <c r="C828" s="73"/>
      <c r="D828" s="73"/>
      <c r="E828" s="73"/>
      <c r="F828" s="73"/>
      <c r="G828" s="73"/>
      <c r="H828" s="73"/>
      <c r="J828" s="73"/>
    </row>
    <row r="829" spans="1:10" ht="15.75" customHeight="1">
      <c r="A829" s="73"/>
      <c r="B829" s="73"/>
      <c r="C829" s="73"/>
      <c r="D829" s="73"/>
      <c r="E829" s="73"/>
      <c r="F829" s="73"/>
      <c r="G829" s="73"/>
      <c r="H829" s="73"/>
      <c r="J829" s="73"/>
    </row>
    <row r="830" spans="1:10" ht="15.75" customHeight="1">
      <c r="A830" s="73"/>
      <c r="B830" s="73"/>
      <c r="C830" s="73"/>
      <c r="D830" s="73"/>
      <c r="E830" s="73"/>
      <c r="F830" s="73"/>
      <c r="G830" s="73"/>
      <c r="H830" s="73"/>
      <c r="J830" s="73"/>
    </row>
    <row r="831" spans="1:10" ht="15.75" customHeight="1">
      <c r="A831" s="73"/>
      <c r="B831" s="73"/>
      <c r="C831" s="73"/>
      <c r="D831" s="73"/>
      <c r="E831" s="73"/>
      <c r="F831" s="73"/>
      <c r="G831" s="73"/>
      <c r="H831" s="73"/>
      <c r="J831" s="73"/>
    </row>
    <row r="832" spans="1:10" ht="15.75" customHeight="1">
      <c r="A832" s="73"/>
      <c r="B832" s="73"/>
      <c r="C832" s="73"/>
      <c r="D832" s="73"/>
      <c r="E832" s="73"/>
      <c r="F832" s="73"/>
      <c r="G832" s="73"/>
      <c r="H832" s="73"/>
      <c r="J832" s="73"/>
    </row>
    <row r="833" spans="1:10" ht="15.75" customHeight="1">
      <c r="A833" s="73"/>
      <c r="B833" s="73"/>
      <c r="C833" s="73"/>
      <c r="D833" s="73"/>
      <c r="E833" s="73"/>
      <c r="F833" s="73"/>
      <c r="G833" s="73"/>
      <c r="H833" s="73"/>
      <c r="J833" s="73"/>
    </row>
    <row r="834" spans="1:10" ht="15.75" customHeight="1">
      <c r="A834" s="73"/>
      <c r="B834" s="73"/>
      <c r="C834" s="73"/>
      <c r="D834" s="73"/>
      <c r="E834" s="73"/>
      <c r="F834" s="73"/>
      <c r="G834" s="73"/>
      <c r="H834" s="73"/>
      <c r="J834" s="73"/>
    </row>
    <row r="835" spans="1:10" ht="15.75" customHeight="1">
      <c r="A835" s="73"/>
      <c r="B835" s="73"/>
      <c r="C835" s="73"/>
      <c r="D835" s="73"/>
      <c r="E835" s="73"/>
      <c r="F835" s="73"/>
      <c r="G835" s="73"/>
      <c r="H835" s="73"/>
      <c r="J835" s="73"/>
    </row>
    <row r="836" spans="1:10" ht="15.75" customHeight="1">
      <c r="A836" s="73"/>
      <c r="B836" s="73"/>
      <c r="C836" s="73"/>
      <c r="D836" s="73"/>
      <c r="E836" s="73"/>
      <c r="F836" s="73"/>
      <c r="G836" s="73"/>
      <c r="H836" s="73"/>
      <c r="J836" s="73"/>
    </row>
    <row r="837" spans="1:10" ht="15.75" customHeight="1">
      <c r="A837" s="73"/>
      <c r="B837" s="73"/>
      <c r="C837" s="73"/>
      <c r="D837" s="73"/>
      <c r="E837" s="73"/>
      <c r="F837" s="73"/>
      <c r="G837" s="73"/>
      <c r="H837" s="73"/>
      <c r="J837" s="73"/>
    </row>
    <row r="838" spans="1:10" ht="15.75" customHeight="1">
      <c r="A838" s="73"/>
      <c r="B838" s="73"/>
      <c r="C838" s="73"/>
      <c r="D838" s="73"/>
      <c r="E838" s="73"/>
      <c r="F838" s="73"/>
      <c r="G838" s="73"/>
      <c r="H838" s="73"/>
      <c r="J838" s="73"/>
    </row>
    <row r="839" spans="1:10" ht="15.75" customHeight="1">
      <c r="A839" s="73"/>
      <c r="B839" s="73"/>
      <c r="C839" s="73"/>
      <c r="D839" s="73"/>
      <c r="E839" s="73"/>
      <c r="F839" s="73"/>
      <c r="G839" s="73"/>
      <c r="H839" s="73"/>
      <c r="J839" s="73"/>
    </row>
    <row r="840" spans="1:10" ht="15.75" customHeight="1">
      <c r="A840" s="73"/>
      <c r="B840" s="73"/>
      <c r="C840" s="73"/>
      <c r="D840" s="73"/>
      <c r="E840" s="73"/>
      <c r="F840" s="73"/>
      <c r="G840" s="73"/>
      <c r="H840" s="73"/>
      <c r="J840" s="73"/>
    </row>
    <row r="841" spans="1:10" ht="15.75" customHeight="1">
      <c r="A841" s="73"/>
      <c r="B841" s="73"/>
      <c r="C841" s="73"/>
      <c r="D841" s="73"/>
      <c r="E841" s="73"/>
      <c r="F841" s="73"/>
      <c r="G841" s="73"/>
      <c r="H841" s="73"/>
      <c r="J841" s="73"/>
    </row>
    <row r="842" spans="1:10" ht="15.75" customHeight="1">
      <c r="A842" s="73"/>
      <c r="B842" s="73"/>
      <c r="C842" s="73"/>
      <c r="D842" s="73"/>
      <c r="E842" s="73"/>
      <c r="F842" s="73"/>
      <c r="G842" s="73"/>
      <c r="H842" s="73"/>
      <c r="J842" s="73"/>
    </row>
    <row r="843" spans="1:10" ht="15.75" customHeight="1">
      <c r="A843" s="73"/>
      <c r="B843" s="73"/>
      <c r="C843" s="73"/>
      <c r="D843" s="73"/>
      <c r="E843" s="73"/>
      <c r="F843" s="73"/>
      <c r="G843" s="73"/>
      <c r="H843" s="73"/>
      <c r="J843" s="73"/>
    </row>
    <row r="844" spans="1:10" ht="15.75" customHeight="1">
      <c r="A844" s="73"/>
      <c r="B844" s="73"/>
      <c r="C844" s="73"/>
      <c r="D844" s="73"/>
      <c r="E844" s="73"/>
      <c r="F844" s="73"/>
      <c r="G844" s="73"/>
      <c r="H844" s="73"/>
      <c r="J844" s="73"/>
    </row>
    <row r="845" spans="1:10" ht="15.75" customHeight="1">
      <c r="A845" s="73"/>
      <c r="B845" s="73"/>
      <c r="C845" s="73"/>
      <c r="D845" s="73"/>
      <c r="E845" s="73"/>
      <c r="F845" s="73"/>
      <c r="G845" s="73"/>
      <c r="H845" s="73"/>
      <c r="J845" s="73"/>
    </row>
    <row r="846" spans="1:10" ht="15.75" customHeight="1">
      <c r="A846" s="73"/>
      <c r="B846" s="73"/>
      <c r="C846" s="73"/>
      <c r="D846" s="73"/>
      <c r="E846" s="73"/>
      <c r="F846" s="73"/>
      <c r="G846" s="73"/>
      <c r="H846" s="73"/>
      <c r="J846" s="73"/>
    </row>
    <row r="847" spans="1:10" ht="15.75" customHeight="1">
      <c r="A847" s="73"/>
      <c r="B847" s="73"/>
      <c r="C847" s="73"/>
      <c r="D847" s="73"/>
      <c r="E847" s="73"/>
      <c r="F847" s="73"/>
      <c r="G847" s="73"/>
      <c r="H847" s="73"/>
      <c r="J847" s="73"/>
    </row>
    <row r="848" spans="1:10" ht="15.75" customHeight="1">
      <c r="A848" s="73"/>
      <c r="B848" s="73"/>
      <c r="C848" s="73"/>
      <c r="D848" s="73"/>
      <c r="E848" s="73"/>
      <c r="F848" s="73"/>
      <c r="G848" s="73"/>
      <c r="H848" s="73"/>
      <c r="J848" s="73"/>
    </row>
    <row r="849" spans="1:10" ht="15.75" customHeight="1">
      <c r="A849" s="73"/>
      <c r="B849" s="73"/>
      <c r="C849" s="73"/>
      <c r="D849" s="73"/>
      <c r="E849" s="73"/>
      <c r="F849" s="73"/>
      <c r="G849" s="73"/>
      <c r="H849" s="73"/>
      <c r="J849" s="73"/>
    </row>
    <row r="850" spans="1:10" ht="15.75" customHeight="1">
      <c r="A850" s="73"/>
      <c r="B850" s="73"/>
      <c r="C850" s="73"/>
      <c r="D850" s="73"/>
      <c r="E850" s="73"/>
      <c r="F850" s="73"/>
      <c r="G850" s="73"/>
      <c r="H850" s="73"/>
      <c r="J850" s="73"/>
    </row>
    <row r="851" spans="1:10" ht="15.75" customHeight="1">
      <c r="A851" s="73"/>
      <c r="B851" s="73"/>
      <c r="C851" s="73"/>
      <c r="D851" s="73"/>
      <c r="E851" s="73"/>
      <c r="F851" s="73"/>
      <c r="G851" s="73"/>
      <c r="H851" s="73"/>
      <c r="J851" s="73"/>
    </row>
    <row r="852" spans="1:10" ht="15.75" customHeight="1">
      <c r="A852" s="73"/>
      <c r="B852" s="73"/>
      <c r="C852" s="73"/>
      <c r="D852" s="73"/>
      <c r="E852" s="73"/>
      <c r="F852" s="73"/>
      <c r="G852" s="73"/>
      <c r="H852" s="73"/>
      <c r="J852" s="73"/>
    </row>
    <row r="853" spans="1:10" ht="15.75" customHeight="1">
      <c r="A853" s="73"/>
      <c r="B853" s="73"/>
      <c r="C853" s="73"/>
      <c r="D853" s="73"/>
      <c r="E853" s="73"/>
      <c r="F853" s="73"/>
      <c r="G853" s="73"/>
      <c r="H853" s="73"/>
      <c r="J853" s="73"/>
    </row>
    <row r="854" spans="1:10" ht="15.75" customHeight="1">
      <c r="A854" s="73"/>
      <c r="B854" s="73"/>
      <c r="C854" s="73"/>
      <c r="D854" s="73"/>
      <c r="E854" s="73"/>
      <c r="F854" s="73"/>
      <c r="G854" s="73"/>
      <c r="H854" s="73"/>
      <c r="J854" s="73"/>
    </row>
    <row r="855" spans="1:10" ht="15.75" customHeight="1">
      <c r="A855" s="73"/>
      <c r="B855" s="73"/>
      <c r="C855" s="73"/>
      <c r="D855" s="73"/>
      <c r="E855" s="73"/>
      <c r="F855" s="73"/>
      <c r="G855" s="73"/>
      <c r="H855" s="73"/>
      <c r="J855" s="73"/>
    </row>
    <row r="856" spans="1:10" ht="15.75" customHeight="1">
      <c r="A856" s="73"/>
      <c r="B856" s="73"/>
      <c r="C856" s="73"/>
      <c r="D856" s="73"/>
      <c r="E856" s="73"/>
      <c r="F856" s="73"/>
      <c r="G856" s="73"/>
      <c r="H856" s="73"/>
      <c r="J856" s="73"/>
    </row>
    <row r="857" spans="1:10" ht="15.75" customHeight="1">
      <c r="A857" s="73"/>
      <c r="B857" s="73"/>
      <c r="C857" s="73"/>
      <c r="D857" s="73"/>
      <c r="E857" s="73"/>
      <c r="F857" s="73"/>
      <c r="G857" s="73"/>
      <c r="H857" s="73"/>
      <c r="J857" s="73"/>
    </row>
    <row r="858" spans="1:10" ht="15.75" customHeight="1">
      <c r="A858" s="73"/>
      <c r="B858" s="73"/>
      <c r="C858" s="73"/>
      <c r="D858" s="73"/>
      <c r="E858" s="73"/>
      <c r="F858" s="73"/>
      <c r="G858" s="73"/>
      <c r="H858" s="73"/>
      <c r="J858" s="73"/>
    </row>
    <row r="859" spans="1:10" ht="15.75" customHeight="1">
      <c r="A859" s="73"/>
      <c r="B859" s="73"/>
      <c r="C859" s="73"/>
      <c r="D859" s="73"/>
      <c r="E859" s="73"/>
      <c r="F859" s="73"/>
      <c r="G859" s="73"/>
      <c r="H859" s="73"/>
      <c r="J859" s="73"/>
    </row>
    <row r="860" spans="1:10" ht="15.75" customHeight="1">
      <c r="A860" s="73"/>
      <c r="B860" s="73"/>
      <c r="C860" s="73"/>
      <c r="D860" s="73"/>
      <c r="E860" s="73"/>
      <c r="F860" s="73"/>
      <c r="G860" s="73"/>
      <c r="H860" s="73"/>
      <c r="J860" s="73"/>
    </row>
    <row r="861" spans="1:10" ht="15.75" customHeight="1">
      <c r="A861" s="73"/>
      <c r="B861" s="73"/>
      <c r="C861" s="73"/>
      <c r="D861" s="73"/>
      <c r="E861" s="73"/>
      <c r="F861" s="73"/>
      <c r="G861" s="73"/>
      <c r="H861" s="73"/>
      <c r="J861" s="73"/>
    </row>
    <row r="862" spans="1:10" ht="15.75" customHeight="1">
      <c r="A862" s="73"/>
      <c r="B862" s="73"/>
      <c r="C862" s="73"/>
      <c r="D862" s="73"/>
      <c r="E862" s="73"/>
      <c r="F862" s="73"/>
      <c r="G862" s="73"/>
      <c r="H862" s="73"/>
      <c r="J862" s="73"/>
    </row>
    <row r="863" spans="1:10" ht="15.75" customHeight="1">
      <c r="A863" s="73"/>
      <c r="B863" s="73"/>
      <c r="C863" s="73"/>
      <c r="D863" s="73"/>
      <c r="E863" s="73"/>
      <c r="F863" s="73"/>
      <c r="G863" s="73"/>
      <c r="H863" s="73"/>
      <c r="J863" s="73"/>
    </row>
    <row r="864" spans="1:10" ht="15.75" customHeight="1">
      <c r="A864" s="73"/>
      <c r="B864" s="73"/>
      <c r="C864" s="73"/>
      <c r="D864" s="73"/>
      <c r="E864" s="73"/>
      <c r="F864" s="73"/>
      <c r="G864" s="73"/>
      <c r="H864" s="73"/>
      <c r="J864" s="73"/>
    </row>
    <row r="865" spans="1:10" ht="15.75" customHeight="1">
      <c r="A865" s="73"/>
      <c r="B865" s="73"/>
      <c r="C865" s="73"/>
      <c r="D865" s="73"/>
      <c r="E865" s="73"/>
      <c r="F865" s="73"/>
      <c r="G865" s="73"/>
      <c r="H865" s="73"/>
      <c r="J865" s="73"/>
    </row>
    <row r="866" spans="1:10" ht="15.75" customHeight="1">
      <c r="A866" s="73"/>
      <c r="B866" s="73"/>
      <c r="C866" s="73"/>
      <c r="D866" s="73"/>
      <c r="E866" s="73"/>
      <c r="F866" s="73"/>
      <c r="G866" s="73"/>
      <c r="H866" s="73"/>
      <c r="J866" s="73"/>
    </row>
    <row r="867" spans="1:10" ht="15.75" customHeight="1">
      <c r="A867" s="73"/>
      <c r="B867" s="73"/>
      <c r="C867" s="73"/>
      <c r="D867" s="73"/>
      <c r="E867" s="73"/>
      <c r="F867" s="73"/>
      <c r="G867" s="73"/>
      <c r="H867" s="73"/>
      <c r="J867" s="73"/>
    </row>
    <row r="868" spans="1:10" ht="15.75" customHeight="1">
      <c r="A868" s="73"/>
      <c r="B868" s="73"/>
      <c r="C868" s="73"/>
      <c r="D868" s="73"/>
      <c r="E868" s="73"/>
      <c r="F868" s="73"/>
      <c r="G868" s="73"/>
      <c r="H868" s="73"/>
      <c r="J868" s="73"/>
    </row>
    <row r="869" spans="1:10" ht="15.75" customHeight="1">
      <c r="A869" s="73"/>
      <c r="B869" s="73"/>
      <c r="C869" s="73"/>
      <c r="D869" s="73"/>
      <c r="E869" s="73"/>
      <c r="F869" s="73"/>
      <c r="G869" s="73"/>
      <c r="H869" s="73"/>
      <c r="J869" s="73"/>
    </row>
    <row r="870" spans="1:10" ht="15.75" customHeight="1">
      <c r="A870" s="73"/>
      <c r="B870" s="73"/>
      <c r="C870" s="73"/>
      <c r="D870" s="73"/>
      <c r="E870" s="73"/>
      <c r="F870" s="73"/>
      <c r="G870" s="73"/>
      <c r="H870" s="73"/>
      <c r="J870" s="73"/>
    </row>
    <row r="871" spans="1:10" ht="15.75" customHeight="1">
      <c r="A871" s="73"/>
      <c r="B871" s="73"/>
      <c r="C871" s="73"/>
      <c r="D871" s="73"/>
      <c r="E871" s="73"/>
      <c r="F871" s="73"/>
      <c r="G871" s="73"/>
      <c r="H871" s="73"/>
      <c r="J871" s="73"/>
    </row>
    <row r="872" spans="1:10" ht="15.75" customHeight="1">
      <c r="A872" s="73"/>
      <c r="B872" s="73"/>
      <c r="C872" s="73"/>
      <c r="D872" s="73"/>
      <c r="E872" s="73"/>
      <c r="F872" s="73"/>
      <c r="G872" s="73"/>
      <c r="H872" s="73"/>
      <c r="J872" s="73"/>
    </row>
    <row r="873" spans="1:10" ht="15.75" customHeight="1">
      <c r="A873" s="73"/>
      <c r="B873" s="73"/>
      <c r="C873" s="73"/>
      <c r="D873" s="73"/>
      <c r="E873" s="73"/>
      <c r="F873" s="73"/>
      <c r="G873" s="73"/>
      <c r="H873" s="73"/>
      <c r="J873" s="73"/>
    </row>
    <row r="874" spans="1:10" ht="15.75" customHeight="1">
      <c r="A874" s="73"/>
      <c r="B874" s="73"/>
      <c r="C874" s="73"/>
      <c r="D874" s="73"/>
      <c r="E874" s="73"/>
      <c r="F874" s="73"/>
      <c r="G874" s="73"/>
      <c r="H874" s="73"/>
      <c r="J874" s="73"/>
    </row>
    <row r="875" spans="1:10" ht="15.75" customHeight="1">
      <c r="A875" s="73"/>
      <c r="B875" s="73"/>
      <c r="C875" s="73"/>
      <c r="D875" s="73"/>
      <c r="E875" s="73"/>
      <c r="F875" s="73"/>
      <c r="G875" s="73"/>
      <c r="H875" s="73"/>
      <c r="J875" s="73"/>
    </row>
    <row r="876" spans="1:10" ht="15.75" customHeight="1">
      <c r="A876" s="73"/>
      <c r="B876" s="73"/>
      <c r="C876" s="73"/>
      <c r="D876" s="73"/>
      <c r="E876" s="73"/>
      <c r="F876" s="73"/>
      <c r="G876" s="73"/>
      <c r="H876" s="73"/>
      <c r="J876" s="73"/>
    </row>
    <row r="877" spans="1:10" ht="15.75" customHeight="1">
      <c r="A877" s="73"/>
      <c r="B877" s="73"/>
      <c r="C877" s="73"/>
      <c r="D877" s="73"/>
      <c r="E877" s="73"/>
      <c r="F877" s="73"/>
      <c r="G877" s="73"/>
      <c r="H877" s="73"/>
      <c r="J877" s="73"/>
    </row>
    <row r="878" spans="1:10" ht="15.75" customHeight="1">
      <c r="A878" s="73"/>
      <c r="B878" s="73"/>
      <c r="C878" s="73"/>
      <c r="D878" s="73"/>
      <c r="E878" s="73"/>
      <c r="F878" s="73"/>
      <c r="G878" s="73"/>
      <c r="H878" s="73"/>
      <c r="J878" s="73"/>
    </row>
    <row r="879" spans="1:10" ht="15.75" customHeight="1">
      <c r="A879" s="73"/>
      <c r="B879" s="73"/>
      <c r="C879" s="73"/>
      <c r="D879" s="73"/>
      <c r="E879" s="73"/>
      <c r="F879" s="73"/>
      <c r="G879" s="73"/>
      <c r="H879" s="73"/>
      <c r="J879" s="73"/>
    </row>
    <row r="880" spans="1:10" ht="15.75" customHeight="1">
      <c r="A880" s="73"/>
      <c r="B880" s="73"/>
      <c r="C880" s="73"/>
      <c r="D880" s="73"/>
      <c r="E880" s="73"/>
      <c r="F880" s="73"/>
      <c r="G880" s="73"/>
      <c r="H880" s="73"/>
      <c r="J880" s="73"/>
    </row>
    <row r="881" spans="1:10" ht="15.75" customHeight="1">
      <c r="A881" s="73"/>
      <c r="B881" s="73"/>
      <c r="C881" s="73"/>
      <c r="D881" s="73"/>
      <c r="E881" s="73"/>
      <c r="F881" s="73"/>
      <c r="G881" s="73"/>
      <c r="H881" s="73"/>
      <c r="J881" s="73"/>
    </row>
    <row r="882" spans="1:10" ht="15.75" customHeight="1">
      <c r="A882" s="73"/>
      <c r="B882" s="73"/>
      <c r="C882" s="73"/>
      <c r="D882" s="73"/>
      <c r="E882" s="73"/>
      <c r="F882" s="73"/>
      <c r="G882" s="73"/>
      <c r="H882" s="73"/>
      <c r="J882" s="73"/>
    </row>
    <row r="883" spans="1:10" ht="15.75" customHeight="1">
      <c r="A883" s="73"/>
      <c r="B883" s="73"/>
      <c r="C883" s="73"/>
      <c r="D883" s="73"/>
      <c r="E883" s="73"/>
      <c r="F883" s="73"/>
      <c r="G883" s="73"/>
      <c r="H883" s="73"/>
      <c r="J883" s="73"/>
    </row>
    <row r="884" spans="1:10" ht="15.75" customHeight="1">
      <c r="A884" s="73"/>
      <c r="B884" s="73"/>
      <c r="C884" s="73"/>
      <c r="D884" s="73"/>
      <c r="E884" s="73"/>
      <c r="F884" s="73"/>
      <c r="G884" s="73"/>
      <c r="H884" s="73"/>
      <c r="J884" s="73"/>
    </row>
    <row r="885" spans="1:10" ht="15.75" customHeight="1">
      <c r="A885" s="73"/>
      <c r="B885" s="73"/>
      <c r="C885" s="73"/>
      <c r="D885" s="73"/>
      <c r="E885" s="73"/>
      <c r="F885" s="73"/>
      <c r="G885" s="73"/>
      <c r="H885" s="73"/>
      <c r="J885" s="73"/>
    </row>
    <row r="886" spans="1:10" ht="15.75" customHeight="1">
      <c r="A886" s="73"/>
      <c r="B886" s="73"/>
      <c r="C886" s="73"/>
      <c r="D886" s="73"/>
      <c r="E886" s="73"/>
      <c r="F886" s="73"/>
      <c r="G886" s="73"/>
      <c r="H886" s="73"/>
      <c r="J886" s="73"/>
    </row>
    <row r="887" spans="1:10" ht="15.75" customHeight="1">
      <c r="A887" s="73"/>
      <c r="B887" s="73"/>
      <c r="C887" s="73"/>
      <c r="D887" s="73"/>
      <c r="E887" s="73"/>
      <c r="F887" s="73"/>
      <c r="G887" s="73"/>
      <c r="H887" s="73"/>
      <c r="J887" s="73"/>
    </row>
    <row r="888" spans="1:10" ht="15.75" customHeight="1">
      <c r="A888" s="73"/>
      <c r="B888" s="73"/>
      <c r="C888" s="73"/>
      <c r="D888" s="73"/>
      <c r="E888" s="73"/>
      <c r="F888" s="73"/>
      <c r="G888" s="73"/>
      <c r="H888" s="73"/>
      <c r="J888" s="73"/>
    </row>
    <row r="889" spans="1:10" ht="15.75" customHeight="1">
      <c r="A889" s="73"/>
      <c r="B889" s="73"/>
      <c r="C889" s="73"/>
      <c r="D889" s="73"/>
      <c r="E889" s="73"/>
      <c r="F889" s="73"/>
      <c r="G889" s="73"/>
      <c r="H889" s="73"/>
      <c r="J889" s="73"/>
    </row>
    <row r="890" spans="1:10" ht="15.75" customHeight="1">
      <c r="A890" s="73"/>
      <c r="B890" s="73"/>
      <c r="C890" s="73"/>
      <c r="D890" s="73"/>
      <c r="E890" s="73"/>
      <c r="F890" s="73"/>
      <c r="G890" s="73"/>
      <c r="H890" s="73"/>
      <c r="J890" s="73"/>
    </row>
    <row r="891" spans="1:10" ht="15.75" customHeight="1">
      <c r="A891" s="73"/>
      <c r="B891" s="73"/>
      <c r="C891" s="73"/>
      <c r="D891" s="73"/>
      <c r="E891" s="73"/>
      <c r="F891" s="73"/>
      <c r="G891" s="73"/>
      <c r="H891" s="73"/>
      <c r="J891" s="73"/>
    </row>
    <row r="892" spans="1:10" ht="15.75" customHeight="1">
      <c r="A892" s="73"/>
      <c r="B892" s="73"/>
      <c r="C892" s="73"/>
      <c r="D892" s="73"/>
      <c r="E892" s="73"/>
      <c r="F892" s="73"/>
      <c r="G892" s="73"/>
      <c r="H892" s="73"/>
      <c r="J892" s="73"/>
    </row>
    <row r="893" spans="1:10" ht="15.75" customHeight="1">
      <c r="A893" s="73"/>
      <c r="B893" s="73"/>
      <c r="C893" s="73"/>
      <c r="D893" s="73"/>
      <c r="E893" s="73"/>
      <c r="F893" s="73"/>
      <c r="G893" s="73"/>
      <c r="H893" s="73"/>
      <c r="J893" s="73"/>
    </row>
    <row r="894" spans="1:10" ht="15.75" customHeight="1">
      <c r="A894" s="73"/>
      <c r="B894" s="73"/>
      <c r="C894" s="73"/>
      <c r="D894" s="73"/>
      <c r="E894" s="73"/>
      <c r="F894" s="73"/>
      <c r="G894" s="73"/>
      <c r="H894" s="73"/>
      <c r="J894" s="73"/>
    </row>
    <row r="895" spans="1:10" ht="15.75" customHeight="1">
      <c r="A895" s="73"/>
      <c r="B895" s="73"/>
      <c r="C895" s="73"/>
      <c r="D895" s="73"/>
      <c r="E895" s="73"/>
      <c r="F895" s="73"/>
      <c r="G895" s="73"/>
      <c r="H895" s="73"/>
      <c r="J895" s="73"/>
    </row>
    <row r="896" spans="1:10" ht="15.75" customHeight="1">
      <c r="A896" s="73"/>
      <c r="B896" s="73"/>
      <c r="C896" s="73"/>
      <c r="D896" s="73"/>
      <c r="E896" s="73"/>
      <c r="F896" s="73"/>
      <c r="G896" s="73"/>
      <c r="H896" s="73"/>
      <c r="J896" s="73"/>
    </row>
    <row r="897" spans="1:10" ht="15.75" customHeight="1">
      <c r="A897" s="73"/>
      <c r="B897" s="73"/>
      <c r="C897" s="73"/>
      <c r="D897" s="73"/>
      <c r="E897" s="73"/>
      <c r="F897" s="73"/>
      <c r="G897" s="73"/>
      <c r="H897" s="73"/>
      <c r="J897" s="73"/>
    </row>
    <row r="898" spans="1:10" ht="15.75" customHeight="1">
      <c r="A898" s="73"/>
      <c r="B898" s="73"/>
      <c r="C898" s="73"/>
      <c r="D898" s="73"/>
      <c r="E898" s="73"/>
      <c r="F898" s="73"/>
      <c r="G898" s="73"/>
      <c r="H898" s="73"/>
      <c r="J898" s="73"/>
    </row>
    <row r="899" spans="1:10" ht="15.75" customHeight="1">
      <c r="A899" s="73"/>
      <c r="B899" s="73"/>
      <c r="C899" s="73"/>
      <c r="D899" s="73"/>
      <c r="E899" s="73"/>
      <c r="F899" s="73"/>
      <c r="G899" s="73"/>
      <c r="H899" s="73"/>
      <c r="J899" s="73"/>
    </row>
    <row r="900" spans="1:10" ht="15.75" customHeight="1">
      <c r="A900" s="73"/>
      <c r="B900" s="73"/>
      <c r="C900" s="73"/>
      <c r="D900" s="73"/>
      <c r="E900" s="73"/>
      <c r="F900" s="73"/>
      <c r="G900" s="73"/>
      <c r="H900" s="73"/>
      <c r="J900" s="73"/>
    </row>
    <row r="901" spans="1:10" ht="15.75" customHeight="1">
      <c r="A901" s="73"/>
      <c r="B901" s="73"/>
      <c r="C901" s="73"/>
      <c r="D901" s="73"/>
      <c r="E901" s="73"/>
      <c r="F901" s="73"/>
      <c r="G901" s="73"/>
      <c r="H901" s="73"/>
      <c r="J901" s="73"/>
    </row>
    <row r="902" spans="1:10" ht="15.75" customHeight="1">
      <c r="A902" s="73"/>
      <c r="B902" s="73"/>
      <c r="C902" s="73"/>
      <c r="D902" s="73"/>
      <c r="E902" s="73"/>
      <c r="F902" s="73"/>
      <c r="G902" s="73"/>
      <c r="H902" s="73"/>
      <c r="J902" s="73"/>
    </row>
    <row r="903" spans="1:10" ht="15.75" customHeight="1">
      <c r="A903" s="73"/>
      <c r="B903" s="73"/>
      <c r="C903" s="73"/>
      <c r="D903" s="73"/>
      <c r="E903" s="73"/>
      <c r="F903" s="73"/>
      <c r="G903" s="73"/>
      <c r="H903" s="73"/>
      <c r="J903" s="73"/>
    </row>
    <row r="904" spans="1:10" ht="15.75" customHeight="1">
      <c r="A904" s="73"/>
      <c r="B904" s="73"/>
      <c r="C904" s="73"/>
      <c r="D904" s="73"/>
      <c r="E904" s="73"/>
      <c r="F904" s="73"/>
      <c r="G904" s="73"/>
      <c r="H904" s="73"/>
      <c r="J904" s="73"/>
    </row>
    <row r="905" spans="1:10" ht="15.75" customHeight="1">
      <c r="A905" s="73"/>
      <c r="B905" s="73"/>
      <c r="C905" s="73"/>
      <c r="D905" s="73"/>
      <c r="E905" s="73"/>
      <c r="F905" s="73"/>
      <c r="G905" s="73"/>
      <c r="H905" s="73"/>
      <c r="J905" s="73"/>
    </row>
    <row r="906" spans="1:10" ht="15.75" customHeight="1">
      <c r="A906" s="73"/>
      <c r="B906" s="73"/>
      <c r="C906" s="73"/>
      <c r="D906" s="73"/>
      <c r="E906" s="73"/>
      <c r="F906" s="73"/>
      <c r="G906" s="73"/>
      <c r="H906" s="73"/>
      <c r="J906" s="73"/>
    </row>
    <row r="907" spans="1:10" ht="15.75" customHeight="1">
      <c r="A907" s="73"/>
      <c r="B907" s="73"/>
      <c r="C907" s="73"/>
      <c r="D907" s="73"/>
      <c r="E907" s="73"/>
      <c r="F907" s="73"/>
      <c r="G907" s="73"/>
      <c r="H907" s="73"/>
      <c r="J907" s="73"/>
    </row>
    <row r="908" spans="1:10" ht="15.75" customHeight="1">
      <c r="A908" s="73"/>
      <c r="B908" s="73"/>
      <c r="C908" s="73"/>
      <c r="D908" s="73"/>
      <c r="E908" s="73"/>
      <c r="F908" s="73"/>
      <c r="G908" s="73"/>
      <c r="H908" s="73"/>
      <c r="J908" s="73"/>
    </row>
    <row r="909" spans="1:10" ht="15.75" customHeight="1">
      <c r="A909" s="73"/>
      <c r="B909" s="73"/>
      <c r="C909" s="73"/>
      <c r="D909" s="73"/>
      <c r="E909" s="73"/>
      <c r="F909" s="73"/>
      <c r="G909" s="73"/>
      <c r="H909" s="73"/>
      <c r="J909" s="73"/>
    </row>
    <row r="910" spans="1:10" ht="15.75" customHeight="1">
      <c r="A910" s="73"/>
      <c r="B910" s="73"/>
      <c r="C910" s="73"/>
      <c r="D910" s="73"/>
      <c r="E910" s="73"/>
      <c r="F910" s="73"/>
      <c r="G910" s="73"/>
      <c r="H910" s="73"/>
      <c r="J910" s="73"/>
    </row>
    <row r="911" spans="1:10" ht="15.75" customHeight="1">
      <c r="A911" s="73"/>
      <c r="B911" s="73"/>
      <c r="C911" s="73"/>
      <c r="D911" s="73"/>
      <c r="E911" s="73"/>
      <c r="F911" s="73"/>
      <c r="G911" s="73"/>
      <c r="H911" s="73"/>
      <c r="J911" s="73"/>
    </row>
    <row r="912" spans="1:10" ht="15.75" customHeight="1">
      <c r="A912" s="73"/>
      <c r="B912" s="73"/>
      <c r="C912" s="73"/>
      <c r="D912" s="73"/>
      <c r="E912" s="73"/>
      <c r="F912" s="73"/>
      <c r="G912" s="73"/>
      <c r="H912" s="73"/>
      <c r="J912" s="73"/>
    </row>
    <row r="913" spans="1:10" ht="15.75" customHeight="1">
      <c r="A913" s="73"/>
      <c r="B913" s="73"/>
      <c r="C913" s="73"/>
      <c r="D913" s="73"/>
      <c r="E913" s="73"/>
      <c r="F913" s="73"/>
      <c r="G913" s="73"/>
      <c r="H913" s="73"/>
      <c r="J913" s="73"/>
    </row>
    <row r="914" spans="1:10" ht="15.75" customHeight="1">
      <c r="A914" s="73"/>
      <c r="B914" s="73"/>
      <c r="C914" s="73"/>
      <c r="D914" s="73"/>
      <c r="E914" s="73"/>
      <c r="F914" s="73"/>
      <c r="G914" s="73"/>
      <c r="H914" s="73"/>
      <c r="J914" s="73"/>
    </row>
    <row r="915" spans="1:10" ht="15.75" customHeight="1">
      <c r="A915" s="73"/>
      <c r="B915" s="73"/>
      <c r="C915" s="73"/>
      <c r="D915" s="73"/>
      <c r="E915" s="73"/>
      <c r="F915" s="73"/>
      <c r="G915" s="73"/>
      <c r="H915" s="73"/>
      <c r="J915" s="73"/>
    </row>
    <row r="916" spans="1:10" ht="15.75" customHeight="1">
      <c r="A916" s="73"/>
      <c r="B916" s="73"/>
      <c r="C916" s="73"/>
      <c r="D916" s="73"/>
      <c r="E916" s="73"/>
      <c r="F916" s="73"/>
      <c r="G916" s="73"/>
      <c r="H916" s="73"/>
      <c r="J916" s="73"/>
    </row>
    <row r="917" spans="1:10" ht="15.75" customHeight="1">
      <c r="A917" s="73"/>
      <c r="B917" s="73"/>
      <c r="C917" s="73"/>
      <c r="D917" s="73"/>
      <c r="E917" s="73"/>
      <c r="F917" s="73"/>
      <c r="G917" s="73"/>
      <c r="H917" s="73"/>
      <c r="J917" s="73"/>
    </row>
    <row r="918" spans="1:10" ht="15.75" customHeight="1">
      <c r="A918" s="73"/>
      <c r="B918" s="73"/>
      <c r="C918" s="73"/>
      <c r="D918" s="73"/>
      <c r="E918" s="73"/>
      <c r="F918" s="73"/>
      <c r="G918" s="73"/>
      <c r="H918" s="73"/>
      <c r="J918" s="73"/>
    </row>
    <row r="919" spans="1:10" ht="15.75" customHeight="1">
      <c r="A919" s="73"/>
      <c r="B919" s="73"/>
      <c r="C919" s="73"/>
      <c r="D919" s="73"/>
      <c r="E919" s="73"/>
      <c r="F919" s="73"/>
      <c r="G919" s="73"/>
      <c r="H919" s="73"/>
      <c r="J919" s="73"/>
    </row>
    <row r="920" spans="1:10" ht="15.75" customHeight="1">
      <c r="A920" s="73"/>
      <c r="B920" s="73"/>
      <c r="C920" s="73"/>
      <c r="D920" s="73"/>
      <c r="E920" s="73"/>
      <c r="F920" s="73"/>
      <c r="G920" s="73"/>
      <c r="H920" s="73"/>
      <c r="J920" s="73"/>
    </row>
    <row r="921" spans="1:10" ht="15.75" customHeight="1">
      <c r="A921" s="73"/>
      <c r="B921" s="73"/>
      <c r="C921" s="73"/>
      <c r="D921" s="73"/>
      <c r="E921" s="73"/>
      <c r="F921" s="73"/>
      <c r="G921" s="73"/>
      <c r="H921" s="73"/>
      <c r="J921" s="73"/>
    </row>
    <row r="922" spans="1:10" ht="15.75" customHeight="1">
      <c r="A922" s="73"/>
      <c r="B922" s="73"/>
      <c r="C922" s="73"/>
      <c r="D922" s="73"/>
      <c r="E922" s="73"/>
      <c r="F922" s="73"/>
      <c r="G922" s="73"/>
      <c r="H922" s="73"/>
      <c r="J922" s="73"/>
    </row>
    <row r="923" spans="1:10" ht="15.75" customHeight="1">
      <c r="A923" s="73"/>
      <c r="B923" s="73"/>
      <c r="C923" s="73"/>
      <c r="D923" s="73"/>
      <c r="E923" s="73"/>
      <c r="F923" s="73"/>
      <c r="G923" s="73"/>
      <c r="H923" s="73"/>
      <c r="J923" s="73"/>
    </row>
    <row r="924" spans="1:10" ht="15.75" customHeight="1">
      <c r="A924" s="73"/>
      <c r="B924" s="73"/>
      <c r="C924" s="73"/>
      <c r="D924" s="73"/>
      <c r="E924" s="73"/>
      <c r="F924" s="73"/>
      <c r="G924" s="73"/>
      <c r="H924" s="73"/>
      <c r="J924" s="73"/>
    </row>
    <row r="925" spans="1:10" ht="15.75" customHeight="1">
      <c r="A925" s="73"/>
      <c r="B925" s="73"/>
      <c r="C925" s="73"/>
      <c r="D925" s="73"/>
      <c r="E925" s="73"/>
      <c r="F925" s="73"/>
      <c r="G925" s="73"/>
      <c r="H925" s="73"/>
      <c r="J925" s="73"/>
    </row>
    <row r="926" spans="1:10" ht="15.75" customHeight="1">
      <c r="A926" s="73"/>
      <c r="B926" s="73"/>
      <c r="C926" s="73"/>
      <c r="D926" s="73"/>
      <c r="E926" s="73"/>
      <c r="F926" s="73"/>
      <c r="G926" s="73"/>
      <c r="H926" s="73"/>
      <c r="J926" s="73"/>
    </row>
    <row r="927" spans="1:10" ht="15.75" customHeight="1">
      <c r="A927" s="73"/>
      <c r="B927" s="73"/>
      <c r="C927" s="73"/>
      <c r="D927" s="73"/>
      <c r="E927" s="73"/>
      <c r="F927" s="73"/>
      <c r="G927" s="73"/>
      <c r="H927" s="73"/>
      <c r="J927" s="73"/>
    </row>
    <row r="928" spans="1:10" ht="15.75" customHeight="1">
      <c r="A928" s="73"/>
      <c r="B928" s="73"/>
      <c r="C928" s="73"/>
      <c r="D928" s="73"/>
      <c r="E928" s="73"/>
      <c r="F928" s="73"/>
      <c r="G928" s="73"/>
      <c r="H928" s="73"/>
      <c r="J928" s="73"/>
    </row>
    <row r="929" spans="1:10" ht="15.75" customHeight="1">
      <c r="A929" s="73"/>
      <c r="B929" s="73"/>
      <c r="C929" s="73"/>
      <c r="D929" s="73"/>
      <c r="E929" s="73"/>
      <c r="F929" s="73"/>
      <c r="G929" s="73"/>
      <c r="H929" s="73"/>
      <c r="J929" s="73"/>
    </row>
    <row r="930" spans="1:10" ht="15.75" customHeight="1">
      <c r="A930" s="73"/>
      <c r="B930" s="73"/>
      <c r="C930" s="73"/>
      <c r="D930" s="73"/>
      <c r="E930" s="73"/>
      <c r="F930" s="73"/>
      <c r="G930" s="73"/>
      <c r="H930" s="73"/>
      <c r="J930" s="73"/>
    </row>
    <row r="931" spans="1:10" ht="15.75" customHeight="1">
      <c r="A931" s="73"/>
      <c r="B931" s="73"/>
      <c r="C931" s="73"/>
      <c r="D931" s="73"/>
      <c r="E931" s="73"/>
      <c r="F931" s="73"/>
      <c r="G931" s="73"/>
      <c r="H931" s="73"/>
      <c r="J931" s="73"/>
    </row>
    <row r="932" spans="1:10" ht="15.75" customHeight="1">
      <c r="A932" s="73"/>
      <c r="B932" s="73"/>
      <c r="C932" s="73"/>
      <c r="D932" s="73"/>
      <c r="E932" s="73"/>
      <c r="F932" s="73"/>
      <c r="G932" s="73"/>
      <c r="H932" s="73"/>
      <c r="J932" s="73"/>
    </row>
    <row r="933" spans="1:10" ht="15.75" customHeight="1">
      <c r="A933" s="73"/>
      <c r="B933" s="73"/>
      <c r="C933" s="73"/>
      <c r="D933" s="73"/>
      <c r="E933" s="73"/>
      <c r="F933" s="73"/>
      <c r="G933" s="73"/>
      <c r="H933" s="73"/>
      <c r="J933" s="73"/>
    </row>
    <row r="934" spans="1:10" ht="15.75" customHeight="1">
      <c r="A934" s="73"/>
      <c r="B934" s="73"/>
      <c r="C934" s="73"/>
      <c r="D934" s="73"/>
      <c r="E934" s="73"/>
      <c r="F934" s="73"/>
      <c r="G934" s="73"/>
      <c r="H934" s="73"/>
      <c r="J934" s="73"/>
    </row>
    <row r="935" spans="1:10" ht="15.75" customHeight="1">
      <c r="A935" s="73"/>
      <c r="B935" s="73"/>
      <c r="C935" s="73"/>
      <c r="D935" s="73"/>
      <c r="E935" s="73"/>
      <c r="F935" s="73"/>
      <c r="G935" s="73"/>
      <c r="H935" s="73"/>
      <c r="J935" s="73"/>
    </row>
    <row r="936" spans="1:10" ht="15.75" customHeight="1">
      <c r="A936" s="73"/>
      <c r="B936" s="73"/>
      <c r="C936" s="73"/>
      <c r="D936" s="73"/>
      <c r="E936" s="73"/>
      <c r="F936" s="73"/>
      <c r="G936" s="73"/>
      <c r="H936" s="73"/>
      <c r="J936" s="73"/>
    </row>
    <row r="937" spans="1:10" ht="15.75" customHeight="1">
      <c r="A937" s="73"/>
      <c r="B937" s="73"/>
      <c r="C937" s="73"/>
      <c r="D937" s="73"/>
      <c r="E937" s="73"/>
      <c r="F937" s="73"/>
      <c r="G937" s="73"/>
      <c r="H937" s="73"/>
      <c r="J937" s="73"/>
    </row>
    <row r="938" spans="1:10" ht="15.75" customHeight="1">
      <c r="A938" s="73"/>
      <c r="B938" s="73"/>
      <c r="C938" s="73"/>
      <c r="D938" s="73"/>
      <c r="E938" s="73"/>
      <c r="F938" s="73"/>
      <c r="G938" s="73"/>
      <c r="H938" s="73"/>
      <c r="J938" s="73"/>
    </row>
    <row r="939" spans="1:10" ht="15.75" customHeight="1">
      <c r="A939" s="73"/>
      <c r="B939" s="73"/>
      <c r="C939" s="73"/>
      <c r="D939" s="73"/>
      <c r="E939" s="73"/>
      <c r="F939" s="73"/>
      <c r="G939" s="73"/>
      <c r="H939" s="73"/>
      <c r="J939" s="73"/>
    </row>
    <row r="940" spans="1:10" ht="15.75" customHeight="1">
      <c r="A940" s="73"/>
      <c r="B940" s="73"/>
      <c r="C940" s="73"/>
      <c r="D940" s="73"/>
      <c r="E940" s="73"/>
      <c r="F940" s="73"/>
      <c r="G940" s="73"/>
      <c r="H940" s="73"/>
      <c r="J940" s="73"/>
    </row>
    <row r="941" spans="1:10" ht="15.75" customHeight="1">
      <c r="A941" s="73"/>
      <c r="B941" s="73"/>
      <c r="C941" s="73"/>
      <c r="D941" s="73"/>
      <c r="E941" s="73"/>
      <c r="F941" s="73"/>
      <c r="G941" s="73"/>
      <c r="H941" s="73"/>
      <c r="J941" s="73"/>
    </row>
    <row r="942" spans="1:10" ht="15.75" customHeight="1">
      <c r="A942" s="73"/>
      <c r="B942" s="73"/>
      <c r="C942" s="73"/>
      <c r="D942" s="73"/>
      <c r="E942" s="73"/>
      <c r="F942" s="73"/>
      <c r="G942" s="73"/>
      <c r="H942" s="73"/>
      <c r="J942" s="73"/>
    </row>
    <row r="943" spans="1:10" ht="15.75" customHeight="1">
      <c r="A943" s="73"/>
      <c r="B943" s="73"/>
      <c r="C943" s="73"/>
      <c r="D943" s="73"/>
      <c r="E943" s="73"/>
      <c r="F943" s="73"/>
      <c r="G943" s="73"/>
      <c r="H943" s="73"/>
      <c r="J943" s="73"/>
    </row>
    <row r="944" spans="1:10" ht="15.75" customHeight="1">
      <c r="A944" s="73"/>
      <c r="B944" s="73"/>
      <c r="C944" s="73"/>
      <c r="D944" s="73"/>
      <c r="E944" s="73"/>
      <c r="F944" s="73"/>
      <c r="G944" s="73"/>
      <c r="H944" s="73"/>
      <c r="J944" s="73"/>
    </row>
    <row r="945" spans="1:10" ht="15.75" customHeight="1">
      <c r="A945" s="73"/>
      <c r="B945" s="73"/>
      <c r="C945" s="73"/>
      <c r="D945" s="73"/>
      <c r="E945" s="73"/>
      <c r="F945" s="73"/>
      <c r="G945" s="73"/>
      <c r="H945" s="73"/>
      <c r="J945" s="73"/>
    </row>
    <row r="946" spans="1:10" ht="15.75" customHeight="1">
      <c r="A946" s="73"/>
      <c r="B946" s="73"/>
      <c r="C946" s="73"/>
      <c r="D946" s="73"/>
      <c r="E946" s="73"/>
      <c r="F946" s="73"/>
      <c r="G946" s="73"/>
      <c r="H946" s="73"/>
      <c r="J946" s="73"/>
    </row>
    <row r="947" spans="1:10" ht="15.75" customHeight="1">
      <c r="A947" s="73"/>
      <c r="B947" s="73"/>
      <c r="C947" s="73"/>
      <c r="D947" s="73"/>
      <c r="E947" s="73"/>
      <c r="F947" s="73"/>
      <c r="G947" s="73"/>
      <c r="H947" s="73"/>
      <c r="J947" s="73"/>
    </row>
    <row r="948" spans="1:10" ht="15.75" customHeight="1">
      <c r="A948" s="73"/>
      <c r="B948" s="73"/>
      <c r="C948" s="73"/>
      <c r="D948" s="73"/>
      <c r="E948" s="73"/>
      <c r="F948" s="73"/>
      <c r="G948" s="73"/>
      <c r="H948" s="73"/>
      <c r="J948" s="73"/>
    </row>
    <row r="949" spans="1:10" ht="15.75" customHeight="1">
      <c r="A949" s="73"/>
      <c r="B949" s="73"/>
      <c r="C949" s="73"/>
      <c r="D949" s="73"/>
      <c r="E949" s="73"/>
      <c r="F949" s="73"/>
      <c r="G949" s="73"/>
      <c r="H949" s="73"/>
      <c r="J949" s="73"/>
    </row>
    <row r="950" spans="1:10" ht="15.75" customHeight="1">
      <c r="A950" s="73"/>
      <c r="B950" s="73"/>
      <c r="C950" s="73"/>
      <c r="D950" s="73"/>
      <c r="E950" s="73"/>
      <c r="F950" s="73"/>
      <c r="G950" s="73"/>
      <c r="H950" s="73"/>
      <c r="J950" s="73"/>
    </row>
    <row r="951" spans="1:10" ht="15.75" customHeight="1">
      <c r="A951" s="73"/>
      <c r="B951" s="73"/>
      <c r="C951" s="73"/>
      <c r="D951" s="73"/>
      <c r="E951" s="73"/>
      <c r="F951" s="73"/>
      <c r="G951" s="73"/>
      <c r="H951" s="73"/>
      <c r="J951" s="73"/>
    </row>
    <row r="952" spans="1:10" ht="15.75" customHeight="1">
      <c r="A952" s="73"/>
      <c r="B952" s="73"/>
      <c r="C952" s="73"/>
      <c r="D952" s="73"/>
      <c r="E952" s="73"/>
      <c r="F952" s="73"/>
      <c r="G952" s="73"/>
      <c r="H952" s="73"/>
      <c r="J952" s="73"/>
    </row>
    <row r="953" spans="1:10" ht="15.75" customHeight="1">
      <c r="A953" s="73"/>
      <c r="B953" s="73"/>
      <c r="C953" s="73"/>
      <c r="D953" s="73"/>
      <c r="E953" s="73"/>
      <c r="F953" s="73"/>
      <c r="G953" s="73"/>
      <c r="H953" s="73"/>
      <c r="J953" s="73"/>
    </row>
    <row r="954" spans="1:10" ht="15.75" customHeight="1">
      <c r="A954" s="73"/>
      <c r="B954" s="73"/>
      <c r="C954" s="73"/>
      <c r="D954" s="73"/>
      <c r="E954" s="73"/>
      <c r="F954" s="73"/>
      <c r="G954" s="73"/>
      <c r="H954" s="73"/>
      <c r="J954" s="73"/>
    </row>
    <row r="955" spans="1:10" ht="15.75" customHeight="1">
      <c r="A955" s="73"/>
      <c r="B955" s="73"/>
      <c r="C955" s="73"/>
      <c r="D955" s="73"/>
      <c r="E955" s="73"/>
      <c r="F955" s="73"/>
      <c r="G955" s="73"/>
      <c r="H955" s="73"/>
      <c r="J955" s="73"/>
    </row>
    <row r="956" spans="1:10" ht="15.75" customHeight="1">
      <c r="A956" s="73"/>
      <c r="B956" s="73"/>
      <c r="C956" s="73"/>
      <c r="D956" s="73"/>
      <c r="E956" s="73"/>
      <c r="F956" s="73"/>
      <c r="G956" s="73"/>
      <c r="H956" s="73"/>
      <c r="J956" s="73"/>
    </row>
    <row r="957" spans="1:10" ht="15.75" customHeight="1">
      <c r="A957" s="73"/>
      <c r="B957" s="73"/>
      <c r="C957" s="73"/>
      <c r="D957" s="73"/>
      <c r="E957" s="73"/>
      <c r="F957" s="73"/>
      <c r="G957" s="73"/>
      <c r="H957" s="73"/>
      <c r="J957" s="73"/>
    </row>
    <row r="958" spans="1:10" ht="15.75" customHeight="1">
      <c r="A958" s="73"/>
      <c r="B958" s="73"/>
      <c r="C958" s="73"/>
      <c r="D958" s="73"/>
      <c r="E958" s="73"/>
      <c r="F958" s="73"/>
      <c r="G958" s="73"/>
      <c r="H958" s="73"/>
      <c r="J958" s="73"/>
    </row>
    <row r="959" spans="1:10" ht="15.75" customHeight="1">
      <c r="A959" s="73"/>
      <c r="B959" s="73"/>
      <c r="C959" s="73"/>
      <c r="D959" s="73"/>
      <c r="E959" s="73"/>
      <c r="F959" s="73"/>
      <c r="G959" s="73"/>
      <c r="H959" s="73"/>
      <c r="J959" s="73"/>
    </row>
    <row r="960" spans="1:10" ht="15.75" customHeight="1">
      <c r="A960" s="73"/>
      <c r="B960" s="73"/>
      <c r="C960" s="73"/>
      <c r="D960" s="73"/>
      <c r="E960" s="73"/>
      <c r="F960" s="73"/>
      <c r="G960" s="73"/>
      <c r="H960" s="73"/>
      <c r="J960" s="73"/>
    </row>
    <row r="961" spans="1:10" ht="15.75" customHeight="1">
      <c r="A961" s="73"/>
      <c r="B961" s="73"/>
      <c r="C961" s="73"/>
      <c r="D961" s="73"/>
      <c r="E961" s="73"/>
      <c r="F961" s="73"/>
      <c r="G961" s="73"/>
      <c r="H961" s="73"/>
      <c r="J961" s="73"/>
    </row>
    <row r="962" spans="1:10" ht="15.75" customHeight="1">
      <c r="A962" s="73"/>
      <c r="B962" s="73"/>
      <c r="C962" s="73"/>
      <c r="D962" s="73"/>
      <c r="E962" s="73"/>
      <c r="F962" s="73"/>
      <c r="G962" s="73"/>
      <c r="H962" s="73"/>
      <c r="J962" s="73"/>
    </row>
    <row r="963" spans="1:10" ht="15.75" customHeight="1">
      <c r="A963" s="73"/>
      <c r="B963" s="73"/>
      <c r="C963" s="73"/>
      <c r="D963" s="73"/>
      <c r="E963" s="73"/>
      <c r="F963" s="73"/>
      <c r="G963" s="73"/>
      <c r="H963" s="73"/>
      <c r="J963" s="73"/>
    </row>
    <row r="964" spans="1:10" ht="15.75" customHeight="1">
      <c r="A964" s="73"/>
      <c r="B964" s="73"/>
      <c r="C964" s="73"/>
      <c r="D964" s="73"/>
      <c r="E964" s="73"/>
      <c r="F964" s="73"/>
      <c r="G964" s="73"/>
      <c r="H964" s="73"/>
      <c r="J964" s="73"/>
    </row>
    <row r="965" spans="1:10" ht="15.75" customHeight="1">
      <c r="A965" s="73"/>
      <c r="B965" s="73"/>
      <c r="C965" s="73"/>
      <c r="D965" s="73"/>
      <c r="E965" s="73"/>
      <c r="F965" s="73"/>
      <c r="G965" s="73"/>
      <c r="H965" s="73"/>
      <c r="J965" s="73"/>
    </row>
    <row r="966" spans="1:10" ht="15.75" customHeight="1">
      <c r="A966" s="73"/>
      <c r="B966" s="73"/>
      <c r="C966" s="73"/>
      <c r="D966" s="73"/>
      <c r="E966" s="73"/>
      <c r="F966" s="73"/>
      <c r="G966" s="73"/>
      <c r="H966" s="73"/>
      <c r="J966" s="73"/>
    </row>
    <row r="967" spans="1:10" ht="15.75" customHeight="1">
      <c r="A967" s="73"/>
      <c r="B967" s="73"/>
      <c r="C967" s="73"/>
      <c r="D967" s="73"/>
      <c r="E967" s="73"/>
      <c r="F967" s="73"/>
      <c r="G967" s="73"/>
      <c r="H967" s="73"/>
      <c r="J967" s="73"/>
    </row>
    <row r="968" spans="1:10" ht="15.75" customHeight="1">
      <c r="A968" s="73"/>
      <c r="B968" s="73"/>
      <c r="C968" s="73"/>
      <c r="D968" s="73"/>
      <c r="E968" s="73"/>
      <c r="F968" s="73"/>
      <c r="G968" s="73"/>
      <c r="H968" s="73"/>
      <c r="J968" s="73"/>
    </row>
    <row r="969" spans="1:10" ht="15.75" customHeight="1">
      <c r="A969" s="73"/>
      <c r="B969" s="73"/>
      <c r="C969" s="73"/>
      <c r="D969" s="73"/>
      <c r="E969" s="73"/>
      <c r="F969" s="73"/>
      <c r="G969" s="73"/>
      <c r="H969" s="73"/>
      <c r="J969" s="73"/>
    </row>
    <row r="970" spans="1:10" ht="15.75" customHeight="1">
      <c r="A970" s="73"/>
      <c r="B970" s="73"/>
      <c r="C970" s="73"/>
      <c r="D970" s="73"/>
      <c r="E970" s="73"/>
      <c r="F970" s="73"/>
      <c r="G970" s="73"/>
      <c r="H970" s="73"/>
      <c r="J970" s="73"/>
    </row>
    <row r="971" spans="1:10" ht="15.75" customHeight="1">
      <c r="A971" s="73"/>
      <c r="B971" s="73"/>
      <c r="C971" s="73"/>
      <c r="D971" s="73"/>
      <c r="E971" s="73"/>
      <c r="F971" s="73"/>
      <c r="G971" s="73"/>
      <c r="H971" s="73"/>
      <c r="J971" s="73"/>
    </row>
    <row r="972" spans="1:10" ht="15.75" customHeight="1">
      <c r="A972" s="73"/>
      <c r="B972" s="73"/>
      <c r="C972" s="73"/>
      <c r="D972" s="73"/>
      <c r="E972" s="73"/>
      <c r="F972" s="73"/>
      <c r="G972" s="73"/>
      <c r="H972" s="73"/>
      <c r="J972" s="73"/>
    </row>
    <row r="973" spans="1:10" ht="15.75" customHeight="1">
      <c r="A973" s="73"/>
      <c r="B973" s="73"/>
      <c r="C973" s="73"/>
      <c r="D973" s="73"/>
      <c r="E973" s="73"/>
      <c r="F973" s="73"/>
      <c r="G973" s="73"/>
      <c r="H973" s="73"/>
      <c r="J973" s="73"/>
    </row>
    <row r="974" spans="1:10" ht="15.75" customHeight="1">
      <c r="A974" s="73"/>
      <c r="B974" s="73"/>
      <c r="C974" s="73"/>
      <c r="D974" s="73"/>
      <c r="E974" s="73"/>
      <c r="F974" s="73"/>
      <c r="G974" s="73"/>
      <c r="H974" s="73"/>
      <c r="J974" s="73"/>
    </row>
    <row r="975" spans="1:10" ht="15.75" customHeight="1">
      <c r="A975" s="73"/>
      <c r="B975" s="73"/>
      <c r="C975" s="73"/>
      <c r="D975" s="73"/>
      <c r="E975" s="73"/>
      <c r="F975" s="73"/>
      <c r="G975" s="73"/>
      <c r="H975" s="73"/>
      <c r="J975" s="73"/>
    </row>
    <row r="976" spans="1:10" ht="15.75" customHeight="1">
      <c r="A976" s="73"/>
      <c r="B976" s="73"/>
      <c r="C976" s="73"/>
      <c r="D976" s="73"/>
      <c r="E976" s="73"/>
      <c r="F976" s="73"/>
      <c r="G976" s="73"/>
      <c r="H976" s="73"/>
      <c r="J976" s="73"/>
    </row>
    <row r="977" spans="1:10" ht="15.75" customHeight="1">
      <c r="A977" s="73"/>
      <c r="B977" s="73"/>
      <c r="C977" s="73"/>
      <c r="D977" s="73"/>
      <c r="E977" s="73"/>
      <c r="F977" s="73"/>
      <c r="G977" s="73"/>
      <c r="H977" s="73"/>
      <c r="J977" s="73"/>
    </row>
    <row r="978" spans="1:10" ht="15.75" customHeight="1">
      <c r="A978" s="73"/>
      <c r="B978" s="73"/>
      <c r="C978" s="73"/>
      <c r="D978" s="73"/>
      <c r="E978" s="73"/>
      <c r="F978" s="73"/>
      <c r="G978" s="73"/>
      <c r="H978" s="73"/>
      <c r="J978" s="73"/>
    </row>
    <row r="979" spans="1:10" ht="15.75" customHeight="1">
      <c r="A979" s="73"/>
      <c r="B979" s="73"/>
      <c r="C979" s="73"/>
      <c r="D979" s="73"/>
      <c r="E979" s="73"/>
      <c r="F979" s="73"/>
      <c r="G979" s="73"/>
      <c r="H979" s="73"/>
      <c r="J979" s="73"/>
    </row>
    <row r="980" spans="1:10" ht="15.75" customHeight="1">
      <c r="A980" s="73"/>
      <c r="B980" s="73"/>
      <c r="C980" s="73"/>
      <c r="D980" s="73"/>
      <c r="E980" s="73"/>
      <c r="F980" s="73"/>
      <c r="G980" s="73"/>
      <c r="H980" s="73"/>
      <c r="J980" s="73"/>
    </row>
    <row r="981" spans="1:10" ht="15.75" customHeight="1">
      <c r="A981" s="73"/>
      <c r="B981" s="73"/>
      <c r="C981" s="73"/>
      <c r="D981" s="73"/>
      <c r="E981" s="73"/>
      <c r="F981" s="73"/>
      <c r="G981" s="73"/>
      <c r="H981" s="73"/>
      <c r="J981" s="73"/>
    </row>
    <row r="982" spans="1:10" ht="15.75" customHeight="1">
      <c r="A982" s="73"/>
      <c r="B982" s="73"/>
      <c r="C982" s="73"/>
      <c r="D982" s="73"/>
      <c r="E982" s="73"/>
      <c r="F982" s="73"/>
      <c r="G982" s="73"/>
      <c r="H982" s="73"/>
      <c r="J982" s="73"/>
    </row>
    <row r="983" spans="1:10" ht="15.75" customHeight="1">
      <c r="A983" s="73"/>
      <c r="B983" s="73"/>
      <c r="C983" s="73"/>
      <c r="D983" s="73"/>
      <c r="E983" s="73"/>
      <c r="F983" s="73"/>
      <c r="G983" s="73"/>
      <c r="H983" s="73"/>
      <c r="J983" s="73"/>
    </row>
    <row r="984" spans="1:10" ht="15.75" customHeight="1">
      <c r="A984" s="73"/>
      <c r="B984" s="73"/>
      <c r="C984" s="73"/>
      <c r="D984" s="73"/>
      <c r="E984" s="73"/>
      <c r="F984" s="73"/>
      <c r="G984" s="73"/>
      <c r="H984" s="73"/>
      <c r="J984" s="73"/>
    </row>
    <row r="985" spans="1:10" ht="15.75" customHeight="1">
      <c r="A985" s="73"/>
      <c r="B985" s="73"/>
      <c r="C985" s="73"/>
      <c r="D985" s="73"/>
      <c r="E985" s="73"/>
      <c r="F985" s="73"/>
      <c r="G985" s="73"/>
      <c r="H985" s="73"/>
      <c r="J985" s="73"/>
    </row>
    <row r="986" spans="1:10" ht="15.75" customHeight="1">
      <c r="A986" s="73"/>
      <c r="B986" s="73"/>
      <c r="C986" s="73"/>
      <c r="D986" s="73"/>
      <c r="E986" s="73"/>
      <c r="F986" s="73"/>
      <c r="G986" s="73"/>
      <c r="H986" s="73"/>
      <c r="J986" s="73"/>
    </row>
    <row r="987" spans="1:10" ht="15.75" customHeight="1">
      <c r="A987" s="73"/>
      <c r="B987" s="73"/>
      <c r="C987" s="73"/>
      <c r="D987" s="73"/>
      <c r="E987" s="73"/>
      <c r="F987" s="73"/>
      <c r="G987" s="73"/>
      <c r="H987" s="73"/>
      <c r="J987" s="73"/>
    </row>
    <row r="988" spans="1:10" ht="15.75" customHeight="1">
      <c r="A988" s="73"/>
      <c r="B988" s="73"/>
      <c r="C988" s="73"/>
      <c r="D988" s="73"/>
      <c r="E988" s="73"/>
      <c r="F988" s="73"/>
      <c r="G988" s="73"/>
      <c r="H988" s="73"/>
      <c r="J988" s="73"/>
    </row>
    <row r="989" spans="1:10" ht="15.75" customHeight="1">
      <c r="A989" s="73"/>
      <c r="B989" s="73"/>
      <c r="C989" s="73"/>
      <c r="D989" s="73"/>
      <c r="E989" s="73"/>
      <c r="F989" s="73"/>
      <c r="G989" s="73"/>
      <c r="H989" s="73"/>
      <c r="J989" s="73"/>
    </row>
    <row r="990" spans="1:10" ht="15.75" customHeight="1">
      <c r="A990" s="73"/>
      <c r="B990" s="73"/>
      <c r="C990" s="73"/>
      <c r="D990" s="73"/>
      <c r="E990" s="73"/>
      <c r="F990" s="73"/>
      <c r="G990" s="73"/>
      <c r="H990" s="73"/>
      <c r="J990" s="73"/>
    </row>
    <row r="991" spans="1:10" ht="15.75" customHeight="1">
      <c r="A991" s="73"/>
      <c r="B991" s="73"/>
      <c r="C991" s="73"/>
      <c r="D991" s="73"/>
      <c r="E991" s="73"/>
      <c r="F991" s="73"/>
      <c r="G991" s="73"/>
      <c r="H991" s="73"/>
      <c r="J991" s="73"/>
    </row>
    <row r="992" spans="1:10" ht="15.75" customHeight="1">
      <c r="A992" s="73"/>
      <c r="B992" s="73"/>
      <c r="C992" s="73"/>
      <c r="D992" s="73"/>
      <c r="E992" s="73"/>
      <c r="F992" s="73"/>
      <c r="G992" s="73"/>
      <c r="H992" s="73"/>
      <c r="J992" s="73"/>
    </row>
    <row r="993" spans="1:10" ht="15.75" customHeight="1">
      <c r="A993" s="73"/>
      <c r="B993" s="73"/>
      <c r="C993" s="73"/>
      <c r="D993" s="73"/>
      <c r="E993" s="73"/>
      <c r="F993" s="73"/>
      <c r="G993" s="73"/>
      <c r="H993" s="73"/>
      <c r="J993" s="73"/>
    </row>
    <row r="994" spans="1:10" ht="15.75" customHeight="1">
      <c r="A994" s="73"/>
      <c r="B994" s="73"/>
      <c r="C994" s="73"/>
      <c r="D994" s="73"/>
      <c r="E994" s="73"/>
      <c r="F994" s="73"/>
      <c r="G994" s="73"/>
      <c r="H994" s="73"/>
      <c r="J994" s="73"/>
    </row>
    <row r="995" spans="1:10" ht="15.75" customHeight="1">
      <c r="A995" s="73"/>
      <c r="B995" s="73"/>
      <c r="C995" s="73"/>
      <c r="D995" s="73"/>
      <c r="E995" s="73"/>
      <c r="F995" s="73"/>
      <c r="G995" s="73"/>
      <c r="H995" s="73"/>
      <c r="J995" s="73"/>
    </row>
    <row r="996" spans="1:10" ht="15.75" customHeight="1">
      <c r="A996" s="73"/>
      <c r="B996" s="73"/>
      <c r="C996" s="73"/>
      <c r="D996" s="73"/>
      <c r="E996" s="73"/>
      <c r="F996" s="73"/>
      <c r="G996" s="73"/>
      <c r="H996" s="73"/>
      <c r="J996" s="73"/>
    </row>
    <row r="997" spans="1:10" ht="15.75" customHeight="1">
      <c r="A997" s="73"/>
      <c r="B997" s="73"/>
      <c r="C997" s="73"/>
      <c r="D997" s="73"/>
      <c r="E997" s="73"/>
      <c r="F997" s="73"/>
      <c r="G997" s="73"/>
      <c r="H997" s="73"/>
      <c r="J997" s="73"/>
    </row>
    <row r="998" spans="1:10" ht="15.75" customHeight="1">
      <c r="A998" s="73"/>
      <c r="B998" s="73"/>
      <c r="C998" s="73"/>
      <c r="D998" s="73"/>
      <c r="E998" s="73"/>
      <c r="F998" s="73"/>
      <c r="G998" s="73"/>
      <c r="H998" s="73"/>
      <c r="J998" s="73"/>
    </row>
    <row r="999" spans="1:10" ht="15.75" customHeight="1">
      <c r="A999" s="73"/>
      <c r="B999" s="73"/>
      <c r="C999" s="73"/>
      <c r="D999" s="73"/>
      <c r="E999" s="73"/>
      <c r="F999" s="73"/>
      <c r="G999" s="73"/>
      <c r="H999" s="73"/>
      <c r="J999" s="73"/>
    </row>
    <row r="1000" spans="1:10" ht="15.75" customHeight="1">
      <c r="A1000" s="73"/>
      <c r="B1000" s="73"/>
      <c r="C1000" s="73"/>
      <c r="D1000" s="73"/>
      <c r="E1000" s="73"/>
      <c r="F1000" s="73"/>
      <c r="G1000" s="73"/>
      <c r="H1000" s="73"/>
      <c r="J1000" s="73"/>
    </row>
  </sheetData>
  <mergeCells count="29">
    <mergeCell ref="I47:I52"/>
    <mergeCell ref="A53:J57"/>
    <mergeCell ref="F3:F4"/>
    <mergeCell ref="I3:I4"/>
    <mergeCell ref="I5:I10"/>
    <mergeCell ref="I11:I16"/>
    <mergeCell ref="I17:I20"/>
    <mergeCell ref="I21:I27"/>
    <mergeCell ref="I28:I30"/>
    <mergeCell ref="A47:A52"/>
    <mergeCell ref="D3:D4"/>
    <mergeCell ref="E3:E4"/>
    <mergeCell ref="A5:A10"/>
    <mergeCell ref="A11:A16"/>
    <mergeCell ref="A17:A20"/>
    <mergeCell ref="A21:A27"/>
    <mergeCell ref="A28:A30"/>
    <mergeCell ref="A3:B3"/>
    <mergeCell ref="C3:C4"/>
    <mergeCell ref="J3:J4"/>
    <mergeCell ref="A31:A32"/>
    <mergeCell ref="A33:A46"/>
    <mergeCell ref="I31:I32"/>
    <mergeCell ref="I33:I46"/>
    <mergeCell ref="A1:B2"/>
    <mergeCell ref="C1:C2"/>
    <mergeCell ref="D1:D2"/>
    <mergeCell ref="E1:E2"/>
    <mergeCell ref="F1:J2"/>
  </mergeCells>
  <phoneticPr fontId="30" type="noConversion"/>
  <pageMargins left="0.25" right="0.25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137.5703125" customWidth="1"/>
    <col min="3" max="3" width="36.28515625" customWidth="1"/>
    <col min="4" max="5" width="34.28515625" customWidth="1"/>
    <col min="6" max="6" width="30.85546875" customWidth="1"/>
    <col min="7" max="7" width="21.140625" customWidth="1"/>
    <col min="8" max="8" width="21.5703125" customWidth="1"/>
    <col min="10" max="10" width="49.7109375" customWidth="1"/>
  </cols>
  <sheetData>
    <row r="1" spans="1:26" ht="16.5" customHeight="1">
      <c r="A1" s="625" t="s">
        <v>265</v>
      </c>
      <c r="B1" s="611"/>
      <c r="C1" s="657" t="s">
        <v>94</v>
      </c>
      <c r="D1" s="658" t="s">
        <v>266</v>
      </c>
      <c r="E1" s="659" t="s">
        <v>267</v>
      </c>
      <c r="F1" s="629" t="s">
        <v>228</v>
      </c>
      <c r="G1" s="611"/>
      <c r="H1" s="611"/>
      <c r="I1" s="611"/>
      <c r="J1" s="6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608"/>
      <c r="B2" s="613"/>
      <c r="C2" s="606"/>
      <c r="D2" s="648"/>
      <c r="E2" s="606"/>
      <c r="F2" s="630"/>
      <c r="G2" s="631"/>
      <c r="H2" s="631"/>
      <c r="I2" s="631"/>
      <c r="J2" s="6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633"/>
      <c r="B3" s="634"/>
      <c r="C3" s="617" t="s">
        <v>229</v>
      </c>
      <c r="D3" s="619" t="s">
        <v>230</v>
      </c>
      <c r="E3" s="672" t="s">
        <v>231</v>
      </c>
      <c r="F3" s="619" t="s">
        <v>232</v>
      </c>
      <c r="G3" s="3" t="s">
        <v>4</v>
      </c>
      <c r="H3" s="4" t="s">
        <v>5</v>
      </c>
      <c r="I3" s="617" t="s">
        <v>6</v>
      </c>
      <c r="J3" s="619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5" t="s">
        <v>8</v>
      </c>
      <c r="B4" s="41" t="s">
        <v>9</v>
      </c>
      <c r="C4" s="618"/>
      <c r="D4" s="636"/>
      <c r="E4" s="648"/>
      <c r="F4" s="636"/>
      <c r="G4" s="7" t="s">
        <v>10</v>
      </c>
      <c r="H4" s="7" t="s">
        <v>11</v>
      </c>
      <c r="I4" s="618"/>
      <c r="J4" s="60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661" t="s">
        <v>268</v>
      </c>
      <c r="B5" s="86" t="s">
        <v>269</v>
      </c>
      <c r="C5" s="98">
        <v>349000</v>
      </c>
      <c r="D5" s="102">
        <v>537000</v>
      </c>
      <c r="E5" s="154">
        <v>299000</v>
      </c>
      <c r="F5" s="155">
        <f t="shared" ref="F5:F29" si="0">1-E5/C5</f>
        <v>0.14326647564469919</v>
      </c>
      <c r="G5" s="76"/>
      <c r="H5" s="119"/>
      <c r="I5" s="640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654"/>
      <c r="B6" s="177" t="s">
        <v>270</v>
      </c>
      <c r="C6" s="100">
        <v>469000</v>
      </c>
      <c r="D6" s="79">
        <v>797000</v>
      </c>
      <c r="E6" s="132">
        <v>399000</v>
      </c>
      <c r="F6" s="156">
        <f t="shared" si="0"/>
        <v>0.14925373134328357</v>
      </c>
      <c r="G6" s="76"/>
      <c r="H6" s="119"/>
      <c r="I6" s="603"/>
      <c r="J6" s="14" t="s">
        <v>271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654"/>
      <c r="B7" s="177" t="s">
        <v>272</v>
      </c>
      <c r="C7" s="132">
        <v>599000</v>
      </c>
      <c r="D7" s="79">
        <v>997000</v>
      </c>
      <c r="E7" s="132">
        <v>499000</v>
      </c>
      <c r="F7" s="156">
        <f t="shared" si="0"/>
        <v>0.1669449081803005</v>
      </c>
      <c r="G7" s="50"/>
      <c r="H7" s="84"/>
      <c r="I7" s="603"/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654"/>
      <c r="B8" s="177" t="s">
        <v>273</v>
      </c>
      <c r="C8" s="132">
        <v>849000</v>
      </c>
      <c r="D8" s="79">
        <v>1537000</v>
      </c>
      <c r="E8" s="132">
        <v>769000</v>
      </c>
      <c r="F8" s="156">
        <f t="shared" si="0"/>
        <v>9.4228504122497059E-2</v>
      </c>
      <c r="G8" s="72"/>
      <c r="H8" s="84"/>
      <c r="I8" s="603"/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655"/>
      <c r="B9" s="177" t="s">
        <v>274</v>
      </c>
      <c r="C9" s="133">
        <v>1800000</v>
      </c>
      <c r="D9" s="81">
        <v>3399000</v>
      </c>
      <c r="E9" s="133">
        <v>1700000</v>
      </c>
      <c r="F9" s="160">
        <f t="shared" si="0"/>
        <v>5.555555555555558E-2</v>
      </c>
      <c r="G9" s="72"/>
      <c r="H9" s="104"/>
      <c r="I9" s="621"/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652" t="s">
        <v>275</v>
      </c>
      <c r="B10" s="178" t="s">
        <v>276</v>
      </c>
      <c r="C10" s="154">
        <v>269000</v>
      </c>
      <c r="D10" s="102">
        <v>477000</v>
      </c>
      <c r="E10" s="154">
        <v>239000</v>
      </c>
      <c r="F10" s="155">
        <f t="shared" si="0"/>
        <v>0.11152416356877326</v>
      </c>
      <c r="G10" s="72"/>
      <c r="H10" s="84"/>
      <c r="I10" s="646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608"/>
      <c r="B11" s="88" t="s">
        <v>277</v>
      </c>
      <c r="C11" s="132">
        <v>329000</v>
      </c>
      <c r="D11" s="79">
        <v>537000</v>
      </c>
      <c r="E11" s="39">
        <v>269000</v>
      </c>
      <c r="F11" s="156">
        <f t="shared" si="0"/>
        <v>0.18237082066869303</v>
      </c>
      <c r="G11" s="72"/>
      <c r="H11" s="84"/>
      <c r="I11" s="603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608"/>
      <c r="B12" s="88" t="s">
        <v>278</v>
      </c>
      <c r="C12" s="132">
        <v>330000</v>
      </c>
      <c r="D12" s="79">
        <v>597000</v>
      </c>
      <c r="E12" s="39">
        <v>299000</v>
      </c>
      <c r="F12" s="156">
        <f t="shared" si="0"/>
        <v>9.3939393939393989E-2</v>
      </c>
      <c r="G12" s="72"/>
      <c r="H12" s="84"/>
      <c r="I12" s="603"/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08"/>
      <c r="B13" s="177" t="s">
        <v>279</v>
      </c>
      <c r="C13" s="132">
        <v>799000</v>
      </c>
      <c r="D13" s="79">
        <v>1397000</v>
      </c>
      <c r="E13" s="39">
        <v>699000</v>
      </c>
      <c r="F13" s="156">
        <f t="shared" si="0"/>
        <v>0.12515644555694616</v>
      </c>
      <c r="G13" s="72"/>
      <c r="H13" s="104"/>
      <c r="I13" s="603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608"/>
      <c r="B14" s="177" t="s">
        <v>280</v>
      </c>
      <c r="C14" s="132">
        <v>809000</v>
      </c>
      <c r="D14" s="79">
        <v>1417000</v>
      </c>
      <c r="E14" s="39">
        <v>709000</v>
      </c>
      <c r="F14" s="156">
        <f t="shared" si="0"/>
        <v>0.12360939431396789</v>
      </c>
      <c r="G14" s="72"/>
      <c r="H14" s="104"/>
      <c r="I14" s="603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610"/>
      <c r="B15" s="177" t="s">
        <v>281</v>
      </c>
      <c r="C15" s="133">
        <v>959000</v>
      </c>
      <c r="D15" s="81">
        <v>1717000</v>
      </c>
      <c r="E15" s="103">
        <v>859000</v>
      </c>
      <c r="F15" s="160">
        <f t="shared" si="0"/>
        <v>0.10427528675703857</v>
      </c>
      <c r="G15" s="50"/>
      <c r="H15" s="84"/>
      <c r="I15" s="621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652" t="s">
        <v>282</v>
      </c>
      <c r="B16" s="57" t="s">
        <v>283</v>
      </c>
      <c r="C16" s="87">
        <v>177000</v>
      </c>
      <c r="D16" s="102">
        <v>257000</v>
      </c>
      <c r="E16" s="87">
        <v>129000</v>
      </c>
      <c r="F16" s="155">
        <f t="shared" si="0"/>
        <v>0.27118644067796616</v>
      </c>
      <c r="G16" s="50"/>
      <c r="H16" s="84"/>
      <c r="I16" s="646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608"/>
      <c r="B17" s="61" t="s">
        <v>16</v>
      </c>
      <c r="C17" s="39">
        <v>240000</v>
      </c>
      <c r="D17" s="79">
        <v>397000</v>
      </c>
      <c r="E17" s="39">
        <v>199000</v>
      </c>
      <c r="F17" s="156">
        <f t="shared" si="0"/>
        <v>0.17083333333333328</v>
      </c>
      <c r="G17" s="72"/>
      <c r="H17" s="84"/>
      <c r="I17" s="603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608"/>
      <c r="B18" s="61" t="s">
        <v>284</v>
      </c>
      <c r="C18" s="39">
        <v>444000</v>
      </c>
      <c r="D18" s="79">
        <v>797000</v>
      </c>
      <c r="E18" s="39">
        <v>399000</v>
      </c>
      <c r="F18" s="156">
        <f t="shared" si="0"/>
        <v>0.10135135135135132</v>
      </c>
      <c r="G18" s="72"/>
      <c r="H18" s="104"/>
      <c r="I18" s="603"/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10"/>
      <c r="B19" s="179" t="s">
        <v>285</v>
      </c>
      <c r="C19" s="132">
        <v>478000</v>
      </c>
      <c r="D19" s="79">
        <v>897000</v>
      </c>
      <c r="E19" s="39">
        <v>449000</v>
      </c>
      <c r="F19" s="160">
        <f t="shared" si="0"/>
        <v>6.0669456066945626E-2</v>
      </c>
      <c r="G19" s="72"/>
      <c r="H19" s="84"/>
      <c r="I19" s="601"/>
      <c r="J19" s="1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668" t="s">
        <v>27</v>
      </c>
      <c r="B20" s="57" t="s">
        <v>286</v>
      </c>
      <c r="C20" s="91">
        <v>59000</v>
      </c>
      <c r="D20" s="102">
        <v>77000</v>
      </c>
      <c r="E20" s="91">
        <v>39000</v>
      </c>
      <c r="F20" s="155">
        <f t="shared" si="0"/>
        <v>0.33898305084745761</v>
      </c>
      <c r="G20" s="60"/>
      <c r="H20" s="92"/>
      <c r="I20" s="642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08"/>
      <c r="B21" s="61" t="s">
        <v>287</v>
      </c>
      <c r="C21" s="93">
        <v>118000</v>
      </c>
      <c r="D21" s="79">
        <v>157000</v>
      </c>
      <c r="E21" s="93">
        <v>79000</v>
      </c>
      <c r="F21" s="156">
        <f t="shared" si="0"/>
        <v>0.33050847457627119</v>
      </c>
      <c r="G21" s="60"/>
      <c r="H21" s="92"/>
      <c r="I21" s="603"/>
      <c r="J21" s="1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608"/>
      <c r="B22" s="61" t="s">
        <v>288</v>
      </c>
      <c r="C22" s="93">
        <v>124000</v>
      </c>
      <c r="D22" s="79">
        <v>197000</v>
      </c>
      <c r="E22" s="93">
        <v>99000</v>
      </c>
      <c r="F22" s="156">
        <f t="shared" si="0"/>
        <v>0.20161290322580649</v>
      </c>
      <c r="G22" s="60"/>
      <c r="H22" s="92"/>
      <c r="I22" s="603"/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608"/>
      <c r="B23" s="61" t="s">
        <v>289</v>
      </c>
      <c r="C23" s="93">
        <v>154000</v>
      </c>
      <c r="D23" s="79">
        <v>237000</v>
      </c>
      <c r="E23" s="93">
        <v>119000</v>
      </c>
      <c r="F23" s="156">
        <f t="shared" si="0"/>
        <v>0.22727272727272729</v>
      </c>
      <c r="G23" s="60"/>
      <c r="H23" s="92"/>
      <c r="I23" s="603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608"/>
      <c r="B24" s="61" t="s">
        <v>290</v>
      </c>
      <c r="C24" s="93">
        <v>219000</v>
      </c>
      <c r="D24" s="79">
        <v>397000</v>
      </c>
      <c r="E24" s="93">
        <v>199000</v>
      </c>
      <c r="F24" s="156">
        <f t="shared" si="0"/>
        <v>9.1324200913242004E-2</v>
      </c>
      <c r="G24" s="60"/>
      <c r="H24" s="92"/>
      <c r="I24" s="603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608"/>
      <c r="B25" s="61" t="s">
        <v>204</v>
      </c>
      <c r="C25" s="93">
        <v>240000</v>
      </c>
      <c r="D25" s="79">
        <v>397000</v>
      </c>
      <c r="E25" s="93">
        <v>199000</v>
      </c>
      <c r="F25" s="156">
        <f t="shared" si="0"/>
        <v>0.17083333333333328</v>
      </c>
      <c r="G25" s="60"/>
      <c r="H25" s="92"/>
      <c r="I25" s="603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610"/>
      <c r="B26" s="56" t="s">
        <v>291</v>
      </c>
      <c r="C26" s="122">
        <v>249000</v>
      </c>
      <c r="D26" s="81">
        <v>397000</v>
      </c>
      <c r="E26" s="122">
        <v>199000</v>
      </c>
      <c r="F26" s="160">
        <f t="shared" si="0"/>
        <v>0.20080321285140568</v>
      </c>
      <c r="G26" s="60"/>
      <c r="H26" s="92"/>
      <c r="I26" s="601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660" t="s">
        <v>118</v>
      </c>
      <c r="B27" s="57" t="s">
        <v>292</v>
      </c>
      <c r="C27" s="91">
        <v>79000</v>
      </c>
      <c r="D27" s="102">
        <f t="shared" ref="D27:D29" si="1">E27*2-1000</f>
        <v>117000</v>
      </c>
      <c r="E27" s="91">
        <v>59000</v>
      </c>
      <c r="F27" s="162">
        <f t="shared" si="0"/>
        <v>0.25316455696202533</v>
      </c>
      <c r="G27" s="69"/>
      <c r="H27" s="99"/>
      <c r="I27" s="643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605"/>
      <c r="B28" s="61" t="s">
        <v>293</v>
      </c>
      <c r="C28" s="93">
        <v>89500</v>
      </c>
      <c r="D28" s="79">
        <f t="shared" si="1"/>
        <v>157000</v>
      </c>
      <c r="E28" s="93">
        <v>79000</v>
      </c>
      <c r="F28" s="162">
        <f t="shared" si="0"/>
        <v>0.11731843575418999</v>
      </c>
      <c r="G28" s="69"/>
      <c r="H28" s="99"/>
      <c r="I28" s="603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606"/>
      <c r="B29" s="56" t="s">
        <v>34</v>
      </c>
      <c r="C29" s="122">
        <v>118000</v>
      </c>
      <c r="D29" s="81">
        <f t="shared" si="1"/>
        <v>177000</v>
      </c>
      <c r="E29" s="122">
        <v>89000</v>
      </c>
      <c r="F29" s="163">
        <f t="shared" si="0"/>
        <v>0.24576271186440679</v>
      </c>
      <c r="G29" s="72"/>
      <c r="H29" s="84"/>
      <c r="I29" s="601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68" t="s">
        <v>294</v>
      </c>
      <c r="B30" s="671" t="s">
        <v>295</v>
      </c>
      <c r="C30" s="93"/>
      <c r="D30" s="102"/>
      <c r="E30" s="93"/>
      <c r="F30" s="155"/>
      <c r="G30" s="60"/>
      <c r="H30" s="92"/>
      <c r="I30" s="642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608"/>
      <c r="B31" s="605"/>
      <c r="C31" s="93"/>
      <c r="D31" s="79"/>
      <c r="E31" s="93"/>
      <c r="F31" s="156"/>
      <c r="G31" s="60"/>
      <c r="H31" s="92"/>
      <c r="I31" s="603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608"/>
      <c r="B32" s="605"/>
      <c r="C32" s="93"/>
      <c r="D32" s="79"/>
      <c r="E32" s="93"/>
      <c r="F32" s="156"/>
      <c r="G32" s="60"/>
      <c r="H32" s="92"/>
      <c r="I32" s="603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610"/>
      <c r="B33" s="606"/>
      <c r="C33" s="122"/>
      <c r="D33" s="81"/>
      <c r="E33" s="122"/>
      <c r="F33" s="160"/>
      <c r="G33" s="60"/>
      <c r="H33" s="92"/>
      <c r="I33" s="601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668" t="s">
        <v>296</v>
      </c>
      <c r="B34" s="61" t="s">
        <v>297</v>
      </c>
      <c r="C34" s="93">
        <v>950000</v>
      </c>
      <c r="D34" s="102">
        <f t="shared" ref="D34:D54" si="2">E34*2-1000</f>
        <v>1699000</v>
      </c>
      <c r="E34" s="93">
        <v>850000</v>
      </c>
      <c r="F34" s="155">
        <f t="shared" ref="F34:F40" si="3">1-E34/C34</f>
        <v>0.10526315789473684</v>
      </c>
      <c r="G34" s="60"/>
      <c r="H34" s="92"/>
      <c r="I34" s="642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608"/>
      <c r="B35" s="61" t="s">
        <v>298</v>
      </c>
      <c r="C35" s="93">
        <v>1600000</v>
      </c>
      <c r="D35" s="79">
        <f t="shared" si="2"/>
        <v>3099000</v>
      </c>
      <c r="E35" s="93">
        <v>1550000</v>
      </c>
      <c r="F35" s="156">
        <f t="shared" si="3"/>
        <v>3.125E-2</v>
      </c>
      <c r="G35" s="60"/>
      <c r="H35" s="92"/>
      <c r="I35" s="603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608"/>
      <c r="B36" s="61" t="s">
        <v>299</v>
      </c>
      <c r="C36" s="93">
        <v>2400000</v>
      </c>
      <c r="D36" s="79">
        <f t="shared" si="2"/>
        <v>4599000</v>
      </c>
      <c r="E36" s="93">
        <v>2300000</v>
      </c>
      <c r="F36" s="156">
        <f t="shared" si="3"/>
        <v>4.166666666666663E-2</v>
      </c>
      <c r="G36" s="60"/>
      <c r="H36" s="92"/>
      <c r="I36" s="603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08"/>
      <c r="B37" s="61" t="s">
        <v>300</v>
      </c>
      <c r="C37" s="93">
        <v>1750000</v>
      </c>
      <c r="D37" s="79">
        <f t="shared" si="2"/>
        <v>3299000</v>
      </c>
      <c r="E37" s="93">
        <v>1650000</v>
      </c>
      <c r="F37" s="156">
        <f t="shared" si="3"/>
        <v>5.7142857142857162E-2</v>
      </c>
      <c r="G37" s="60"/>
      <c r="H37" s="92"/>
      <c r="I37" s="603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10"/>
      <c r="B38" s="61" t="s">
        <v>301</v>
      </c>
      <c r="C38" s="93">
        <v>2450000</v>
      </c>
      <c r="D38" s="81">
        <f t="shared" si="2"/>
        <v>4699000</v>
      </c>
      <c r="E38" s="93">
        <v>2350000</v>
      </c>
      <c r="F38" s="160">
        <f t="shared" si="3"/>
        <v>4.081632653061229E-2</v>
      </c>
      <c r="G38" s="60"/>
      <c r="H38" s="92"/>
      <c r="I38" s="601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668" t="s">
        <v>259</v>
      </c>
      <c r="B39" s="57" t="s">
        <v>260</v>
      </c>
      <c r="C39" s="91">
        <v>249000</v>
      </c>
      <c r="D39" s="102">
        <f t="shared" si="2"/>
        <v>397000</v>
      </c>
      <c r="E39" s="91">
        <v>199000</v>
      </c>
      <c r="F39" s="155">
        <f t="shared" si="3"/>
        <v>0.20080321285140568</v>
      </c>
      <c r="G39" s="60"/>
      <c r="H39" s="92"/>
      <c r="I39" s="642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610"/>
      <c r="B40" s="61" t="s">
        <v>261</v>
      </c>
      <c r="C40" s="93">
        <v>599000</v>
      </c>
      <c r="D40" s="81">
        <f t="shared" si="2"/>
        <v>997000</v>
      </c>
      <c r="E40" s="93">
        <v>499000</v>
      </c>
      <c r="F40" s="160">
        <f t="shared" si="3"/>
        <v>0.1669449081803005</v>
      </c>
      <c r="G40" s="60"/>
      <c r="H40" s="92"/>
      <c r="I40" s="621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660" t="s">
        <v>207</v>
      </c>
      <c r="B41" s="180" t="s">
        <v>208</v>
      </c>
      <c r="C41" s="181">
        <v>1190000</v>
      </c>
      <c r="D41" s="182">
        <f t="shared" si="2"/>
        <v>2179000</v>
      </c>
      <c r="E41" s="183">
        <v>1090000</v>
      </c>
      <c r="F41" s="184"/>
      <c r="G41" s="185"/>
      <c r="H41" s="185"/>
      <c r="I41" s="673"/>
      <c r="J41" s="184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6.5" customHeight="1">
      <c r="A42" s="605"/>
      <c r="B42" s="186" t="s">
        <v>209</v>
      </c>
      <c r="C42" s="187">
        <v>1440000</v>
      </c>
      <c r="D42" s="188">
        <f t="shared" si="2"/>
        <v>2779000</v>
      </c>
      <c r="E42" s="189">
        <v>1390000</v>
      </c>
      <c r="F42" s="184"/>
      <c r="G42" s="185"/>
      <c r="H42" s="185"/>
      <c r="I42" s="614"/>
      <c r="J42" s="184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6.5" customHeight="1">
      <c r="A43" s="605"/>
      <c r="B43" s="186" t="s">
        <v>210</v>
      </c>
      <c r="C43" s="187">
        <v>2100000</v>
      </c>
      <c r="D43" s="188">
        <f t="shared" si="2"/>
        <v>3979000</v>
      </c>
      <c r="E43" s="189">
        <v>1990000</v>
      </c>
      <c r="F43" s="184"/>
      <c r="G43" s="185"/>
      <c r="H43" s="185"/>
      <c r="I43" s="614"/>
      <c r="J43" s="184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6.5" customHeight="1">
      <c r="A44" s="605"/>
      <c r="B44" s="180" t="s">
        <v>302</v>
      </c>
      <c r="C44" s="181">
        <v>1900000</v>
      </c>
      <c r="D44" s="182">
        <f t="shared" si="2"/>
        <v>3599000</v>
      </c>
      <c r="E44" s="183">
        <v>1800000</v>
      </c>
      <c r="F44" s="184"/>
      <c r="G44" s="185"/>
      <c r="H44" s="185"/>
      <c r="I44" s="614"/>
      <c r="J44" s="184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6.5" customHeight="1">
      <c r="A45" s="605"/>
      <c r="B45" s="190" t="s">
        <v>212</v>
      </c>
      <c r="C45" s="191">
        <v>2700000</v>
      </c>
      <c r="D45" s="192">
        <f t="shared" si="2"/>
        <v>5199000</v>
      </c>
      <c r="E45" s="193">
        <v>2600000</v>
      </c>
      <c r="F45" s="184"/>
      <c r="G45" s="185"/>
      <c r="H45" s="185"/>
      <c r="I45" s="614"/>
      <c r="J45" s="184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6.5" customHeight="1">
      <c r="A46" s="605"/>
      <c r="B46" s="180" t="s">
        <v>213</v>
      </c>
      <c r="C46" s="181">
        <v>1750000</v>
      </c>
      <c r="D46" s="182">
        <f t="shared" si="2"/>
        <v>3299000</v>
      </c>
      <c r="E46" s="183">
        <v>1650000</v>
      </c>
      <c r="F46" s="184"/>
      <c r="G46" s="185"/>
      <c r="H46" s="185"/>
      <c r="I46" s="614"/>
      <c r="J46" s="184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6.5" customHeight="1">
      <c r="A47" s="605"/>
      <c r="B47" s="190" t="s">
        <v>214</v>
      </c>
      <c r="C47" s="191">
        <v>2450000</v>
      </c>
      <c r="D47" s="192">
        <f t="shared" si="2"/>
        <v>4699000</v>
      </c>
      <c r="E47" s="193">
        <v>2350000</v>
      </c>
      <c r="F47" s="184"/>
      <c r="G47" s="185"/>
      <c r="H47" s="185"/>
      <c r="I47" s="614"/>
      <c r="J47" s="184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6.5" customHeight="1">
      <c r="A48" s="605"/>
      <c r="B48" s="194" t="s">
        <v>215</v>
      </c>
      <c r="C48" s="195">
        <v>276000</v>
      </c>
      <c r="D48" s="196">
        <f t="shared" si="2"/>
        <v>499000</v>
      </c>
      <c r="E48" s="197">
        <v>250000</v>
      </c>
      <c r="F48" s="184"/>
      <c r="G48" s="185"/>
      <c r="H48" s="185"/>
      <c r="I48" s="614"/>
      <c r="J48" s="184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6.5" customHeight="1">
      <c r="A49" s="605"/>
      <c r="B49" s="194" t="s">
        <v>216</v>
      </c>
      <c r="C49" s="73"/>
      <c r="D49" s="188">
        <f t="shared" si="2"/>
        <v>399000</v>
      </c>
      <c r="E49" s="189">
        <v>200000</v>
      </c>
      <c r="F49" s="184"/>
      <c r="G49" s="185"/>
      <c r="H49" s="185"/>
      <c r="I49" s="614"/>
      <c r="J49" s="184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6.5" customHeight="1">
      <c r="A50" s="605"/>
      <c r="B50" s="198" t="s">
        <v>217</v>
      </c>
      <c r="C50" s="73"/>
      <c r="D50" s="188">
        <f t="shared" si="2"/>
        <v>299000</v>
      </c>
      <c r="E50" s="189">
        <v>150000</v>
      </c>
      <c r="F50" s="184"/>
      <c r="G50" s="185"/>
      <c r="H50" s="185"/>
      <c r="I50" s="614"/>
      <c r="J50" s="184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6.5" customHeight="1">
      <c r="A51" s="605"/>
      <c r="B51" s="198" t="s">
        <v>218</v>
      </c>
      <c r="C51" s="73"/>
      <c r="D51" s="188">
        <f t="shared" si="2"/>
        <v>199000</v>
      </c>
      <c r="E51" s="189">
        <v>100000</v>
      </c>
      <c r="F51" s="184"/>
      <c r="G51" s="185"/>
      <c r="H51" s="185"/>
      <c r="I51" s="614"/>
      <c r="J51" s="184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6.5" customHeight="1">
      <c r="A52" s="605"/>
      <c r="B52" s="198" t="s">
        <v>219</v>
      </c>
      <c r="C52" s="73"/>
      <c r="D52" s="188">
        <f t="shared" si="2"/>
        <v>359000</v>
      </c>
      <c r="E52" s="189">
        <v>180000</v>
      </c>
      <c r="F52" s="184"/>
      <c r="G52" s="185"/>
      <c r="H52" s="185"/>
      <c r="I52" s="614"/>
      <c r="J52" s="184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6.5" customHeight="1">
      <c r="A53" s="605"/>
      <c r="B53" s="198" t="s">
        <v>220</v>
      </c>
      <c r="C53" s="73"/>
      <c r="D53" s="188">
        <f t="shared" si="2"/>
        <v>399000</v>
      </c>
      <c r="E53" s="140">
        <v>200000</v>
      </c>
      <c r="F53" s="184"/>
      <c r="G53" s="185"/>
      <c r="H53" s="185"/>
      <c r="I53" s="614"/>
      <c r="J53" s="184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6.5" customHeight="1">
      <c r="A54" s="606"/>
      <c r="B54" s="199" t="s">
        <v>221</v>
      </c>
      <c r="C54" s="200"/>
      <c r="D54" s="192">
        <f t="shared" si="2"/>
        <v>799000</v>
      </c>
      <c r="E54" s="193">
        <v>400000</v>
      </c>
      <c r="F54" s="184"/>
      <c r="G54" s="185"/>
      <c r="H54" s="185"/>
      <c r="I54" s="614"/>
      <c r="J54" s="184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6.5" customHeight="1">
      <c r="A55" s="666" t="s">
        <v>172</v>
      </c>
      <c r="B55" s="73" t="s">
        <v>173</v>
      </c>
      <c r="C55" s="113">
        <v>500000</v>
      </c>
      <c r="D55" s="102">
        <v>899000</v>
      </c>
      <c r="E55" s="75">
        <v>450000</v>
      </c>
      <c r="F55" s="155"/>
      <c r="G55" s="66"/>
      <c r="H55" s="92"/>
      <c r="I55" s="640"/>
      <c r="J55" s="1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605"/>
      <c r="B56" s="73" t="s">
        <v>174</v>
      </c>
      <c r="C56" s="115">
        <v>1400000</v>
      </c>
      <c r="D56" s="79">
        <v>2399000</v>
      </c>
      <c r="E56" s="78">
        <v>1200000</v>
      </c>
      <c r="F56" s="156"/>
      <c r="G56" s="60"/>
      <c r="H56" s="92"/>
      <c r="I56" s="603"/>
      <c r="J56" s="1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605"/>
      <c r="B57" s="73" t="s">
        <v>175</v>
      </c>
      <c r="C57" s="115">
        <v>650000</v>
      </c>
      <c r="D57" s="79">
        <v>1199000</v>
      </c>
      <c r="E57" s="78">
        <v>600000</v>
      </c>
      <c r="F57" s="156"/>
      <c r="G57" s="60"/>
      <c r="H57" s="92"/>
      <c r="I57" s="603"/>
      <c r="J57" s="1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605"/>
      <c r="B58" s="73" t="s">
        <v>176</v>
      </c>
      <c r="C58" s="115">
        <v>1100000</v>
      </c>
      <c r="D58" s="79">
        <v>1999000</v>
      </c>
      <c r="E58" s="78">
        <v>1000000</v>
      </c>
      <c r="F58" s="156"/>
      <c r="G58" s="60"/>
      <c r="H58" s="95"/>
      <c r="I58" s="603"/>
      <c r="J58" s="14" t="s">
        <v>263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605"/>
      <c r="B59" s="73" t="s">
        <v>177</v>
      </c>
      <c r="C59" s="63">
        <v>650000</v>
      </c>
      <c r="D59" s="79">
        <v>1199000</v>
      </c>
      <c r="E59" s="78">
        <v>600000</v>
      </c>
      <c r="F59" s="156"/>
      <c r="G59" s="60"/>
      <c r="H59" s="92"/>
      <c r="I59" s="603"/>
      <c r="J59" s="1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606"/>
      <c r="B60" s="73" t="s">
        <v>178</v>
      </c>
      <c r="C60" s="116">
        <v>650000</v>
      </c>
      <c r="D60" s="81">
        <v>1199000</v>
      </c>
      <c r="E60" s="82">
        <v>600000</v>
      </c>
      <c r="F60" s="160"/>
      <c r="G60" s="60"/>
      <c r="H60" s="92"/>
      <c r="I60" s="601"/>
      <c r="J60" s="11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652" t="s">
        <v>303</v>
      </c>
      <c r="B61" s="611"/>
      <c r="C61" s="611"/>
      <c r="D61" s="611"/>
      <c r="E61" s="611"/>
      <c r="F61" s="611"/>
      <c r="G61" s="611"/>
      <c r="H61" s="611"/>
      <c r="I61" s="611"/>
      <c r="J61" s="61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608"/>
      <c r="B62" s="613"/>
      <c r="C62" s="613"/>
      <c r="D62" s="613"/>
      <c r="E62" s="613"/>
      <c r="F62" s="613"/>
      <c r="G62" s="613"/>
      <c r="H62" s="613"/>
      <c r="I62" s="613"/>
      <c r="J62" s="61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608"/>
      <c r="B63" s="613"/>
      <c r="C63" s="613"/>
      <c r="D63" s="613"/>
      <c r="E63" s="613"/>
      <c r="F63" s="613"/>
      <c r="G63" s="613"/>
      <c r="H63" s="613"/>
      <c r="I63" s="613"/>
      <c r="J63" s="61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608"/>
      <c r="B64" s="613"/>
      <c r="C64" s="613"/>
      <c r="D64" s="613"/>
      <c r="E64" s="613"/>
      <c r="F64" s="613"/>
      <c r="G64" s="613"/>
      <c r="H64" s="613"/>
      <c r="I64" s="613"/>
      <c r="J64" s="61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610"/>
      <c r="B65" s="615"/>
      <c r="C65" s="615"/>
      <c r="D65" s="615"/>
      <c r="E65" s="615"/>
      <c r="F65" s="615"/>
      <c r="G65" s="615"/>
      <c r="H65" s="615"/>
      <c r="I65" s="615"/>
      <c r="J65" s="61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36"/>
      <c r="D66" s="36"/>
      <c r="E66" s="36"/>
      <c r="F66" s="36"/>
      <c r="G66" s="36"/>
      <c r="H66" s="37"/>
      <c r="I66" s="37"/>
      <c r="J66" s="3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73"/>
      <c r="B67" s="73"/>
      <c r="C67" s="176"/>
      <c r="D67" s="176"/>
      <c r="E67" s="176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6.5" customHeight="1">
      <c r="A68" s="73"/>
      <c r="B68" s="73"/>
      <c r="C68" s="176"/>
      <c r="D68" s="176"/>
      <c r="E68" s="176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6.5" customHeight="1">
      <c r="A69" s="1"/>
      <c r="B69" s="1"/>
      <c r="C69" s="36"/>
      <c r="D69" s="36"/>
      <c r="E69" s="36"/>
      <c r="F69" s="36"/>
      <c r="G69" s="36"/>
      <c r="H69" s="37"/>
      <c r="I69" s="37"/>
      <c r="J69" s="3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36"/>
      <c r="D70" s="36"/>
      <c r="E70" s="36"/>
      <c r="F70" s="36"/>
      <c r="G70" s="36"/>
      <c r="H70" s="37"/>
      <c r="I70" s="37"/>
      <c r="J70" s="3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36"/>
      <c r="D71" s="36"/>
      <c r="E71" s="36"/>
      <c r="F71" s="36"/>
      <c r="G71" s="36"/>
      <c r="H71" s="37"/>
      <c r="I71" s="37"/>
      <c r="J71" s="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36"/>
      <c r="D72" s="36"/>
      <c r="E72" s="36"/>
      <c r="F72" s="36"/>
      <c r="G72" s="36"/>
      <c r="H72" s="37"/>
      <c r="I72" s="37"/>
      <c r="J72" s="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36"/>
      <c r="D73" s="36"/>
      <c r="E73" s="36"/>
      <c r="F73" s="36"/>
      <c r="G73" s="36"/>
      <c r="H73" s="37"/>
      <c r="I73" s="37"/>
      <c r="J73" s="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36"/>
      <c r="D74" s="36"/>
      <c r="E74" s="36"/>
      <c r="F74" s="36"/>
      <c r="G74" s="36"/>
      <c r="H74" s="37"/>
      <c r="I74" s="37"/>
      <c r="J74" s="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36"/>
      <c r="D75" s="36"/>
      <c r="E75" s="36"/>
      <c r="F75" s="36"/>
      <c r="G75" s="36"/>
      <c r="H75" s="37"/>
      <c r="I75" s="37"/>
      <c r="J75" s="3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36"/>
      <c r="D76" s="36"/>
      <c r="E76" s="36"/>
      <c r="F76" s="36"/>
      <c r="G76" s="36"/>
      <c r="H76" s="37"/>
      <c r="I76" s="37"/>
      <c r="J76" s="3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36"/>
      <c r="D77" s="36"/>
      <c r="E77" s="36"/>
      <c r="F77" s="36"/>
      <c r="G77" s="36"/>
      <c r="H77" s="37"/>
      <c r="I77" s="37"/>
      <c r="J77" s="3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36"/>
      <c r="D78" s="36"/>
      <c r="E78" s="36"/>
      <c r="F78" s="36"/>
      <c r="G78" s="36"/>
      <c r="H78" s="37"/>
      <c r="I78" s="37"/>
      <c r="J78" s="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36"/>
      <c r="D79" s="36"/>
      <c r="E79" s="36"/>
      <c r="F79" s="36"/>
      <c r="G79" s="36"/>
      <c r="H79" s="37"/>
      <c r="I79" s="37"/>
      <c r="J79" s="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36"/>
      <c r="D80" s="36"/>
      <c r="E80" s="36"/>
      <c r="F80" s="36"/>
      <c r="G80" s="36"/>
      <c r="H80" s="37"/>
      <c r="I80" s="37"/>
      <c r="J80" s="3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36"/>
      <c r="D81" s="36"/>
      <c r="E81" s="36"/>
      <c r="F81" s="36"/>
      <c r="G81" s="36"/>
      <c r="H81" s="37"/>
      <c r="I81" s="37"/>
      <c r="J81" s="3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36"/>
      <c r="D82" s="36"/>
      <c r="E82" s="36"/>
      <c r="F82" s="36"/>
      <c r="G82" s="36"/>
      <c r="H82" s="37"/>
      <c r="I82" s="37"/>
      <c r="J82" s="3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36"/>
      <c r="D83" s="36"/>
      <c r="E83" s="36"/>
      <c r="F83" s="36"/>
      <c r="G83" s="36"/>
      <c r="H83" s="37"/>
      <c r="I83" s="37"/>
      <c r="J83" s="3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36"/>
      <c r="D84" s="36"/>
      <c r="E84" s="36"/>
      <c r="F84" s="36"/>
      <c r="G84" s="36"/>
      <c r="H84" s="37"/>
      <c r="I84" s="37"/>
      <c r="J84" s="3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36"/>
      <c r="D85" s="36"/>
      <c r="E85" s="36"/>
      <c r="F85" s="36"/>
      <c r="G85" s="36"/>
      <c r="H85" s="37"/>
      <c r="I85" s="37"/>
      <c r="J85" s="3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36"/>
      <c r="D86" s="36"/>
      <c r="E86" s="36"/>
      <c r="F86" s="36"/>
      <c r="G86" s="36"/>
      <c r="H86" s="37"/>
      <c r="I86" s="37"/>
      <c r="J86" s="3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36"/>
      <c r="D87" s="36"/>
      <c r="E87" s="36"/>
      <c r="F87" s="36"/>
      <c r="G87" s="36"/>
      <c r="H87" s="37"/>
      <c r="I87" s="37"/>
      <c r="J87" s="3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36"/>
      <c r="D88" s="36"/>
      <c r="E88" s="36"/>
      <c r="F88" s="36"/>
      <c r="G88" s="36"/>
      <c r="H88" s="37"/>
      <c r="I88" s="37"/>
      <c r="J88" s="3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36"/>
      <c r="D89" s="36"/>
      <c r="E89" s="36"/>
      <c r="F89" s="36"/>
      <c r="G89" s="36"/>
      <c r="H89" s="37"/>
      <c r="I89" s="37"/>
      <c r="J89" s="3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36"/>
      <c r="D90" s="36"/>
      <c r="E90" s="36"/>
      <c r="F90" s="36"/>
      <c r="G90" s="36"/>
      <c r="H90" s="37"/>
      <c r="I90" s="37"/>
      <c r="J90" s="3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36"/>
      <c r="D91" s="36"/>
      <c r="E91" s="36"/>
      <c r="F91" s="36"/>
      <c r="G91" s="36"/>
      <c r="H91" s="37"/>
      <c r="I91" s="37"/>
      <c r="J91" s="3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36"/>
      <c r="D92" s="36"/>
      <c r="E92" s="36"/>
      <c r="F92" s="36"/>
      <c r="G92" s="36"/>
      <c r="H92" s="37"/>
      <c r="I92" s="37"/>
      <c r="J92" s="3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36"/>
      <c r="D93" s="36"/>
      <c r="E93" s="36"/>
      <c r="F93" s="36"/>
      <c r="G93" s="36"/>
      <c r="H93" s="37"/>
      <c r="I93" s="37"/>
      <c r="J93" s="3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36"/>
      <c r="D94" s="36"/>
      <c r="E94" s="36"/>
      <c r="F94" s="36"/>
      <c r="G94" s="36"/>
      <c r="H94" s="37"/>
      <c r="I94" s="37"/>
      <c r="J94" s="3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36"/>
      <c r="D95" s="36"/>
      <c r="E95" s="36"/>
      <c r="F95" s="36"/>
      <c r="G95" s="36"/>
      <c r="H95" s="37"/>
      <c r="I95" s="37"/>
      <c r="J95" s="3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36"/>
      <c r="D96" s="36"/>
      <c r="E96" s="36"/>
      <c r="F96" s="36"/>
      <c r="G96" s="36"/>
      <c r="H96" s="37"/>
      <c r="I96" s="37"/>
      <c r="J96" s="3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36"/>
      <c r="D97" s="36"/>
      <c r="E97" s="36"/>
      <c r="F97" s="36"/>
      <c r="G97" s="36"/>
      <c r="H97" s="37"/>
      <c r="I97" s="37"/>
      <c r="J97" s="3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36"/>
      <c r="D98" s="36"/>
      <c r="E98" s="36"/>
      <c r="F98" s="36"/>
      <c r="G98" s="36"/>
      <c r="H98" s="37"/>
      <c r="I98" s="37"/>
      <c r="J98" s="3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36"/>
      <c r="D99" s="36"/>
      <c r="E99" s="36"/>
      <c r="F99" s="36"/>
      <c r="G99" s="36"/>
      <c r="H99" s="37"/>
      <c r="I99" s="37"/>
      <c r="J99" s="3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36"/>
      <c r="D100" s="36"/>
      <c r="E100" s="36"/>
      <c r="F100" s="36"/>
      <c r="G100" s="36"/>
      <c r="H100" s="37"/>
      <c r="I100" s="37"/>
      <c r="J100" s="3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36"/>
      <c r="D101" s="36"/>
      <c r="E101" s="36"/>
      <c r="F101" s="36"/>
      <c r="G101" s="36"/>
      <c r="H101" s="37"/>
      <c r="I101" s="37"/>
      <c r="J101" s="3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36"/>
      <c r="D102" s="36"/>
      <c r="E102" s="36"/>
      <c r="F102" s="36"/>
      <c r="G102" s="36"/>
      <c r="H102" s="37"/>
      <c r="I102" s="37"/>
      <c r="J102" s="3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36"/>
      <c r="D103" s="36"/>
      <c r="E103" s="36"/>
      <c r="F103" s="36"/>
      <c r="G103" s="36"/>
      <c r="H103" s="37"/>
      <c r="I103" s="37"/>
      <c r="J103" s="3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36"/>
      <c r="D104" s="36"/>
      <c r="E104" s="36"/>
      <c r="F104" s="36"/>
      <c r="G104" s="36"/>
      <c r="H104" s="37"/>
      <c r="I104" s="37"/>
      <c r="J104" s="3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36"/>
      <c r="D105" s="36"/>
      <c r="E105" s="36"/>
      <c r="F105" s="36"/>
      <c r="G105" s="36"/>
      <c r="H105" s="37"/>
      <c r="I105" s="37"/>
      <c r="J105" s="3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36"/>
      <c r="D106" s="36"/>
      <c r="E106" s="36"/>
      <c r="F106" s="36"/>
      <c r="G106" s="36"/>
      <c r="H106" s="37"/>
      <c r="I106" s="37"/>
      <c r="J106" s="3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36"/>
      <c r="D107" s="36"/>
      <c r="E107" s="36"/>
      <c r="F107" s="36"/>
      <c r="G107" s="36"/>
      <c r="H107" s="37"/>
      <c r="I107" s="37"/>
      <c r="J107" s="3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36"/>
      <c r="D108" s="36"/>
      <c r="E108" s="36"/>
      <c r="F108" s="36"/>
      <c r="G108" s="36"/>
      <c r="H108" s="37"/>
      <c r="I108" s="37"/>
      <c r="J108" s="3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36"/>
      <c r="D109" s="36"/>
      <c r="E109" s="36"/>
      <c r="F109" s="36"/>
      <c r="G109" s="36"/>
      <c r="H109" s="37"/>
      <c r="I109" s="37"/>
      <c r="J109" s="3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36"/>
      <c r="D110" s="36"/>
      <c r="E110" s="36"/>
      <c r="F110" s="36"/>
      <c r="G110" s="36"/>
      <c r="H110" s="37"/>
      <c r="I110" s="37"/>
      <c r="J110" s="3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36"/>
      <c r="D111" s="36"/>
      <c r="E111" s="36"/>
      <c r="F111" s="36"/>
      <c r="G111" s="36"/>
      <c r="H111" s="37"/>
      <c r="I111" s="37"/>
      <c r="J111" s="3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36"/>
      <c r="D112" s="36"/>
      <c r="E112" s="36"/>
      <c r="F112" s="36"/>
      <c r="G112" s="36"/>
      <c r="H112" s="37"/>
      <c r="I112" s="37"/>
      <c r="J112" s="3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36"/>
      <c r="D113" s="36"/>
      <c r="E113" s="36"/>
      <c r="F113" s="36"/>
      <c r="G113" s="36"/>
      <c r="H113" s="37"/>
      <c r="I113" s="37"/>
      <c r="J113" s="3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36"/>
      <c r="D114" s="36"/>
      <c r="E114" s="36"/>
      <c r="F114" s="36"/>
      <c r="G114" s="36"/>
      <c r="H114" s="37"/>
      <c r="I114" s="37"/>
      <c r="J114" s="3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36"/>
      <c r="D115" s="36"/>
      <c r="E115" s="36"/>
      <c r="F115" s="36"/>
      <c r="G115" s="36"/>
      <c r="H115" s="37"/>
      <c r="I115" s="37"/>
      <c r="J115" s="3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36"/>
      <c r="D116" s="36"/>
      <c r="E116" s="36"/>
      <c r="F116" s="36"/>
      <c r="G116" s="36"/>
      <c r="H116" s="37"/>
      <c r="I116" s="37"/>
      <c r="J116" s="3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36"/>
      <c r="D117" s="36"/>
      <c r="E117" s="36"/>
      <c r="F117" s="36"/>
      <c r="G117" s="36"/>
      <c r="H117" s="37"/>
      <c r="I117" s="37"/>
      <c r="J117" s="3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36"/>
      <c r="D118" s="36"/>
      <c r="E118" s="36"/>
      <c r="F118" s="36"/>
      <c r="G118" s="36"/>
      <c r="H118" s="37"/>
      <c r="I118" s="37"/>
      <c r="J118" s="3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36"/>
      <c r="D119" s="36"/>
      <c r="E119" s="36"/>
      <c r="F119" s="36"/>
      <c r="G119" s="36"/>
      <c r="H119" s="37"/>
      <c r="I119" s="37"/>
      <c r="J119" s="3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36"/>
      <c r="D120" s="36"/>
      <c r="E120" s="36"/>
      <c r="F120" s="36"/>
      <c r="G120" s="36"/>
      <c r="H120" s="37"/>
      <c r="I120" s="37"/>
      <c r="J120" s="3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36"/>
      <c r="D121" s="36"/>
      <c r="E121" s="36"/>
      <c r="F121" s="36"/>
      <c r="G121" s="36"/>
      <c r="H121" s="37"/>
      <c r="I121" s="37"/>
      <c r="J121" s="3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36"/>
      <c r="D122" s="36"/>
      <c r="E122" s="36"/>
      <c r="F122" s="36"/>
      <c r="G122" s="36"/>
      <c r="H122" s="37"/>
      <c r="I122" s="37"/>
      <c r="J122" s="3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36"/>
      <c r="D123" s="36"/>
      <c r="E123" s="36"/>
      <c r="F123" s="36"/>
      <c r="G123" s="36"/>
      <c r="H123" s="37"/>
      <c r="I123" s="37"/>
      <c r="J123" s="3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36"/>
      <c r="D124" s="36"/>
      <c r="E124" s="36"/>
      <c r="F124" s="36"/>
      <c r="G124" s="36"/>
      <c r="H124" s="37"/>
      <c r="I124" s="37"/>
      <c r="J124" s="3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36"/>
      <c r="D125" s="36"/>
      <c r="E125" s="36"/>
      <c r="F125" s="36"/>
      <c r="G125" s="36"/>
      <c r="H125" s="37"/>
      <c r="I125" s="37"/>
      <c r="J125" s="3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36"/>
      <c r="D126" s="36"/>
      <c r="E126" s="36"/>
      <c r="F126" s="36"/>
      <c r="G126" s="36"/>
      <c r="H126" s="37"/>
      <c r="I126" s="37"/>
      <c r="J126" s="3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36"/>
      <c r="D127" s="36"/>
      <c r="E127" s="36"/>
      <c r="F127" s="36"/>
      <c r="G127" s="36"/>
      <c r="H127" s="37"/>
      <c r="I127" s="37"/>
      <c r="J127" s="3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36"/>
      <c r="D128" s="36"/>
      <c r="E128" s="36"/>
      <c r="F128" s="36"/>
      <c r="G128" s="36"/>
      <c r="H128" s="37"/>
      <c r="I128" s="37"/>
      <c r="J128" s="3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36"/>
      <c r="D129" s="36"/>
      <c r="E129" s="36"/>
      <c r="F129" s="36"/>
      <c r="G129" s="36"/>
      <c r="H129" s="37"/>
      <c r="I129" s="37"/>
      <c r="J129" s="3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36"/>
      <c r="D130" s="36"/>
      <c r="E130" s="36"/>
      <c r="F130" s="36"/>
      <c r="G130" s="36"/>
      <c r="H130" s="37"/>
      <c r="I130" s="37"/>
      <c r="J130" s="3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36"/>
      <c r="D131" s="36"/>
      <c r="E131" s="36"/>
      <c r="F131" s="36"/>
      <c r="G131" s="36"/>
      <c r="H131" s="37"/>
      <c r="I131" s="37"/>
      <c r="J131" s="3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36"/>
      <c r="D132" s="36"/>
      <c r="E132" s="36"/>
      <c r="F132" s="36"/>
      <c r="G132" s="36"/>
      <c r="H132" s="37"/>
      <c r="I132" s="37"/>
      <c r="J132" s="3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36"/>
      <c r="D133" s="36"/>
      <c r="E133" s="36"/>
      <c r="F133" s="36"/>
      <c r="G133" s="36"/>
      <c r="H133" s="37"/>
      <c r="I133" s="37"/>
      <c r="J133" s="3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36"/>
      <c r="D134" s="36"/>
      <c r="E134" s="36"/>
      <c r="F134" s="36"/>
      <c r="G134" s="36"/>
      <c r="H134" s="37"/>
      <c r="I134" s="37"/>
      <c r="J134" s="3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36"/>
      <c r="D135" s="36"/>
      <c r="E135" s="36"/>
      <c r="F135" s="36"/>
      <c r="G135" s="36"/>
      <c r="H135" s="37"/>
      <c r="I135" s="37"/>
      <c r="J135" s="3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36"/>
      <c r="D136" s="36"/>
      <c r="E136" s="36"/>
      <c r="F136" s="36"/>
      <c r="G136" s="36"/>
      <c r="H136" s="37"/>
      <c r="I136" s="37"/>
      <c r="J136" s="3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36"/>
      <c r="D137" s="36"/>
      <c r="E137" s="36"/>
      <c r="F137" s="36"/>
      <c r="G137" s="36"/>
      <c r="H137" s="37"/>
      <c r="I137" s="37"/>
      <c r="J137" s="3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37"/>
      <c r="D138" s="37"/>
      <c r="E138" s="37"/>
      <c r="F138" s="37"/>
      <c r="G138" s="37"/>
      <c r="H138" s="37"/>
      <c r="I138" s="37"/>
      <c r="J138" s="3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37"/>
      <c r="D139" s="37"/>
      <c r="E139" s="37"/>
      <c r="F139" s="37"/>
      <c r="G139" s="37"/>
      <c r="H139" s="37"/>
      <c r="I139" s="37"/>
      <c r="J139" s="3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37"/>
      <c r="D140" s="37"/>
      <c r="E140" s="37"/>
      <c r="F140" s="37"/>
      <c r="G140" s="37"/>
      <c r="H140" s="37"/>
      <c r="I140" s="37"/>
      <c r="J140" s="3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37"/>
      <c r="D141" s="37"/>
      <c r="E141" s="37"/>
      <c r="F141" s="37"/>
      <c r="G141" s="37"/>
      <c r="H141" s="37"/>
      <c r="I141" s="37"/>
      <c r="J141" s="3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37"/>
      <c r="D142" s="37"/>
      <c r="E142" s="37"/>
      <c r="F142" s="37"/>
      <c r="G142" s="37"/>
      <c r="H142" s="37"/>
      <c r="I142" s="37"/>
      <c r="J142" s="3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37"/>
      <c r="D143" s="37"/>
      <c r="E143" s="37"/>
      <c r="F143" s="37"/>
      <c r="G143" s="37"/>
      <c r="H143" s="37"/>
      <c r="I143" s="37"/>
      <c r="J143" s="3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37"/>
      <c r="D144" s="37"/>
      <c r="E144" s="37"/>
      <c r="F144" s="37"/>
      <c r="G144" s="37"/>
      <c r="H144" s="37"/>
      <c r="I144" s="37"/>
      <c r="J144" s="3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37"/>
      <c r="D145" s="37"/>
      <c r="E145" s="37"/>
      <c r="F145" s="37"/>
      <c r="G145" s="37"/>
      <c r="H145" s="37"/>
      <c r="I145" s="37"/>
      <c r="J145" s="3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37"/>
      <c r="D146" s="37"/>
      <c r="E146" s="37"/>
      <c r="F146" s="37"/>
      <c r="G146" s="37"/>
      <c r="H146" s="37"/>
      <c r="I146" s="37"/>
      <c r="J146" s="3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37"/>
      <c r="D147" s="37"/>
      <c r="E147" s="37"/>
      <c r="F147" s="37"/>
      <c r="G147" s="37"/>
      <c r="H147" s="37"/>
      <c r="I147" s="37"/>
      <c r="J147" s="3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37"/>
      <c r="D148" s="37"/>
      <c r="E148" s="37"/>
      <c r="F148" s="37"/>
      <c r="G148" s="37"/>
      <c r="H148" s="37"/>
      <c r="I148" s="37"/>
      <c r="J148" s="3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37"/>
      <c r="D149" s="37"/>
      <c r="E149" s="37"/>
      <c r="F149" s="37"/>
      <c r="G149" s="37"/>
      <c r="H149" s="37"/>
      <c r="I149" s="37"/>
      <c r="J149" s="3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37"/>
      <c r="D150" s="37"/>
      <c r="E150" s="37"/>
      <c r="F150" s="37"/>
      <c r="G150" s="37"/>
      <c r="H150" s="37"/>
      <c r="I150" s="37"/>
      <c r="J150" s="3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37"/>
      <c r="D151" s="37"/>
      <c r="E151" s="37"/>
      <c r="F151" s="37"/>
      <c r="G151" s="37"/>
      <c r="H151" s="37"/>
      <c r="I151" s="37"/>
      <c r="J151" s="3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37"/>
      <c r="D152" s="37"/>
      <c r="E152" s="37"/>
      <c r="F152" s="37"/>
      <c r="G152" s="37"/>
      <c r="H152" s="37"/>
      <c r="I152" s="37"/>
      <c r="J152" s="3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37"/>
      <c r="D153" s="37"/>
      <c r="E153" s="37"/>
      <c r="F153" s="37"/>
      <c r="G153" s="37"/>
      <c r="H153" s="37"/>
      <c r="I153" s="37"/>
      <c r="J153" s="3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37"/>
      <c r="D154" s="37"/>
      <c r="E154" s="37"/>
      <c r="F154" s="37"/>
      <c r="G154" s="37"/>
      <c r="H154" s="37"/>
      <c r="I154" s="37"/>
      <c r="J154" s="3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37"/>
      <c r="D155" s="37"/>
      <c r="E155" s="37"/>
      <c r="F155" s="37"/>
      <c r="G155" s="37"/>
      <c r="H155" s="37"/>
      <c r="I155" s="37"/>
      <c r="J155" s="3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37"/>
      <c r="D156" s="37"/>
      <c r="E156" s="37"/>
      <c r="F156" s="37"/>
      <c r="G156" s="37"/>
      <c r="H156" s="37"/>
      <c r="I156" s="37"/>
      <c r="J156" s="3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37"/>
      <c r="D157" s="37"/>
      <c r="E157" s="37"/>
      <c r="F157" s="37"/>
      <c r="G157" s="37"/>
      <c r="H157" s="37"/>
      <c r="I157" s="37"/>
      <c r="J157" s="3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37"/>
      <c r="D158" s="37"/>
      <c r="E158" s="37"/>
      <c r="F158" s="37"/>
      <c r="G158" s="37"/>
      <c r="H158" s="37"/>
      <c r="I158" s="37"/>
      <c r="J158" s="3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37"/>
      <c r="D159" s="37"/>
      <c r="E159" s="37"/>
      <c r="F159" s="37"/>
      <c r="G159" s="37"/>
      <c r="H159" s="37"/>
      <c r="I159" s="37"/>
      <c r="J159" s="3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37"/>
      <c r="D160" s="37"/>
      <c r="E160" s="37"/>
      <c r="F160" s="37"/>
      <c r="G160" s="37"/>
      <c r="H160" s="37"/>
      <c r="I160" s="37"/>
      <c r="J160" s="3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37"/>
      <c r="D161" s="37"/>
      <c r="E161" s="37"/>
      <c r="F161" s="37"/>
      <c r="G161" s="37"/>
      <c r="H161" s="37"/>
      <c r="I161" s="37"/>
      <c r="J161" s="3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37"/>
      <c r="D162" s="37"/>
      <c r="E162" s="37"/>
      <c r="F162" s="37"/>
      <c r="G162" s="37"/>
      <c r="H162" s="37"/>
      <c r="I162" s="37"/>
      <c r="J162" s="3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37"/>
      <c r="D163" s="37"/>
      <c r="E163" s="37"/>
      <c r="F163" s="37"/>
      <c r="G163" s="37"/>
      <c r="H163" s="37"/>
      <c r="I163" s="37"/>
      <c r="J163" s="3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37"/>
      <c r="D164" s="37"/>
      <c r="E164" s="37"/>
      <c r="F164" s="37"/>
      <c r="G164" s="37"/>
      <c r="H164" s="37"/>
      <c r="I164" s="37"/>
      <c r="J164" s="3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37"/>
      <c r="D165" s="37"/>
      <c r="E165" s="37"/>
      <c r="F165" s="37"/>
      <c r="G165" s="37"/>
      <c r="H165" s="37"/>
      <c r="I165" s="37"/>
      <c r="J165" s="3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37"/>
      <c r="D166" s="37"/>
      <c r="E166" s="37"/>
      <c r="F166" s="37"/>
      <c r="G166" s="37"/>
      <c r="H166" s="37"/>
      <c r="I166" s="37"/>
      <c r="J166" s="3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37"/>
      <c r="D167" s="37"/>
      <c r="E167" s="37"/>
      <c r="F167" s="37"/>
      <c r="G167" s="37"/>
      <c r="H167" s="37"/>
      <c r="I167" s="37"/>
      <c r="J167" s="3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37"/>
      <c r="D168" s="37"/>
      <c r="E168" s="37"/>
      <c r="F168" s="37"/>
      <c r="G168" s="37"/>
      <c r="H168" s="37"/>
      <c r="I168" s="37"/>
      <c r="J168" s="3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37"/>
      <c r="D169" s="37"/>
      <c r="E169" s="37"/>
      <c r="F169" s="37"/>
      <c r="G169" s="37"/>
      <c r="H169" s="37"/>
      <c r="I169" s="37"/>
      <c r="J169" s="3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37"/>
      <c r="D170" s="37"/>
      <c r="E170" s="37"/>
      <c r="F170" s="37"/>
      <c r="G170" s="37"/>
      <c r="H170" s="37"/>
      <c r="I170" s="37"/>
      <c r="J170" s="3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37"/>
      <c r="D171" s="37"/>
      <c r="E171" s="37"/>
      <c r="F171" s="37"/>
      <c r="G171" s="37"/>
      <c r="H171" s="37"/>
      <c r="I171" s="37"/>
      <c r="J171" s="3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37"/>
      <c r="D172" s="37"/>
      <c r="E172" s="37"/>
      <c r="F172" s="37"/>
      <c r="G172" s="37"/>
      <c r="H172" s="37"/>
      <c r="I172" s="37"/>
      <c r="J172" s="3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37"/>
      <c r="D173" s="37"/>
      <c r="E173" s="37"/>
      <c r="F173" s="37"/>
      <c r="G173" s="37"/>
      <c r="H173" s="37"/>
      <c r="I173" s="37"/>
      <c r="J173" s="3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37"/>
      <c r="D174" s="37"/>
      <c r="E174" s="37"/>
      <c r="F174" s="37"/>
      <c r="G174" s="37"/>
      <c r="H174" s="37"/>
      <c r="I174" s="37"/>
      <c r="J174" s="3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37"/>
      <c r="D175" s="37"/>
      <c r="E175" s="37"/>
      <c r="F175" s="37"/>
      <c r="G175" s="37"/>
      <c r="H175" s="37"/>
      <c r="I175" s="37"/>
      <c r="J175" s="3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37"/>
      <c r="D176" s="37"/>
      <c r="E176" s="37"/>
      <c r="F176" s="37"/>
      <c r="G176" s="37"/>
      <c r="H176" s="37"/>
      <c r="I176" s="37"/>
      <c r="J176" s="3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37"/>
      <c r="D177" s="37"/>
      <c r="E177" s="37"/>
      <c r="F177" s="37"/>
      <c r="G177" s="37"/>
      <c r="H177" s="37"/>
      <c r="I177" s="37"/>
      <c r="J177" s="3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37"/>
      <c r="D178" s="37"/>
      <c r="E178" s="37"/>
      <c r="F178" s="37"/>
      <c r="G178" s="37"/>
      <c r="H178" s="37"/>
      <c r="I178" s="37"/>
      <c r="J178" s="3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37"/>
      <c r="D179" s="37"/>
      <c r="E179" s="37"/>
      <c r="F179" s="37"/>
      <c r="G179" s="37"/>
      <c r="H179" s="37"/>
      <c r="I179" s="37"/>
      <c r="J179" s="3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37"/>
      <c r="D180" s="37"/>
      <c r="E180" s="37"/>
      <c r="F180" s="37"/>
      <c r="G180" s="37"/>
      <c r="H180" s="37"/>
      <c r="I180" s="37"/>
      <c r="J180" s="3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37"/>
      <c r="D181" s="37"/>
      <c r="E181" s="37"/>
      <c r="F181" s="37"/>
      <c r="G181" s="37"/>
      <c r="H181" s="37"/>
      <c r="I181" s="37"/>
      <c r="J181" s="3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37"/>
      <c r="D182" s="37"/>
      <c r="E182" s="37"/>
      <c r="F182" s="37"/>
      <c r="G182" s="37"/>
      <c r="H182" s="37"/>
      <c r="I182" s="37"/>
      <c r="J182" s="3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37"/>
      <c r="D183" s="37"/>
      <c r="E183" s="37"/>
      <c r="F183" s="37"/>
      <c r="G183" s="37"/>
      <c r="H183" s="37"/>
      <c r="I183" s="37"/>
      <c r="J183" s="3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37"/>
      <c r="D184" s="37"/>
      <c r="E184" s="37"/>
      <c r="F184" s="37"/>
      <c r="G184" s="37"/>
      <c r="H184" s="37"/>
      <c r="I184" s="37"/>
      <c r="J184" s="3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37"/>
      <c r="D185" s="37"/>
      <c r="E185" s="37"/>
      <c r="F185" s="37"/>
      <c r="G185" s="37"/>
      <c r="H185" s="37"/>
      <c r="I185" s="37"/>
      <c r="J185" s="3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37"/>
      <c r="D186" s="37"/>
      <c r="E186" s="37"/>
      <c r="F186" s="37"/>
      <c r="G186" s="37"/>
      <c r="H186" s="37"/>
      <c r="I186" s="37"/>
      <c r="J186" s="3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37"/>
      <c r="D187" s="37"/>
      <c r="E187" s="37"/>
      <c r="F187" s="37"/>
      <c r="G187" s="37"/>
      <c r="H187" s="37"/>
      <c r="I187" s="37"/>
      <c r="J187" s="3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37"/>
      <c r="D188" s="37"/>
      <c r="E188" s="37"/>
      <c r="F188" s="37"/>
      <c r="G188" s="37"/>
      <c r="H188" s="37"/>
      <c r="I188" s="37"/>
      <c r="J188" s="3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37"/>
      <c r="D189" s="37"/>
      <c r="E189" s="37"/>
      <c r="F189" s="37"/>
      <c r="G189" s="37"/>
      <c r="H189" s="37"/>
      <c r="I189" s="37"/>
      <c r="J189" s="3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37"/>
      <c r="D190" s="37"/>
      <c r="E190" s="37"/>
      <c r="F190" s="37"/>
      <c r="G190" s="37"/>
      <c r="H190" s="37"/>
      <c r="I190" s="37"/>
      <c r="J190" s="3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37"/>
      <c r="D191" s="37"/>
      <c r="E191" s="37"/>
      <c r="F191" s="37"/>
      <c r="G191" s="37"/>
      <c r="H191" s="37"/>
      <c r="I191" s="37"/>
      <c r="J191" s="3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37"/>
      <c r="D192" s="37"/>
      <c r="E192" s="37"/>
      <c r="F192" s="37"/>
      <c r="G192" s="37"/>
      <c r="H192" s="37"/>
      <c r="I192" s="37"/>
      <c r="J192" s="3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37"/>
      <c r="D193" s="37"/>
      <c r="E193" s="37"/>
      <c r="F193" s="37"/>
      <c r="G193" s="37"/>
      <c r="H193" s="37"/>
      <c r="I193" s="37"/>
      <c r="J193" s="3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37"/>
      <c r="D194" s="37"/>
      <c r="E194" s="37"/>
      <c r="F194" s="37"/>
      <c r="G194" s="37"/>
      <c r="H194" s="37"/>
      <c r="I194" s="37"/>
      <c r="J194" s="3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37"/>
      <c r="D195" s="37"/>
      <c r="E195" s="37"/>
      <c r="F195" s="37"/>
      <c r="G195" s="37"/>
      <c r="H195" s="37"/>
      <c r="I195" s="37"/>
      <c r="J195" s="3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37"/>
      <c r="D196" s="37"/>
      <c r="E196" s="37"/>
      <c r="F196" s="37"/>
      <c r="G196" s="37"/>
      <c r="H196" s="37"/>
      <c r="I196" s="37"/>
      <c r="J196" s="3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37"/>
      <c r="D197" s="37"/>
      <c r="E197" s="37"/>
      <c r="F197" s="37"/>
      <c r="G197" s="37"/>
      <c r="H197" s="37"/>
      <c r="I197" s="37"/>
      <c r="J197" s="3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37"/>
      <c r="D198" s="37"/>
      <c r="E198" s="37"/>
      <c r="F198" s="37"/>
      <c r="G198" s="37"/>
      <c r="H198" s="37"/>
      <c r="I198" s="37"/>
      <c r="J198" s="3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37"/>
      <c r="D199" s="37"/>
      <c r="E199" s="37"/>
      <c r="F199" s="37"/>
      <c r="G199" s="37"/>
      <c r="H199" s="37"/>
      <c r="I199" s="37"/>
      <c r="J199" s="3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37"/>
      <c r="D200" s="37"/>
      <c r="E200" s="37"/>
      <c r="F200" s="37"/>
      <c r="G200" s="37"/>
      <c r="H200" s="37"/>
      <c r="I200" s="37"/>
      <c r="J200" s="3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37"/>
      <c r="D201" s="37"/>
      <c r="E201" s="37"/>
      <c r="F201" s="37"/>
      <c r="G201" s="37"/>
      <c r="H201" s="37"/>
      <c r="I201" s="37"/>
      <c r="J201" s="3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37"/>
      <c r="D202" s="37"/>
      <c r="E202" s="37"/>
      <c r="F202" s="37"/>
      <c r="G202" s="37"/>
      <c r="H202" s="37"/>
      <c r="I202" s="37"/>
      <c r="J202" s="3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37"/>
      <c r="D203" s="37"/>
      <c r="E203" s="37"/>
      <c r="F203" s="37"/>
      <c r="G203" s="37"/>
      <c r="H203" s="37"/>
      <c r="I203" s="37"/>
      <c r="J203" s="3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37"/>
      <c r="D204" s="37"/>
      <c r="E204" s="37"/>
      <c r="F204" s="37"/>
      <c r="G204" s="37"/>
      <c r="H204" s="37"/>
      <c r="I204" s="37"/>
      <c r="J204" s="3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37"/>
      <c r="D205" s="37"/>
      <c r="E205" s="37"/>
      <c r="F205" s="37"/>
      <c r="G205" s="37"/>
      <c r="H205" s="37"/>
      <c r="I205" s="37"/>
      <c r="J205" s="3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37"/>
      <c r="D206" s="37"/>
      <c r="E206" s="37"/>
      <c r="F206" s="37"/>
      <c r="G206" s="37"/>
      <c r="H206" s="37"/>
      <c r="I206" s="37"/>
      <c r="J206" s="3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37"/>
      <c r="D207" s="37"/>
      <c r="E207" s="37"/>
      <c r="F207" s="37"/>
      <c r="G207" s="37"/>
      <c r="H207" s="37"/>
      <c r="I207" s="37"/>
      <c r="J207" s="3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37"/>
      <c r="D208" s="37"/>
      <c r="E208" s="37"/>
      <c r="F208" s="37"/>
      <c r="G208" s="37"/>
      <c r="H208" s="37"/>
      <c r="I208" s="37"/>
      <c r="J208" s="3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37"/>
      <c r="D209" s="37"/>
      <c r="E209" s="37"/>
      <c r="F209" s="37"/>
      <c r="G209" s="37"/>
      <c r="H209" s="37"/>
      <c r="I209" s="37"/>
      <c r="J209" s="3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37"/>
      <c r="D210" s="37"/>
      <c r="E210" s="37"/>
      <c r="F210" s="37"/>
      <c r="G210" s="37"/>
      <c r="H210" s="37"/>
      <c r="I210" s="37"/>
      <c r="J210" s="3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37"/>
      <c r="D211" s="37"/>
      <c r="E211" s="37"/>
      <c r="F211" s="37"/>
      <c r="G211" s="37"/>
      <c r="H211" s="37"/>
      <c r="I211" s="37"/>
      <c r="J211" s="3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37"/>
      <c r="D212" s="37"/>
      <c r="E212" s="37"/>
      <c r="F212" s="37"/>
      <c r="G212" s="37"/>
      <c r="H212" s="37"/>
      <c r="I212" s="37"/>
      <c r="J212" s="3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37"/>
      <c r="D213" s="37"/>
      <c r="E213" s="37"/>
      <c r="F213" s="37"/>
      <c r="G213" s="37"/>
      <c r="H213" s="37"/>
      <c r="I213" s="37"/>
      <c r="J213" s="3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37"/>
      <c r="D214" s="37"/>
      <c r="E214" s="37"/>
      <c r="F214" s="37"/>
      <c r="G214" s="37"/>
      <c r="H214" s="37"/>
      <c r="I214" s="37"/>
      <c r="J214" s="3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37"/>
      <c r="D215" s="37"/>
      <c r="E215" s="37"/>
      <c r="F215" s="37"/>
      <c r="G215" s="37"/>
      <c r="H215" s="37"/>
      <c r="I215" s="37"/>
      <c r="J215" s="3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37"/>
      <c r="D216" s="37"/>
      <c r="E216" s="37"/>
      <c r="F216" s="37"/>
      <c r="G216" s="37"/>
      <c r="H216" s="37"/>
      <c r="I216" s="37"/>
      <c r="J216" s="3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37"/>
      <c r="D217" s="37"/>
      <c r="E217" s="37"/>
      <c r="F217" s="37"/>
      <c r="G217" s="37"/>
      <c r="H217" s="37"/>
      <c r="I217" s="37"/>
      <c r="J217" s="3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37"/>
      <c r="D218" s="37"/>
      <c r="E218" s="37"/>
      <c r="F218" s="37"/>
      <c r="G218" s="37"/>
      <c r="H218" s="37"/>
      <c r="I218" s="37"/>
      <c r="J218" s="3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37"/>
      <c r="D219" s="37"/>
      <c r="E219" s="37"/>
      <c r="F219" s="37"/>
      <c r="G219" s="37"/>
      <c r="H219" s="37"/>
      <c r="I219" s="37"/>
      <c r="J219" s="3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37"/>
      <c r="D220" s="37"/>
      <c r="E220" s="37"/>
      <c r="F220" s="37"/>
      <c r="G220" s="37"/>
      <c r="H220" s="37"/>
      <c r="I220" s="37"/>
      <c r="J220" s="3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37"/>
      <c r="D221" s="37"/>
      <c r="E221" s="37"/>
      <c r="F221" s="37"/>
      <c r="G221" s="37"/>
      <c r="H221" s="37"/>
      <c r="I221" s="37"/>
      <c r="J221" s="3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37"/>
      <c r="D222" s="37"/>
      <c r="E222" s="37"/>
      <c r="F222" s="37"/>
      <c r="G222" s="37"/>
      <c r="H222" s="37"/>
      <c r="I222" s="37"/>
      <c r="J222" s="3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37"/>
      <c r="D223" s="37"/>
      <c r="E223" s="37"/>
      <c r="F223" s="37"/>
      <c r="G223" s="37"/>
      <c r="H223" s="37"/>
      <c r="I223" s="37"/>
      <c r="J223" s="3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37"/>
      <c r="D224" s="37"/>
      <c r="E224" s="37"/>
      <c r="F224" s="37"/>
      <c r="G224" s="37"/>
      <c r="H224" s="37"/>
      <c r="I224" s="37"/>
      <c r="J224" s="3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37"/>
      <c r="D225" s="37"/>
      <c r="E225" s="37"/>
      <c r="F225" s="37"/>
      <c r="G225" s="37"/>
      <c r="H225" s="37"/>
      <c r="I225" s="37"/>
      <c r="J225" s="3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37"/>
      <c r="D226" s="37"/>
      <c r="E226" s="37"/>
      <c r="F226" s="37"/>
      <c r="G226" s="37"/>
      <c r="H226" s="37"/>
      <c r="I226" s="37"/>
      <c r="J226" s="3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37"/>
      <c r="D227" s="37"/>
      <c r="E227" s="37"/>
      <c r="F227" s="37"/>
      <c r="G227" s="37"/>
      <c r="H227" s="37"/>
      <c r="I227" s="37"/>
      <c r="J227" s="3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37"/>
      <c r="D228" s="37"/>
      <c r="E228" s="37"/>
      <c r="F228" s="37"/>
      <c r="G228" s="37"/>
      <c r="H228" s="37"/>
      <c r="I228" s="37"/>
      <c r="J228" s="3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37"/>
      <c r="D229" s="37"/>
      <c r="E229" s="37"/>
      <c r="F229" s="37"/>
      <c r="G229" s="37"/>
      <c r="H229" s="37"/>
      <c r="I229" s="37"/>
      <c r="J229" s="3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73"/>
      <c r="B249" s="73"/>
      <c r="C249" s="73"/>
      <c r="D249" s="73"/>
      <c r="E249" s="73"/>
      <c r="F249" s="73"/>
      <c r="G249" s="73"/>
      <c r="H249" s="73"/>
      <c r="J249" s="73"/>
    </row>
    <row r="250" spans="1:26" ht="15.75" customHeight="1">
      <c r="A250" s="73"/>
      <c r="B250" s="73"/>
      <c r="C250" s="73"/>
      <c r="D250" s="73"/>
      <c r="E250" s="73"/>
      <c r="F250" s="73"/>
      <c r="G250" s="73"/>
      <c r="H250" s="73"/>
      <c r="J250" s="73"/>
    </row>
    <row r="251" spans="1:26" ht="15.75" customHeight="1">
      <c r="A251" s="73"/>
      <c r="B251" s="73"/>
      <c r="C251" s="73"/>
      <c r="D251" s="73"/>
      <c r="E251" s="73"/>
      <c r="F251" s="73"/>
      <c r="G251" s="73"/>
      <c r="H251" s="73"/>
      <c r="J251" s="73"/>
    </row>
    <row r="252" spans="1:26" ht="15.75" customHeight="1">
      <c r="A252" s="73"/>
      <c r="B252" s="73"/>
      <c r="C252" s="73"/>
      <c r="D252" s="73"/>
      <c r="E252" s="73"/>
      <c r="F252" s="73"/>
      <c r="G252" s="73"/>
      <c r="H252" s="73"/>
      <c r="J252" s="73"/>
    </row>
    <row r="253" spans="1:26" ht="15.75" customHeight="1">
      <c r="A253" s="73"/>
      <c r="B253" s="73"/>
      <c r="C253" s="73"/>
      <c r="D253" s="73"/>
      <c r="E253" s="73"/>
      <c r="F253" s="73"/>
      <c r="G253" s="73"/>
      <c r="H253" s="73"/>
      <c r="J253" s="73"/>
    </row>
    <row r="254" spans="1:26" ht="15.75" customHeight="1">
      <c r="A254" s="73"/>
      <c r="B254" s="73"/>
      <c r="C254" s="73"/>
      <c r="D254" s="73"/>
      <c r="E254" s="73"/>
      <c r="F254" s="73"/>
      <c r="G254" s="73"/>
      <c r="H254" s="73"/>
      <c r="J254" s="73"/>
    </row>
    <row r="255" spans="1:26" ht="15.75" customHeight="1">
      <c r="A255" s="73"/>
      <c r="B255" s="73"/>
      <c r="C255" s="73"/>
      <c r="D255" s="73"/>
      <c r="E255" s="73"/>
      <c r="F255" s="73"/>
      <c r="G255" s="73"/>
      <c r="H255" s="73"/>
      <c r="J255" s="73"/>
    </row>
    <row r="256" spans="1:26" ht="15.75" customHeight="1">
      <c r="A256" s="73"/>
      <c r="B256" s="73"/>
      <c r="C256" s="73"/>
      <c r="D256" s="73"/>
      <c r="E256" s="73"/>
      <c r="F256" s="73"/>
      <c r="G256" s="73"/>
      <c r="H256" s="73"/>
      <c r="J256" s="73"/>
    </row>
    <row r="257" spans="1:10" ht="15.75" customHeight="1">
      <c r="A257" s="73"/>
      <c r="B257" s="73"/>
      <c r="C257" s="73"/>
      <c r="D257" s="73"/>
      <c r="E257" s="73"/>
      <c r="F257" s="73"/>
      <c r="G257" s="73"/>
      <c r="H257" s="73"/>
      <c r="J257" s="73"/>
    </row>
    <row r="258" spans="1:10" ht="15.75" customHeight="1">
      <c r="A258" s="73"/>
      <c r="B258" s="73"/>
      <c r="C258" s="73"/>
      <c r="D258" s="73"/>
      <c r="E258" s="73"/>
      <c r="F258" s="73"/>
      <c r="G258" s="73"/>
      <c r="H258" s="73"/>
      <c r="J258" s="73"/>
    </row>
    <row r="259" spans="1:10" ht="15.75" customHeight="1">
      <c r="A259" s="73"/>
      <c r="B259" s="73"/>
      <c r="C259" s="73"/>
      <c r="D259" s="73"/>
      <c r="E259" s="73"/>
      <c r="F259" s="73"/>
      <c r="G259" s="73"/>
      <c r="H259" s="73"/>
      <c r="J259" s="73"/>
    </row>
    <row r="260" spans="1:10" ht="15.75" customHeight="1">
      <c r="A260" s="73"/>
      <c r="B260" s="73"/>
      <c r="C260" s="73"/>
      <c r="D260" s="73"/>
      <c r="E260" s="73"/>
      <c r="F260" s="73"/>
      <c r="G260" s="73"/>
      <c r="H260" s="73"/>
      <c r="J260" s="73"/>
    </row>
    <row r="261" spans="1:10" ht="15.75" customHeight="1">
      <c r="A261" s="73"/>
      <c r="B261" s="73"/>
      <c r="C261" s="73"/>
      <c r="D261" s="73"/>
      <c r="E261" s="73"/>
      <c r="F261" s="73"/>
      <c r="G261" s="73"/>
      <c r="H261" s="73"/>
      <c r="J261" s="73"/>
    </row>
    <row r="262" spans="1:10" ht="15.75" customHeight="1">
      <c r="A262" s="73"/>
      <c r="B262" s="73"/>
      <c r="C262" s="73"/>
      <c r="D262" s="73"/>
      <c r="E262" s="73"/>
      <c r="F262" s="73"/>
      <c r="G262" s="73"/>
      <c r="H262" s="73"/>
      <c r="J262" s="73"/>
    </row>
    <row r="263" spans="1:10" ht="15.75" customHeight="1">
      <c r="A263" s="73"/>
      <c r="B263" s="73"/>
      <c r="C263" s="73"/>
      <c r="D263" s="73"/>
      <c r="E263" s="73"/>
      <c r="F263" s="73"/>
      <c r="G263" s="73"/>
      <c r="H263" s="73"/>
      <c r="J263" s="73"/>
    </row>
    <row r="264" spans="1:10" ht="15.75" customHeight="1">
      <c r="A264" s="73"/>
      <c r="B264" s="73"/>
      <c r="C264" s="73"/>
      <c r="D264" s="73"/>
      <c r="E264" s="73"/>
      <c r="F264" s="73"/>
      <c r="G264" s="73"/>
      <c r="H264" s="73"/>
      <c r="J264" s="73"/>
    </row>
    <row r="265" spans="1:10" ht="15.75" customHeight="1">
      <c r="A265" s="73"/>
      <c r="B265" s="73"/>
      <c r="C265" s="73"/>
      <c r="D265" s="73"/>
      <c r="E265" s="73"/>
      <c r="F265" s="73"/>
      <c r="G265" s="73"/>
      <c r="H265" s="73"/>
      <c r="J265" s="73"/>
    </row>
    <row r="266" spans="1:10" ht="15.75" customHeight="1">
      <c r="A266" s="73"/>
      <c r="B266" s="73"/>
      <c r="C266" s="73"/>
      <c r="D266" s="73"/>
      <c r="E266" s="73"/>
      <c r="F266" s="73"/>
      <c r="G266" s="73"/>
      <c r="H266" s="73"/>
      <c r="J266" s="73"/>
    </row>
    <row r="267" spans="1:10" ht="15.75" customHeight="1">
      <c r="A267" s="73"/>
      <c r="B267" s="73"/>
      <c r="C267" s="73"/>
      <c r="D267" s="73"/>
      <c r="E267" s="73"/>
      <c r="F267" s="73"/>
      <c r="G267" s="73"/>
      <c r="H267" s="73"/>
      <c r="J267" s="73"/>
    </row>
    <row r="268" spans="1:10" ht="15.75" customHeight="1">
      <c r="A268" s="73"/>
      <c r="B268" s="73"/>
      <c r="C268" s="73"/>
      <c r="D268" s="73"/>
      <c r="E268" s="73"/>
      <c r="F268" s="73"/>
      <c r="G268" s="73"/>
      <c r="H268" s="73"/>
      <c r="J268" s="73"/>
    </row>
    <row r="269" spans="1:10" ht="15.75" customHeight="1">
      <c r="A269" s="73"/>
      <c r="B269" s="73"/>
      <c r="C269" s="73"/>
      <c r="D269" s="73"/>
      <c r="E269" s="73"/>
      <c r="F269" s="73"/>
      <c r="G269" s="73"/>
      <c r="H269" s="73"/>
      <c r="J269" s="73"/>
    </row>
    <row r="270" spans="1:10" ht="15.75" customHeight="1">
      <c r="A270" s="73"/>
      <c r="B270" s="73"/>
      <c r="C270" s="73"/>
      <c r="D270" s="73"/>
      <c r="E270" s="73"/>
      <c r="F270" s="73"/>
      <c r="G270" s="73"/>
      <c r="H270" s="73"/>
      <c r="J270" s="73"/>
    </row>
    <row r="271" spans="1:10" ht="15.75" customHeight="1">
      <c r="A271" s="73"/>
      <c r="B271" s="73"/>
      <c r="C271" s="73"/>
      <c r="D271" s="73"/>
      <c r="E271" s="73"/>
      <c r="F271" s="73"/>
      <c r="G271" s="73"/>
      <c r="H271" s="73"/>
      <c r="J271" s="73"/>
    </row>
    <row r="272" spans="1:10" ht="15.75" customHeight="1">
      <c r="A272" s="73"/>
      <c r="B272" s="73"/>
      <c r="C272" s="73"/>
      <c r="D272" s="73"/>
      <c r="E272" s="73"/>
      <c r="F272" s="73"/>
      <c r="G272" s="73"/>
      <c r="H272" s="73"/>
      <c r="J272" s="73"/>
    </row>
    <row r="273" spans="1:10" ht="15.75" customHeight="1">
      <c r="A273" s="73"/>
      <c r="B273" s="73"/>
      <c r="C273" s="73"/>
      <c r="D273" s="73"/>
      <c r="E273" s="73"/>
      <c r="F273" s="73"/>
      <c r="G273" s="73"/>
      <c r="H273" s="73"/>
      <c r="J273" s="73"/>
    </row>
    <row r="274" spans="1:10" ht="15.75" customHeight="1">
      <c r="A274" s="73"/>
      <c r="B274" s="73"/>
      <c r="C274" s="73"/>
      <c r="D274" s="73"/>
      <c r="E274" s="73"/>
      <c r="F274" s="73"/>
      <c r="G274" s="73"/>
      <c r="H274" s="73"/>
      <c r="J274" s="73"/>
    </row>
    <row r="275" spans="1:10" ht="15.75" customHeight="1">
      <c r="A275" s="73"/>
      <c r="B275" s="73"/>
      <c r="C275" s="73"/>
      <c r="D275" s="73"/>
      <c r="E275" s="73"/>
      <c r="F275" s="73"/>
      <c r="G275" s="73"/>
      <c r="H275" s="73"/>
      <c r="J275" s="73"/>
    </row>
    <row r="276" spans="1:10" ht="15.75" customHeight="1">
      <c r="A276" s="73"/>
      <c r="B276" s="73"/>
      <c r="C276" s="73"/>
      <c r="D276" s="73"/>
      <c r="E276" s="73"/>
      <c r="F276" s="73"/>
      <c r="G276" s="73"/>
      <c r="H276" s="73"/>
      <c r="J276" s="73"/>
    </row>
    <row r="277" spans="1:10" ht="15.75" customHeight="1">
      <c r="A277" s="73"/>
      <c r="B277" s="73"/>
      <c r="C277" s="73"/>
      <c r="D277" s="73"/>
      <c r="E277" s="73"/>
      <c r="F277" s="73"/>
      <c r="G277" s="73"/>
      <c r="H277" s="73"/>
      <c r="J277" s="73"/>
    </row>
    <row r="278" spans="1:10" ht="15.75" customHeight="1">
      <c r="A278" s="73"/>
      <c r="B278" s="73"/>
      <c r="C278" s="73"/>
      <c r="D278" s="73"/>
      <c r="E278" s="73"/>
      <c r="F278" s="73"/>
      <c r="G278" s="73"/>
      <c r="H278" s="73"/>
      <c r="J278" s="73"/>
    </row>
    <row r="279" spans="1:10" ht="15.75" customHeight="1">
      <c r="A279" s="73"/>
      <c r="B279" s="73"/>
      <c r="C279" s="73"/>
      <c r="D279" s="73"/>
      <c r="E279" s="73"/>
      <c r="F279" s="73"/>
      <c r="G279" s="73"/>
      <c r="H279" s="73"/>
      <c r="J279" s="73"/>
    </row>
    <row r="280" spans="1:10" ht="15.75" customHeight="1">
      <c r="A280" s="73"/>
      <c r="B280" s="73"/>
      <c r="C280" s="73"/>
      <c r="D280" s="73"/>
      <c r="E280" s="73"/>
      <c r="F280" s="73"/>
      <c r="G280" s="73"/>
      <c r="H280" s="73"/>
      <c r="J280" s="73"/>
    </row>
    <row r="281" spans="1:10" ht="15.75" customHeight="1">
      <c r="A281" s="73"/>
      <c r="B281" s="73"/>
      <c r="C281" s="73"/>
      <c r="D281" s="73"/>
      <c r="E281" s="73"/>
      <c r="F281" s="73"/>
      <c r="G281" s="73"/>
      <c r="H281" s="73"/>
      <c r="J281" s="73"/>
    </row>
    <row r="282" spans="1:10" ht="15.75" customHeight="1">
      <c r="A282" s="73"/>
      <c r="B282" s="73"/>
      <c r="C282" s="73"/>
      <c r="D282" s="73"/>
      <c r="E282" s="73"/>
      <c r="F282" s="73"/>
      <c r="G282" s="73"/>
      <c r="H282" s="73"/>
      <c r="J282" s="73"/>
    </row>
    <row r="283" spans="1:10" ht="15.75" customHeight="1">
      <c r="A283" s="73"/>
      <c r="B283" s="73"/>
      <c r="C283" s="73"/>
      <c r="D283" s="73"/>
      <c r="E283" s="73"/>
      <c r="F283" s="73"/>
      <c r="G283" s="73"/>
      <c r="H283" s="73"/>
      <c r="J283" s="73"/>
    </row>
    <row r="284" spans="1:10" ht="15.75" customHeight="1">
      <c r="A284" s="73"/>
      <c r="B284" s="73"/>
      <c r="C284" s="73"/>
      <c r="D284" s="73"/>
      <c r="E284" s="73"/>
      <c r="F284" s="73"/>
      <c r="G284" s="73"/>
      <c r="H284" s="73"/>
      <c r="J284" s="73"/>
    </row>
    <row r="285" spans="1:10" ht="15.75" customHeight="1">
      <c r="A285" s="73"/>
      <c r="B285" s="73"/>
      <c r="C285" s="73"/>
      <c r="D285" s="73"/>
      <c r="E285" s="73"/>
      <c r="F285" s="73"/>
      <c r="G285" s="73"/>
      <c r="H285" s="73"/>
      <c r="J285" s="73"/>
    </row>
    <row r="286" spans="1:10" ht="15.75" customHeight="1">
      <c r="A286" s="73"/>
      <c r="B286" s="73"/>
      <c r="C286" s="73"/>
      <c r="D286" s="73"/>
      <c r="E286" s="73"/>
      <c r="F286" s="73"/>
      <c r="G286" s="73"/>
      <c r="H286" s="73"/>
      <c r="J286" s="73"/>
    </row>
    <row r="287" spans="1:10" ht="15.75" customHeight="1">
      <c r="A287" s="73"/>
      <c r="B287" s="73"/>
      <c r="C287" s="73"/>
      <c r="D287" s="73"/>
      <c r="E287" s="73"/>
      <c r="F287" s="73"/>
      <c r="G287" s="73"/>
      <c r="H287" s="73"/>
      <c r="J287" s="73"/>
    </row>
    <row r="288" spans="1:10" ht="15.75" customHeight="1">
      <c r="A288" s="73"/>
      <c r="B288" s="73"/>
      <c r="C288" s="73"/>
      <c r="D288" s="73"/>
      <c r="E288" s="73"/>
      <c r="F288" s="73"/>
      <c r="G288" s="73"/>
      <c r="H288" s="73"/>
      <c r="J288" s="73"/>
    </row>
    <row r="289" spans="1:10" ht="15.75" customHeight="1">
      <c r="A289" s="73"/>
      <c r="B289" s="73"/>
      <c r="C289" s="73"/>
      <c r="D289" s="73"/>
      <c r="E289" s="73"/>
      <c r="F289" s="73"/>
      <c r="G289" s="73"/>
      <c r="H289" s="73"/>
      <c r="J289" s="73"/>
    </row>
    <row r="290" spans="1:10" ht="15.75" customHeight="1">
      <c r="A290" s="73"/>
      <c r="B290" s="73"/>
      <c r="C290" s="73"/>
      <c r="D290" s="73"/>
      <c r="E290" s="73"/>
      <c r="F290" s="73"/>
      <c r="G290" s="73"/>
      <c r="H290" s="73"/>
      <c r="J290" s="73"/>
    </row>
    <row r="291" spans="1:10" ht="15.75" customHeight="1">
      <c r="A291" s="73"/>
      <c r="B291" s="73"/>
      <c r="C291" s="73"/>
      <c r="D291" s="73"/>
      <c r="E291" s="73"/>
      <c r="F291" s="73"/>
      <c r="G291" s="73"/>
      <c r="H291" s="73"/>
      <c r="J291" s="73"/>
    </row>
    <row r="292" spans="1:10" ht="15.75" customHeight="1">
      <c r="A292" s="73"/>
      <c r="B292" s="73"/>
      <c r="C292" s="73"/>
      <c r="D292" s="73"/>
      <c r="E292" s="73"/>
      <c r="F292" s="73"/>
      <c r="G292" s="73"/>
      <c r="H292" s="73"/>
      <c r="J292" s="73"/>
    </row>
    <row r="293" spans="1:10" ht="15.75" customHeight="1">
      <c r="A293" s="73"/>
      <c r="B293" s="73"/>
      <c r="C293" s="73"/>
      <c r="D293" s="73"/>
      <c r="E293" s="73"/>
      <c r="F293" s="73"/>
      <c r="G293" s="73"/>
      <c r="H293" s="73"/>
      <c r="J293" s="73"/>
    </row>
    <row r="294" spans="1:10" ht="15.75" customHeight="1">
      <c r="A294" s="73"/>
      <c r="B294" s="73"/>
      <c r="C294" s="73"/>
      <c r="D294" s="73"/>
      <c r="E294" s="73"/>
      <c r="F294" s="73"/>
      <c r="G294" s="73"/>
      <c r="H294" s="73"/>
      <c r="J294" s="73"/>
    </row>
    <row r="295" spans="1:10" ht="15.75" customHeight="1">
      <c r="A295" s="73"/>
      <c r="B295" s="73"/>
      <c r="C295" s="73"/>
      <c r="D295" s="73"/>
      <c r="E295" s="73"/>
      <c r="F295" s="73"/>
      <c r="G295" s="73"/>
      <c r="H295" s="73"/>
      <c r="J295" s="73"/>
    </row>
    <row r="296" spans="1:10" ht="15.75" customHeight="1">
      <c r="A296" s="73"/>
      <c r="B296" s="73"/>
      <c r="C296" s="73"/>
      <c r="D296" s="73"/>
      <c r="E296" s="73"/>
      <c r="F296" s="73"/>
      <c r="G296" s="73"/>
      <c r="H296" s="73"/>
      <c r="J296" s="73"/>
    </row>
    <row r="297" spans="1:10" ht="15.75" customHeight="1">
      <c r="A297" s="73"/>
      <c r="B297" s="73"/>
      <c r="C297" s="73"/>
      <c r="D297" s="73"/>
      <c r="E297" s="73"/>
      <c r="F297" s="73"/>
      <c r="G297" s="73"/>
      <c r="H297" s="73"/>
      <c r="J297" s="73"/>
    </row>
    <row r="298" spans="1:10" ht="15.75" customHeight="1">
      <c r="A298" s="73"/>
      <c r="B298" s="73"/>
      <c r="C298" s="73"/>
      <c r="D298" s="73"/>
      <c r="E298" s="73"/>
      <c r="F298" s="73"/>
      <c r="G298" s="73"/>
      <c r="H298" s="73"/>
      <c r="J298" s="73"/>
    </row>
    <row r="299" spans="1:10" ht="15.75" customHeight="1">
      <c r="A299" s="73"/>
      <c r="B299" s="73"/>
      <c r="C299" s="73"/>
      <c r="D299" s="73"/>
      <c r="E299" s="73"/>
      <c r="F299" s="73"/>
      <c r="G299" s="73"/>
      <c r="H299" s="73"/>
      <c r="J299" s="73"/>
    </row>
    <row r="300" spans="1:10" ht="15.75" customHeight="1">
      <c r="A300" s="73"/>
      <c r="B300" s="73"/>
      <c r="C300" s="73"/>
      <c r="D300" s="73"/>
      <c r="E300" s="73"/>
      <c r="F300" s="73"/>
      <c r="G300" s="73"/>
      <c r="H300" s="73"/>
      <c r="J300" s="73"/>
    </row>
    <row r="301" spans="1:10" ht="15.75" customHeight="1">
      <c r="A301" s="73"/>
      <c r="B301" s="73"/>
      <c r="C301" s="73"/>
      <c r="D301" s="73"/>
      <c r="E301" s="73"/>
      <c r="F301" s="73"/>
      <c r="G301" s="73"/>
      <c r="H301" s="73"/>
      <c r="J301" s="73"/>
    </row>
    <row r="302" spans="1:10" ht="15.75" customHeight="1">
      <c r="A302" s="73"/>
      <c r="B302" s="73"/>
      <c r="C302" s="73"/>
      <c r="D302" s="73"/>
      <c r="E302" s="73"/>
      <c r="F302" s="73"/>
      <c r="G302" s="73"/>
      <c r="H302" s="73"/>
      <c r="J302" s="73"/>
    </row>
    <row r="303" spans="1:10" ht="15.75" customHeight="1">
      <c r="A303" s="73"/>
      <c r="B303" s="73"/>
      <c r="C303" s="73"/>
      <c r="D303" s="73"/>
      <c r="E303" s="73"/>
      <c r="F303" s="73"/>
      <c r="G303" s="73"/>
      <c r="H303" s="73"/>
      <c r="J303" s="73"/>
    </row>
    <row r="304" spans="1:10" ht="15.75" customHeight="1">
      <c r="A304" s="73"/>
      <c r="B304" s="73"/>
      <c r="C304" s="73"/>
      <c r="D304" s="73"/>
      <c r="E304" s="73"/>
      <c r="F304" s="73"/>
      <c r="G304" s="73"/>
      <c r="H304" s="73"/>
      <c r="J304" s="73"/>
    </row>
    <row r="305" spans="1:10" ht="15.75" customHeight="1">
      <c r="A305" s="73"/>
      <c r="B305" s="73"/>
      <c r="C305" s="73"/>
      <c r="D305" s="73"/>
      <c r="E305" s="73"/>
      <c r="F305" s="73"/>
      <c r="G305" s="73"/>
      <c r="H305" s="73"/>
      <c r="J305" s="73"/>
    </row>
    <row r="306" spans="1:10" ht="15.75" customHeight="1">
      <c r="A306" s="73"/>
      <c r="B306" s="73"/>
      <c r="C306" s="73"/>
      <c r="D306" s="73"/>
      <c r="E306" s="73"/>
      <c r="F306" s="73"/>
      <c r="G306" s="73"/>
      <c r="H306" s="73"/>
      <c r="J306" s="73"/>
    </row>
    <row r="307" spans="1:10" ht="15.75" customHeight="1">
      <c r="A307" s="73"/>
      <c r="B307" s="73"/>
      <c r="C307" s="73"/>
      <c r="D307" s="73"/>
      <c r="E307" s="73"/>
      <c r="F307" s="73"/>
      <c r="G307" s="73"/>
      <c r="H307" s="73"/>
      <c r="J307" s="73"/>
    </row>
    <row r="308" spans="1:10" ht="15.75" customHeight="1">
      <c r="A308" s="73"/>
      <c r="B308" s="73"/>
      <c r="C308" s="73"/>
      <c r="D308" s="73"/>
      <c r="E308" s="73"/>
      <c r="F308" s="73"/>
      <c r="G308" s="73"/>
      <c r="H308" s="73"/>
      <c r="J308" s="73"/>
    </row>
    <row r="309" spans="1:10" ht="15.75" customHeight="1">
      <c r="A309" s="73"/>
      <c r="B309" s="73"/>
      <c r="C309" s="73"/>
      <c r="D309" s="73"/>
      <c r="E309" s="73"/>
      <c r="F309" s="73"/>
      <c r="G309" s="73"/>
      <c r="H309" s="73"/>
      <c r="J309" s="73"/>
    </row>
    <row r="310" spans="1:10" ht="15.75" customHeight="1">
      <c r="A310" s="73"/>
      <c r="B310" s="73"/>
      <c r="C310" s="73"/>
      <c r="D310" s="73"/>
      <c r="E310" s="73"/>
      <c r="F310" s="73"/>
      <c r="G310" s="73"/>
      <c r="H310" s="73"/>
      <c r="J310" s="73"/>
    </row>
    <row r="311" spans="1:10" ht="15.75" customHeight="1">
      <c r="A311" s="73"/>
      <c r="B311" s="73"/>
      <c r="C311" s="73"/>
      <c r="D311" s="73"/>
      <c r="E311" s="73"/>
      <c r="F311" s="73"/>
      <c r="G311" s="73"/>
      <c r="H311" s="73"/>
      <c r="J311" s="73"/>
    </row>
    <row r="312" spans="1:10" ht="15.75" customHeight="1">
      <c r="A312" s="73"/>
      <c r="B312" s="73"/>
      <c r="C312" s="73"/>
      <c r="D312" s="73"/>
      <c r="E312" s="73"/>
      <c r="F312" s="73"/>
      <c r="G312" s="73"/>
      <c r="H312" s="73"/>
      <c r="J312" s="73"/>
    </row>
    <row r="313" spans="1:10" ht="15.75" customHeight="1">
      <c r="A313" s="73"/>
      <c r="B313" s="73"/>
      <c r="C313" s="73"/>
      <c r="D313" s="73"/>
      <c r="E313" s="73"/>
      <c r="F313" s="73"/>
      <c r="G313" s="73"/>
      <c r="H313" s="73"/>
      <c r="J313" s="73"/>
    </row>
    <row r="314" spans="1:10" ht="15.75" customHeight="1">
      <c r="A314" s="73"/>
      <c r="B314" s="73"/>
      <c r="C314" s="73"/>
      <c r="D314" s="73"/>
      <c r="E314" s="73"/>
      <c r="F314" s="73"/>
      <c r="G314" s="73"/>
      <c r="H314" s="73"/>
      <c r="J314" s="73"/>
    </row>
    <row r="315" spans="1:10" ht="15.75" customHeight="1">
      <c r="A315" s="73"/>
      <c r="B315" s="73"/>
      <c r="C315" s="73"/>
      <c r="D315" s="73"/>
      <c r="E315" s="73"/>
      <c r="F315" s="73"/>
      <c r="G315" s="73"/>
      <c r="H315" s="73"/>
      <c r="J315" s="73"/>
    </row>
    <row r="316" spans="1:10" ht="15.75" customHeight="1">
      <c r="A316" s="73"/>
      <c r="B316" s="73"/>
      <c r="C316" s="73"/>
      <c r="D316" s="73"/>
      <c r="E316" s="73"/>
      <c r="F316" s="73"/>
      <c r="G316" s="73"/>
      <c r="H316" s="73"/>
      <c r="J316" s="73"/>
    </row>
    <row r="317" spans="1:10" ht="15.75" customHeight="1">
      <c r="A317" s="73"/>
      <c r="B317" s="73"/>
      <c r="C317" s="73"/>
      <c r="D317" s="73"/>
      <c r="E317" s="73"/>
      <c r="F317" s="73"/>
      <c r="G317" s="73"/>
      <c r="H317" s="73"/>
      <c r="J317" s="73"/>
    </row>
    <row r="318" spans="1:10" ht="15.75" customHeight="1">
      <c r="A318" s="73"/>
      <c r="B318" s="73"/>
      <c r="C318" s="73"/>
      <c r="D318" s="73"/>
      <c r="E318" s="73"/>
      <c r="F318" s="73"/>
      <c r="G318" s="73"/>
      <c r="H318" s="73"/>
      <c r="J318" s="73"/>
    </row>
    <row r="319" spans="1:10" ht="15.75" customHeight="1">
      <c r="A319" s="73"/>
      <c r="B319" s="73"/>
      <c r="C319" s="73"/>
      <c r="D319" s="73"/>
      <c r="E319" s="73"/>
      <c r="F319" s="73"/>
      <c r="G319" s="73"/>
      <c r="H319" s="73"/>
      <c r="J319" s="73"/>
    </row>
    <row r="320" spans="1:10" ht="15.75" customHeight="1">
      <c r="A320" s="73"/>
      <c r="B320" s="73"/>
      <c r="C320" s="73"/>
      <c r="D320" s="73"/>
      <c r="E320" s="73"/>
      <c r="F320" s="73"/>
      <c r="G320" s="73"/>
      <c r="H320" s="73"/>
      <c r="J320" s="73"/>
    </row>
    <row r="321" spans="1:10" ht="15.75" customHeight="1">
      <c r="A321" s="73"/>
      <c r="B321" s="73"/>
      <c r="C321" s="73"/>
      <c r="D321" s="73"/>
      <c r="E321" s="73"/>
      <c r="F321" s="73"/>
      <c r="G321" s="73"/>
      <c r="H321" s="73"/>
      <c r="J321" s="73"/>
    </row>
    <row r="322" spans="1:10" ht="15.75" customHeight="1">
      <c r="A322" s="73"/>
      <c r="B322" s="73"/>
      <c r="C322" s="73"/>
      <c r="D322" s="73"/>
      <c r="E322" s="73"/>
      <c r="F322" s="73"/>
      <c r="G322" s="73"/>
      <c r="H322" s="73"/>
      <c r="J322" s="73"/>
    </row>
    <row r="323" spans="1:10" ht="15.75" customHeight="1">
      <c r="A323" s="73"/>
      <c r="B323" s="73"/>
      <c r="C323" s="73"/>
      <c r="D323" s="73"/>
      <c r="E323" s="73"/>
      <c r="F323" s="73"/>
      <c r="G323" s="73"/>
      <c r="H323" s="73"/>
      <c r="J323" s="73"/>
    </row>
    <row r="324" spans="1:10" ht="15.75" customHeight="1">
      <c r="A324" s="73"/>
      <c r="B324" s="73"/>
      <c r="C324" s="73"/>
      <c r="D324" s="73"/>
      <c r="E324" s="73"/>
      <c r="F324" s="73"/>
      <c r="G324" s="73"/>
      <c r="H324" s="73"/>
      <c r="J324" s="73"/>
    </row>
    <row r="325" spans="1:10" ht="15.75" customHeight="1">
      <c r="A325" s="73"/>
      <c r="B325" s="73"/>
      <c r="C325" s="73"/>
      <c r="D325" s="73"/>
      <c r="E325" s="73"/>
      <c r="F325" s="73"/>
      <c r="G325" s="73"/>
      <c r="H325" s="73"/>
      <c r="J325" s="73"/>
    </row>
    <row r="326" spans="1:10" ht="15.75" customHeight="1">
      <c r="A326" s="73"/>
      <c r="B326" s="73"/>
      <c r="C326" s="73"/>
      <c r="D326" s="73"/>
      <c r="E326" s="73"/>
      <c r="F326" s="73"/>
      <c r="G326" s="73"/>
      <c r="H326" s="73"/>
      <c r="J326" s="73"/>
    </row>
    <row r="327" spans="1:10" ht="15.75" customHeight="1">
      <c r="A327" s="73"/>
      <c r="B327" s="73"/>
      <c r="C327" s="73"/>
      <c r="D327" s="73"/>
      <c r="E327" s="73"/>
      <c r="F327" s="73"/>
      <c r="G327" s="73"/>
      <c r="H327" s="73"/>
      <c r="J327" s="73"/>
    </row>
    <row r="328" spans="1:10" ht="15.75" customHeight="1">
      <c r="A328" s="73"/>
      <c r="B328" s="73"/>
      <c r="C328" s="73"/>
      <c r="D328" s="73"/>
      <c r="E328" s="73"/>
      <c r="F328" s="73"/>
      <c r="G328" s="73"/>
      <c r="H328" s="73"/>
      <c r="J328" s="73"/>
    </row>
    <row r="329" spans="1:10" ht="15.75" customHeight="1">
      <c r="A329" s="73"/>
      <c r="B329" s="73"/>
      <c r="C329" s="73"/>
      <c r="D329" s="73"/>
      <c r="E329" s="73"/>
      <c r="F329" s="73"/>
      <c r="G329" s="73"/>
      <c r="H329" s="73"/>
      <c r="J329" s="73"/>
    </row>
    <row r="330" spans="1:10" ht="15.75" customHeight="1">
      <c r="A330" s="73"/>
      <c r="B330" s="73"/>
      <c r="C330" s="73"/>
      <c r="D330" s="73"/>
      <c r="E330" s="73"/>
      <c r="F330" s="73"/>
      <c r="G330" s="73"/>
      <c r="H330" s="73"/>
      <c r="J330" s="73"/>
    </row>
    <row r="331" spans="1:10" ht="15.75" customHeight="1">
      <c r="A331" s="73"/>
      <c r="B331" s="73"/>
      <c r="C331" s="73"/>
      <c r="D331" s="73"/>
      <c r="E331" s="73"/>
      <c r="F331" s="73"/>
      <c r="G331" s="73"/>
      <c r="H331" s="73"/>
      <c r="J331" s="73"/>
    </row>
    <row r="332" spans="1:10" ht="15.75" customHeight="1">
      <c r="A332" s="73"/>
      <c r="B332" s="73"/>
      <c r="C332" s="73"/>
      <c r="D332" s="73"/>
      <c r="E332" s="73"/>
      <c r="F332" s="73"/>
      <c r="G332" s="73"/>
      <c r="H332" s="73"/>
      <c r="J332" s="73"/>
    </row>
    <row r="333" spans="1:10" ht="15.75" customHeight="1">
      <c r="A333" s="73"/>
      <c r="B333" s="73"/>
      <c r="C333" s="73"/>
      <c r="D333" s="73"/>
      <c r="E333" s="73"/>
      <c r="F333" s="73"/>
      <c r="G333" s="73"/>
      <c r="H333" s="73"/>
      <c r="J333" s="73"/>
    </row>
    <row r="334" spans="1:10" ht="15.75" customHeight="1">
      <c r="A334" s="73"/>
      <c r="B334" s="73"/>
      <c r="C334" s="73"/>
      <c r="D334" s="73"/>
      <c r="E334" s="73"/>
      <c r="F334" s="73"/>
      <c r="G334" s="73"/>
      <c r="H334" s="73"/>
      <c r="J334" s="73"/>
    </row>
    <row r="335" spans="1:10" ht="15.75" customHeight="1">
      <c r="A335" s="73"/>
      <c r="B335" s="73"/>
      <c r="C335" s="73"/>
      <c r="D335" s="73"/>
      <c r="E335" s="73"/>
      <c r="F335" s="73"/>
      <c r="G335" s="73"/>
      <c r="H335" s="73"/>
      <c r="J335" s="73"/>
    </row>
    <row r="336" spans="1:10" ht="15.75" customHeight="1">
      <c r="A336" s="73"/>
      <c r="B336" s="73"/>
      <c r="C336" s="73"/>
      <c r="D336" s="73"/>
      <c r="E336" s="73"/>
      <c r="F336" s="73"/>
      <c r="G336" s="73"/>
      <c r="H336" s="73"/>
      <c r="J336" s="73"/>
    </row>
    <row r="337" spans="1:10" ht="15.75" customHeight="1">
      <c r="A337" s="73"/>
      <c r="B337" s="73"/>
      <c r="C337" s="73"/>
      <c r="D337" s="73"/>
      <c r="E337" s="73"/>
      <c r="F337" s="73"/>
      <c r="G337" s="73"/>
      <c r="H337" s="73"/>
      <c r="J337" s="73"/>
    </row>
    <row r="338" spans="1:10" ht="15.75" customHeight="1">
      <c r="A338" s="73"/>
      <c r="B338" s="73"/>
      <c r="C338" s="73"/>
      <c r="D338" s="73"/>
      <c r="E338" s="73"/>
      <c r="F338" s="73"/>
      <c r="G338" s="73"/>
      <c r="H338" s="73"/>
      <c r="J338" s="73"/>
    </row>
    <row r="339" spans="1:10" ht="15.75" customHeight="1">
      <c r="A339" s="73"/>
      <c r="B339" s="73"/>
      <c r="C339" s="73"/>
      <c r="D339" s="73"/>
      <c r="E339" s="73"/>
      <c r="F339" s="73"/>
      <c r="G339" s="73"/>
      <c r="H339" s="73"/>
      <c r="J339" s="73"/>
    </row>
    <row r="340" spans="1:10" ht="15.75" customHeight="1">
      <c r="A340" s="73"/>
      <c r="B340" s="73"/>
      <c r="C340" s="73"/>
      <c r="D340" s="73"/>
      <c r="E340" s="73"/>
      <c r="F340" s="73"/>
      <c r="G340" s="73"/>
      <c r="H340" s="73"/>
      <c r="J340" s="73"/>
    </row>
    <row r="341" spans="1:10" ht="15.75" customHeight="1">
      <c r="A341" s="73"/>
      <c r="B341" s="73"/>
      <c r="C341" s="73"/>
      <c r="D341" s="73"/>
      <c r="E341" s="73"/>
      <c r="F341" s="73"/>
      <c r="G341" s="73"/>
      <c r="H341" s="73"/>
      <c r="J341" s="73"/>
    </row>
    <row r="342" spans="1:10" ht="15.75" customHeight="1">
      <c r="A342" s="73"/>
      <c r="B342" s="73"/>
      <c r="C342" s="73"/>
      <c r="D342" s="73"/>
      <c r="E342" s="73"/>
      <c r="F342" s="73"/>
      <c r="G342" s="73"/>
      <c r="H342" s="73"/>
      <c r="J342" s="73"/>
    </row>
    <row r="343" spans="1:10" ht="15.75" customHeight="1">
      <c r="A343" s="73"/>
      <c r="B343" s="73"/>
      <c r="C343" s="73"/>
      <c r="D343" s="73"/>
      <c r="E343" s="73"/>
      <c r="F343" s="73"/>
      <c r="G343" s="73"/>
      <c r="H343" s="73"/>
      <c r="J343" s="73"/>
    </row>
    <row r="344" spans="1:10" ht="15.75" customHeight="1">
      <c r="A344" s="73"/>
      <c r="B344" s="73"/>
      <c r="C344" s="73"/>
      <c r="D344" s="73"/>
      <c r="E344" s="73"/>
      <c r="F344" s="73"/>
      <c r="G344" s="73"/>
      <c r="H344" s="73"/>
      <c r="J344" s="73"/>
    </row>
    <row r="345" spans="1:10" ht="15.75" customHeight="1">
      <c r="A345" s="73"/>
      <c r="B345" s="73"/>
      <c r="C345" s="73"/>
      <c r="D345" s="73"/>
      <c r="E345" s="73"/>
      <c r="F345" s="73"/>
      <c r="G345" s="73"/>
      <c r="H345" s="73"/>
      <c r="J345" s="73"/>
    </row>
    <row r="346" spans="1:10" ht="15.75" customHeight="1">
      <c r="A346" s="73"/>
      <c r="B346" s="73"/>
      <c r="C346" s="73"/>
      <c r="D346" s="73"/>
      <c r="E346" s="73"/>
      <c r="F346" s="73"/>
      <c r="G346" s="73"/>
      <c r="H346" s="73"/>
      <c r="J346" s="73"/>
    </row>
    <row r="347" spans="1:10" ht="15.75" customHeight="1">
      <c r="A347" s="73"/>
      <c r="B347" s="73"/>
      <c r="C347" s="73"/>
      <c r="D347" s="73"/>
      <c r="E347" s="73"/>
      <c r="F347" s="73"/>
      <c r="G347" s="73"/>
      <c r="H347" s="73"/>
      <c r="J347" s="73"/>
    </row>
    <row r="348" spans="1:10" ht="15.75" customHeight="1">
      <c r="A348" s="73"/>
      <c r="B348" s="73"/>
      <c r="C348" s="73"/>
      <c r="D348" s="73"/>
      <c r="E348" s="73"/>
      <c r="F348" s="73"/>
      <c r="G348" s="73"/>
      <c r="H348" s="73"/>
      <c r="J348" s="73"/>
    </row>
    <row r="349" spans="1:10" ht="15.75" customHeight="1">
      <c r="A349" s="73"/>
      <c r="B349" s="73"/>
      <c r="C349" s="73"/>
      <c r="D349" s="73"/>
      <c r="E349" s="73"/>
      <c r="F349" s="73"/>
      <c r="G349" s="73"/>
      <c r="H349" s="73"/>
      <c r="J349" s="73"/>
    </row>
    <row r="350" spans="1:10" ht="15.75" customHeight="1">
      <c r="A350" s="73"/>
      <c r="B350" s="73"/>
      <c r="C350" s="73"/>
      <c r="D350" s="73"/>
      <c r="E350" s="73"/>
      <c r="F350" s="73"/>
      <c r="G350" s="73"/>
      <c r="H350" s="73"/>
      <c r="J350" s="73"/>
    </row>
    <row r="351" spans="1:10" ht="15.75" customHeight="1">
      <c r="A351" s="73"/>
      <c r="B351" s="73"/>
      <c r="C351" s="73"/>
      <c r="D351" s="73"/>
      <c r="E351" s="73"/>
      <c r="F351" s="73"/>
      <c r="G351" s="73"/>
      <c r="H351" s="73"/>
      <c r="J351" s="73"/>
    </row>
    <row r="352" spans="1:10" ht="15.75" customHeight="1">
      <c r="A352" s="73"/>
      <c r="B352" s="73"/>
      <c r="C352" s="73"/>
      <c r="D352" s="73"/>
      <c r="E352" s="73"/>
      <c r="F352" s="73"/>
      <c r="G352" s="73"/>
      <c r="H352" s="73"/>
      <c r="J352" s="73"/>
    </row>
    <row r="353" spans="1:10" ht="15.75" customHeight="1">
      <c r="A353" s="73"/>
      <c r="B353" s="73"/>
      <c r="C353" s="73"/>
      <c r="D353" s="73"/>
      <c r="E353" s="73"/>
      <c r="F353" s="73"/>
      <c r="G353" s="73"/>
      <c r="H353" s="73"/>
      <c r="J353" s="73"/>
    </row>
    <row r="354" spans="1:10" ht="15.75" customHeight="1">
      <c r="A354" s="73"/>
      <c r="B354" s="73"/>
      <c r="C354" s="73"/>
      <c r="D354" s="73"/>
      <c r="E354" s="73"/>
      <c r="F354" s="73"/>
      <c r="G354" s="73"/>
      <c r="H354" s="73"/>
      <c r="J354" s="73"/>
    </row>
    <row r="355" spans="1:10" ht="15.75" customHeight="1">
      <c r="A355" s="73"/>
      <c r="B355" s="73"/>
      <c r="C355" s="73"/>
      <c r="D355" s="73"/>
      <c r="E355" s="73"/>
      <c r="F355" s="73"/>
      <c r="G355" s="73"/>
      <c r="H355" s="73"/>
      <c r="J355" s="73"/>
    </row>
    <row r="356" spans="1:10" ht="15.75" customHeight="1">
      <c r="A356" s="73"/>
      <c r="B356" s="73"/>
      <c r="C356" s="73"/>
      <c r="D356" s="73"/>
      <c r="E356" s="73"/>
      <c r="F356" s="73"/>
      <c r="G356" s="73"/>
      <c r="H356" s="73"/>
      <c r="J356" s="73"/>
    </row>
    <row r="357" spans="1:10" ht="15.75" customHeight="1">
      <c r="A357" s="73"/>
      <c r="B357" s="73"/>
      <c r="C357" s="73"/>
      <c r="D357" s="73"/>
      <c r="E357" s="73"/>
      <c r="F357" s="73"/>
      <c r="G357" s="73"/>
      <c r="H357" s="73"/>
      <c r="J357" s="73"/>
    </row>
    <row r="358" spans="1:10" ht="15.75" customHeight="1">
      <c r="A358" s="73"/>
      <c r="B358" s="73"/>
      <c r="C358" s="73"/>
      <c r="D358" s="73"/>
      <c r="E358" s="73"/>
      <c r="F358" s="73"/>
      <c r="G358" s="73"/>
      <c r="H358" s="73"/>
      <c r="J358" s="73"/>
    </row>
    <row r="359" spans="1:10" ht="15.75" customHeight="1">
      <c r="A359" s="73"/>
      <c r="B359" s="73"/>
      <c r="C359" s="73"/>
      <c r="D359" s="73"/>
      <c r="E359" s="73"/>
      <c r="F359" s="73"/>
      <c r="G359" s="73"/>
      <c r="H359" s="73"/>
      <c r="J359" s="73"/>
    </row>
    <row r="360" spans="1:10" ht="15.75" customHeight="1">
      <c r="A360" s="73"/>
      <c r="B360" s="73"/>
      <c r="C360" s="73"/>
      <c r="D360" s="73"/>
      <c r="E360" s="73"/>
      <c r="F360" s="73"/>
      <c r="G360" s="73"/>
      <c r="H360" s="73"/>
      <c r="J360" s="73"/>
    </row>
    <row r="361" spans="1:10" ht="15.75" customHeight="1">
      <c r="A361" s="73"/>
      <c r="B361" s="73"/>
      <c r="C361" s="73"/>
      <c r="D361" s="73"/>
      <c r="E361" s="73"/>
      <c r="F361" s="73"/>
      <c r="G361" s="73"/>
      <c r="H361" s="73"/>
      <c r="J361" s="73"/>
    </row>
    <row r="362" spans="1:10" ht="15.75" customHeight="1">
      <c r="A362" s="73"/>
      <c r="B362" s="73"/>
      <c r="C362" s="73"/>
      <c r="D362" s="73"/>
      <c r="E362" s="73"/>
      <c r="F362" s="73"/>
      <c r="G362" s="73"/>
      <c r="H362" s="73"/>
      <c r="J362" s="73"/>
    </row>
    <row r="363" spans="1:10" ht="15.75" customHeight="1">
      <c r="A363" s="73"/>
      <c r="B363" s="73"/>
      <c r="C363" s="73"/>
      <c r="D363" s="73"/>
      <c r="E363" s="73"/>
      <c r="F363" s="73"/>
      <c r="G363" s="73"/>
      <c r="H363" s="73"/>
      <c r="J363" s="73"/>
    </row>
    <row r="364" spans="1:10" ht="15.75" customHeight="1">
      <c r="A364" s="73"/>
      <c r="B364" s="73"/>
      <c r="C364" s="73"/>
      <c r="D364" s="73"/>
      <c r="E364" s="73"/>
      <c r="F364" s="73"/>
      <c r="G364" s="73"/>
      <c r="H364" s="73"/>
      <c r="J364" s="73"/>
    </row>
    <row r="365" spans="1:10" ht="15.75" customHeight="1">
      <c r="A365" s="73"/>
      <c r="B365" s="73"/>
      <c r="C365" s="73"/>
      <c r="D365" s="73"/>
      <c r="E365" s="73"/>
      <c r="F365" s="73"/>
      <c r="G365" s="73"/>
      <c r="H365" s="73"/>
      <c r="J365" s="73"/>
    </row>
    <row r="366" spans="1:10" ht="15.75" customHeight="1">
      <c r="A366" s="73"/>
      <c r="B366" s="73"/>
      <c r="C366" s="73"/>
      <c r="D366" s="73"/>
      <c r="E366" s="73"/>
      <c r="F366" s="73"/>
      <c r="G366" s="73"/>
      <c r="H366" s="73"/>
      <c r="J366" s="73"/>
    </row>
    <row r="367" spans="1:10" ht="15.75" customHeight="1">
      <c r="A367" s="73"/>
      <c r="B367" s="73"/>
      <c r="C367" s="73"/>
      <c r="D367" s="73"/>
      <c r="E367" s="73"/>
      <c r="F367" s="73"/>
      <c r="G367" s="73"/>
      <c r="H367" s="73"/>
      <c r="J367" s="73"/>
    </row>
    <row r="368" spans="1:10" ht="15.75" customHeight="1">
      <c r="A368" s="73"/>
      <c r="B368" s="73"/>
      <c r="C368" s="73"/>
      <c r="D368" s="73"/>
      <c r="E368" s="73"/>
      <c r="F368" s="73"/>
      <c r="G368" s="73"/>
      <c r="H368" s="73"/>
      <c r="J368" s="73"/>
    </row>
    <row r="369" spans="1:10" ht="15.75" customHeight="1">
      <c r="A369" s="73"/>
      <c r="B369" s="73"/>
      <c r="C369" s="73"/>
      <c r="D369" s="73"/>
      <c r="E369" s="73"/>
      <c r="F369" s="73"/>
      <c r="G369" s="73"/>
      <c r="H369" s="73"/>
      <c r="J369" s="73"/>
    </row>
    <row r="370" spans="1:10" ht="15.75" customHeight="1">
      <c r="A370" s="73"/>
      <c r="B370" s="73"/>
      <c r="C370" s="73"/>
      <c r="D370" s="73"/>
      <c r="E370" s="73"/>
      <c r="F370" s="73"/>
      <c r="G370" s="73"/>
      <c r="H370" s="73"/>
      <c r="J370" s="73"/>
    </row>
    <row r="371" spans="1:10" ht="15.75" customHeight="1">
      <c r="A371" s="73"/>
      <c r="B371" s="73"/>
      <c r="C371" s="73"/>
      <c r="D371" s="73"/>
      <c r="E371" s="73"/>
      <c r="F371" s="73"/>
      <c r="G371" s="73"/>
      <c r="H371" s="73"/>
      <c r="J371" s="73"/>
    </row>
    <row r="372" spans="1:10" ht="15.75" customHeight="1">
      <c r="A372" s="73"/>
      <c r="B372" s="73"/>
      <c r="C372" s="73"/>
      <c r="D372" s="73"/>
      <c r="E372" s="73"/>
      <c r="F372" s="73"/>
      <c r="G372" s="73"/>
      <c r="H372" s="73"/>
      <c r="J372" s="73"/>
    </row>
    <row r="373" spans="1:10" ht="15.75" customHeight="1">
      <c r="A373" s="73"/>
      <c r="B373" s="73"/>
      <c r="C373" s="73"/>
      <c r="D373" s="73"/>
      <c r="E373" s="73"/>
      <c r="F373" s="73"/>
      <c r="G373" s="73"/>
      <c r="H373" s="73"/>
      <c r="J373" s="73"/>
    </row>
    <row r="374" spans="1:10" ht="15.75" customHeight="1">
      <c r="A374" s="73"/>
      <c r="B374" s="73"/>
      <c r="C374" s="73"/>
      <c r="D374" s="73"/>
      <c r="E374" s="73"/>
      <c r="F374" s="73"/>
      <c r="G374" s="73"/>
      <c r="H374" s="73"/>
      <c r="J374" s="73"/>
    </row>
    <row r="375" spans="1:10" ht="15.75" customHeight="1">
      <c r="A375" s="73"/>
      <c r="B375" s="73"/>
      <c r="C375" s="73"/>
      <c r="D375" s="73"/>
      <c r="E375" s="73"/>
      <c r="F375" s="73"/>
      <c r="G375" s="73"/>
      <c r="H375" s="73"/>
      <c r="J375" s="73"/>
    </row>
    <row r="376" spans="1:10" ht="15.75" customHeight="1">
      <c r="A376" s="73"/>
      <c r="B376" s="73"/>
      <c r="C376" s="73"/>
      <c r="D376" s="73"/>
      <c r="E376" s="73"/>
      <c r="F376" s="73"/>
      <c r="G376" s="73"/>
      <c r="H376" s="73"/>
      <c r="J376" s="73"/>
    </row>
    <row r="377" spans="1:10" ht="15.75" customHeight="1">
      <c r="A377" s="73"/>
      <c r="B377" s="73"/>
      <c r="C377" s="73"/>
      <c r="D377" s="73"/>
      <c r="E377" s="73"/>
      <c r="F377" s="73"/>
      <c r="G377" s="73"/>
      <c r="H377" s="73"/>
      <c r="J377" s="73"/>
    </row>
    <row r="378" spans="1:10" ht="15.75" customHeight="1">
      <c r="A378" s="73"/>
      <c r="B378" s="73"/>
      <c r="C378" s="73"/>
      <c r="D378" s="73"/>
      <c r="E378" s="73"/>
      <c r="F378" s="73"/>
      <c r="G378" s="73"/>
      <c r="H378" s="73"/>
      <c r="J378" s="73"/>
    </row>
    <row r="379" spans="1:10" ht="15.75" customHeight="1">
      <c r="A379" s="73"/>
      <c r="B379" s="73"/>
      <c r="C379" s="73"/>
      <c r="D379" s="73"/>
      <c r="E379" s="73"/>
      <c r="F379" s="73"/>
      <c r="G379" s="73"/>
      <c r="H379" s="73"/>
      <c r="J379" s="73"/>
    </row>
    <row r="380" spans="1:10" ht="15.75" customHeight="1">
      <c r="A380" s="73"/>
      <c r="B380" s="73"/>
      <c r="C380" s="73"/>
      <c r="D380" s="73"/>
      <c r="E380" s="73"/>
      <c r="F380" s="73"/>
      <c r="G380" s="73"/>
      <c r="H380" s="73"/>
      <c r="J380" s="73"/>
    </row>
    <row r="381" spans="1:10" ht="15.75" customHeight="1">
      <c r="A381" s="73"/>
      <c r="B381" s="73"/>
      <c r="C381" s="73"/>
      <c r="D381" s="73"/>
      <c r="E381" s="73"/>
      <c r="F381" s="73"/>
      <c r="G381" s="73"/>
      <c r="H381" s="73"/>
      <c r="J381" s="73"/>
    </row>
    <row r="382" spans="1:10" ht="15.75" customHeight="1">
      <c r="A382" s="73"/>
      <c r="B382" s="73"/>
      <c r="C382" s="73"/>
      <c r="D382" s="73"/>
      <c r="E382" s="73"/>
      <c r="F382" s="73"/>
      <c r="G382" s="73"/>
      <c r="H382" s="73"/>
      <c r="J382" s="73"/>
    </row>
    <row r="383" spans="1:10" ht="15.75" customHeight="1">
      <c r="A383" s="73"/>
      <c r="B383" s="73"/>
      <c r="C383" s="73"/>
      <c r="D383" s="73"/>
      <c r="E383" s="73"/>
      <c r="F383" s="73"/>
      <c r="G383" s="73"/>
      <c r="H383" s="73"/>
      <c r="J383" s="73"/>
    </row>
    <row r="384" spans="1:10" ht="15.75" customHeight="1">
      <c r="A384" s="73"/>
      <c r="B384" s="73"/>
      <c r="C384" s="73"/>
      <c r="D384" s="73"/>
      <c r="E384" s="73"/>
      <c r="F384" s="73"/>
      <c r="G384" s="73"/>
      <c r="H384" s="73"/>
      <c r="J384" s="73"/>
    </row>
    <row r="385" spans="1:10" ht="15.75" customHeight="1">
      <c r="A385" s="73"/>
      <c r="B385" s="73"/>
      <c r="C385" s="73"/>
      <c r="D385" s="73"/>
      <c r="E385" s="73"/>
      <c r="F385" s="73"/>
      <c r="G385" s="73"/>
      <c r="H385" s="73"/>
      <c r="J385" s="73"/>
    </row>
    <row r="386" spans="1:10" ht="15.75" customHeight="1">
      <c r="A386" s="73"/>
      <c r="B386" s="73"/>
      <c r="C386" s="73"/>
      <c r="D386" s="73"/>
      <c r="E386" s="73"/>
      <c r="F386" s="73"/>
      <c r="G386" s="73"/>
      <c r="H386" s="73"/>
      <c r="J386" s="73"/>
    </row>
    <row r="387" spans="1:10" ht="15.75" customHeight="1">
      <c r="A387" s="73"/>
      <c r="B387" s="73"/>
      <c r="C387" s="73"/>
      <c r="D387" s="73"/>
      <c r="E387" s="73"/>
      <c r="F387" s="73"/>
      <c r="G387" s="73"/>
      <c r="H387" s="73"/>
      <c r="J387" s="73"/>
    </row>
    <row r="388" spans="1:10" ht="15.75" customHeight="1">
      <c r="A388" s="73"/>
      <c r="B388" s="73"/>
      <c r="C388" s="73"/>
      <c r="D388" s="73"/>
      <c r="E388" s="73"/>
      <c r="F388" s="73"/>
      <c r="G388" s="73"/>
      <c r="H388" s="73"/>
      <c r="J388" s="73"/>
    </row>
    <row r="389" spans="1:10" ht="15.75" customHeight="1">
      <c r="A389" s="73"/>
      <c r="B389" s="73"/>
      <c r="C389" s="73"/>
      <c r="D389" s="73"/>
      <c r="E389" s="73"/>
      <c r="F389" s="73"/>
      <c r="G389" s="73"/>
      <c r="H389" s="73"/>
      <c r="J389" s="73"/>
    </row>
    <row r="390" spans="1:10" ht="15.75" customHeight="1">
      <c r="A390" s="73"/>
      <c r="B390" s="73"/>
      <c r="C390" s="73"/>
      <c r="D390" s="73"/>
      <c r="E390" s="73"/>
      <c r="F390" s="73"/>
      <c r="G390" s="73"/>
      <c r="H390" s="73"/>
      <c r="J390" s="73"/>
    </row>
    <row r="391" spans="1:10" ht="15.75" customHeight="1">
      <c r="A391" s="73"/>
      <c r="B391" s="73"/>
      <c r="C391" s="73"/>
      <c r="D391" s="73"/>
      <c r="E391" s="73"/>
      <c r="F391" s="73"/>
      <c r="G391" s="73"/>
      <c r="H391" s="73"/>
      <c r="J391" s="73"/>
    </row>
    <row r="392" spans="1:10" ht="15.75" customHeight="1">
      <c r="A392" s="73"/>
      <c r="B392" s="73"/>
      <c r="C392" s="73"/>
      <c r="D392" s="73"/>
      <c r="E392" s="73"/>
      <c r="F392" s="73"/>
      <c r="G392" s="73"/>
      <c r="H392" s="73"/>
      <c r="J392" s="73"/>
    </row>
    <row r="393" spans="1:10" ht="15.75" customHeight="1">
      <c r="A393" s="73"/>
      <c r="B393" s="73"/>
      <c r="C393" s="73"/>
      <c r="D393" s="73"/>
      <c r="E393" s="73"/>
      <c r="F393" s="73"/>
      <c r="G393" s="73"/>
      <c r="H393" s="73"/>
      <c r="J393" s="73"/>
    </row>
    <row r="394" spans="1:10" ht="15.75" customHeight="1">
      <c r="A394" s="73"/>
      <c r="B394" s="73"/>
      <c r="C394" s="73"/>
      <c r="D394" s="73"/>
      <c r="E394" s="73"/>
      <c r="F394" s="73"/>
      <c r="G394" s="73"/>
      <c r="H394" s="73"/>
      <c r="J394" s="73"/>
    </row>
    <row r="395" spans="1:10" ht="15.75" customHeight="1">
      <c r="A395" s="73"/>
      <c r="B395" s="73"/>
      <c r="C395" s="73"/>
      <c r="D395" s="73"/>
      <c r="E395" s="73"/>
      <c r="F395" s="73"/>
      <c r="G395" s="73"/>
      <c r="H395" s="73"/>
      <c r="J395" s="73"/>
    </row>
    <row r="396" spans="1:10" ht="15.75" customHeight="1">
      <c r="A396" s="73"/>
      <c r="B396" s="73"/>
      <c r="C396" s="73"/>
      <c r="D396" s="73"/>
      <c r="E396" s="73"/>
      <c r="F396" s="73"/>
      <c r="G396" s="73"/>
      <c r="H396" s="73"/>
      <c r="J396" s="73"/>
    </row>
    <row r="397" spans="1:10" ht="15.75" customHeight="1">
      <c r="A397" s="73"/>
      <c r="B397" s="73"/>
      <c r="C397" s="73"/>
      <c r="D397" s="73"/>
      <c r="E397" s="73"/>
      <c r="F397" s="73"/>
      <c r="G397" s="73"/>
      <c r="H397" s="73"/>
      <c r="J397" s="73"/>
    </row>
    <row r="398" spans="1:10" ht="15.75" customHeight="1">
      <c r="A398" s="73"/>
      <c r="B398" s="73"/>
      <c r="C398" s="73"/>
      <c r="D398" s="73"/>
      <c r="E398" s="73"/>
      <c r="F398" s="73"/>
      <c r="G398" s="73"/>
      <c r="H398" s="73"/>
      <c r="J398" s="73"/>
    </row>
    <row r="399" spans="1:10" ht="15.75" customHeight="1">
      <c r="A399" s="73"/>
      <c r="B399" s="73"/>
      <c r="C399" s="73"/>
      <c r="D399" s="73"/>
      <c r="E399" s="73"/>
      <c r="F399" s="73"/>
      <c r="G399" s="73"/>
      <c r="H399" s="73"/>
      <c r="J399" s="73"/>
    </row>
    <row r="400" spans="1:10" ht="15.75" customHeight="1">
      <c r="A400" s="73"/>
      <c r="B400" s="73"/>
      <c r="C400" s="73"/>
      <c r="D400" s="73"/>
      <c r="E400" s="73"/>
      <c r="F400" s="73"/>
      <c r="G400" s="73"/>
      <c r="H400" s="73"/>
      <c r="J400" s="73"/>
    </row>
    <row r="401" spans="1:10" ht="15.75" customHeight="1">
      <c r="A401" s="73"/>
      <c r="B401" s="73"/>
      <c r="C401" s="73"/>
      <c r="D401" s="73"/>
      <c r="E401" s="73"/>
      <c r="F401" s="73"/>
      <c r="G401" s="73"/>
      <c r="H401" s="73"/>
      <c r="J401" s="73"/>
    </row>
    <row r="402" spans="1:10" ht="15.75" customHeight="1">
      <c r="A402" s="73"/>
      <c r="B402" s="73"/>
      <c r="C402" s="73"/>
      <c r="D402" s="73"/>
      <c r="E402" s="73"/>
      <c r="F402" s="73"/>
      <c r="G402" s="73"/>
      <c r="H402" s="73"/>
      <c r="J402" s="73"/>
    </row>
    <row r="403" spans="1:10" ht="15.75" customHeight="1">
      <c r="A403" s="73"/>
      <c r="B403" s="73"/>
      <c r="C403" s="73"/>
      <c r="D403" s="73"/>
      <c r="E403" s="73"/>
      <c r="F403" s="73"/>
      <c r="G403" s="73"/>
      <c r="H403" s="73"/>
      <c r="J403" s="73"/>
    </row>
    <row r="404" spans="1:10" ht="15.75" customHeight="1">
      <c r="A404" s="73"/>
      <c r="B404" s="73"/>
      <c r="C404" s="73"/>
      <c r="D404" s="73"/>
      <c r="E404" s="73"/>
      <c r="F404" s="73"/>
      <c r="G404" s="73"/>
      <c r="H404" s="73"/>
      <c r="J404" s="73"/>
    </row>
    <row r="405" spans="1:10" ht="15.75" customHeight="1">
      <c r="A405" s="73"/>
      <c r="B405" s="73"/>
      <c r="C405" s="73"/>
      <c r="D405" s="73"/>
      <c r="E405" s="73"/>
      <c r="F405" s="73"/>
      <c r="G405" s="73"/>
      <c r="H405" s="73"/>
      <c r="J405" s="73"/>
    </row>
    <row r="406" spans="1:10" ht="15.75" customHeight="1">
      <c r="A406" s="73"/>
      <c r="B406" s="73"/>
      <c r="C406" s="73"/>
      <c r="D406" s="73"/>
      <c r="E406" s="73"/>
      <c r="F406" s="73"/>
      <c r="G406" s="73"/>
      <c r="H406" s="73"/>
      <c r="J406" s="73"/>
    </row>
    <row r="407" spans="1:10" ht="15.75" customHeight="1">
      <c r="A407" s="73"/>
      <c r="B407" s="73"/>
      <c r="C407" s="73"/>
      <c r="D407" s="73"/>
      <c r="E407" s="73"/>
      <c r="F407" s="73"/>
      <c r="G407" s="73"/>
      <c r="H407" s="73"/>
      <c r="J407" s="73"/>
    </row>
    <row r="408" spans="1:10" ht="15.75" customHeight="1">
      <c r="A408" s="73"/>
      <c r="B408" s="73"/>
      <c r="C408" s="73"/>
      <c r="D408" s="73"/>
      <c r="E408" s="73"/>
      <c r="F408" s="73"/>
      <c r="G408" s="73"/>
      <c r="H408" s="73"/>
      <c r="J408" s="73"/>
    </row>
    <row r="409" spans="1:10" ht="15.75" customHeight="1">
      <c r="A409" s="73"/>
      <c r="B409" s="73"/>
      <c r="C409" s="73"/>
      <c r="D409" s="73"/>
      <c r="E409" s="73"/>
      <c r="F409" s="73"/>
      <c r="G409" s="73"/>
      <c r="H409" s="73"/>
      <c r="J409" s="73"/>
    </row>
    <row r="410" spans="1:10" ht="15.75" customHeight="1">
      <c r="A410" s="73"/>
      <c r="B410" s="73"/>
      <c r="C410" s="73"/>
      <c r="D410" s="73"/>
      <c r="E410" s="73"/>
      <c r="F410" s="73"/>
      <c r="G410" s="73"/>
      <c r="H410" s="73"/>
      <c r="J410" s="73"/>
    </row>
    <row r="411" spans="1:10" ht="15.75" customHeight="1">
      <c r="A411" s="73"/>
      <c r="B411" s="73"/>
      <c r="C411" s="73"/>
      <c r="D411" s="73"/>
      <c r="E411" s="73"/>
      <c r="F411" s="73"/>
      <c r="G411" s="73"/>
      <c r="H411" s="73"/>
      <c r="J411" s="73"/>
    </row>
    <row r="412" spans="1:10" ht="15.75" customHeight="1">
      <c r="A412" s="73"/>
      <c r="B412" s="73"/>
      <c r="C412" s="73"/>
      <c r="D412" s="73"/>
      <c r="E412" s="73"/>
      <c r="F412" s="73"/>
      <c r="G412" s="73"/>
      <c r="H412" s="73"/>
      <c r="J412" s="73"/>
    </row>
    <row r="413" spans="1:10" ht="15.75" customHeight="1">
      <c r="A413" s="73"/>
      <c r="B413" s="73"/>
      <c r="C413" s="73"/>
      <c r="D413" s="73"/>
      <c r="E413" s="73"/>
      <c r="F413" s="73"/>
      <c r="G413" s="73"/>
      <c r="H413" s="73"/>
      <c r="J413" s="73"/>
    </row>
    <row r="414" spans="1:10" ht="15.75" customHeight="1">
      <c r="A414" s="73"/>
      <c r="B414" s="73"/>
      <c r="C414" s="73"/>
      <c r="D414" s="73"/>
      <c r="E414" s="73"/>
      <c r="F414" s="73"/>
      <c r="G414" s="73"/>
      <c r="H414" s="73"/>
      <c r="J414" s="73"/>
    </row>
    <row r="415" spans="1:10" ht="15.75" customHeight="1">
      <c r="A415" s="73"/>
      <c r="B415" s="73"/>
      <c r="C415" s="73"/>
      <c r="D415" s="73"/>
      <c r="E415" s="73"/>
      <c r="F415" s="73"/>
      <c r="G415" s="73"/>
      <c r="H415" s="73"/>
      <c r="J415" s="73"/>
    </row>
    <row r="416" spans="1:10" ht="15.75" customHeight="1">
      <c r="A416" s="73"/>
      <c r="B416" s="73"/>
      <c r="C416" s="73"/>
      <c r="D416" s="73"/>
      <c r="E416" s="73"/>
      <c r="F416" s="73"/>
      <c r="G416" s="73"/>
      <c r="H416" s="73"/>
      <c r="J416" s="73"/>
    </row>
    <row r="417" spans="1:10" ht="15.75" customHeight="1">
      <c r="A417" s="73"/>
      <c r="B417" s="73"/>
      <c r="C417" s="73"/>
      <c r="D417" s="73"/>
      <c r="E417" s="73"/>
      <c r="F417" s="73"/>
      <c r="G417" s="73"/>
      <c r="H417" s="73"/>
      <c r="J417" s="73"/>
    </row>
    <row r="418" spans="1:10" ht="15.75" customHeight="1">
      <c r="A418" s="73"/>
      <c r="B418" s="73"/>
      <c r="C418" s="73"/>
      <c r="D418" s="73"/>
      <c r="E418" s="73"/>
      <c r="F418" s="73"/>
      <c r="G418" s="73"/>
      <c r="H418" s="73"/>
      <c r="J418" s="73"/>
    </row>
    <row r="419" spans="1:10" ht="15.75" customHeight="1">
      <c r="A419" s="73"/>
      <c r="B419" s="73"/>
      <c r="C419" s="73"/>
      <c r="D419" s="73"/>
      <c r="E419" s="73"/>
      <c r="F419" s="73"/>
      <c r="G419" s="73"/>
      <c r="H419" s="73"/>
      <c r="J419" s="73"/>
    </row>
    <row r="420" spans="1:10" ht="15.75" customHeight="1">
      <c r="A420" s="73"/>
      <c r="B420" s="73"/>
      <c r="C420" s="73"/>
      <c r="D420" s="73"/>
      <c r="E420" s="73"/>
      <c r="F420" s="73"/>
      <c r="G420" s="73"/>
      <c r="H420" s="73"/>
      <c r="J420" s="73"/>
    </row>
    <row r="421" spans="1:10" ht="15.75" customHeight="1">
      <c r="A421" s="73"/>
      <c r="B421" s="73"/>
      <c r="C421" s="73"/>
      <c r="D421" s="73"/>
      <c r="E421" s="73"/>
      <c r="F421" s="73"/>
      <c r="G421" s="73"/>
      <c r="H421" s="73"/>
      <c r="J421" s="73"/>
    </row>
    <row r="422" spans="1:10" ht="15.75" customHeight="1">
      <c r="A422" s="73"/>
      <c r="B422" s="73"/>
      <c r="C422" s="73"/>
      <c r="D422" s="73"/>
      <c r="E422" s="73"/>
      <c r="F422" s="73"/>
      <c r="G422" s="73"/>
      <c r="H422" s="73"/>
      <c r="J422" s="73"/>
    </row>
    <row r="423" spans="1:10" ht="15.75" customHeight="1">
      <c r="A423" s="73"/>
      <c r="B423" s="73"/>
      <c r="C423" s="73"/>
      <c r="D423" s="73"/>
      <c r="E423" s="73"/>
      <c r="F423" s="73"/>
      <c r="G423" s="73"/>
      <c r="H423" s="73"/>
      <c r="J423" s="73"/>
    </row>
    <row r="424" spans="1:10" ht="15.75" customHeight="1">
      <c r="A424" s="73"/>
      <c r="B424" s="73"/>
      <c r="C424" s="73"/>
      <c r="D424" s="73"/>
      <c r="E424" s="73"/>
      <c r="F424" s="73"/>
      <c r="G424" s="73"/>
      <c r="H424" s="73"/>
      <c r="J424" s="73"/>
    </row>
    <row r="425" spans="1:10" ht="15.75" customHeight="1">
      <c r="A425" s="73"/>
      <c r="B425" s="73"/>
      <c r="C425" s="73"/>
      <c r="D425" s="73"/>
      <c r="E425" s="73"/>
      <c r="F425" s="73"/>
      <c r="G425" s="73"/>
      <c r="H425" s="73"/>
      <c r="J425" s="73"/>
    </row>
    <row r="426" spans="1:10" ht="15.75" customHeight="1">
      <c r="A426" s="73"/>
      <c r="B426" s="73"/>
      <c r="C426" s="73"/>
      <c r="D426" s="73"/>
      <c r="E426" s="73"/>
      <c r="F426" s="73"/>
      <c r="G426" s="73"/>
      <c r="H426" s="73"/>
      <c r="J426" s="73"/>
    </row>
    <row r="427" spans="1:10" ht="15.75" customHeight="1">
      <c r="A427" s="73"/>
      <c r="B427" s="73"/>
      <c r="C427" s="73"/>
      <c r="D427" s="73"/>
      <c r="E427" s="73"/>
      <c r="F427" s="73"/>
      <c r="G427" s="73"/>
      <c r="H427" s="73"/>
      <c r="J427" s="73"/>
    </row>
    <row r="428" spans="1:10" ht="15.75" customHeight="1">
      <c r="A428" s="73"/>
      <c r="B428" s="73"/>
      <c r="C428" s="73"/>
      <c r="D428" s="73"/>
      <c r="E428" s="73"/>
      <c r="F428" s="73"/>
      <c r="G428" s="73"/>
      <c r="H428" s="73"/>
      <c r="J428" s="73"/>
    </row>
    <row r="429" spans="1:10" ht="15.75" customHeight="1">
      <c r="A429" s="73"/>
      <c r="B429" s="73"/>
      <c r="C429" s="73"/>
      <c r="D429" s="73"/>
      <c r="E429" s="73"/>
      <c r="F429" s="73"/>
      <c r="G429" s="73"/>
      <c r="H429" s="73"/>
      <c r="J429" s="73"/>
    </row>
    <row r="430" spans="1:10" ht="15.75" customHeight="1">
      <c r="A430" s="73"/>
      <c r="B430" s="73"/>
      <c r="C430" s="73"/>
      <c r="D430" s="73"/>
      <c r="E430" s="73"/>
      <c r="F430" s="73"/>
      <c r="G430" s="73"/>
      <c r="H430" s="73"/>
      <c r="J430" s="73"/>
    </row>
    <row r="431" spans="1:10" ht="15.75" customHeight="1">
      <c r="A431" s="73"/>
      <c r="B431" s="73"/>
      <c r="C431" s="73"/>
      <c r="D431" s="73"/>
      <c r="E431" s="73"/>
      <c r="F431" s="73"/>
      <c r="G431" s="73"/>
      <c r="H431" s="73"/>
      <c r="J431" s="73"/>
    </row>
    <row r="432" spans="1:10" ht="15.75" customHeight="1">
      <c r="A432" s="73"/>
      <c r="B432" s="73"/>
      <c r="C432" s="73"/>
      <c r="D432" s="73"/>
      <c r="E432" s="73"/>
      <c r="F432" s="73"/>
      <c r="G432" s="73"/>
      <c r="H432" s="73"/>
      <c r="J432" s="73"/>
    </row>
    <row r="433" spans="1:10" ht="15.75" customHeight="1">
      <c r="A433" s="73"/>
      <c r="B433" s="73"/>
      <c r="C433" s="73"/>
      <c r="D433" s="73"/>
      <c r="E433" s="73"/>
      <c r="F433" s="73"/>
      <c r="G433" s="73"/>
      <c r="H433" s="73"/>
      <c r="J433" s="73"/>
    </row>
    <row r="434" spans="1:10" ht="15.75" customHeight="1">
      <c r="A434" s="73"/>
      <c r="B434" s="73"/>
      <c r="C434" s="73"/>
      <c r="D434" s="73"/>
      <c r="E434" s="73"/>
      <c r="F434" s="73"/>
      <c r="G434" s="73"/>
      <c r="H434" s="73"/>
      <c r="J434" s="73"/>
    </row>
    <row r="435" spans="1:10" ht="15.75" customHeight="1">
      <c r="A435" s="73"/>
      <c r="B435" s="73"/>
      <c r="C435" s="73"/>
      <c r="D435" s="73"/>
      <c r="E435" s="73"/>
      <c r="F435" s="73"/>
      <c r="G435" s="73"/>
      <c r="H435" s="73"/>
      <c r="J435" s="73"/>
    </row>
    <row r="436" spans="1:10" ht="15.75" customHeight="1">
      <c r="A436" s="73"/>
      <c r="B436" s="73"/>
      <c r="C436" s="73"/>
      <c r="D436" s="73"/>
      <c r="E436" s="73"/>
      <c r="F436" s="73"/>
      <c r="G436" s="73"/>
      <c r="H436" s="73"/>
      <c r="J436" s="73"/>
    </row>
    <row r="437" spans="1:10" ht="15.75" customHeight="1">
      <c r="A437" s="73"/>
      <c r="B437" s="73"/>
      <c r="C437" s="73"/>
      <c r="D437" s="73"/>
      <c r="E437" s="73"/>
      <c r="F437" s="73"/>
      <c r="G437" s="73"/>
      <c r="H437" s="73"/>
      <c r="J437" s="73"/>
    </row>
    <row r="438" spans="1:10" ht="15.75" customHeight="1">
      <c r="A438" s="73"/>
      <c r="B438" s="73"/>
      <c r="C438" s="73"/>
      <c r="D438" s="73"/>
      <c r="E438" s="73"/>
      <c r="F438" s="73"/>
      <c r="G438" s="73"/>
      <c r="H438" s="73"/>
      <c r="J438" s="73"/>
    </row>
    <row r="439" spans="1:10" ht="15.75" customHeight="1">
      <c r="A439" s="73"/>
      <c r="B439" s="73"/>
      <c r="C439" s="73"/>
      <c r="D439" s="73"/>
      <c r="E439" s="73"/>
      <c r="F439" s="73"/>
      <c r="G439" s="73"/>
      <c r="H439" s="73"/>
      <c r="J439" s="73"/>
    </row>
    <row r="440" spans="1:10" ht="15.75" customHeight="1">
      <c r="A440" s="73"/>
      <c r="B440" s="73"/>
      <c r="C440" s="73"/>
      <c r="D440" s="73"/>
      <c r="E440" s="73"/>
      <c r="F440" s="73"/>
      <c r="G440" s="73"/>
      <c r="H440" s="73"/>
      <c r="J440" s="73"/>
    </row>
    <row r="441" spans="1:10" ht="15.75" customHeight="1">
      <c r="A441" s="73"/>
      <c r="B441" s="73"/>
      <c r="C441" s="73"/>
      <c r="D441" s="73"/>
      <c r="E441" s="73"/>
      <c r="F441" s="73"/>
      <c r="G441" s="73"/>
      <c r="H441" s="73"/>
      <c r="J441" s="73"/>
    </row>
    <row r="442" spans="1:10" ht="15.75" customHeight="1">
      <c r="A442" s="73"/>
      <c r="B442" s="73"/>
      <c r="C442" s="73"/>
      <c r="D442" s="73"/>
      <c r="E442" s="73"/>
      <c r="F442" s="73"/>
      <c r="G442" s="73"/>
      <c r="H442" s="73"/>
      <c r="J442" s="73"/>
    </row>
    <row r="443" spans="1:10" ht="15.75" customHeight="1">
      <c r="A443" s="73"/>
      <c r="B443" s="73"/>
      <c r="C443" s="73"/>
      <c r="D443" s="73"/>
      <c r="E443" s="73"/>
      <c r="F443" s="73"/>
      <c r="G443" s="73"/>
      <c r="H443" s="73"/>
      <c r="J443" s="73"/>
    </row>
    <row r="444" spans="1:10" ht="15.75" customHeight="1">
      <c r="A444" s="73"/>
      <c r="B444" s="73"/>
      <c r="C444" s="73"/>
      <c r="D444" s="73"/>
      <c r="E444" s="73"/>
      <c r="F444" s="73"/>
      <c r="G444" s="73"/>
      <c r="H444" s="73"/>
      <c r="J444" s="73"/>
    </row>
    <row r="445" spans="1:10" ht="15.75" customHeight="1">
      <c r="A445" s="73"/>
      <c r="B445" s="73"/>
      <c r="C445" s="73"/>
      <c r="D445" s="73"/>
      <c r="E445" s="73"/>
      <c r="F445" s="73"/>
      <c r="G445" s="73"/>
      <c r="H445" s="73"/>
      <c r="J445" s="73"/>
    </row>
    <row r="446" spans="1:10" ht="15.75" customHeight="1">
      <c r="A446" s="73"/>
      <c r="B446" s="73"/>
      <c r="C446" s="73"/>
      <c r="D446" s="73"/>
      <c r="E446" s="73"/>
      <c r="F446" s="73"/>
      <c r="G446" s="73"/>
      <c r="H446" s="73"/>
      <c r="J446" s="73"/>
    </row>
    <row r="447" spans="1:10" ht="15.75" customHeight="1">
      <c r="A447" s="73"/>
      <c r="B447" s="73"/>
      <c r="C447" s="73"/>
      <c r="D447" s="73"/>
      <c r="E447" s="73"/>
      <c r="F447" s="73"/>
      <c r="G447" s="73"/>
      <c r="H447" s="73"/>
      <c r="J447" s="73"/>
    </row>
    <row r="448" spans="1:10" ht="15.75" customHeight="1">
      <c r="A448" s="73"/>
      <c r="B448" s="73"/>
      <c r="C448" s="73"/>
      <c r="D448" s="73"/>
      <c r="E448" s="73"/>
      <c r="F448" s="73"/>
      <c r="G448" s="73"/>
      <c r="H448" s="73"/>
      <c r="J448" s="73"/>
    </row>
    <row r="449" spans="1:10" ht="15.75" customHeight="1">
      <c r="A449" s="73"/>
      <c r="B449" s="73"/>
      <c r="C449" s="73"/>
      <c r="D449" s="73"/>
      <c r="E449" s="73"/>
      <c r="F449" s="73"/>
      <c r="G449" s="73"/>
      <c r="H449" s="73"/>
      <c r="J449" s="73"/>
    </row>
    <row r="450" spans="1:10" ht="15.75" customHeight="1">
      <c r="A450" s="73"/>
      <c r="B450" s="73"/>
      <c r="C450" s="73"/>
      <c r="D450" s="73"/>
      <c r="E450" s="73"/>
      <c r="F450" s="73"/>
      <c r="G450" s="73"/>
      <c r="H450" s="73"/>
      <c r="J450" s="73"/>
    </row>
    <row r="451" spans="1:10" ht="15.75" customHeight="1">
      <c r="A451" s="73"/>
      <c r="B451" s="73"/>
      <c r="C451" s="73"/>
      <c r="D451" s="73"/>
      <c r="E451" s="73"/>
      <c r="F451" s="73"/>
      <c r="G451" s="73"/>
      <c r="H451" s="73"/>
      <c r="J451" s="73"/>
    </row>
    <row r="452" spans="1:10" ht="15.75" customHeight="1">
      <c r="A452" s="73"/>
      <c r="B452" s="73"/>
      <c r="C452" s="73"/>
      <c r="D452" s="73"/>
      <c r="E452" s="73"/>
      <c r="F452" s="73"/>
      <c r="G452" s="73"/>
      <c r="H452" s="73"/>
      <c r="J452" s="73"/>
    </row>
    <row r="453" spans="1:10" ht="15.75" customHeight="1">
      <c r="A453" s="73"/>
      <c r="B453" s="73"/>
      <c r="C453" s="73"/>
      <c r="D453" s="73"/>
      <c r="E453" s="73"/>
      <c r="F453" s="73"/>
      <c r="G453" s="73"/>
      <c r="H453" s="73"/>
      <c r="J453" s="73"/>
    </row>
    <row r="454" spans="1:10" ht="15.75" customHeight="1">
      <c r="A454" s="73"/>
      <c r="B454" s="73"/>
      <c r="C454" s="73"/>
      <c r="D454" s="73"/>
      <c r="E454" s="73"/>
      <c r="F454" s="73"/>
      <c r="G454" s="73"/>
      <c r="H454" s="73"/>
      <c r="J454" s="73"/>
    </row>
    <row r="455" spans="1:10" ht="15.75" customHeight="1">
      <c r="A455" s="73"/>
      <c r="B455" s="73"/>
      <c r="C455" s="73"/>
      <c r="D455" s="73"/>
      <c r="E455" s="73"/>
      <c r="F455" s="73"/>
      <c r="G455" s="73"/>
      <c r="H455" s="73"/>
      <c r="J455" s="73"/>
    </row>
    <row r="456" spans="1:10" ht="15.75" customHeight="1">
      <c r="A456" s="73"/>
      <c r="B456" s="73"/>
      <c r="C456" s="73"/>
      <c r="D456" s="73"/>
      <c r="E456" s="73"/>
      <c r="F456" s="73"/>
      <c r="G456" s="73"/>
      <c r="H456" s="73"/>
      <c r="J456" s="73"/>
    </row>
    <row r="457" spans="1:10" ht="15.75" customHeight="1">
      <c r="A457" s="73"/>
      <c r="B457" s="73"/>
      <c r="C457" s="73"/>
      <c r="D457" s="73"/>
      <c r="E457" s="73"/>
      <c r="F457" s="73"/>
      <c r="G457" s="73"/>
      <c r="H457" s="73"/>
      <c r="J457" s="73"/>
    </row>
    <row r="458" spans="1:10" ht="15.75" customHeight="1">
      <c r="A458" s="73"/>
      <c r="B458" s="73"/>
      <c r="C458" s="73"/>
      <c r="D458" s="73"/>
      <c r="E458" s="73"/>
      <c r="F458" s="73"/>
      <c r="G458" s="73"/>
      <c r="H458" s="73"/>
      <c r="J458" s="73"/>
    </row>
    <row r="459" spans="1:10" ht="15.75" customHeight="1">
      <c r="A459" s="73"/>
      <c r="B459" s="73"/>
      <c r="C459" s="73"/>
      <c r="D459" s="73"/>
      <c r="E459" s="73"/>
      <c r="F459" s="73"/>
      <c r="G459" s="73"/>
      <c r="H459" s="73"/>
      <c r="J459" s="73"/>
    </row>
    <row r="460" spans="1:10" ht="15.75" customHeight="1">
      <c r="A460" s="73"/>
      <c r="B460" s="73"/>
      <c r="C460" s="73"/>
      <c r="D460" s="73"/>
      <c r="E460" s="73"/>
      <c r="F460" s="73"/>
      <c r="G460" s="73"/>
      <c r="H460" s="73"/>
      <c r="J460" s="73"/>
    </row>
    <row r="461" spans="1:10" ht="15.75" customHeight="1">
      <c r="A461" s="73"/>
      <c r="B461" s="73"/>
      <c r="C461" s="73"/>
      <c r="D461" s="73"/>
      <c r="E461" s="73"/>
      <c r="F461" s="73"/>
      <c r="G461" s="73"/>
      <c r="H461" s="73"/>
      <c r="J461" s="73"/>
    </row>
    <row r="462" spans="1:10" ht="15.75" customHeight="1">
      <c r="A462" s="73"/>
      <c r="B462" s="73"/>
      <c r="C462" s="73"/>
      <c r="D462" s="73"/>
      <c r="E462" s="73"/>
      <c r="F462" s="73"/>
      <c r="G462" s="73"/>
      <c r="H462" s="73"/>
      <c r="J462" s="73"/>
    </row>
    <row r="463" spans="1:10" ht="15.75" customHeight="1">
      <c r="A463" s="73"/>
      <c r="B463" s="73"/>
      <c r="C463" s="73"/>
      <c r="D463" s="73"/>
      <c r="E463" s="73"/>
      <c r="F463" s="73"/>
      <c r="G463" s="73"/>
      <c r="H463" s="73"/>
      <c r="J463" s="73"/>
    </row>
    <row r="464" spans="1:10" ht="15.75" customHeight="1">
      <c r="A464" s="73"/>
      <c r="B464" s="73"/>
      <c r="C464" s="73"/>
      <c r="D464" s="73"/>
      <c r="E464" s="73"/>
      <c r="F464" s="73"/>
      <c r="G464" s="73"/>
      <c r="H464" s="73"/>
      <c r="J464" s="73"/>
    </row>
    <row r="465" spans="1:10" ht="15.75" customHeight="1">
      <c r="A465" s="73"/>
      <c r="B465" s="73"/>
      <c r="C465" s="73"/>
      <c r="D465" s="73"/>
      <c r="E465" s="73"/>
      <c r="F465" s="73"/>
      <c r="G465" s="73"/>
      <c r="H465" s="73"/>
      <c r="J465" s="73"/>
    </row>
    <row r="466" spans="1:10" ht="15.75" customHeight="1">
      <c r="A466" s="73"/>
      <c r="B466" s="73"/>
      <c r="C466" s="73"/>
      <c r="D466" s="73"/>
      <c r="E466" s="73"/>
      <c r="F466" s="73"/>
      <c r="G466" s="73"/>
      <c r="H466" s="73"/>
      <c r="J466" s="73"/>
    </row>
    <row r="467" spans="1:10" ht="15.75" customHeight="1">
      <c r="A467" s="73"/>
      <c r="B467" s="73"/>
      <c r="C467" s="73"/>
      <c r="D467" s="73"/>
      <c r="E467" s="73"/>
      <c r="F467" s="73"/>
      <c r="G467" s="73"/>
      <c r="H467" s="73"/>
      <c r="J467" s="73"/>
    </row>
    <row r="468" spans="1:10" ht="15.75" customHeight="1">
      <c r="A468" s="73"/>
      <c r="B468" s="73"/>
      <c r="C468" s="73"/>
      <c r="D468" s="73"/>
      <c r="E468" s="73"/>
      <c r="F468" s="73"/>
      <c r="G468" s="73"/>
      <c r="H468" s="73"/>
      <c r="J468" s="73"/>
    </row>
    <row r="469" spans="1:10" ht="15.75" customHeight="1">
      <c r="A469" s="73"/>
      <c r="B469" s="73"/>
      <c r="C469" s="73"/>
      <c r="D469" s="73"/>
      <c r="E469" s="73"/>
      <c r="F469" s="73"/>
      <c r="G469" s="73"/>
      <c r="H469" s="73"/>
      <c r="J469" s="73"/>
    </row>
    <row r="470" spans="1:10" ht="15.75" customHeight="1">
      <c r="A470" s="73"/>
      <c r="B470" s="73"/>
      <c r="C470" s="73"/>
      <c r="D470" s="73"/>
      <c r="E470" s="73"/>
      <c r="F470" s="73"/>
      <c r="G470" s="73"/>
      <c r="H470" s="73"/>
      <c r="J470" s="73"/>
    </row>
    <row r="471" spans="1:10" ht="15.75" customHeight="1">
      <c r="A471" s="73"/>
      <c r="B471" s="73"/>
      <c r="C471" s="73"/>
      <c r="D471" s="73"/>
      <c r="E471" s="73"/>
      <c r="F471" s="73"/>
      <c r="G471" s="73"/>
      <c r="H471" s="73"/>
      <c r="J471" s="73"/>
    </row>
    <row r="472" spans="1:10" ht="15.75" customHeight="1">
      <c r="A472" s="73"/>
      <c r="B472" s="73"/>
      <c r="C472" s="73"/>
      <c r="D472" s="73"/>
      <c r="E472" s="73"/>
      <c r="F472" s="73"/>
      <c r="G472" s="73"/>
      <c r="H472" s="73"/>
      <c r="J472" s="73"/>
    </row>
    <row r="473" spans="1:10" ht="15.75" customHeight="1">
      <c r="A473" s="73"/>
      <c r="B473" s="73"/>
      <c r="C473" s="73"/>
      <c r="D473" s="73"/>
      <c r="E473" s="73"/>
      <c r="F473" s="73"/>
      <c r="G473" s="73"/>
      <c r="H473" s="73"/>
      <c r="J473" s="73"/>
    </row>
    <row r="474" spans="1:10" ht="15.75" customHeight="1">
      <c r="A474" s="73"/>
      <c r="B474" s="73"/>
      <c r="C474" s="73"/>
      <c r="D474" s="73"/>
      <c r="E474" s="73"/>
      <c r="F474" s="73"/>
      <c r="G474" s="73"/>
      <c r="H474" s="73"/>
      <c r="J474" s="73"/>
    </row>
    <row r="475" spans="1:10" ht="15.75" customHeight="1">
      <c r="A475" s="73"/>
      <c r="B475" s="73"/>
      <c r="C475" s="73"/>
      <c r="D475" s="73"/>
      <c r="E475" s="73"/>
      <c r="F475" s="73"/>
      <c r="G475" s="73"/>
      <c r="H475" s="73"/>
      <c r="J475" s="73"/>
    </row>
    <row r="476" spans="1:10" ht="15.75" customHeight="1">
      <c r="A476" s="73"/>
      <c r="B476" s="73"/>
      <c r="C476" s="73"/>
      <c r="D476" s="73"/>
      <c r="E476" s="73"/>
      <c r="F476" s="73"/>
      <c r="G476" s="73"/>
      <c r="H476" s="73"/>
      <c r="J476" s="73"/>
    </row>
    <row r="477" spans="1:10" ht="15.75" customHeight="1">
      <c r="A477" s="73"/>
      <c r="B477" s="73"/>
      <c r="C477" s="73"/>
      <c r="D477" s="73"/>
      <c r="E477" s="73"/>
      <c r="F477" s="73"/>
      <c r="G477" s="73"/>
      <c r="H477" s="73"/>
      <c r="J477" s="73"/>
    </row>
    <row r="478" spans="1:10" ht="15.75" customHeight="1">
      <c r="A478" s="73"/>
      <c r="B478" s="73"/>
      <c r="C478" s="73"/>
      <c r="D478" s="73"/>
      <c r="E478" s="73"/>
      <c r="F478" s="73"/>
      <c r="G478" s="73"/>
      <c r="H478" s="73"/>
      <c r="J478" s="73"/>
    </row>
    <row r="479" spans="1:10" ht="15.75" customHeight="1">
      <c r="A479" s="73"/>
      <c r="B479" s="73"/>
      <c r="C479" s="73"/>
      <c r="D479" s="73"/>
      <c r="E479" s="73"/>
      <c r="F479" s="73"/>
      <c r="G479" s="73"/>
      <c r="H479" s="73"/>
      <c r="J479" s="73"/>
    </row>
    <row r="480" spans="1:10" ht="15.75" customHeight="1">
      <c r="A480" s="73"/>
      <c r="B480" s="73"/>
      <c r="C480" s="73"/>
      <c r="D480" s="73"/>
      <c r="E480" s="73"/>
      <c r="F480" s="73"/>
      <c r="G480" s="73"/>
      <c r="H480" s="73"/>
      <c r="J480" s="73"/>
    </row>
    <row r="481" spans="1:10" ht="15.75" customHeight="1">
      <c r="A481" s="73"/>
      <c r="B481" s="73"/>
      <c r="C481" s="73"/>
      <c r="D481" s="73"/>
      <c r="E481" s="73"/>
      <c r="F481" s="73"/>
      <c r="G481" s="73"/>
      <c r="H481" s="73"/>
      <c r="J481" s="73"/>
    </row>
    <row r="482" spans="1:10" ht="15.75" customHeight="1">
      <c r="A482" s="73"/>
      <c r="B482" s="73"/>
      <c r="C482" s="73"/>
      <c r="D482" s="73"/>
      <c r="E482" s="73"/>
      <c r="F482" s="73"/>
      <c r="G482" s="73"/>
      <c r="H482" s="73"/>
      <c r="J482" s="73"/>
    </row>
    <row r="483" spans="1:10" ht="15.75" customHeight="1">
      <c r="A483" s="73"/>
      <c r="B483" s="73"/>
      <c r="C483" s="73"/>
      <c r="D483" s="73"/>
      <c r="E483" s="73"/>
      <c r="F483" s="73"/>
      <c r="G483" s="73"/>
      <c r="H483" s="73"/>
      <c r="J483" s="73"/>
    </row>
    <row r="484" spans="1:10" ht="15.75" customHeight="1">
      <c r="A484" s="73"/>
      <c r="B484" s="73"/>
      <c r="C484" s="73"/>
      <c r="D484" s="73"/>
      <c r="E484" s="73"/>
      <c r="F484" s="73"/>
      <c r="G484" s="73"/>
      <c r="H484" s="73"/>
      <c r="J484" s="73"/>
    </row>
    <row r="485" spans="1:10" ht="15.75" customHeight="1">
      <c r="A485" s="73"/>
      <c r="B485" s="73"/>
      <c r="C485" s="73"/>
      <c r="D485" s="73"/>
      <c r="E485" s="73"/>
      <c r="F485" s="73"/>
      <c r="G485" s="73"/>
      <c r="H485" s="73"/>
      <c r="J485" s="73"/>
    </row>
    <row r="486" spans="1:10" ht="15.75" customHeight="1">
      <c r="A486" s="73"/>
      <c r="B486" s="73"/>
      <c r="C486" s="73"/>
      <c r="D486" s="73"/>
      <c r="E486" s="73"/>
      <c r="F486" s="73"/>
      <c r="G486" s="73"/>
      <c r="H486" s="73"/>
      <c r="J486" s="73"/>
    </row>
    <row r="487" spans="1:10" ht="15.75" customHeight="1">
      <c r="A487" s="73"/>
      <c r="B487" s="73"/>
      <c r="C487" s="73"/>
      <c r="D487" s="73"/>
      <c r="E487" s="73"/>
      <c r="F487" s="73"/>
      <c r="G487" s="73"/>
      <c r="H487" s="73"/>
      <c r="J487" s="73"/>
    </row>
    <row r="488" spans="1:10" ht="15.75" customHeight="1">
      <c r="A488" s="73"/>
      <c r="B488" s="73"/>
      <c r="C488" s="73"/>
      <c r="D488" s="73"/>
      <c r="E488" s="73"/>
      <c r="F488" s="73"/>
      <c r="G488" s="73"/>
      <c r="H488" s="73"/>
      <c r="J488" s="73"/>
    </row>
    <row r="489" spans="1:10" ht="15.75" customHeight="1">
      <c r="A489" s="73"/>
      <c r="B489" s="73"/>
      <c r="C489" s="73"/>
      <c r="D489" s="73"/>
      <c r="E489" s="73"/>
      <c r="F489" s="73"/>
      <c r="G489" s="73"/>
      <c r="H489" s="73"/>
      <c r="J489" s="73"/>
    </row>
    <row r="490" spans="1:10" ht="15.75" customHeight="1">
      <c r="A490" s="73"/>
      <c r="B490" s="73"/>
      <c r="C490" s="73"/>
      <c r="D490" s="73"/>
      <c r="E490" s="73"/>
      <c r="F490" s="73"/>
      <c r="G490" s="73"/>
      <c r="H490" s="73"/>
      <c r="J490" s="73"/>
    </row>
    <row r="491" spans="1:10" ht="15.75" customHeight="1">
      <c r="A491" s="73"/>
      <c r="B491" s="73"/>
      <c r="C491" s="73"/>
      <c r="D491" s="73"/>
      <c r="E491" s="73"/>
      <c r="F491" s="73"/>
      <c r="G491" s="73"/>
      <c r="H491" s="73"/>
      <c r="J491" s="73"/>
    </row>
    <row r="492" spans="1:10" ht="15.75" customHeight="1">
      <c r="A492" s="73"/>
      <c r="B492" s="73"/>
      <c r="C492" s="73"/>
      <c r="D492" s="73"/>
      <c r="E492" s="73"/>
      <c r="F492" s="73"/>
      <c r="G492" s="73"/>
      <c r="H492" s="73"/>
      <c r="J492" s="73"/>
    </row>
    <row r="493" spans="1:10" ht="15.75" customHeight="1">
      <c r="A493" s="73"/>
      <c r="B493" s="73"/>
      <c r="C493" s="73"/>
      <c r="D493" s="73"/>
      <c r="E493" s="73"/>
      <c r="F493" s="73"/>
      <c r="G493" s="73"/>
      <c r="H493" s="73"/>
      <c r="J493" s="73"/>
    </row>
    <row r="494" spans="1:10" ht="15.75" customHeight="1">
      <c r="A494" s="73"/>
      <c r="B494" s="73"/>
      <c r="C494" s="73"/>
      <c r="D494" s="73"/>
      <c r="E494" s="73"/>
      <c r="F494" s="73"/>
      <c r="G494" s="73"/>
      <c r="H494" s="73"/>
      <c r="J494" s="73"/>
    </row>
    <row r="495" spans="1:10" ht="15.75" customHeight="1">
      <c r="A495" s="73"/>
      <c r="B495" s="73"/>
      <c r="C495" s="73"/>
      <c r="D495" s="73"/>
      <c r="E495" s="73"/>
      <c r="F495" s="73"/>
      <c r="G495" s="73"/>
      <c r="H495" s="73"/>
      <c r="J495" s="73"/>
    </row>
    <row r="496" spans="1:10" ht="15.75" customHeight="1">
      <c r="A496" s="73"/>
      <c r="B496" s="73"/>
      <c r="C496" s="73"/>
      <c r="D496" s="73"/>
      <c r="E496" s="73"/>
      <c r="F496" s="73"/>
      <c r="G496" s="73"/>
      <c r="H496" s="73"/>
      <c r="J496" s="73"/>
    </row>
    <row r="497" spans="1:10" ht="15.75" customHeight="1">
      <c r="A497" s="73"/>
      <c r="B497" s="73"/>
      <c r="C497" s="73"/>
      <c r="D497" s="73"/>
      <c r="E497" s="73"/>
      <c r="F497" s="73"/>
      <c r="G497" s="73"/>
      <c r="H497" s="73"/>
      <c r="J497" s="73"/>
    </row>
    <row r="498" spans="1:10" ht="15.75" customHeight="1">
      <c r="A498" s="73"/>
      <c r="B498" s="73"/>
      <c r="C498" s="73"/>
      <c r="D498" s="73"/>
      <c r="E498" s="73"/>
      <c r="F498" s="73"/>
      <c r="G498" s="73"/>
      <c r="H498" s="73"/>
      <c r="J498" s="73"/>
    </row>
    <row r="499" spans="1:10" ht="15.75" customHeight="1">
      <c r="A499" s="73"/>
      <c r="B499" s="73"/>
      <c r="C499" s="73"/>
      <c r="D499" s="73"/>
      <c r="E499" s="73"/>
      <c r="F499" s="73"/>
      <c r="G499" s="73"/>
      <c r="H499" s="73"/>
      <c r="J499" s="73"/>
    </row>
    <row r="500" spans="1:10" ht="15.75" customHeight="1">
      <c r="A500" s="73"/>
      <c r="B500" s="73"/>
      <c r="C500" s="73"/>
      <c r="D500" s="73"/>
      <c r="E500" s="73"/>
      <c r="F500" s="73"/>
      <c r="G500" s="73"/>
      <c r="H500" s="73"/>
      <c r="J500" s="73"/>
    </row>
    <row r="501" spans="1:10" ht="15.75" customHeight="1">
      <c r="A501" s="73"/>
      <c r="B501" s="73"/>
      <c r="C501" s="73"/>
      <c r="D501" s="73"/>
      <c r="E501" s="73"/>
      <c r="F501" s="73"/>
      <c r="G501" s="73"/>
      <c r="H501" s="73"/>
      <c r="J501" s="73"/>
    </row>
    <row r="502" spans="1:10" ht="15.75" customHeight="1">
      <c r="A502" s="73"/>
      <c r="B502" s="73"/>
      <c r="C502" s="73"/>
      <c r="D502" s="73"/>
      <c r="E502" s="73"/>
      <c r="F502" s="73"/>
      <c r="G502" s="73"/>
      <c r="H502" s="73"/>
      <c r="J502" s="73"/>
    </row>
    <row r="503" spans="1:10" ht="15.75" customHeight="1">
      <c r="A503" s="73"/>
      <c r="B503" s="73"/>
      <c r="C503" s="73"/>
      <c r="D503" s="73"/>
      <c r="E503" s="73"/>
      <c r="F503" s="73"/>
      <c r="G503" s="73"/>
      <c r="H503" s="73"/>
      <c r="J503" s="73"/>
    </row>
    <row r="504" spans="1:10" ht="15.75" customHeight="1">
      <c r="A504" s="73"/>
      <c r="B504" s="73"/>
      <c r="C504" s="73"/>
      <c r="D504" s="73"/>
      <c r="E504" s="73"/>
      <c r="F504" s="73"/>
      <c r="G504" s="73"/>
      <c r="H504" s="73"/>
      <c r="J504" s="73"/>
    </row>
    <row r="505" spans="1:10" ht="15.75" customHeight="1">
      <c r="A505" s="73"/>
      <c r="B505" s="73"/>
      <c r="C505" s="73"/>
      <c r="D505" s="73"/>
      <c r="E505" s="73"/>
      <c r="F505" s="73"/>
      <c r="G505" s="73"/>
      <c r="H505" s="73"/>
      <c r="J505" s="73"/>
    </row>
    <row r="506" spans="1:10" ht="15.75" customHeight="1">
      <c r="A506" s="73"/>
      <c r="B506" s="73"/>
      <c r="C506" s="73"/>
      <c r="D506" s="73"/>
      <c r="E506" s="73"/>
      <c r="F506" s="73"/>
      <c r="G506" s="73"/>
      <c r="H506" s="73"/>
      <c r="J506" s="73"/>
    </row>
    <row r="507" spans="1:10" ht="15.75" customHeight="1">
      <c r="A507" s="73"/>
      <c r="B507" s="73"/>
      <c r="C507" s="73"/>
      <c r="D507" s="73"/>
      <c r="E507" s="73"/>
      <c r="F507" s="73"/>
      <c r="G507" s="73"/>
      <c r="H507" s="73"/>
      <c r="J507" s="73"/>
    </row>
    <row r="508" spans="1:10" ht="15.75" customHeight="1">
      <c r="A508" s="73"/>
      <c r="B508" s="73"/>
      <c r="C508" s="73"/>
      <c r="D508" s="73"/>
      <c r="E508" s="73"/>
      <c r="F508" s="73"/>
      <c r="G508" s="73"/>
      <c r="H508" s="73"/>
      <c r="J508" s="73"/>
    </row>
    <row r="509" spans="1:10" ht="15.75" customHeight="1">
      <c r="A509" s="73"/>
      <c r="B509" s="73"/>
      <c r="C509" s="73"/>
      <c r="D509" s="73"/>
      <c r="E509" s="73"/>
      <c r="F509" s="73"/>
      <c r="G509" s="73"/>
      <c r="H509" s="73"/>
      <c r="J509" s="73"/>
    </row>
    <row r="510" spans="1:10" ht="15.75" customHeight="1">
      <c r="A510" s="73"/>
      <c r="B510" s="73"/>
      <c r="C510" s="73"/>
      <c r="D510" s="73"/>
      <c r="E510" s="73"/>
      <c r="F510" s="73"/>
      <c r="G510" s="73"/>
      <c r="H510" s="73"/>
      <c r="J510" s="73"/>
    </row>
    <row r="511" spans="1:10" ht="15.75" customHeight="1">
      <c r="A511" s="73"/>
      <c r="B511" s="73"/>
      <c r="C511" s="73"/>
      <c r="D511" s="73"/>
      <c r="E511" s="73"/>
      <c r="F511" s="73"/>
      <c r="G511" s="73"/>
      <c r="H511" s="73"/>
      <c r="J511" s="73"/>
    </row>
    <row r="512" spans="1:10" ht="15.75" customHeight="1">
      <c r="A512" s="73"/>
      <c r="B512" s="73"/>
      <c r="C512" s="73"/>
      <c r="D512" s="73"/>
      <c r="E512" s="73"/>
      <c r="F512" s="73"/>
      <c r="G512" s="73"/>
      <c r="H512" s="73"/>
      <c r="J512" s="73"/>
    </row>
    <row r="513" spans="1:10" ht="15.75" customHeight="1">
      <c r="A513" s="73"/>
      <c r="B513" s="73"/>
      <c r="C513" s="73"/>
      <c r="D513" s="73"/>
      <c r="E513" s="73"/>
      <c r="F513" s="73"/>
      <c r="G513" s="73"/>
      <c r="H513" s="73"/>
      <c r="J513" s="73"/>
    </row>
    <row r="514" spans="1:10" ht="15.75" customHeight="1">
      <c r="A514" s="73"/>
      <c r="B514" s="73"/>
      <c r="C514" s="73"/>
      <c r="D514" s="73"/>
      <c r="E514" s="73"/>
      <c r="F514" s="73"/>
      <c r="G514" s="73"/>
      <c r="H514" s="73"/>
      <c r="J514" s="73"/>
    </row>
    <row r="515" spans="1:10" ht="15.75" customHeight="1">
      <c r="A515" s="73"/>
      <c r="B515" s="73"/>
      <c r="C515" s="73"/>
      <c r="D515" s="73"/>
      <c r="E515" s="73"/>
      <c r="F515" s="73"/>
      <c r="G515" s="73"/>
      <c r="H515" s="73"/>
      <c r="J515" s="73"/>
    </row>
    <row r="516" spans="1:10" ht="15.75" customHeight="1">
      <c r="A516" s="73"/>
      <c r="B516" s="73"/>
      <c r="C516" s="73"/>
      <c r="D516" s="73"/>
      <c r="E516" s="73"/>
      <c r="F516" s="73"/>
      <c r="G516" s="73"/>
      <c r="H516" s="73"/>
      <c r="J516" s="73"/>
    </row>
    <row r="517" spans="1:10" ht="15.75" customHeight="1">
      <c r="A517" s="73"/>
      <c r="B517" s="73"/>
      <c r="C517" s="73"/>
      <c r="D517" s="73"/>
      <c r="E517" s="73"/>
      <c r="F517" s="73"/>
      <c r="G517" s="73"/>
      <c r="H517" s="73"/>
      <c r="J517" s="73"/>
    </row>
    <row r="518" spans="1:10" ht="15.75" customHeight="1">
      <c r="A518" s="73"/>
      <c r="B518" s="73"/>
      <c r="C518" s="73"/>
      <c r="D518" s="73"/>
      <c r="E518" s="73"/>
      <c r="F518" s="73"/>
      <c r="G518" s="73"/>
      <c r="H518" s="73"/>
      <c r="J518" s="73"/>
    </row>
    <row r="519" spans="1:10" ht="15.75" customHeight="1">
      <c r="A519" s="73"/>
      <c r="B519" s="73"/>
      <c r="C519" s="73"/>
      <c r="D519" s="73"/>
      <c r="E519" s="73"/>
      <c r="F519" s="73"/>
      <c r="G519" s="73"/>
      <c r="H519" s="73"/>
      <c r="J519" s="73"/>
    </row>
    <row r="520" spans="1:10" ht="15.75" customHeight="1">
      <c r="A520" s="73"/>
      <c r="B520" s="73"/>
      <c r="C520" s="73"/>
      <c r="D520" s="73"/>
      <c r="E520" s="73"/>
      <c r="F520" s="73"/>
      <c r="G520" s="73"/>
      <c r="H520" s="73"/>
      <c r="J520" s="73"/>
    </row>
    <row r="521" spans="1:10" ht="15.75" customHeight="1">
      <c r="A521" s="73"/>
      <c r="B521" s="73"/>
      <c r="C521" s="73"/>
      <c r="D521" s="73"/>
      <c r="E521" s="73"/>
      <c r="F521" s="73"/>
      <c r="G521" s="73"/>
      <c r="H521" s="73"/>
      <c r="J521" s="73"/>
    </row>
    <row r="522" spans="1:10" ht="15.75" customHeight="1">
      <c r="A522" s="73"/>
      <c r="B522" s="73"/>
      <c r="C522" s="73"/>
      <c r="D522" s="73"/>
      <c r="E522" s="73"/>
      <c r="F522" s="73"/>
      <c r="G522" s="73"/>
      <c r="H522" s="73"/>
      <c r="J522" s="73"/>
    </row>
    <row r="523" spans="1:10" ht="15.75" customHeight="1">
      <c r="A523" s="73"/>
      <c r="B523" s="73"/>
      <c r="C523" s="73"/>
      <c r="D523" s="73"/>
      <c r="E523" s="73"/>
      <c r="F523" s="73"/>
      <c r="G523" s="73"/>
      <c r="H523" s="73"/>
      <c r="J523" s="73"/>
    </row>
    <row r="524" spans="1:10" ht="15.75" customHeight="1">
      <c r="A524" s="73"/>
      <c r="B524" s="73"/>
      <c r="C524" s="73"/>
      <c r="D524" s="73"/>
      <c r="E524" s="73"/>
      <c r="F524" s="73"/>
      <c r="G524" s="73"/>
      <c r="H524" s="73"/>
      <c r="J524" s="73"/>
    </row>
    <row r="525" spans="1:10" ht="15.75" customHeight="1">
      <c r="A525" s="73"/>
      <c r="B525" s="73"/>
      <c r="C525" s="73"/>
      <c r="D525" s="73"/>
      <c r="E525" s="73"/>
      <c r="F525" s="73"/>
      <c r="G525" s="73"/>
      <c r="H525" s="73"/>
      <c r="J525" s="73"/>
    </row>
    <row r="526" spans="1:10" ht="15.75" customHeight="1">
      <c r="A526" s="73"/>
      <c r="B526" s="73"/>
      <c r="C526" s="73"/>
      <c r="D526" s="73"/>
      <c r="E526" s="73"/>
      <c r="F526" s="73"/>
      <c r="G526" s="73"/>
      <c r="H526" s="73"/>
      <c r="J526" s="73"/>
    </row>
    <row r="527" spans="1:10" ht="15.75" customHeight="1">
      <c r="A527" s="73"/>
      <c r="B527" s="73"/>
      <c r="C527" s="73"/>
      <c r="D527" s="73"/>
      <c r="E527" s="73"/>
      <c r="F527" s="73"/>
      <c r="G527" s="73"/>
      <c r="H527" s="73"/>
      <c r="J527" s="73"/>
    </row>
    <row r="528" spans="1:10" ht="15.75" customHeight="1">
      <c r="A528" s="73"/>
      <c r="B528" s="73"/>
      <c r="C528" s="73"/>
      <c r="D528" s="73"/>
      <c r="E528" s="73"/>
      <c r="F528" s="73"/>
      <c r="G528" s="73"/>
      <c r="H528" s="73"/>
      <c r="J528" s="73"/>
    </row>
    <row r="529" spans="1:10" ht="15.75" customHeight="1">
      <c r="A529" s="73"/>
      <c r="B529" s="73"/>
      <c r="C529" s="73"/>
      <c r="D529" s="73"/>
      <c r="E529" s="73"/>
      <c r="F529" s="73"/>
      <c r="G529" s="73"/>
      <c r="H529" s="73"/>
      <c r="J529" s="73"/>
    </row>
    <row r="530" spans="1:10" ht="15.75" customHeight="1">
      <c r="A530" s="73"/>
      <c r="B530" s="73"/>
      <c r="C530" s="73"/>
      <c r="D530" s="73"/>
      <c r="E530" s="73"/>
      <c r="F530" s="73"/>
      <c r="G530" s="73"/>
      <c r="H530" s="73"/>
      <c r="J530" s="73"/>
    </row>
    <row r="531" spans="1:10" ht="15.75" customHeight="1">
      <c r="A531" s="73"/>
      <c r="B531" s="73"/>
      <c r="C531" s="73"/>
      <c r="D531" s="73"/>
      <c r="E531" s="73"/>
      <c r="F531" s="73"/>
      <c r="G531" s="73"/>
      <c r="H531" s="73"/>
      <c r="J531" s="73"/>
    </row>
    <row r="532" spans="1:10" ht="15.75" customHeight="1">
      <c r="A532" s="73"/>
      <c r="B532" s="73"/>
      <c r="C532" s="73"/>
      <c r="D532" s="73"/>
      <c r="E532" s="73"/>
      <c r="F532" s="73"/>
      <c r="G532" s="73"/>
      <c r="H532" s="73"/>
      <c r="J532" s="73"/>
    </row>
    <row r="533" spans="1:10" ht="15.75" customHeight="1">
      <c r="A533" s="73"/>
      <c r="B533" s="73"/>
      <c r="C533" s="73"/>
      <c r="D533" s="73"/>
      <c r="E533" s="73"/>
      <c r="F533" s="73"/>
      <c r="G533" s="73"/>
      <c r="H533" s="73"/>
      <c r="J533" s="73"/>
    </row>
    <row r="534" spans="1:10" ht="15.75" customHeight="1">
      <c r="A534" s="73"/>
      <c r="B534" s="73"/>
      <c r="C534" s="73"/>
      <c r="D534" s="73"/>
      <c r="E534" s="73"/>
      <c r="F534" s="73"/>
      <c r="G534" s="73"/>
      <c r="H534" s="73"/>
      <c r="J534" s="73"/>
    </row>
    <row r="535" spans="1:10" ht="15.75" customHeight="1">
      <c r="A535" s="73"/>
      <c r="B535" s="73"/>
      <c r="C535" s="73"/>
      <c r="D535" s="73"/>
      <c r="E535" s="73"/>
      <c r="F535" s="73"/>
      <c r="G535" s="73"/>
      <c r="H535" s="73"/>
      <c r="J535" s="73"/>
    </row>
    <row r="536" spans="1:10" ht="15.75" customHeight="1">
      <c r="A536" s="73"/>
      <c r="B536" s="73"/>
      <c r="C536" s="73"/>
      <c r="D536" s="73"/>
      <c r="E536" s="73"/>
      <c r="F536" s="73"/>
      <c r="G536" s="73"/>
      <c r="H536" s="73"/>
      <c r="J536" s="73"/>
    </row>
    <row r="537" spans="1:10" ht="15.75" customHeight="1">
      <c r="A537" s="73"/>
      <c r="B537" s="73"/>
      <c r="C537" s="73"/>
      <c r="D537" s="73"/>
      <c r="E537" s="73"/>
      <c r="F537" s="73"/>
      <c r="G537" s="73"/>
      <c r="H537" s="73"/>
      <c r="J537" s="73"/>
    </row>
    <row r="538" spans="1:10" ht="15.75" customHeight="1">
      <c r="A538" s="73"/>
      <c r="B538" s="73"/>
      <c r="C538" s="73"/>
      <c r="D538" s="73"/>
      <c r="E538" s="73"/>
      <c r="F538" s="73"/>
      <c r="G538" s="73"/>
      <c r="H538" s="73"/>
      <c r="J538" s="73"/>
    </row>
    <row r="539" spans="1:10" ht="15.75" customHeight="1">
      <c r="A539" s="73"/>
      <c r="B539" s="73"/>
      <c r="C539" s="73"/>
      <c r="D539" s="73"/>
      <c r="E539" s="73"/>
      <c r="F539" s="73"/>
      <c r="G539" s="73"/>
      <c r="H539" s="73"/>
      <c r="J539" s="73"/>
    </row>
    <row r="540" spans="1:10" ht="15.75" customHeight="1">
      <c r="A540" s="73"/>
      <c r="B540" s="73"/>
      <c r="C540" s="73"/>
      <c r="D540" s="73"/>
      <c r="E540" s="73"/>
      <c r="F540" s="73"/>
      <c r="G540" s="73"/>
      <c r="H540" s="73"/>
      <c r="J540" s="73"/>
    </row>
    <row r="541" spans="1:10" ht="15.75" customHeight="1">
      <c r="A541" s="73"/>
      <c r="B541" s="73"/>
      <c r="C541" s="73"/>
      <c r="D541" s="73"/>
      <c r="E541" s="73"/>
      <c r="F541" s="73"/>
      <c r="G541" s="73"/>
      <c r="H541" s="73"/>
      <c r="J541" s="73"/>
    </row>
    <row r="542" spans="1:10" ht="15.75" customHeight="1">
      <c r="A542" s="73"/>
      <c r="B542" s="73"/>
      <c r="C542" s="73"/>
      <c r="D542" s="73"/>
      <c r="E542" s="73"/>
      <c r="F542" s="73"/>
      <c r="G542" s="73"/>
      <c r="H542" s="73"/>
      <c r="J542" s="73"/>
    </row>
    <row r="543" spans="1:10" ht="15.75" customHeight="1">
      <c r="A543" s="73"/>
      <c r="B543" s="73"/>
      <c r="C543" s="73"/>
      <c r="D543" s="73"/>
      <c r="E543" s="73"/>
      <c r="F543" s="73"/>
      <c r="G543" s="73"/>
      <c r="H543" s="73"/>
      <c r="J543" s="73"/>
    </row>
    <row r="544" spans="1:10" ht="15.75" customHeight="1">
      <c r="A544" s="73"/>
      <c r="B544" s="73"/>
      <c r="C544" s="73"/>
      <c r="D544" s="73"/>
      <c r="E544" s="73"/>
      <c r="F544" s="73"/>
      <c r="G544" s="73"/>
      <c r="H544" s="73"/>
      <c r="J544" s="73"/>
    </row>
    <row r="545" spans="1:10" ht="15.75" customHeight="1">
      <c r="A545" s="73"/>
      <c r="B545" s="73"/>
      <c r="C545" s="73"/>
      <c r="D545" s="73"/>
      <c r="E545" s="73"/>
      <c r="F545" s="73"/>
      <c r="G545" s="73"/>
      <c r="H545" s="73"/>
      <c r="J545" s="73"/>
    </row>
    <row r="546" spans="1:10" ht="15.75" customHeight="1">
      <c r="A546" s="73"/>
      <c r="B546" s="73"/>
      <c r="C546" s="73"/>
      <c r="D546" s="73"/>
      <c r="E546" s="73"/>
      <c r="F546" s="73"/>
      <c r="G546" s="73"/>
      <c r="H546" s="73"/>
      <c r="J546" s="73"/>
    </row>
    <row r="547" spans="1:10" ht="15.75" customHeight="1">
      <c r="A547" s="73"/>
      <c r="B547" s="73"/>
      <c r="C547" s="73"/>
      <c r="D547" s="73"/>
      <c r="E547" s="73"/>
      <c r="F547" s="73"/>
      <c r="G547" s="73"/>
      <c r="H547" s="73"/>
      <c r="J547" s="73"/>
    </row>
    <row r="548" spans="1:10" ht="15.75" customHeight="1">
      <c r="A548" s="73"/>
      <c r="B548" s="73"/>
      <c r="C548" s="73"/>
      <c r="D548" s="73"/>
      <c r="E548" s="73"/>
      <c r="F548" s="73"/>
      <c r="G548" s="73"/>
      <c r="H548" s="73"/>
      <c r="J548" s="73"/>
    </row>
    <row r="549" spans="1:10" ht="15.75" customHeight="1">
      <c r="A549" s="73"/>
      <c r="B549" s="73"/>
      <c r="C549" s="73"/>
      <c r="D549" s="73"/>
      <c r="E549" s="73"/>
      <c r="F549" s="73"/>
      <c r="G549" s="73"/>
      <c r="H549" s="73"/>
      <c r="J549" s="73"/>
    </row>
    <row r="550" spans="1:10" ht="15.75" customHeight="1">
      <c r="A550" s="73"/>
      <c r="B550" s="73"/>
      <c r="C550" s="73"/>
      <c r="D550" s="73"/>
      <c r="E550" s="73"/>
      <c r="F550" s="73"/>
      <c r="G550" s="73"/>
      <c r="H550" s="73"/>
      <c r="J550" s="73"/>
    </row>
    <row r="551" spans="1:10" ht="15.75" customHeight="1">
      <c r="A551" s="73"/>
      <c r="B551" s="73"/>
      <c r="C551" s="73"/>
      <c r="D551" s="73"/>
      <c r="E551" s="73"/>
      <c r="F551" s="73"/>
      <c r="G551" s="73"/>
      <c r="H551" s="73"/>
      <c r="J551" s="73"/>
    </row>
    <row r="552" spans="1:10" ht="15.75" customHeight="1">
      <c r="A552" s="73"/>
      <c r="B552" s="73"/>
      <c r="C552" s="73"/>
      <c r="D552" s="73"/>
      <c r="E552" s="73"/>
      <c r="F552" s="73"/>
      <c r="G552" s="73"/>
      <c r="H552" s="73"/>
      <c r="J552" s="73"/>
    </row>
    <row r="553" spans="1:10" ht="15.75" customHeight="1">
      <c r="A553" s="73"/>
      <c r="B553" s="73"/>
      <c r="C553" s="73"/>
      <c r="D553" s="73"/>
      <c r="E553" s="73"/>
      <c r="F553" s="73"/>
      <c r="G553" s="73"/>
      <c r="H553" s="73"/>
      <c r="J553" s="73"/>
    </row>
    <row r="554" spans="1:10" ht="15.75" customHeight="1">
      <c r="A554" s="73"/>
      <c r="B554" s="73"/>
      <c r="C554" s="73"/>
      <c r="D554" s="73"/>
      <c r="E554" s="73"/>
      <c r="F554" s="73"/>
      <c r="G554" s="73"/>
      <c r="H554" s="73"/>
      <c r="J554" s="73"/>
    </row>
    <row r="555" spans="1:10" ht="15.75" customHeight="1">
      <c r="A555" s="73"/>
      <c r="B555" s="73"/>
      <c r="C555" s="73"/>
      <c r="D555" s="73"/>
      <c r="E555" s="73"/>
      <c r="F555" s="73"/>
      <c r="G555" s="73"/>
      <c r="H555" s="73"/>
      <c r="J555" s="73"/>
    </row>
    <row r="556" spans="1:10" ht="15.75" customHeight="1">
      <c r="A556" s="73"/>
      <c r="B556" s="73"/>
      <c r="C556" s="73"/>
      <c r="D556" s="73"/>
      <c r="E556" s="73"/>
      <c r="F556" s="73"/>
      <c r="G556" s="73"/>
      <c r="H556" s="73"/>
      <c r="J556" s="73"/>
    </row>
    <row r="557" spans="1:10" ht="15.75" customHeight="1">
      <c r="A557" s="73"/>
      <c r="B557" s="73"/>
      <c r="C557" s="73"/>
      <c r="D557" s="73"/>
      <c r="E557" s="73"/>
      <c r="F557" s="73"/>
      <c r="G557" s="73"/>
      <c r="H557" s="73"/>
      <c r="J557" s="73"/>
    </row>
    <row r="558" spans="1:10" ht="15.75" customHeight="1">
      <c r="A558" s="73"/>
      <c r="B558" s="73"/>
      <c r="C558" s="73"/>
      <c r="D558" s="73"/>
      <c r="E558" s="73"/>
      <c r="F558" s="73"/>
      <c r="G558" s="73"/>
      <c r="H558" s="73"/>
      <c r="J558" s="73"/>
    </row>
    <row r="559" spans="1:10" ht="15.75" customHeight="1">
      <c r="A559" s="73"/>
      <c r="B559" s="73"/>
      <c r="C559" s="73"/>
      <c r="D559" s="73"/>
      <c r="E559" s="73"/>
      <c r="F559" s="73"/>
      <c r="G559" s="73"/>
      <c r="H559" s="73"/>
      <c r="J559" s="73"/>
    </row>
    <row r="560" spans="1:10" ht="15.75" customHeight="1">
      <c r="A560" s="73"/>
      <c r="B560" s="73"/>
      <c r="C560" s="73"/>
      <c r="D560" s="73"/>
      <c r="E560" s="73"/>
      <c r="F560" s="73"/>
      <c r="G560" s="73"/>
      <c r="H560" s="73"/>
      <c r="J560" s="73"/>
    </row>
    <row r="561" spans="1:10" ht="15.75" customHeight="1">
      <c r="A561" s="73"/>
      <c r="B561" s="73"/>
      <c r="C561" s="73"/>
      <c r="D561" s="73"/>
      <c r="E561" s="73"/>
      <c r="F561" s="73"/>
      <c r="G561" s="73"/>
      <c r="H561" s="73"/>
      <c r="J561" s="73"/>
    </row>
    <row r="562" spans="1:10" ht="15.75" customHeight="1">
      <c r="A562" s="73"/>
      <c r="B562" s="73"/>
      <c r="C562" s="73"/>
      <c r="D562" s="73"/>
      <c r="E562" s="73"/>
      <c r="F562" s="73"/>
      <c r="G562" s="73"/>
      <c r="H562" s="73"/>
      <c r="J562" s="73"/>
    </row>
    <row r="563" spans="1:10" ht="15.75" customHeight="1">
      <c r="A563" s="73"/>
      <c r="B563" s="73"/>
      <c r="C563" s="73"/>
      <c r="D563" s="73"/>
      <c r="E563" s="73"/>
      <c r="F563" s="73"/>
      <c r="G563" s="73"/>
      <c r="H563" s="73"/>
      <c r="J563" s="73"/>
    </row>
    <row r="564" spans="1:10" ht="15.75" customHeight="1">
      <c r="A564" s="73"/>
      <c r="B564" s="73"/>
      <c r="C564" s="73"/>
      <c r="D564" s="73"/>
      <c r="E564" s="73"/>
      <c r="F564" s="73"/>
      <c r="G564" s="73"/>
      <c r="H564" s="73"/>
      <c r="J564" s="73"/>
    </row>
    <row r="565" spans="1:10" ht="15.75" customHeight="1">
      <c r="A565" s="73"/>
      <c r="B565" s="73"/>
      <c r="C565" s="73"/>
      <c r="D565" s="73"/>
      <c r="E565" s="73"/>
      <c r="F565" s="73"/>
      <c r="G565" s="73"/>
      <c r="H565" s="73"/>
      <c r="J565" s="73"/>
    </row>
    <row r="566" spans="1:10" ht="15.75" customHeight="1">
      <c r="A566" s="73"/>
      <c r="B566" s="73"/>
      <c r="C566" s="73"/>
      <c r="D566" s="73"/>
      <c r="E566" s="73"/>
      <c r="F566" s="73"/>
      <c r="G566" s="73"/>
      <c r="H566" s="73"/>
      <c r="J566" s="73"/>
    </row>
    <row r="567" spans="1:10" ht="15.75" customHeight="1">
      <c r="A567" s="73"/>
      <c r="B567" s="73"/>
      <c r="C567" s="73"/>
      <c r="D567" s="73"/>
      <c r="E567" s="73"/>
      <c r="F567" s="73"/>
      <c r="G567" s="73"/>
      <c r="H567" s="73"/>
      <c r="J567" s="73"/>
    </row>
    <row r="568" spans="1:10" ht="15.75" customHeight="1">
      <c r="A568" s="73"/>
      <c r="B568" s="73"/>
      <c r="C568" s="73"/>
      <c r="D568" s="73"/>
      <c r="E568" s="73"/>
      <c r="F568" s="73"/>
      <c r="G568" s="73"/>
      <c r="H568" s="73"/>
      <c r="J568" s="73"/>
    </row>
    <row r="569" spans="1:10" ht="15.75" customHeight="1">
      <c r="A569" s="73"/>
      <c r="B569" s="73"/>
      <c r="C569" s="73"/>
      <c r="D569" s="73"/>
      <c r="E569" s="73"/>
      <c r="F569" s="73"/>
      <c r="G569" s="73"/>
      <c r="H569" s="73"/>
      <c r="J569" s="73"/>
    </row>
    <row r="570" spans="1:10" ht="15.75" customHeight="1">
      <c r="A570" s="73"/>
      <c r="B570" s="73"/>
      <c r="C570" s="73"/>
      <c r="D570" s="73"/>
      <c r="E570" s="73"/>
      <c r="F570" s="73"/>
      <c r="G570" s="73"/>
      <c r="H570" s="73"/>
      <c r="J570" s="73"/>
    </row>
    <row r="571" spans="1:10" ht="15.75" customHeight="1">
      <c r="A571" s="73"/>
      <c r="B571" s="73"/>
      <c r="C571" s="73"/>
      <c r="D571" s="73"/>
      <c r="E571" s="73"/>
      <c r="F571" s="73"/>
      <c r="G571" s="73"/>
      <c r="H571" s="73"/>
      <c r="J571" s="73"/>
    </row>
    <row r="572" spans="1:10" ht="15.75" customHeight="1">
      <c r="A572" s="73"/>
      <c r="B572" s="73"/>
      <c r="C572" s="73"/>
      <c r="D572" s="73"/>
      <c r="E572" s="73"/>
      <c r="F572" s="73"/>
      <c r="G572" s="73"/>
      <c r="H572" s="73"/>
      <c r="J572" s="73"/>
    </row>
    <row r="573" spans="1:10" ht="15.75" customHeight="1">
      <c r="A573" s="73"/>
      <c r="B573" s="73"/>
      <c r="C573" s="73"/>
      <c r="D573" s="73"/>
      <c r="E573" s="73"/>
      <c r="F573" s="73"/>
      <c r="G573" s="73"/>
      <c r="H573" s="73"/>
      <c r="J573" s="73"/>
    </row>
    <row r="574" spans="1:10" ht="15.75" customHeight="1">
      <c r="A574" s="73"/>
      <c r="B574" s="73"/>
      <c r="C574" s="73"/>
      <c r="D574" s="73"/>
      <c r="E574" s="73"/>
      <c r="F574" s="73"/>
      <c r="G574" s="73"/>
      <c r="H574" s="73"/>
      <c r="J574" s="73"/>
    </row>
    <row r="575" spans="1:10" ht="15.75" customHeight="1">
      <c r="A575" s="73"/>
      <c r="B575" s="73"/>
      <c r="C575" s="73"/>
      <c r="D575" s="73"/>
      <c r="E575" s="73"/>
      <c r="F575" s="73"/>
      <c r="G575" s="73"/>
      <c r="H575" s="73"/>
      <c r="J575" s="73"/>
    </row>
    <row r="576" spans="1:10" ht="15.75" customHeight="1">
      <c r="A576" s="73"/>
      <c r="B576" s="73"/>
      <c r="C576" s="73"/>
      <c r="D576" s="73"/>
      <c r="E576" s="73"/>
      <c r="F576" s="73"/>
      <c r="G576" s="73"/>
      <c r="H576" s="73"/>
      <c r="J576" s="73"/>
    </row>
    <row r="577" spans="1:10" ht="15.75" customHeight="1">
      <c r="A577" s="73"/>
      <c r="B577" s="73"/>
      <c r="C577" s="73"/>
      <c r="D577" s="73"/>
      <c r="E577" s="73"/>
      <c r="F577" s="73"/>
      <c r="G577" s="73"/>
      <c r="H577" s="73"/>
      <c r="J577" s="73"/>
    </row>
    <row r="578" spans="1:10" ht="15.75" customHeight="1">
      <c r="A578" s="73"/>
      <c r="B578" s="73"/>
      <c r="C578" s="73"/>
      <c r="D578" s="73"/>
      <c r="E578" s="73"/>
      <c r="F578" s="73"/>
      <c r="G578" s="73"/>
      <c r="H578" s="73"/>
      <c r="J578" s="73"/>
    </row>
    <row r="579" spans="1:10" ht="15.75" customHeight="1">
      <c r="A579" s="73"/>
      <c r="B579" s="73"/>
      <c r="C579" s="73"/>
      <c r="D579" s="73"/>
      <c r="E579" s="73"/>
      <c r="F579" s="73"/>
      <c r="G579" s="73"/>
      <c r="H579" s="73"/>
      <c r="J579" s="73"/>
    </row>
    <row r="580" spans="1:10" ht="15.75" customHeight="1">
      <c r="A580" s="73"/>
      <c r="B580" s="73"/>
      <c r="C580" s="73"/>
      <c r="D580" s="73"/>
      <c r="E580" s="73"/>
      <c r="F580" s="73"/>
      <c r="G580" s="73"/>
      <c r="H580" s="73"/>
      <c r="J580" s="73"/>
    </row>
    <row r="581" spans="1:10" ht="15.75" customHeight="1">
      <c r="A581" s="73"/>
      <c r="B581" s="73"/>
      <c r="C581" s="73"/>
      <c r="D581" s="73"/>
      <c r="E581" s="73"/>
      <c r="F581" s="73"/>
      <c r="G581" s="73"/>
      <c r="H581" s="73"/>
      <c r="J581" s="73"/>
    </row>
    <row r="582" spans="1:10" ht="15.75" customHeight="1">
      <c r="A582" s="73"/>
      <c r="B582" s="73"/>
      <c r="C582" s="73"/>
      <c r="D582" s="73"/>
      <c r="E582" s="73"/>
      <c r="F582" s="73"/>
      <c r="G582" s="73"/>
      <c r="H582" s="73"/>
      <c r="J582" s="73"/>
    </row>
    <row r="583" spans="1:10" ht="15.75" customHeight="1">
      <c r="A583" s="73"/>
      <c r="B583" s="73"/>
      <c r="C583" s="73"/>
      <c r="D583" s="73"/>
      <c r="E583" s="73"/>
      <c r="F583" s="73"/>
      <c r="G583" s="73"/>
      <c r="H583" s="73"/>
      <c r="J583" s="73"/>
    </row>
    <row r="584" spans="1:10" ht="15.75" customHeight="1">
      <c r="A584" s="73"/>
      <c r="B584" s="73"/>
      <c r="C584" s="73"/>
      <c r="D584" s="73"/>
      <c r="E584" s="73"/>
      <c r="F584" s="73"/>
      <c r="G584" s="73"/>
      <c r="H584" s="73"/>
      <c r="J584" s="73"/>
    </row>
    <row r="585" spans="1:10" ht="15.75" customHeight="1">
      <c r="A585" s="73"/>
      <c r="B585" s="73"/>
      <c r="C585" s="73"/>
      <c r="D585" s="73"/>
      <c r="E585" s="73"/>
      <c r="F585" s="73"/>
      <c r="G585" s="73"/>
      <c r="H585" s="73"/>
      <c r="J585" s="73"/>
    </row>
    <row r="586" spans="1:10" ht="15.75" customHeight="1">
      <c r="A586" s="73"/>
      <c r="B586" s="73"/>
      <c r="C586" s="73"/>
      <c r="D586" s="73"/>
      <c r="E586" s="73"/>
      <c r="F586" s="73"/>
      <c r="G586" s="73"/>
      <c r="H586" s="73"/>
      <c r="J586" s="73"/>
    </row>
    <row r="587" spans="1:10" ht="15.75" customHeight="1">
      <c r="A587" s="73"/>
      <c r="B587" s="73"/>
      <c r="C587" s="73"/>
      <c r="D587" s="73"/>
      <c r="E587" s="73"/>
      <c r="F587" s="73"/>
      <c r="G587" s="73"/>
      <c r="H587" s="73"/>
      <c r="J587" s="73"/>
    </row>
    <row r="588" spans="1:10" ht="15.75" customHeight="1">
      <c r="A588" s="73"/>
      <c r="B588" s="73"/>
      <c r="C588" s="73"/>
      <c r="D588" s="73"/>
      <c r="E588" s="73"/>
      <c r="F588" s="73"/>
      <c r="G588" s="73"/>
      <c r="H588" s="73"/>
      <c r="J588" s="73"/>
    </row>
    <row r="589" spans="1:10" ht="15.75" customHeight="1">
      <c r="A589" s="73"/>
      <c r="B589" s="73"/>
      <c r="C589" s="73"/>
      <c r="D589" s="73"/>
      <c r="E589" s="73"/>
      <c r="F589" s="73"/>
      <c r="G589" s="73"/>
      <c r="H589" s="73"/>
      <c r="J589" s="73"/>
    </row>
    <row r="590" spans="1:10" ht="15.75" customHeight="1">
      <c r="A590" s="73"/>
      <c r="B590" s="73"/>
      <c r="C590" s="73"/>
      <c r="D590" s="73"/>
      <c r="E590" s="73"/>
      <c r="F590" s="73"/>
      <c r="G590" s="73"/>
      <c r="H590" s="73"/>
      <c r="J590" s="73"/>
    </row>
    <row r="591" spans="1:10" ht="15.75" customHeight="1">
      <c r="A591" s="73"/>
      <c r="B591" s="73"/>
      <c r="C591" s="73"/>
      <c r="D591" s="73"/>
      <c r="E591" s="73"/>
      <c r="F591" s="73"/>
      <c r="G591" s="73"/>
      <c r="H591" s="73"/>
      <c r="J591" s="73"/>
    </row>
    <row r="592" spans="1:10" ht="15.75" customHeight="1">
      <c r="A592" s="73"/>
      <c r="B592" s="73"/>
      <c r="C592" s="73"/>
      <c r="D592" s="73"/>
      <c r="E592" s="73"/>
      <c r="F592" s="73"/>
      <c r="G592" s="73"/>
      <c r="H592" s="73"/>
      <c r="J592" s="73"/>
    </row>
    <row r="593" spans="1:10" ht="15.75" customHeight="1">
      <c r="A593" s="73"/>
      <c r="B593" s="73"/>
      <c r="C593" s="73"/>
      <c r="D593" s="73"/>
      <c r="E593" s="73"/>
      <c r="F593" s="73"/>
      <c r="G593" s="73"/>
      <c r="H593" s="73"/>
      <c r="J593" s="73"/>
    </row>
    <row r="594" spans="1:10" ht="15.75" customHeight="1">
      <c r="A594" s="73"/>
      <c r="B594" s="73"/>
      <c r="C594" s="73"/>
      <c r="D594" s="73"/>
      <c r="E594" s="73"/>
      <c r="F594" s="73"/>
      <c r="G594" s="73"/>
      <c r="H594" s="73"/>
      <c r="J594" s="73"/>
    </row>
    <row r="595" spans="1:10" ht="15.75" customHeight="1">
      <c r="A595" s="73"/>
      <c r="B595" s="73"/>
      <c r="C595" s="73"/>
      <c r="D595" s="73"/>
      <c r="E595" s="73"/>
      <c r="F595" s="73"/>
      <c r="G595" s="73"/>
      <c r="H595" s="73"/>
      <c r="J595" s="73"/>
    </row>
    <row r="596" spans="1:10" ht="15.75" customHeight="1">
      <c r="A596" s="73"/>
      <c r="B596" s="73"/>
      <c r="C596" s="73"/>
      <c r="D596" s="73"/>
      <c r="E596" s="73"/>
      <c r="F596" s="73"/>
      <c r="G596" s="73"/>
      <c r="H596" s="73"/>
      <c r="J596" s="73"/>
    </row>
    <row r="597" spans="1:10" ht="15.75" customHeight="1">
      <c r="A597" s="73"/>
      <c r="B597" s="73"/>
      <c r="C597" s="73"/>
      <c r="D597" s="73"/>
      <c r="E597" s="73"/>
      <c r="F597" s="73"/>
      <c r="G597" s="73"/>
      <c r="H597" s="73"/>
      <c r="J597" s="73"/>
    </row>
    <row r="598" spans="1:10" ht="15.75" customHeight="1">
      <c r="A598" s="73"/>
      <c r="B598" s="73"/>
      <c r="C598" s="73"/>
      <c r="D598" s="73"/>
      <c r="E598" s="73"/>
      <c r="F598" s="73"/>
      <c r="G598" s="73"/>
      <c r="H598" s="73"/>
      <c r="J598" s="73"/>
    </row>
    <row r="599" spans="1:10" ht="15.75" customHeight="1">
      <c r="A599" s="73"/>
      <c r="B599" s="73"/>
      <c r="C599" s="73"/>
      <c r="D599" s="73"/>
      <c r="E599" s="73"/>
      <c r="F599" s="73"/>
      <c r="G599" s="73"/>
      <c r="H599" s="73"/>
      <c r="J599" s="73"/>
    </row>
    <row r="600" spans="1:10" ht="15.75" customHeight="1">
      <c r="A600" s="73"/>
      <c r="B600" s="73"/>
      <c r="C600" s="73"/>
      <c r="D600" s="73"/>
      <c r="E600" s="73"/>
      <c r="F600" s="73"/>
      <c r="G600" s="73"/>
      <c r="H600" s="73"/>
      <c r="J600" s="73"/>
    </row>
    <row r="601" spans="1:10" ht="15.75" customHeight="1">
      <c r="A601" s="73"/>
      <c r="B601" s="73"/>
      <c r="C601" s="73"/>
      <c r="D601" s="73"/>
      <c r="E601" s="73"/>
      <c r="F601" s="73"/>
      <c r="G601" s="73"/>
      <c r="H601" s="73"/>
      <c r="J601" s="73"/>
    </row>
    <row r="602" spans="1:10" ht="15.75" customHeight="1">
      <c r="A602" s="73"/>
      <c r="B602" s="73"/>
      <c r="C602" s="73"/>
      <c r="D602" s="73"/>
      <c r="E602" s="73"/>
      <c r="F602" s="73"/>
      <c r="G602" s="73"/>
      <c r="H602" s="73"/>
      <c r="J602" s="73"/>
    </row>
    <row r="603" spans="1:10" ht="15.75" customHeight="1">
      <c r="A603" s="73"/>
      <c r="B603" s="73"/>
      <c r="C603" s="73"/>
      <c r="D603" s="73"/>
      <c r="E603" s="73"/>
      <c r="F603" s="73"/>
      <c r="G603" s="73"/>
      <c r="H603" s="73"/>
      <c r="J603" s="73"/>
    </row>
    <row r="604" spans="1:10" ht="15.75" customHeight="1">
      <c r="A604" s="73"/>
      <c r="B604" s="73"/>
      <c r="C604" s="73"/>
      <c r="D604" s="73"/>
      <c r="E604" s="73"/>
      <c r="F604" s="73"/>
      <c r="G604" s="73"/>
      <c r="H604" s="73"/>
      <c r="J604" s="73"/>
    </row>
    <row r="605" spans="1:10" ht="15.75" customHeight="1">
      <c r="A605" s="73"/>
      <c r="B605" s="73"/>
      <c r="C605" s="73"/>
      <c r="D605" s="73"/>
      <c r="E605" s="73"/>
      <c r="F605" s="73"/>
      <c r="G605" s="73"/>
      <c r="H605" s="73"/>
      <c r="J605" s="73"/>
    </row>
    <row r="606" spans="1:10" ht="15.75" customHeight="1">
      <c r="A606" s="73"/>
      <c r="B606" s="73"/>
      <c r="C606" s="73"/>
      <c r="D606" s="73"/>
      <c r="E606" s="73"/>
      <c r="F606" s="73"/>
      <c r="G606" s="73"/>
      <c r="H606" s="73"/>
      <c r="J606" s="73"/>
    </row>
    <row r="607" spans="1:10" ht="15.75" customHeight="1">
      <c r="A607" s="73"/>
      <c r="B607" s="73"/>
      <c r="C607" s="73"/>
      <c r="D607" s="73"/>
      <c r="E607" s="73"/>
      <c r="F607" s="73"/>
      <c r="G607" s="73"/>
      <c r="H607" s="73"/>
      <c r="J607" s="73"/>
    </row>
    <row r="608" spans="1:10" ht="15.75" customHeight="1">
      <c r="A608" s="73"/>
      <c r="B608" s="73"/>
      <c r="C608" s="73"/>
      <c r="D608" s="73"/>
      <c r="E608" s="73"/>
      <c r="F608" s="73"/>
      <c r="G608" s="73"/>
      <c r="H608" s="73"/>
      <c r="J608" s="73"/>
    </row>
    <row r="609" spans="1:10" ht="15.75" customHeight="1">
      <c r="A609" s="73"/>
      <c r="B609" s="73"/>
      <c r="C609" s="73"/>
      <c r="D609" s="73"/>
      <c r="E609" s="73"/>
      <c r="F609" s="73"/>
      <c r="G609" s="73"/>
      <c r="H609" s="73"/>
      <c r="J609" s="73"/>
    </row>
    <row r="610" spans="1:10" ht="15.75" customHeight="1">
      <c r="A610" s="73"/>
      <c r="B610" s="73"/>
      <c r="C610" s="73"/>
      <c r="D610" s="73"/>
      <c r="E610" s="73"/>
      <c r="F610" s="73"/>
      <c r="G610" s="73"/>
      <c r="H610" s="73"/>
      <c r="J610" s="73"/>
    </row>
    <row r="611" spans="1:10" ht="15.75" customHeight="1">
      <c r="A611" s="73"/>
      <c r="B611" s="73"/>
      <c r="C611" s="73"/>
      <c r="D611" s="73"/>
      <c r="E611" s="73"/>
      <c r="F611" s="73"/>
      <c r="G611" s="73"/>
      <c r="H611" s="73"/>
      <c r="J611" s="73"/>
    </row>
    <row r="612" spans="1:10" ht="15.75" customHeight="1">
      <c r="A612" s="73"/>
      <c r="B612" s="73"/>
      <c r="C612" s="73"/>
      <c r="D612" s="73"/>
      <c r="E612" s="73"/>
      <c r="F612" s="73"/>
      <c r="G612" s="73"/>
      <c r="H612" s="73"/>
      <c r="J612" s="73"/>
    </row>
    <row r="613" spans="1:10" ht="15.75" customHeight="1">
      <c r="A613" s="73"/>
      <c r="B613" s="73"/>
      <c r="C613" s="73"/>
      <c r="D613" s="73"/>
      <c r="E613" s="73"/>
      <c r="F613" s="73"/>
      <c r="G613" s="73"/>
      <c r="H613" s="73"/>
      <c r="J613" s="73"/>
    </row>
    <row r="614" spans="1:10" ht="15.75" customHeight="1">
      <c r="A614" s="73"/>
      <c r="B614" s="73"/>
      <c r="C614" s="73"/>
      <c r="D614" s="73"/>
      <c r="E614" s="73"/>
      <c r="F614" s="73"/>
      <c r="G614" s="73"/>
      <c r="H614" s="73"/>
      <c r="J614" s="73"/>
    </row>
    <row r="615" spans="1:10" ht="15.75" customHeight="1">
      <c r="A615" s="73"/>
      <c r="B615" s="73"/>
      <c r="C615" s="73"/>
      <c r="D615" s="73"/>
      <c r="E615" s="73"/>
      <c r="F615" s="73"/>
      <c r="G615" s="73"/>
      <c r="H615" s="73"/>
      <c r="J615" s="73"/>
    </row>
    <row r="616" spans="1:10" ht="15.75" customHeight="1">
      <c r="A616" s="73"/>
      <c r="B616" s="73"/>
      <c r="C616" s="73"/>
      <c r="D616" s="73"/>
      <c r="E616" s="73"/>
      <c r="F616" s="73"/>
      <c r="G616" s="73"/>
      <c r="H616" s="73"/>
      <c r="J616" s="73"/>
    </row>
    <row r="617" spans="1:10" ht="15.75" customHeight="1">
      <c r="A617" s="73"/>
      <c r="B617" s="73"/>
      <c r="C617" s="73"/>
      <c r="D617" s="73"/>
      <c r="E617" s="73"/>
      <c r="F617" s="73"/>
      <c r="G617" s="73"/>
      <c r="H617" s="73"/>
      <c r="J617" s="73"/>
    </row>
    <row r="618" spans="1:10" ht="15.75" customHeight="1">
      <c r="A618" s="73"/>
      <c r="B618" s="73"/>
      <c r="C618" s="73"/>
      <c r="D618" s="73"/>
      <c r="E618" s="73"/>
      <c r="F618" s="73"/>
      <c r="G618" s="73"/>
      <c r="H618" s="73"/>
      <c r="J618" s="73"/>
    </row>
    <row r="619" spans="1:10" ht="15.75" customHeight="1">
      <c r="A619" s="73"/>
      <c r="B619" s="73"/>
      <c r="C619" s="73"/>
      <c r="D619" s="73"/>
      <c r="E619" s="73"/>
      <c r="F619" s="73"/>
      <c r="G619" s="73"/>
      <c r="H619" s="73"/>
      <c r="J619" s="73"/>
    </row>
    <row r="620" spans="1:10" ht="15.75" customHeight="1">
      <c r="A620" s="73"/>
      <c r="B620" s="73"/>
      <c r="C620" s="73"/>
      <c r="D620" s="73"/>
      <c r="E620" s="73"/>
      <c r="F620" s="73"/>
      <c r="G620" s="73"/>
      <c r="H620" s="73"/>
      <c r="J620" s="73"/>
    </row>
    <row r="621" spans="1:10" ht="15.75" customHeight="1">
      <c r="A621" s="73"/>
      <c r="B621" s="73"/>
      <c r="C621" s="73"/>
      <c r="D621" s="73"/>
      <c r="E621" s="73"/>
      <c r="F621" s="73"/>
      <c r="G621" s="73"/>
      <c r="H621" s="73"/>
      <c r="J621" s="73"/>
    </row>
    <row r="622" spans="1:10" ht="15.75" customHeight="1">
      <c r="A622" s="73"/>
      <c r="B622" s="73"/>
      <c r="C622" s="73"/>
      <c r="D622" s="73"/>
      <c r="E622" s="73"/>
      <c r="F622" s="73"/>
      <c r="G622" s="73"/>
      <c r="H622" s="73"/>
      <c r="J622" s="73"/>
    </row>
    <row r="623" spans="1:10" ht="15.75" customHeight="1">
      <c r="A623" s="73"/>
      <c r="B623" s="73"/>
      <c r="C623" s="73"/>
      <c r="D623" s="73"/>
      <c r="E623" s="73"/>
      <c r="F623" s="73"/>
      <c r="G623" s="73"/>
      <c r="H623" s="73"/>
      <c r="J623" s="73"/>
    </row>
    <row r="624" spans="1:10" ht="15.75" customHeight="1">
      <c r="A624" s="73"/>
      <c r="B624" s="73"/>
      <c r="C624" s="73"/>
      <c r="D624" s="73"/>
      <c r="E624" s="73"/>
      <c r="F624" s="73"/>
      <c r="G624" s="73"/>
      <c r="H624" s="73"/>
      <c r="J624" s="73"/>
    </row>
    <row r="625" spans="1:10" ht="15.75" customHeight="1">
      <c r="A625" s="73"/>
      <c r="B625" s="73"/>
      <c r="C625" s="73"/>
      <c r="D625" s="73"/>
      <c r="E625" s="73"/>
      <c r="F625" s="73"/>
      <c r="G625" s="73"/>
      <c r="H625" s="73"/>
      <c r="J625" s="73"/>
    </row>
    <row r="626" spans="1:10" ht="15.75" customHeight="1">
      <c r="A626" s="73"/>
      <c r="B626" s="73"/>
      <c r="C626" s="73"/>
      <c r="D626" s="73"/>
      <c r="E626" s="73"/>
      <c r="F626" s="73"/>
      <c r="G626" s="73"/>
      <c r="H626" s="73"/>
      <c r="J626" s="73"/>
    </row>
    <row r="627" spans="1:10" ht="15.75" customHeight="1">
      <c r="A627" s="73"/>
      <c r="B627" s="73"/>
      <c r="C627" s="73"/>
      <c r="D627" s="73"/>
      <c r="E627" s="73"/>
      <c r="F627" s="73"/>
      <c r="G627" s="73"/>
      <c r="H627" s="73"/>
      <c r="J627" s="73"/>
    </row>
    <row r="628" spans="1:10" ht="15.75" customHeight="1">
      <c r="A628" s="73"/>
      <c r="B628" s="73"/>
      <c r="C628" s="73"/>
      <c r="D628" s="73"/>
      <c r="E628" s="73"/>
      <c r="F628" s="73"/>
      <c r="G628" s="73"/>
      <c r="H628" s="73"/>
      <c r="J628" s="73"/>
    </row>
    <row r="629" spans="1:10" ht="15.75" customHeight="1">
      <c r="A629" s="73"/>
      <c r="B629" s="73"/>
      <c r="C629" s="73"/>
      <c r="D629" s="73"/>
      <c r="E629" s="73"/>
      <c r="F629" s="73"/>
      <c r="G629" s="73"/>
      <c r="H629" s="73"/>
      <c r="J629" s="73"/>
    </row>
    <row r="630" spans="1:10" ht="15.75" customHeight="1">
      <c r="A630" s="73"/>
      <c r="B630" s="73"/>
      <c r="C630" s="73"/>
      <c r="D630" s="73"/>
      <c r="E630" s="73"/>
      <c r="F630" s="73"/>
      <c r="G630" s="73"/>
      <c r="H630" s="73"/>
      <c r="J630" s="73"/>
    </row>
    <row r="631" spans="1:10" ht="15.75" customHeight="1">
      <c r="A631" s="73"/>
      <c r="B631" s="73"/>
      <c r="C631" s="73"/>
      <c r="D631" s="73"/>
      <c r="E631" s="73"/>
      <c r="F631" s="73"/>
      <c r="G631" s="73"/>
      <c r="H631" s="73"/>
      <c r="J631" s="73"/>
    </row>
    <row r="632" spans="1:10" ht="15.75" customHeight="1">
      <c r="A632" s="73"/>
      <c r="B632" s="73"/>
      <c r="C632" s="73"/>
      <c r="D632" s="73"/>
      <c r="E632" s="73"/>
      <c r="F632" s="73"/>
      <c r="G632" s="73"/>
      <c r="H632" s="73"/>
      <c r="J632" s="73"/>
    </row>
    <row r="633" spans="1:10" ht="15.75" customHeight="1">
      <c r="A633" s="73"/>
      <c r="B633" s="73"/>
      <c r="C633" s="73"/>
      <c r="D633" s="73"/>
      <c r="E633" s="73"/>
      <c r="F633" s="73"/>
      <c r="G633" s="73"/>
      <c r="H633" s="73"/>
      <c r="J633" s="73"/>
    </row>
    <row r="634" spans="1:10" ht="15.75" customHeight="1">
      <c r="A634" s="73"/>
      <c r="B634" s="73"/>
      <c r="C634" s="73"/>
      <c r="D634" s="73"/>
      <c r="E634" s="73"/>
      <c r="F634" s="73"/>
      <c r="G634" s="73"/>
      <c r="H634" s="73"/>
      <c r="J634" s="73"/>
    </row>
    <row r="635" spans="1:10" ht="15.75" customHeight="1">
      <c r="A635" s="73"/>
      <c r="B635" s="73"/>
      <c r="C635" s="73"/>
      <c r="D635" s="73"/>
      <c r="E635" s="73"/>
      <c r="F635" s="73"/>
      <c r="G635" s="73"/>
      <c r="H635" s="73"/>
      <c r="J635" s="73"/>
    </row>
    <row r="636" spans="1:10" ht="15.75" customHeight="1">
      <c r="A636" s="73"/>
      <c r="B636" s="73"/>
      <c r="C636" s="73"/>
      <c r="D636" s="73"/>
      <c r="E636" s="73"/>
      <c r="F636" s="73"/>
      <c r="G636" s="73"/>
      <c r="H636" s="73"/>
      <c r="J636" s="73"/>
    </row>
    <row r="637" spans="1:10" ht="15.75" customHeight="1">
      <c r="A637" s="73"/>
      <c r="B637" s="73"/>
      <c r="C637" s="73"/>
      <c r="D637" s="73"/>
      <c r="E637" s="73"/>
      <c r="F637" s="73"/>
      <c r="G637" s="73"/>
      <c r="H637" s="73"/>
      <c r="J637" s="73"/>
    </row>
    <row r="638" spans="1:10" ht="15.75" customHeight="1">
      <c r="A638" s="73"/>
      <c r="B638" s="73"/>
      <c r="C638" s="73"/>
      <c r="D638" s="73"/>
      <c r="E638" s="73"/>
      <c r="F638" s="73"/>
      <c r="G638" s="73"/>
      <c r="H638" s="73"/>
      <c r="J638" s="73"/>
    </row>
    <row r="639" spans="1:10" ht="15.75" customHeight="1">
      <c r="A639" s="73"/>
      <c r="B639" s="73"/>
      <c r="C639" s="73"/>
      <c r="D639" s="73"/>
      <c r="E639" s="73"/>
      <c r="F639" s="73"/>
      <c r="G639" s="73"/>
      <c r="H639" s="73"/>
      <c r="J639" s="73"/>
    </row>
    <row r="640" spans="1:10" ht="15.75" customHeight="1">
      <c r="A640" s="73"/>
      <c r="B640" s="73"/>
      <c r="C640" s="73"/>
      <c r="D640" s="73"/>
      <c r="E640" s="73"/>
      <c r="F640" s="73"/>
      <c r="G640" s="73"/>
      <c r="H640" s="73"/>
      <c r="J640" s="73"/>
    </row>
    <row r="641" spans="1:10" ht="15.75" customHeight="1">
      <c r="A641" s="73"/>
      <c r="B641" s="73"/>
      <c r="C641" s="73"/>
      <c r="D641" s="73"/>
      <c r="E641" s="73"/>
      <c r="F641" s="73"/>
      <c r="G641" s="73"/>
      <c r="H641" s="73"/>
      <c r="J641" s="73"/>
    </row>
    <row r="642" spans="1:10" ht="15.75" customHeight="1">
      <c r="A642" s="73"/>
      <c r="B642" s="73"/>
      <c r="C642" s="73"/>
      <c r="D642" s="73"/>
      <c r="E642" s="73"/>
      <c r="F642" s="73"/>
      <c r="G642" s="73"/>
      <c r="H642" s="73"/>
      <c r="J642" s="73"/>
    </row>
    <row r="643" spans="1:10" ht="15.75" customHeight="1">
      <c r="A643" s="73"/>
      <c r="B643" s="73"/>
      <c r="C643" s="73"/>
      <c r="D643" s="73"/>
      <c r="E643" s="73"/>
      <c r="F643" s="73"/>
      <c r="G643" s="73"/>
      <c r="H643" s="73"/>
      <c r="J643" s="73"/>
    </row>
    <row r="644" spans="1:10" ht="15.75" customHeight="1">
      <c r="A644" s="73"/>
      <c r="B644" s="73"/>
      <c r="C644" s="73"/>
      <c r="D644" s="73"/>
      <c r="E644" s="73"/>
      <c r="F644" s="73"/>
      <c r="G644" s="73"/>
      <c r="H644" s="73"/>
      <c r="J644" s="73"/>
    </row>
    <row r="645" spans="1:10" ht="15.75" customHeight="1">
      <c r="A645" s="73"/>
      <c r="B645" s="73"/>
      <c r="C645" s="73"/>
      <c r="D645" s="73"/>
      <c r="E645" s="73"/>
      <c r="F645" s="73"/>
      <c r="G645" s="73"/>
      <c r="H645" s="73"/>
      <c r="J645" s="73"/>
    </row>
    <row r="646" spans="1:10" ht="15.75" customHeight="1">
      <c r="A646" s="73"/>
      <c r="B646" s="73"/>
      <c r="C646" s="73"/>
      <c r="D646" s="73"/>
      <c r="E646" s="73"/>
      <c r="F646" s="73"/>
      <c r="G646" s="73"/>
      <c r="H646" s="73"/>
      <c r="J646" s="73"/>
    </row>
    <row r="647" spans="1:10" ht="15.75" customHeight="1">
      <c r="A647" s="73"/>
      <c r="B647" s="73"/>
      <c r="C647" s="73"/>
      <c r="D647" s="73"/>
      <c r="E647" s="73"/>
      <c r="F647" s="73"/>
      <c r="G647" s="73"/>
      <c r="H647" s="73"/>
      <c r="J647" s="73"/>
    </row>
    <row r="648" spans="1:10" ht="15.75" customHeight="1">
      <c r="A648" s="73"/>
      <c r="B648" s="73"/>
      <c r="C648" s="73"/>
      <c r="D648" s="73"/>
      <c r="E648" s="73"/>
      <c r="F648" s="73"/>
      <c r="G648" s="73"/>
      <c r="H648" s="73"/>
      <c r="J648" s="73"/>
    </row>
    <row r="649" spans="1:10" ht="15.75" customHeight="1">
      <c r="A649" s="73"/>
      <c r="B649" s="73"/>
      <c r="C649" s="73"/>
      <c r="D649" s="73"/>
      <c r="E649" s="73"/>
      <c r="F649" s="73"/>
      <c r="G649" s="73"/>
      <c r="H649" s="73"/>
      <c r="J649" s="73"/>
    </row>
    <row r="650" spans="1:10" ht="15.75" customHeight="1">
      <c r="A650" s="73"/>
      <c r="B650" s="73"/>
      <c r="C650" s="73"/>
      <c r="D650" s="73"/>
      <c r="E650" s="73"/>
      <c r="F650" s="73"/>
      <c r="G650" s="73"/>
      <c r="H650" s="73"/>
      <c r="J650" s="73"/>
    </row>
    <row r="651" spans="1:10" ht="15.75" customHeight="1">
      <c r="A651" s="73"/>
      <c r="B651" s="73"/>
      <c r="C651" s="73"/>
      <c r="D651" s="73"/>
      <c r="E651" s="73"/>
      <c r="F651" s="73"/>
      <c r="G651" s="73"/>
      <c r="H651" s="73"/>
      <c r="J651" s="73"/>
    </row>
    <row r="652" spans="1:10" ht="15.75" customHeight="1">
      <c r="A652" s="73"/>
      <c r="B652" s="73"/>
      <c r="C652" s="73"/>
      <c r="D652" s="73"/>
      <c r="E652" s="73"/>
      <c r="F652" s="73"/>
      <c r="G652" s="73"/>
      <c r="H652" s="73"/>
      <c r="J652" s="73"/>
    </row>
    <row r="653" spans="1:10" ht="15.75" customHeight="1">
      <c r="A653" s="73"/>
      <c r="B653" s="73"/>
      <c r="C653" s="73"/>
      <c r="D653" s="73"/>
      <c r="E653" s="73"/>
      <c r="F653" s="73"/>
      <c r="G653" s="73"/>
      <c r="H653" s="73"/>
      <c r="J653" s="73"/>
    </row>
    <row r="654" spans="1:10" ht="15.75" customHeight="1">
      <c r="A654" s="73"/>
      <c r="B654" s="73"/>
      <c r="C654" s="73"/>
      <c r="D654" s="73"/>
      <c r="E654" s="73"/>
      <c r="F654" s="73"/>
      <c r="G654" s="73"/>
      <c r="H654" s="73"/>
      <c r="J654" s="73"/>
    </row>
    <row r="655" spans="1:10" ht="15.75" customHeight="1">
      <c r="A655" s="73"/>
      <c r="B655" s="73"/>
      <c r="C655" s="73"/>
      <c r="D655" s="73"/>
      <c r="E655" s="73"/>
      <c r="F655" s="73"/>
      <c r="G655" s="73"/>
      <c r="H655" s="73"/>
      <c r="J655" s="73"/>
    </row>
    <row r="656" spans="1:10" ht="15.75" customHeight="1">
      <c r="A656" s="73"/>
      <c r="B656" s="73"/>
      <c r="C656" s="73"/>
      <c r="D656" s="73"/>
      <c r="E656" s="73"/>
      <c r="F656" s="73"/>
      <c r="G656" s="73"/>
      <c r="H656" s="73"/>
      <c r="J656" s="73"/>
    </row>
    <row r="657" spans="1:10" ht="15.75" customHeight="1">
      <c r="A657" s="73"/>
      <c r="B657" s="73"/>
      <c r="C657" s="73"/>
      <c r="D657" s="73"/>
      <c r="E657" s="73"/>
      <c r="F657" s="73"/>
      <c r="G657" s="73"/>
      <c r="H657" s="73"/>
      <c r="J657" s="73"/>
    </row>
    <row r="658" spans="1:10" ht="15.75" customHeight="1">
      <c r="A658" s="73"/>
      <c r="B658" s="73"/>
      <c r="C658" s="73"/>
      <c r="D658" s="73"/>
      <c r="E658" s="73"/>
      <c r="F658" s="73"/>
      <c r="G658" s="73"/>
      <c r="H658" s="73"/>
      <c r="J658" s="73"/>
    </row>
    <row r="659" spans="1:10" ht="15.75" customHeight="1">
      <c r="A659" s="73"/>
      <c r="B659" s="73"/>
      <c r="C659" s="73"/>
      <c r="D659" s="73"/>
      <c r="E659" s="73"/>
      <c r="F659" s="73"/>
      <c r="G659" s="73"/>
      <c r="H659" s="73"/>
      <c r="J659" s="73"/>
    </row>
    <row r="660" spans="1:10" ht="15.75" customHeight="1">
      <c r="A660" s="73"/>
      <c r="B660" s="73"/>
      <c r="C660" s="73"/>
      <c r="D660" s="73"/>
      <c r="E660" s="73"/>
      <c r="F660" s="73"/>
      <c r="G660" s="73"/>
      <c r="H660" s="73"/>
      <c r="J660" s="73"/>
    </row>
    <row r="661" spans="1:10" ht="15.75" customHeight="1">
      <c r="A661" s="73"/>
      <c r="B661" s="73"/>
      <c r="C661" s="73"/>
      <c r="D661" s="73"/>
      <c r="E661" s="73"/>
      <c r="F661" s="73"/>
      <c r="G661" s="73"/>
      <c r="H661" s="73"/>
      <c r="J661" s="73"/>
    </row>
    <row r="662" spans="1:10" ht="15.75" customHeight="1">
      <c r="A662" s="73"/>
      <c r="B662" s="73"/>
      <c r="C662" s="73"/>
      <c r="D662" s="73"/>
      <c r="E662" s="73"/>
      <c r="F662" s="73"/>
      <c r="G662" s="73"/>
      <c r="H662" s="73"/>
      <c r="J662" s="73"/>
    </row>
    <row r="663" spans="1:10" ht="15.75" customHeight="1">
      <c r="A663" s="73"/>
      <c r="B663" s="73"/>
      <c r="C663" s="73"/>
      <c r="D663" s="73"/>
      <c r="E663" s="73"/>
      <c r="F663" s="73"/>
      <c r="G663" s="73"/>
      <c r="H663" s="73"/>
      <c r="J663" s="73"/>
    </row>
    <row r="664" spans="1:10" ht="15.75" customHeight="1">
      <c r="A664" s="73"/>
      <c r="B664" s="73"/>
      <c r="C664" s="73"/>
      <c r="D664" s="73"/>
      <c r="E664" s="73"/>
      <c r="F664" s="73"/>
      <c r="G664" s="73"/>
      <c r="H664" s="73"/>
      <c r="J664" s="73"/>
    </row>
    <row r="665" spans="1:10" ht="15.75" customHeight="1">
      <c r="A665" s="73"/>
      <c r="B665" s="73"/>
      <c r="C665" s="73"/>
      <c r="D665" s="73"/>
      <c r="E665" s="73"/>
      <c r="F665" s="73"/>
      <c r="G665" s="73"/>
      <c r="H665" s="73"/>
      <c r="J665" s="73"/>
    </row>
    <row r="666" spans="1:10" ht="15.75" customHeight="1">
      <c r="A666" s="73"/>
      <c r="B666" s="73"/>
      <c r="C666" s="73"/>
      <c r="D666" s="73"/>
      <c r="E666" s="73"/>
      <c r="F666" s="73"/>
      <c r="G666" s="73"/>
      <c r="H666" s="73"/>
      <c r="J666" s="73"/>
    </row>
    <row r="667" spans="1:10" ht="15.75" customHeight="1">
      <c r="A667" s="73"/>
      <c r="B667" s="73"/>
      <c r="C667" s="73"/>
      <c r="D667" s="73"/>
      <c r="E667" s="73"/>
      <c r="F667" s="73"/>
      <c r="G667" s="73"/>
      <c r="H667" s="73"/>
      <c r="J667" s="73"/>
    </row>
    <row r="668" spans="1:10" ht="15.75" customHeight="1">
      <c r="A668" s="73"/>
      <c r="B668" s="73"/>
      <c r="C668" s="73"/>
      <c r="D668" s="73"/>
      <c r="E668" s="73"/>
      <c r="F668" s="73"/>
      <c r="G668" s="73"/>
      <c r="H668" s="73"/>
      <c r="J668" s="73"/>
    </row>
    <row r="669" spans="1:10" ht="15.75" customHeight="1">
      <c r="A669" s="73"/>
      <c r="B669" s="73"/>
      <c r="C669" s="73"/>
      <c r="D669" s="73"/>
      <c r="E669" s="73"/>
      <c r="F669" s="73"/>
      <c r="G669" s="73"/>
      <c r="H669" s="73"/>
      <c r="J669" s="73"/>
    </row>
    <row r="670" spans="1:10" ht="15.75" customHeight="1">
      <c r="A670" s="73"/>
      <c r="B670" s="73"/>
      <c r="C670" s="73"/>
      <c r="D670" s="73"/>
      <c r="E670" s="73"/>
      <c r="F670" s="73"/>
      <c r="G670" s="73"/>
      <c r="H670" s="73"/>
      <c r="J670" s="73"/>
    </row>
    <row r="671" spans="1:10" ht="15.75" customHeight="1">
      <c r="A671" s="73"/>
      <c r="B671" s="73"/>
      <c r="C671" s="73"/>
      <c r="D671" s="73"/>
      <c r="E671" s="73"/>
      <c r="F671" s="73"/>
      <c r="G671" s="73"/>
      <c r="H671" s="73"/>
      <c r="J671" s="73"/>
    </row>
    <row r="672" spans="1:10" ht="15.75" customHeight="1">
      <c r="A672" s="73"/>
      <c r="B672" s="73"/>
      <c r="C672" s="73"/>
      <c r="D672" s="73"/>
      <c r="E672" s="73"/>
      <c r="F672" s="73"/>
      <c r="G672" s="73"/>
      <c r="H672" s="73"/>
      <c r="J672" s="73"/>
    </row>
    <row r="673" spans="1:10" ht="15.75" customHeight="1">
      <c r="A673" s="73"/>
      <c r="B673" s="73"/>
      <c r="C673" s="73"/>
      <c r="D673" s="73"/>
      <c r="E673" s="73"/>
      <c r="F673" s="73"/>
      <c r="G673" s="73"/>
      <c r="H673" s="73"/>
      <c r="J673" s="73"/>
    </row>
    <row r="674" spans="1:10" ht="15.75" customHeight="1">
      <c r="A674" s="73"/>
      <c r="B674" s="73"/>
      <c r="C674" s="73"/>
      <c r="D674" s="73"/>
      <c r="E674" s="73"/>
      <c r="F674" s="73"/>
      <c r="G674" s="73"/>
      <c r="H674" s="73"/>
      <c r="J674" s="73"/>
    </row>
    <row r="675" spans="1:10" ht="15.75" customHeight="1">
      <c r="A675" s="73"/>
      <c r="B675" s="73"/>
      <c r="C675" s="73"/>
      <c r="D675" s="73"/>
      <c r="E675" s="73"/>
      <c r="F675" s="73"/>
      <c r="G675" s="73"/>
      <c r="H675" s="73"/>
      <c r="J675" s="73"/>
    </row>
    <row r="676" spans="1:10" ht="15.75" customHeight="1">
      <c r="A676" s="73"/>
      <c r="B676" s="73"/>
      <c r="C676" s="73"/>
      <c r="D676" s="73"/>
      <c r="E676" s="73"/>
      <c r="F676" s="73"/>
      <c r="G676" s="73"/>
      <c r="H676" s="73"/>
      <c r="J676" s="73"/>
    </row>
    <row r="677" spans="1:10" ht="15.75" customHeight="1">
      <c r="A677" s="73"/>
      <c r="B677" s="73"/>
      <c r="C677" s="73"/>
      <c r="D677" s="73"/>
      <c r="E677" s="73"/>
      <c r="F677" s="73"/>
      <c r="G677" s="73"/>
      <c r="H677" s="73"/>
      <c r="J677" s="73"/>
    </row>
    <row r="678" spans="1:10" ht="15.75" customHeight="1">
      <c r="A678" s="73"/>
      <c r="B678" s="73"/>
      <c r="C678" s="73"/>
      <c r="D678" s="73"/>
      <c r="E678" s="73"/>
      <c r="F678" s="73"/>
      <c r="G678" s="73"/>
      <c r="H678" s="73"/>
      <c r="J678" s="73"/>
    </row>
    <row r="679" spans="1:10" ht="15.75" customHeight="1">
      <c r="A679" s="73"/>
      <c r="B679" s="73"/>
      <c r="C679" s="73"/>
      <c r="D679" s="73"/>
      <c r="E679" s="73"/>
      <c r="F679" s="73"/>
      <c r="G679" s="73"/>
      <c r="H679" s="73"/>
      <c r="J679" s="73"/>
    </row>
    <row r="680" spans="1:10" ht="15.75" customHeight="1">
      <c r="A680" s="73"/>
      <c r="B680" s="73"/>
      <c r="C680" s="73"/>
      <c r="D680" s="73"/>
      <c r="E680" s="73"/>
      <c r="F680" s="73"/>
      <c r="G680" s="73"/>
      <c r="H680" s="73"/>
      <c r="J680" s="73"/>
    </row>
    <row r="681" spans="1:10" ht="15.75" customHeight="1">
      <c r="A681" s="73"/>
      <c r="B681" s="73"/>
      <c r="C681" s="73"/>
      <c r="D681" s="73"/>
      <c r="E681" s="73"/>
      <c r="F681" s="73"/>
      <c r="G681" s="73"/>
      <c r="H681" s="73"/>
      <c r="J681" s="73"/>
    </row>
    <row r="682" spans="1:10" ht="15.75" customHeight="1">
      <c r="A682" s="73"/>
      <c r="B682" s="73"/>
      <c r="C682" s="73"/>
      <c r="D682" s="73"/>
      <c r="E682" s="73"/>
      <c r="F682" s="73"/>
      <c r="G682" s="73"/>
      <c r="H682" s="73"/>
      <c r="J682" s="73"/>
    </row>
    <row r="683" spans="1:10" ht="15.75" customHeight="1">
      <c r="A683" s="73"/>
      <c r="B683" s="73"/>
      <c r="C683" s="73"/>
      <c r="D683" s="73"/>
      <c r="E683" s="73"/>
      <c r="F683" s="73"/>
      <c r="G683" s="73"/>
      <c r="H683" s="73"/>
      <c r="J683" s="73"/>
    </row>
    <row r="684" spans="1:10" ht="15.75" customHeight="1">
      <c r="A684" s="73"/>
      <c r="B684" s="73"/>
      <c r="C684" s="73"/>
      <c r="D684" s="73"/>
      <c r="E684" s="73"/>
      <c r="F684" s="73"/>
      <c r="G684" s="73"/>
      <c r="H684" s="73"/>
      <c r="J684" s="73"/>
    </row>
    <row r="685" spans="1:10" ht="15.75" customHeight="1">
      <c r="A685" s="73"/>
      <c r="B685" s="73"/>
      <c r="C685" s="73"/>
      <c r="D685" s="73"/>
      <c r="E685" s="73"/>
      <c r="F685" s="73"/>
      <c r="G685" s="73"/>
      <c r="H685" s="73"/>
      <c r="J685" s="73"/>
    </row>
    <row r="686" spans="1:10" ht="15.75" customHeight="1">
      <c r="A686" s="73"/>
      <c r="B686" s="73"/>
      <c r="C686" s="73"/>
      <c r="D686" s="73"/>
      <c r="E686" s="73"/>
      <c r="F686" s="73"/>
      <c r="G686" s="73"/>
      <c r="H686" s="73"/>
      <c r="J686" s="73"/>
    </row>
    <row r="687" spans="1:10" ht="15.75" customHeight="1">
      <c r="A687" s="73"/>
      <c r="B687" s="73"/>
      <c r="C687" s="73"/>
      <c r="D687" s="73"/>
      <c r="E687" s="73"/>
      <c r="F687" s="73"/>
      <c r="G687" s="73"/>
      <c r="H687" s="73"/>
      <c r="J687" s="73"/>
    </row>
    <row r="688" spans="1:10" ht="15.75" customHeight="1">
      <c r="A688" s="73"/>
      <c r="B688" s="73"/>
      <c r="C688" s="73"/>
      <c r="D688" s="73"/>
      <c r="E688" s="73"/>
      <c r="F688" s="73"/>
      <c r="G688" s="73"/>
      <c r="H688" s="73"/>
      <c r="J688" s="73"/>
    </row>
    <row r="689" spans="1:10" ht="15.75" customHeight="1">
      <c r="A689" s="73"/>
      <c r="B689" s="73"/>
      <c r="C689" s="73"/>
      <c r="D689" s="73"/>
      <c r="E689" s="73"/>
      <c r="F689" s="73"/>
      <c r="G689" s="73"/>
      <c r="H689" s="73"/>
      <c r="J689" s="73"/>
    </row>
    <row r="690" spans="1:10" ht="15.75" customHeight="1">
      <c r="A690" s="73"/>
      <c r="B690" s="73"/>
      <c r="C690" s="73"/>
      <c r="D690" s="73"/>
      <c r="E690" s="73"/>
      <c r="F690" s="73"/>
      <c r="G690" s="73"/>
      <c r="H690" s="73"/>
      <c r="J690" s="73"/>
    </row>
    <row r="691" spans="1:10" ht="15.75" customHeight="1">
      <c r="A691" s="73"/>
      <c r="B691" s="73"/>
      <c r="C691" s="73"/>
      <c r="D691" s="73"/>
      <c r="E691" s="73"/>
      <c r="F691" s="73"/>
      <c r="G691" s="73"/>
      <c r="H691" s="73"/>
      <c r="J691" s="73"/>
    </row>
    <row r="692" spans="1:10" ht="15.75" customHeight="1">
      <c r="A692" s="73"/>
      <c r="B692" s="73"/>
      <c r="C692" s="73"/>
      <c r="D692" s="73"/>
      <c r="E692" s="73"/>
      <c r="F692" s="73"/>
      <c r="G692" s="73"/>
      <c r="H692" s="73"/>
      <c r="J692" s="73"/>
    </row>
    <row r="693" spans="1:10" ht="15.75" customHeight="1">
      <c r="A693" s="73"/>
      <c r="B693" s="73"/>
      <c r="C693" s="73"/>
      <c r="D693" s="73"/>
      <c r="E693" s="73"/>
      <c r="F693" s="73"/>
      <c r="G693" s="73"/>
      <c r="H693" s="73"/>
      <c r="J693" s="73"/>
    </row>
    <row r="694" spans="1:10" ht="15.75" customHeight="1">
      <c r="A694" s="73"/>
      <c r="B694" s="73"/>
      <c r="C694" s="73"/>
      <c r="D694" s="73"/>
      <c r="E694" s="73"/>
      <c r="F694" s="73"/>
      <c r="G694" s="73"/>
      <c r="H694" s="73"/>
      <c r="J694" s="73"/>
    </row>
    <row r="695" spans="1:10" ht="15.75" customHeight="1">
      <c r="A695" s="73"/>
      <c r="B695" s="73"/>
      <c r="C695" s="73"/>
      <c r="D695" s="73"/>
      <c r="E695" s="73"/>
      <c r="F695" s="73"/>
      <c r="G695" s="73"/>
      <c r="H695" s="73"/>
      <c r="J695" s="73"/>
    </row>
    <row r="696" spans="1:10" ht="15.75" customHeight="1">
      <c r="A696" s="73"/>
      <c r="B696" s="73"/>
      <c r="C696" s="73"/>
      <c r="D696" s="73"/>
      <c r="E696" s="73"/>
      <c r="F696" s="73"/>
      <c r="G696" s="73"/>
      <c r="H696" s="73"/>
      <c r="J696" s="73"/>
    </row>
    <row r="697" spans="1:10" ht="15.75" customHeight="1">
      <c r="A697" s="73"/>
      <c r="B697" s="73"/>
      <c r="C697" s="73"/>
      <c r="D697" s="73"/>
      <c r="E697" s="73"/>
      <c r="F697" s="73"/>
      <c r="G697" s="73"/>
      <c r="H697" s="73"/>
      <c r="J697" s="73"/>
    </row>
    <row r="698" spans="1:10" ht="15.75" customHeight="1">
      <c r="A698" s="73"/>
      <c r="B698" s="73"/>
      <c r="C698" s="73"/>
      <c r="D698" s="73"/>
      <c r="E698" s="73"/>
      <c r="F698" s="73"/>
      <c r="G698" s="73"/>
      <c r="H698" s="73"/>
      <c r="J698" s="73"/>
    </row>
    <row r="699" spans="1:10" ht="15.75" customHeight="1">
      <c r="A699" s="73"/>
      <c r="B699" s="73"/>
      <c r="C699" s="73"/>
      <c r="D699" s="73"/>
      <c r="E699" s="73"/>
      <c r="F699" s="73"/>
      <c r="G699" s="73"/>
      <c r="H699" s="73"/>
      <c r="J699" s="73"/>
    </row>
    <row r="700" spans="1:10" ht="15.75" customHeight="1">
      <c r="A700" s="73"/>
      <c r="B700" s="73"/>
      <c r="C700" s="73"/>
      <c r="D700" s="73"/>
      <c r="E700" s="73"/>
      <c r="F700" s="73"/>
      <c r="G700" s="73"/>
      <c r="H700" s="73"/>
      <c r="J700" s="73"/>
    </row>
    <row r="701" spans="1:10" ht="15.75" customHeight="1">
      <c r="A701" s="73"/>
      <c r="B701" s="73"/>
      <c r="C701" s="73"/>
      <c r="D701" s="73"/>
      <c r="E701" s="73"/>
      <c r="F701" s="73"/>
      <c r="G701" s="73"/>
      <c r="H701" s="73"/>
      <c r="J701" s="73"/>
    </row>
    <row r="702" spans="1:10" ht="15.75" customHeight="1">
      <c r="A702" s="73"/>
      <c r="B702" s="73"/>
      <c r="C702" s="73"/>
      <c r="D702" s="73"/>
      <c r="E702" s="73"/>
      <c r="F702" s="73"/>
      <c r="G702" s="73"/>
      <c r="H702" s="73"/>
      <c r="J702" s="73"/>
    </row>
    <row r="703" spans="1:10" ht="15.75" customHeight="1">
      <c r="A703" s="73"/>
      <c r="B703" s="73"/>
      <c r="C703" s="73"/>
      <c r="D703" s="73"/>
      <c r="E703" s="73"/>
      <c r="F703" s="73"/>
      <c r="G703" s="73"/>
      <c r="H703" s="73"/>
      <c r="J703" s="73"/>
    </row>
    <row r="704" spans="1:10" ht="15.75" customHeight="1">
      <c r="A704" s="73"/>
      <c r="B704" s="73"/>
      <c r="C704" s="73"/>
      <c r="D704" s="73"/>
      <c r="E704" s="73"/>
      <c r="F704" s="73"/>
      <c r="G704" s="73"/>
      <c r="H704" s="73"/>
      <c r="J704" s="73"/>
    </row>
    <row r="705" spans="1:10" ht="15.75" customHeight="1">
      <c r="A705" s="73"/>
      <c r="B705" s="73"/>
      <c r="C705" s="73"/>
      <c r="D705" s="73"/>
      <c r="E705" s="73"/>
      <c r="F705" s="73"/>
      <c r="G705" s="73"/>
      <c r="H705" s="73"/>
      <c r="J705" s="73"/>
    </row>
    <row r="706" spans="1:10" ht="15.75" customHeight="1">
      <c r="A706" s="73"/>
      <c r="B706" s="73"/>
      <c r="C706" s="73"/>
      <c r="D706" s="73"/>
      <c r="E706" s="73"/>
      <c r="F706" s="73"/>
      <c r="G706" s="73"/>
      <c r="H706" s="73"/>
      <c r="J706" s="73"/>
    </row>
    <row r="707" spans="1:10" ht="15.75" customHeight="1">
      <c r="A707" s="73"/>
      <c r="B707" s="73"/>
      <c r="C707" s="73"/>
      <c r="D707" s="73"/>
      <c r="E707" s="73"/>
      <c r="F707" s="73"/>
      <c r="G707" s="73"/>
      <c r="H707" s="73"/>
      <c r="J707" s="73"/>
    </row>
    <row r="708" spans="1:10" ht="15.75" customHeight="1">
      <c r="A708" s="73"/>
      <c r="B708" s="73"/>
      <c r="C708" s="73"/>
      <c r="D708" s="73"/>
      <c r="E708" s="73"/>
      <c r="F708" s="73"/>
      <c r="G708" s="73"/>
      <c r="H708" s="73"/>
      <c r="J708" s="73"/>
    </row>
    <row r="709" spans="1:10" ht="15.75" customHeight="1">
      <c r="A709" s="73"/>
      <c r="B709" s="73"/>
      <c r="C709" s="73"/>
      <c r="D709" s="73"/>
      <c r="E709" s="73"/>
      <c r="F709" s="73"/>
      <c r="G709" s="73"/>
      <c r="H709" s="73"/>
      <c r="J709" s="73"/>
    </row>
    <row r="710" spans="1:10" ht="15.75" customHeight="1">
      <c r="A710" s="73"/>
      <c r="B710" s="73"/>
      <c r="C710" s="73"/>
      <c r="D710" s="73"/>
      <c r="E710" s="73"/>
      <c r="F710" s="73"/>
      <c r="G710" s="73"/>
      <c r="H710" s="73"/>
      <c r="J710" s="73"/>
    </row>
    <row r="711" spans="1:10" ht="15.75" customHeight="1">
      <c r="A711" s="73"/>
      <c r="B711" s="73"/>
      <c r="C711" s="73"/>
      <c r="D711" s="73"/>
      <c r="E711" s="73"/>
      <c r="F711" s="73"/>
      <c r="G711" s="73"/>
      <c r="H711" s="73"/>
      <c r="J711" s="73"/>
    </row>
    <row r="712" spans="1:10" ht="15.75" customHeight="1">
      <c r="A712" s="73"/>
      <c r="B712" s="73"/>
      <c r="C712" s="73"/>
      <c r="D712" s="73"/>
      <c r="E712" s="73"/>
      <c r="F712" s="73"/>
      <c r="G712" s="73"/>
      <c r="H712" s="73"/>
      <c r="J712" s="73"/>
    </row>
    <row r="713" spans="1:10" ht="15.75" customHeight="1">
      <c r="A713" s="73"/>
      <c r="B713" s="73"/>
      <c r="C713" s="73"/>
      <c r="D713" s="73"/>
      <c r="E713" s="73"/>
      <c r="F713" s="73"/>
      <c r="G713" s="73"/>
      <c r="H713" s="73"/>
      <c r="J713" s="73"/>
    </row>
    <row r="714" spans="1:10" ht="15.75" customHeight="1">
      <c r="A714" s="73"/>
      <c r="B714" s="73"/>
      <c r="C714" s="73"/>
      <c r="D714" s="73"/>
      <c r="E714" s="73"/>
      <c r="F714" s="73"/>
      <c r="G714" s="73"/>
      <c r="H714" s="73"/>
      <c r="J714" s="73"/>
    </row>
    <row r="715" spans="1:10" ht="15.75" customHeight="1">
      <c r="A715" s="73"/>
      <c r="B715" s="73"/>
      <c r="C715" s="73"/>
      <c r="D715" s="73"/>
      <c r="E715" s="73"/>
      <c r="F715" s="73"/>
      <c r="G715" s="73"/>
      <c r="H715" s="73"/>
      <c r="J715" s="73"/>
    </row>
    <row r="716" spans="1:10" ht="15.75" customHeight="1">
      <c r="A716" s="73"/>
      <c r="B716" s="73"/>
      <c r="C716" s="73"/>
      <c r="D716" s="73"/>
      <c r="E716" s="73"/>
      <c r="F716" s="73"/>
      <c r="G716" s="73"/>
      <c r="H716" s="73"/>
      <c r="J716" s="73"/>
    </row>
    <row r="717" spans="1:10" ht="15.75" customHeight="1">
      <c r="A717" s="73"/>
      <c r="B717" s="73"/>
      <c r="C717" s="73"/>
      <c r="D717" s="73"/>
      <c r="E717" s="73"/>
      <c r="F717" s="73"/>
      <c r="G717" s="73"/>
      <c r="H717" s="73"/>
      <c r="J717" s="73"/>
    </row>
    <row r="718" spans="1:10" ht="15.75" customHeight="1">
      <c r="A718" s="73"/>
      <c r="B718" s="73"/>
      <c r="C718" s="73"/>
      <c r="D718" s="73"/>
      <c r="E718" s="73"/>
      <c r="F718" s="73"/>
      <c r="G718" s="73"/>
      <c r="H718" s="73"/>
      <c r="J718" s="73"/>
    </row>
    <row r="719" spans="1:10" ht="15.75" customHeight="1">
      <c r="A719" s="73"/>
      <c r="B719" s="73"/>
      <c r="C719" s="73"/>
      <c r="D719" s="73"/>
      <c r="E719" s="73"/>
      <c r="F719" s="73"/>
      <c r="G719" s="73"/>
      <c r="H719" s="73"/>
      <c r="J719" s="73"/>
    </row>
    <row r="720" spans="1:10" ht="15.75" customHeight="1">
      <c r="A720" s="73"/>
      <c r="B720" s="73"/>
      <c r="C720" s="73"/>
      <c r="D720" s="73"/>
      <c r="E720" s="73"/>
      <c r="F720" s="73"/>
      <c r="G720" s="73"/>
      <c r="H720" s="73"/>
      <c r="J720" s="73"/>
    </row>
    <row r="721" spans="1:10" ht="15.75" customHeight="1">
      <c r="A721" s="73"/>
      <c r="B721" s="73"/>
      <c r="C721" s="73"/>
      <c r="D721" s="73"/>
      <c r="E721" s="73"/>
      <c r="F721" s="73"/>
      <c r="G721" s="73"/>
      <c r="H721" s="73"/>
      <c r="J721" s="73"/>
    </row>
    <row r="722" spans="1:10" ht="15.75" customHeight="1">
      <c r="A722" s="73"/>
      <c r="B722" s="73"/>
      <c r="C722" s="73"/>
      <c r="D722" s="73"/>
      <c r="E722" s="73"/>
      <c r="F722" s="73"/>
      <c r="G722" s="73"/>
      <c r="H722" s="73"/>
      <c r="J722" s="73"/>
    </row>
    <row r="723" spans="1:10" ht="15.75" customHeight="1">
      <c r="A723" s="73"/>
      <c r="B723" s="73"/>
      <c r="C723" s="73"/>
      <c r="D723" s="73"/>
      <c r="E723" s="73"/>
      <c r="F723" s="73"/>
      <c r="G723" s="73"/>
      <c r="H723" s="73"/>
      <c r="J723" s="73"/>
    </row>
    <row r="724" spans="1:10" ht="15.75" customHeight="1">
      <c r="A724" s="73"/>
      <c r="B724" s="73"/>
      <c r="C724" s="73"/>
      <c r="D724" s="73"/>
      <c r="E724" s="73"/>
      <c r="F724" s="73"/>
      <c r="G724" s="73"/>
      <c r="H724" s="73"/>
      <c r="J724" s="73"/>
    </row>
    <row r="725" spans="1:10" ht="15.75" customHeight="1">
      <c r="A725" s="73"/>
      <c r="B725" s="73"/>
      <c r="C725" s="73"/>
      <c r="D725" s="73"/>
      <c r="E725" s="73"/>
      <c r="F725" s="73"/>
      <c r="G725" s="73"/>
      <c r="H725" s="73"/>
      <c r="J725" s="73"/>
    </row>
    <row r="726" spans="1:10" ht="15.75" customHeight="1">
      <c r="A726" s="73"/>
      <c r="B726" s="73"/>
      <c r="C726" s="73"/>
      <c r="D726" s="73"/>
      <c r="E726" s="73"/>
      <c r="F726" s="73"/>
      <c r="G726" s="73"/>
      <c r="H726" s="73"/>
      <c r="J726" s="73"/>
    </row>
    <row r="727" spans="1:10" ht="15.75" customHeight="1">
      <c r="A727" s="73"/>
      <c r="B727" s="73"/>
      <c r="C727" s="73"/>
      <c r="D727" s="73"/>
      <c r="E727" s="73"/>
      <c r="F727" s="73"/>
      <c r="G727" s="73"/>
      <c r="H727" s="73"/>
      <c r="J727" s="73"/>
    </row>
    <row r="728" spans="1:10" ht="15.75" customHeight="1">
      <c r="A728" s="73"/>
      <c r="B728" s="73"/>
      <c r="C728" s="73"/>
      <c r="D728" s="73"/>
      <c r="E728" s="73"/>
      <c r="F728" s="73"/>
      <c r="G728" s="73"/>
      <c r="H728" s="73"/>
      <c r="J728" s="73"/>
    </row>
    <row r="729" spans="1:10" ht="15.75" customHeight="1">
      <c r="A729" s="73"/>
      <c r="B729" s="73"/>
      <c r="C729" s="73"/>
      <c r="D729" s="73"/>
      <c r="E729" s="73"/>
      <c r="F729" s="73"/>
      <c r="G729" s="73"/>
      <c r="H729" s="73"/>
      <c r="J729" s="73"/>
    </row>
    <row r="730" spans="1:10" ht="15.75" customHeight="1">
      <c r="A730" s="73"/>
      <c r="B730" s="73"/>
      <c r="C730" s="73"/>
      <c r="D730" s="73"/>
      <c r="E730" s="73"/>
      <c r="F730" s="73"/>
      <c r="G730" s="73"/>
      <c r="H730" s="73"/>
      <c r="J730" s="73"/>
    </row>
    <row r="731" spans="1:10" ht="15.75" customHeight="1">
      <c r="A731" s="73"/>
      <c r="B731" s="73"/>
      <c r="C731" s="73"/>
      <c r="D731" s="73"/>
      <c r="E731" s="73"/>
      <c r="F731" s="73"/>
      <c r="G731" s="73"/>
      <c r="H731" s="73"/>
      <c r="J731" s="73"/>
    </row>
    <row r="732" spans="1:10" ht="15.75" customHeight="1">
      <c r="A732" s="73"/>
      <c r="B732" s="73"/>
      <c r="C732" s="73"/>
      <c r="D732" s="73"/>
      <c r="E732" s="73"/>
      <c r="F732" s="73"/>
      <c r="G732" s="73"/>
      <c r="H732" s="73"/>
      <c r="J732" s="73"/>
    </row>
    <row r="733" spans="1:10" ht="15.75" customHeight="1">
      <c r="A733" s="73"/>
      <c r="B733" s="73"/>
      <c r="C733" s="73"/>
      <c r="D733" s="73"/>
      <c r="E733" s="73"/>
      <c r="F733" s="73"/>
      <c r="G733" s="73"/>
      <c r="H733" s="73"/>
      <c r="J733" s="73"/>
    </row>
    <row r="734" spans="1:10" ht="15.75" customHeight="1">
      <c r="A734" s="73"/>
      <c r="B734" s="73"/>
      <c r="C734" s="73"/>
      <c r="D734" s="73"/>
      <c r="E734" s="73"/>
      <c r="F734" s="73"/>
      <c r="G734" s="73"/>
      <c r="H734" s="73"/>
      <c r="J734" s="73"/>
    </row>
    <row r="735" spans="1:10" ht="15.75" customHeight="1">
      <c r="A735" s="73"/>
      <c r="B735" s="73"/>
      <c r="C735" s="73"/>
      <c r="D735" s="73"/>
      <c r="E735" s="73"/>
      <c r="F735" s="73"/>
      <c r="G735" s="73"/>
      <c r="H735" s="73"/>
      <c r="J735" s="73"/>
    </row>
    <row r="736" spans="1:10" ht="15.75" customHeight="1">
      <c r="A736" s="73"/>
      <c r="B736" s="73"/>
      <c r="C736" s="73"/>
      <c r="D736" s="73"/>
      <c r="E736" s="73"/>
      <c r="F736" s="73"/>
      <c r="G736" s="73"/>
      <c r="H736" s="73"/>
      <c r="J736" s="73"/>
    </row>
    <row r="737" spans="1:10" ht="15.75" customHeight="1">
      <c r="A737" s="73"/>
      <c r="B737" s="73"/>
      <c r="C737" s="73"/>
      <c r="D737" s="73"/>
      <c r="E737" s="73"/>
      <c r="F737" s="73"/>
      <c r="G737" s="73"/>
      <c r="H737" s="73"/>
      <c r="J737" s="73"/>
    </row>
    <row r="738" spans="1:10" ht="15.75" customHeight="1">
      <c r="A738" s="73"/>
      <c r="B738" s="73"/>
      <c r="C738" s="73"/>
      <c r="D738" s="73"/>
      <c r="E738" s="73"/>
      <c r="F738" s="73"/>
      <c r="G738" s="73"/>
      <c r="H738" s="73"/>
      <c r="J738" s="73"/>
    </row>
    <row r="739" spans="1:10" ht="15.75" customHeight="1">
      <c r="A739" s="73"/>
      <c r="B739" s="73"/>
      <c r="C739" s="73"/>
      <c r="D739" s="73"/>
      <c r="E739" s="73"/>
      <c r="F739" s="73"/>
      <c r="G739" s="73"/>
      <c r="H739" s="73"/>
      <c r="J739" s="73"/>
    </row>
    <row r="740" spans="1:10" ht="15.75" customHeight="1">
      <c r="A740" s="73"/>
      <c r="B740" s="73"/>
      <c r="C740" s="73"/>
      <c r="D740" s="73"/>
      <c r="E740" s="73"/>
      <c r="F740" s="73"/>
      <c r="G740" s="73"/>
      <c r="H740" s="73"/>
      <c r="J740" s="73"/>
    </row>
    <row r="741" spans="1:10" ht="15.75" customHeight="1">
      <c r="A741" s="73"/>
      <c r="B741" s="73"/>
      <c r="C741" s="73"/>
      <c r="D741" s="73"/>
      <c r="E741" s="73"/>
      <c r="F741" s="73"/>
      <c r="G741" s="73"/>
      <c r="H741" s="73"/>
      <c r="J741" s="73"/>
    </row>
    <row r="742" spans="1:10" ht="15.75" customHeight="1">
      <c r="A742" s="73"/>
      <c r="B742" s="73"/>
      <c r="C742" s="73"/>
      <c r="D742" s="73"/>
      <c r="E742" s="73"/>
      <c r="F742" s="73"/>
      <c r="G742" s="73"/>
      <c r="H742" s="73"/>
      <c r="J742" s="73"/>
    </row>
    <row r="743" spans="1:10" ht="15.75" customHeight="1">
      <c r="A743" s="73"/>
      <c r="B743" s="73"/>
      <c r="C743" s="73"/>
      <c r="D743" s="73"/>
      <c r="E743" s="73"/>
      <c r="F743" s="73"/>
      <c r="G743" s="73"/>
      <c r="H743" s="73"/>
      <c r="J743" s="73"/>
    </row>
    <row r="744" spans="1:10" ht="15.75" customHeight="1">
      <c r="A744" s="73"/>
      <c r="B744" s="73"/>
      <c r="C744" s="73"/>
      <c r="D744" s="73"/>
      <c r="E744" s="73"/>
      <c r="F744" s="73"/>
      <c r="G744" s="73"/>
      <c r="H744" s="73"/>
      <c r="J744" s="73"/>
    </row>
    <row r="745" spans="1:10" ht="15.75" customHeight="1">
      <c r="A745" s="73"/>
      <c r="B745" s="73"/>
      <c r="C745" s="73"/>
      <c r="D745" s="73"/>
      <c r="E745" s="73"/>
      <c r="F745" s="73"/>
      <c r="G745" s="73"/>
      <c r="H745" s="73"/>
      <c r="J745" s="73"/>
    </row>
    <row r="746" spans="1:10" ht="15.75" customHeight="1">
      <c r="A746" s="73"/>
      <c r="B746" s="73"/>
      <c r="C746" s="73"/>
      <c r="D746" s="73"/>
      <c r="E746" s="73"/>
      <c r="F746" s="73"/>
      <c r="G746" s="73"/>
      <c r="H746" s="73"/>
      <c r="J746" s="73"/>
    </row>
    <row r="747" spans="1:10" ht="15.75" customHeight="1">
      <c r="A747" s="73"/>
      <c r="B747" s="73"/>
      <c r="C747" s="73"/>
      <c r="D747" s="73"/>
      <c r="E747" s="73"/>
      <c r="F747" s="73"/>
      <c r="G747" s="73"/>
      <c r="H747" s="73"/>
      <c r="J747" s="73"/>
    </row>
    <row r="748" spans="1:10" ht="15.75" customHeight="1">
      <c r="A748" s="73"/>
      <c r="B748" s="73"/>
      <c r="C748" s="73"/>
      <c r="D748" s="73"/>
      <c r="E748" s="73"/>
      <c r="F748" s="73"/>
      <c r="G748" s="73"/>
      <c r="H748" s="73"/>
      <c r="J748" s="73"/>
    </row>
    <row r="749" spans="1:10" ht="15.75" customHeight="1">
      <c r="A749" s="73"/>
      <c r="B749" s="73"/>
      <c r="C749" s="73"/>
      <c r="D749" s="73"/>
      <c r="E749" s="73"/>
      <c r="F749" s="73"/>
      <c r="G749" s="73"/>
      <c r="H749" s="73"/>
      <c r="J749" s="73"/>
    </row>
    <row r="750" spans="1:10" ht="15.75" customHeight="1">
      <c r="A750" s="73"/>
      <c r="B750" s="73"/>
      <c r="C750" s="73"/>
      <c r="D750" s="73"/>
      <c r="E750" s="73"/>
      <c r="F750" s="73"/>
      <c r="G750" s="73"/>
      <c r="H750" s="73"/>
      <c r="J750" s="73"/>
    </row>
    <row r="751" spans="1:10" ht="15.75" customHeight="1">
      <c r="A751" s="73"/>
      <c r="B751" s="73"/>
      <c r="C751" s="73"/>
      <c r="D751" s="73"/>
      <c r="E751" s="73"/>
      <c r="F751" s="73"/>
      <c r="G751" s="73"/>
      <c r="H751" s="73"/>
      <c r="J751" s="73"/>
    </row>
    <row r="752" spans="1:10" ht="15.75" customHeight="1">
      <c r="A752" s="73"/>
      <c r="B752" s="73"/>
      <c r="C752" s="73"/>
      <c r="D752" s="73"/>
      <c r="E752" s="73"/>
      <c r="F752" s="73"/>
      <c r="G752" s="73"/>
      <c r="H752" s="73"/>
      <c r="J752" s="73"/>
    </row>
    <row r="753" spans="1:10" ht="15.75" customHeight="1">
      <c r="A753" s="73"/>
      <c r="B753" s="73"/>
      <c r="C753" s="73"/>
      <c r="D753" s="73"/>
      <c r="E753" s="73"/>
      <c r="F753" s="73"/>
      <c r="G753" s="73"/>
      <c r="H753" s="73"/>
      <c r="J753" s="73"/>
    </row>
    <row r="754" spans="1:10" ht="15.75" customHeight="1">
      <c r="A754" s="73"/>
      <c r="B754" s="73"/>
      <c r="C754" s="73"/>
      <c r="D754" s="73"/>
      <c r="E754" s="73"/>
      <c r="F754" s="73"/>
      <c r="G754" s="73"/>
      <c r="H754" s="73"/>
      <c r="J754" s="73"/>
    </row>
    <row r="755" spans="1:10" ht="15.75" customHeight="1">
      <c r="A755" s="73"/>
      <c r="B755" s="73"/>
      <c r="C755" s="73"/>
      <c r="D755" s="73"/>
      <c r="E755" s="73"/>
      <c r="F755" s="73"/>
      <c r="G755" s="73"/>
      <c r="H755" s="73"/>
      <c r="J755" s="73"/>
    </row>
    <row r="756" spans="1:10" ht="15.75" customHeight="1">
      <c r="A756" s="73"/>
      <c r="B756" s="73"/>
      <c r="C756" s="73"/>
      <c r="D756" s="73"/>
      <c r="E756" s="73"/>
      <c r="F756" s="73"/>
      <c r="G756" s="73"/>
      <c r="H756" s="73"/>
      <c r="J756" s="73"/>
    </row>
    <row r="757" spans="1:10" ht="15.75" customHeight="1">
      <c r="A757" s="73"/>
      <c r="B757" s="73"/>
      <c r="C757" s="73"/>
      <c r="D757" s="73"/>
      <c r="E757" s="73"/>
      <c r="F757" s="73"/>
      <c r="G757" s="73"/>
      <c r="H757" s="73"/>
      <c r="J757" s="73"/>
    </row>
    <row r="758" spans="1:10" ht="15.75" customHeight="1">
      <c r="A758" s="73"/>
      <c r="B758" s="73"/>
      <c r="C758" s="73"/>
      <c r="D758" s="73"/>
      <c r="E758" s="73"/>
      <c r="F758" s="73"/>
      <c r="G758" s="73"/>
      <c r="H758" s="73"/>
      <c r="J758" s="73"/>
    </row>
    <row r="759" spans="1:10" ht="15.75" customHeight="1">
      <c r="A759" s="73"/>
      <c r="B759" s="73"/>
      <c r="C759" s="73"/>
      <c r="D759" s="73"/>
      <c r="E759" s="73"/>
      <c r="F759" s="73"/>
      <c r="G759" s="73"/>
      <c r="H759" s="73"/>
      <c r="J759" s="73"/>
    </row>
    <row r="760" spans="1:10" ht="15.75" customHeight="1">
      <c r="A760" s="73"/>
      <c r="B760" s="73"/>
      <c r="C760" s="73"/>
      <c r="D760" s="73"/>
      <c r="E760" s="73"/>
      <c r="F760" s="73"/>
      <c r="G760" s="73"/>
      <c r="H760" s="73"/>
      <c r="J760" s="73"/>
    </row>
    <row r="761" spans="1:10" ht="15.75" customHeight="1">
      <c r="A761" s="73"/>
      <c r="B761" s="73"/>
      <c r="C761" s="73"/>
      <c r="D761" s="73"/>
      <c r="E761" s="73"/>
      <c r="F761" s="73"/>
      <c r="G761" s="73"/>
      <c r="H761" s="73"/>
      <c r="J761" s="73"/>
    </row>
    <row r="762" spans="1:10" ht="15.75" customHeight="1">
      <c r="A762" s="73"/>
      <c r="B762" s="73"/>
      <c r="C762" s="73"/>
      <c r="D762" s="73"/>
      <c r="E762" s="73"/>
      <c r="F762" s="73"/>
      <c r="G762" s="73"/>
      <c r="H762" s="73"/>
      <c r="J762" s="73"/>
    </row>
    <row r="763" spans="1:10" ht="15.75" customHeight="1">
      <c r="A763" s="73"/>
      <c r="B763" s="73"/>
      <c r="C763" s="73"/>
      <c r="D763" s="73"/>
      <c r="E763" s="73"/>
      <c r="F763" s="73"/>
      <c r="G763" s="73"/>
      <c r="H763" s="73"/>
      <c r="J763" s="73"/>
    </row>
    <row r="764" spans="1:10" ht="15.75" customHeight="1">
      <c r="A764" s="73"/>
      <c r="B764" s="73"/>
      <c r="C764" s="73"/>
      <c r="D764" s="73"/>
      <c r="E764" s="73"/>
      <c r="F764" s="73"/>
      <c r="G764" s="73"/>
      <c r="H764" s="73"/>
      <c r="J764" s="73"/>
    </row>
    <row r="765" spans="1:10" ht="15.75" customHeight="1">
      <c r="A765" s="73"/>
      <c r="B765" s="73"/>
      <c r="C765" s="73"/>
      <c r="D765" s="73"/>
      <c r="E765" s="73"/>
      <c r="F765" s="73"/>
      <c r="G765" s="73"/>
      <c r="H765" s="73"/>
      <c r="J765" s="73"/>
    </row>
    <row r="766" spans="1:10" ht="15.75" customHeight="1">
      <c r="A766" s="73"/>
      <c r="B766" s="73"/>
      <c r="C766" s="73"/>
      <c r="D766" s="73"/>
      <c r="E766" s="73"/>
      <c r="F766" s="73"/>
      <c r="G766" s="73"/>
      <c r="H766" s="73"/>
      <c r="J766" s="73"/>
    </row>
    <row r="767" spans="1:10" ht="15.75" customHeight="1">
      <c r="A767" s="73"/>
      <c r="B767" s="73"/>
      <c r="C767" s="73"/>
      <c r="D767" s="73"/>
      <c r="E767" s="73"/>
      <c r="F767" s="73"/>
      <c r="G767" s="73"/>
      <c r="H767" s="73"/>
      <c r="J767" s="73"/>
    </row>
    <row r="768" spans="1:10" ht="15.75" customHeight="1">
      <c r="A768" s="73"/>
      <c r="B768" s="73"/>
      <c r="C768" s="73"/>
      <c r="D768" s="73"/>
      <c r="E768" s="73"/>
      <c r="F768" s="73"/>
      <c r="G768" s="73"/>
      <c r="H768" s="73"/>
      <c r="J768" s="73"/>
    </row>
    <row r="769" spans="1:10" ht="15.75" customHeight="1">
      <c r="A769" s="73"/>
      <c r="B769" s="73"/>
      <c r="C769" s="73"/>
      <c r="D769" s="73"/>
      <c r="E769" s="73"/>
      <c r="F769" s="73"/>
      <c r="G769" s="73"/>
      <c r="H769" s="73"/>
      <c r="J769" s="73"/>
    </row>
    <row r="770" spans="1:10" ht="15.75" customHeight="1">
      <c r="A770" s="73"/>
      <c r="B770" s="73"/>
      <c r="C770" s="73"/>
      <c r="D770" s="73"/>
      <c r="E770" s="73"/>
      <c r="F770" s="73"/>
      <c r="G770" s="73"/>
      <c r="H770" s="73"/>
      <c r="J770" s="73"/>
    </row>
    <row r="771" spans="1:10" ht="15.75" customHeight="1">
      <c r="A771" s="73"/>
      <c r="B771" s="73"/>
      <c r="C771" s="73"/>
      <c r="D771" s="73"/>
      <c r="E771" s="73"/>
      <c r="F771" s="73"/>
      <c r="G771" s="73"/>
      <c r="H771" s="73"/>
      <c r="J771" s="73"/>
    </row>
    <row r="772" spans="1:10" ht="15.75" customHeight="1">
      <c r="A772" s="73"/>
      <c r="B772" s="73"/>
      <c r="C772" s="73"/>
      <c r="D772" s="73"/>
      <c r="E772" s="73"/>
      <c r="F772" s="73"/>
      <c r="G772" s="73"/>
      <c r="H772" s="73"/>
      <c r="J772" s="73"/>
    </row>
    <row r="773" spans="1:10" ht="15.75" customHeight="1">
      <c r="A773" s="73"/>
      <c r="B773" s="73"/>
      <c r="C773" s="73"/>
      <c r="D773" s="73"/>
      <c r="E773" s="73"/>
      <c r="F773" s="73"/>
      <c r="G773" s="73"/>
      <c r="H773" s="73"/>
      <c r="J773" s="73"/>
    </row>
    <row r="774" spans="1:10" ht="15.75" customHeight="1">
      <c r="A774" s="73"/>
      <c r="B774" s="73"/>
      <c r="C774" s="73"/>
      <c r="D774" s="73"/>
      <c r="E774" s="73"/>
      <c r="F774" s="73"/>
      <c r="G774" s="73"/>
      <c r="H774" s="73"/>
      <c r="J774" s="73"/>
    </row>
    <row r="775" spans="1:10" ht="15.75" customHeight="1">
      <c r="A775" s="73"/>
      <c r="B775" s="73"/>
      <c r="C775" s="73"/>
      <c r="D775" s="73"/>
      <c r="E775" s="73"/>
      <c r="F775" s="73"/>
      <c r="G775" s="73"/>
      <c r="H775" s="73"/>
      <c r="J775" s="73"/>
    </row>
    <row r="776" spans="1:10" ht="15.75" customHeight="1">
      <c r="A776" s="73"/>
      <c r="B776" s="73"/>
      <c r="C776" s="73"/>
      <c r="D776" s="73"/>
      <c r="E776" s="73"/>
      <c r="F776" s="73"/>
      <c r="G776" s="73"/>
      <c r="H776" s="73"/>
      <c r="J776" s="73"/>
    </row>
    <row r="777" spans="1:10" ht="15.75" customHeight="1">
      <c r="A777" s="73"/>
      <c r="B777" s="73"/>
      <c r="C777" s="73"/>
      <c r="D777" s="73"/>
      <c r="E777" s="73"/>
      <c r="F777" s="73"/>
      <c r="G777" s="73"/>
      <c r="H777" s="73"/>
      <c r="J777" s="73"/>
    </row>
    <row r="778" spans="1:10" ht="15.75" customHeight="1">
      <c r="A778" s="73"/>
      <c r="B778" s="73"/>
      <c r="C778" s="73"/>
      <c r="D778" s="73"/>
      <c r="E778" s="73"/>
      <c r="F778" s="73"/>
      <c r="G778" s="73"/>
      <c r="H778" s="73"/>
      <c r="J778" s="73"/>
    </row>
    <row r="779" spans="1:10" ht="15.75" customHeight="1">
      <c r="A779" s="73"/>
      <c r="B779" s="73"/>
      <c r="C779" s="73"/>
      <c r="D779" s="73"/>
      <c r="E779" s="73"/>
      <c r="F779" s="73"/>
      <c r="G779" s="73"/>
      <c r="H779" s="73"/>
      <c r="J779" s="73"/>
    </row>
    <row r="780" spans="1:10" ht="15.75" customHeight="1">
      <c r="A780" s="73"/>
      <c r="B780" s="73"/>
      <c r="C780" s="73"/>
      <c r="D780" s="73"/>
      <c r="E780" s="73"/>
      <c r="F780" s="73"/>
      <c r="G780" s="73"/>
      <c r="H780" s="73"/>
      <c r="J780" s="73"/>
    </row>
    <row r="781" spans="1:10" ht="15.75" customHeight="1">
      <c r="A781" s="73"/>
      <c r="B781" s="73"/>
      <c r="C781" s="73"/>
      <c r="D781" s="73"/>
      <c r="E781" s="73"/>
      <c r="F781" s="73"/>
      <c r="G781" s="73"/>
      <c r="H781" s="73"/>
      <c r="J781" s="73"/>
    </row>
    <row r="782" spans="1:10" ht="15.75" customHeight="1">
      <c r="A782" s="73"/>
      <c r="B782" s="73"/>
      <c r="C782" s="73"/>
      <c r="D782" s="73"/>
      <c r="E782" s="73"/>
      <c r="F782" s="73"/>
      <c r="G782" s="73"/>
      <c r="H782" s="73"/>
      <c r="J782" s="73"/>
    </row>
    <row r="783" spans="1:10" ht="15.75" customHeight="1">
      <c r="A783" s="73"/>
      <c r="B783" s="73"/>
      <c r="C783" s="73"/>
      <c r="D783" s="73"/>
      <c r="E783" s="73"/>
      <c r="F783" s="73"/>
      <c r="G783" s="73"/>
      <c r="H783" s="73"/>
      <c r="J783" s="73"/>
    </row>
    <row r="784" spans="1:10" ht="15.75" customHeight="1">
      <c r="A784" s="73"/>
      <c r="B784" s="73"/>
      <c r="C784" s="73"/>
      <c r="D784" s="73"/>
      <c r="E784" s="73"/>
      <c r="F784" s="73"/>
      <c r="G784" s="73"/>
      <c r="H784" s="73"/>
      <c r="J784" s="73"/>
    </row>
    <row r="785" spans="1:10" ht="15.75" customHeight="1">
      <c r="A785" s="73"/>
      <c r="B785" s="73"/>
      <c r="C785" s="73"/>
      <c r="D785" s="73"/>
      <c r="E785" s="73"/>
      <c r="F785" s="73"/>
      <c r="G785" s="73"/>
      <c r="H785" s="73"/>
      <c r="J785" s="73"/>
    </row>
    <row r="786" spans="1:10" ht="15.75" customHeight="1">
      <c r="A786" s="73"/>
      <c r="B786" s="73"/>
      <c r="C786" s="73"/>
      <c r="D786" s="73"/>
      <c r="E786" s="73"/>
      <c r="F786" s="73"/>
      <c r="G786" s="73"/>
      <c r="H786" s="73"/>
      <c r="J786" s="73"/>
    </row>
    <row r="787" spans="1:10" ht="15.75" customHeight="1">
      <c r="A787" s="73"/>
      <c r="B787" s="73"/>
      <c r="C787" s="73"/>
      <c r="D787" s="73"/>
      <c r="E787" s="73"/>
      <c r="F787" s="73"/>
      <c r="G787" s="73"/>
      <c r="H787" s="73"/>
      <c r="J787" s="73"/>
    </row>
    <row r="788" spans="1:10" ht="15.75" customHeight="1">
      <c r="A788" s="73"/>
      <c r="B788" s="73"/>
      <c r="C788" s="73"/>
      <c r="D788" s="73"/>
      <c r="E788" s="73"/>
      <c r="F788" s="73"/>
      <c r="G788" s="73"/>
      <c r="H788" s="73"/>
      <c r="J788" s="73"/>
    </row>
    <row r="789" spans="1:10" ht="15.75" customHeight="1">
      <c r="A789" s="73"/>
      <c r="B789" s="73"/>
      <c r="C789" s="73"/>
      <c r="D789" s="73"/>
      <c r="E789" s="73"/>
      <c r="F789" s="73"/>
      <c r="G789" s="73"/>
      <c r="H789" s="73"/>
      <c r="J789" s="73"/>
    </row>
    <row r="790" spans="1:10" ht="15.75" customHeight="1">
      <c r="A790" s="73"/>
      <c r="B790" s="73"/>
      <c r="C790" s="73"/>
      <c r="D790" s="73"/>
      <c r="E790" s="73"/>
      <c r="F790" s="73"/>
      <c r="G790" s="73"/>
      <c r="H790" s="73"/>
      <c r="J790" s="73"/>
    </row>
    <row r="791" spans="1:10" ht="15.75" customHeight="1">
      <c r="A791" s="73"/>
      <c r="B791" s="73"/>
      <c r="C791" s="73"/>
      <c r="D791" s="73"/>
      <c r="E791" s="73"/>
      <c r="F791" s="73"/>
      <c r="G791" s="73"/>
      <c r="H791" s="73"/>
      <c r="J791" s="73"/>
    </row>
    <row r="792" spans="1:10" ht="15.75" customHeight="1">
      <c r="A792" s="73"/>
      <c r="B792" s="73"/>
      <c r="C792" s="73"/>
      <c r="D792" s="73"/>
      <c r="E792" s="73"/>
      <c r="F792" s="73"/>
      <c r="G792" s="73"/>
      <c r="H792" s="73"/>
      <c r="J792" s="73"/>
    </row>
    <row r="793" spans="1:10" ht="15.75" customHeight="1">
      <c r="A793" s="73"/>
      <c r="B793" s="73"/>
      <c r="C793" s="73"/>
      <c r="D793" s="73"/>
      <c r="E793" s="73"/>
      <c r="F793" s="73"/>
      <c r="G793" s="73"/>
      <c r="H793" s="73"/>
      <c r="J793" s="73"/>
    </row>
    <row r="794" spans="1:10" ht="15.75" customHeight="1">
      <c r="A794" s="73"/>
      <c r="B794" s="73"/>
      <c r="C794" s="73"/>
      <c r="D794" s="73"/>
      <c r="E794" s="73"/>
      <c r="F794" s="73"/>
      <c r="G794" s="73"/>
      <c r="H794" s="73"/>
      <c r="J794" s="73"/>
    </row>
    <row r="795" spans="1:10" ht="15.75" customHeight="1">
      <c r="A795" s="73"/>
      <c r="B795" s="73"/>
      <c r="C795" s="73"/>
      <c r="D795" s="73"/>
      <c r="E795" s="73"/>
      <c r="F795" s="73"/>
      <c r="G795" s="73"/>
      <c r="H795" s="73"/>
      <c r="J795" s="73"/>
    </row>
    <row r="796" spans="1:10" ht="15.75" customHeight="1">
      <c r="A796" s="73"/>
      <c r="B796" s="73"/>
      <c r="C796" s="73"/>
      <c r="D796" s="73"/>
      <c r="E796" s="73"/>
      <c r="F796" s="73"/>
      <c r="G796" s="73"/>
      <c r="H796" s="73"/>
      <c r="J796" s="73"/>
    </row>
    <row r="797" spans="1:10" ht="15.75" customHeight="1">
      <c r="A797" s="73"/>
      <c r="B797" s="73"/>
      <c r="C797" s="73"/>
      <c r="D797" s="73"/>
      <c r="E797" s="73"/>
      <c r="F797" s="73"/>
      <c r="G797" s="73"/>
      <c r="H797" s="73"/>
      <c r="J797" s="73"/>
    </row>
    <row r="798" spans="1:10" ht="15.75" customHeight="1">
      <c r="A798" s="73"/>
      <c r="B798" s="73"/>
      <c r="C798" s="73"/>
      <c r="D798" s="73"/>
      <c r="E798" s="73"/>
      <c r="F798" s="73"/>
      <c r="G798" s="73"/>
      <c r="H798" s="73"/>
      <c r="J798" s="73"/>
    </row>
    <row r="799" spans="1:10" ht="15.75" customHeight="1">
      <c r="A799" s="73"/>
      <c r="B799" s="73"/>
      <c r="C799" s="73"/>
      <c r="D799" s="73"/>
      <c r="E799" s="73"/>
      <c r="F799" s="73"/>
      <c r="G799" s="73"/>
      <c r="H799" s="73"/>
      <c r="J799" s="73"/>
    </row>
    <row r="800" spans="1:10" ht="15.75" customHeight="1">
      <c r="A800" s="73"/>
      <c r="B800" s="73"/>
      <c r="C800" s="73"/>
      <c r="D800" s="73"/>
      <c r="E800" s="73"/>
      <c r="F800" s="73"/>
      <c r="G800" s="73"/>
      <c r="H800" s="73"/>
      <c r="J800" s="73"/>
    </row>
    <row r="801" spans="1:10" ht="15.75" customHeight="1">
      <c r="A801" s="73"/>
      <c r="B801" s="73"/>
      <c r="C801" s="73"/>
      <c r="D801" s="73"/>
      <c r="E801" s="73"/>
      <c r="F801" s="73"/>
      <c r="G801" s="73"/>
      <c r="H801" s="73"/>
      <c r="J801" s="73"/>
    </row>
    <row r="802" spans="1:10" ht="15.75" customHeight="1">
      <c r="A802" s="73"/>
      <c r="B802" s="73"/>
      <c r="C802" s="73"/>
      <c r="D802" s="73"/>
      <c r="E802" s="73"/>
      <c r="F802" s="73"/>
      <c r="G802" s="73"/>
      <c r="H802" s="73"/>
      <c r="J802" s="73"/>
    </row>
    <row r="803" spans="1:10" ht="15.75" customHeight="1">
      <c r="A803" s="73"/>
      <c r="B803" s="73"/>
      <c r="C803" s="73"/>
      <c r="D803" s="73"/>
      <c r="E803" s="73"/>
      <c r="F803" s="73"/>
      <c r="G803" s="73"/>
      <c r="H803" s="73"/>
      <c r="J803" s="73"/>
    </row>
    <row r="804" spans="1:10" ht="15.75" customHeight="1">
      <c r="A804" s="73"/>
      <c r="B804" s="73"/>
      <c r="C804" s="73"/>
      <c r="D804" s="73"/>
      <c r="E804" s="73"/>
      <c r="F804" s="73"/>
      <c r="G804" s="73"/>
      <c r="H804" s="73"/>
      <c r="J804" s="73"/>
    </row>
    <row r="805" spans="1:10" ht="15.75" customHeight="1">
      <c r="A805" s="73"/>
      <c r="B805" s="73"/>
      <c r="C805" s="73"/>
      <c r="D805" s="73"/>
      <c r="E805" s="73"/>
      <c r="F805" s="73"/>
      <c r="G805" s="73"/>
      <c r="H805" s="73"/>
      <c r="J805" s="73"/>
    </row>
    <row r="806" spans="1:10" ht="15.75" customHeight="1">
      <c r="A806" s="73"/>
      <c r="B806" s="73"/>
      <c r="C806" s="73"/>
      <c r="D806" s="73"/>
      <c r="E806" s="73"/>
      <c r="F806" s="73"/>
      <c r="G806" s="73"/>
      <c r="H806" s="73"/>
      <c r="J806" s="73"/>
    </row>
    <row r="807" spans="1:10" ht="15.75" customHeight="1">
      <c r="A807" s="73"/>
      <c r="B807" s="73"/>
      <c r="C807" s="73"/>
      <c r="D807" s="73"/>
      <c r="E807" s="73"/>
      <c r="F807" s="73"/>
      <c r="G807" s="73"/>
      <c r="H807" s="73"/>
      <c r="J807" s="73"/>
    </row>
    <row r="808" spans="1:10" ht="15.75" customHeight="1">
      <c r="A808" s="73"/>
      <c r="B808" s="73"/>
      <c r="C808" s="73"/>
      <c r="D808" s="73"/>
      <c r="E808" s="73"/>
      <c r="F808" s="73"/>
      <c r="G808" s="73"/>
      <c r="H808" s="73"/>
      <c r="J808" s="73"/>
    </row>
    <row r="809" spans="1:10" ht="15.75" customHeight="1">
      <c r="A809" s="73"/>
      <c r="B809" s="73"/>
      <c r="C809" s="73"/>
      <c r="D809" s="73"/>
      <c r="E809" s="73"/>
      <c r="F809" s="73"/>
      <c r="G809" s="73"/>
      <c r="H809" s="73"/>
      <c r="J809" s="73"/>
    </row>
    <row r="810" spans="1:10" ht="15.75" customHeight="1">
      <c r="A810" s="73"/>
      <c r="B810" s="73"/>
      <c r="C810" s="73"/>
      <c r="D810" s="73"/>
      <c r="E810" s="73"/>
      <c r="F810" s="73"/>
      <c r="G810" s="73"/>
      <c r="H810" s="73"/>
      <c r="J810" s="73"/>
    </row>
    <row r="811" spans="1:10" ht="15.75" customHeight="1">
      <c r="A811" s="73"/>
      <c r="B811" s="73"/>
      <c r="C811" s="73"/>
      <c r="D811" s="73"/>
      <c r="E811" s="73"/>
      <c r="F811" s="73"/>
      <c r="G811" s="73"/>
      <c r="H811" s="73"/>
      <c r="J811" s="73"/>
    </row>
    <row r="812" spans="1:10" ht="15.75" customHeight="1">
      <c r="A812" s="73"/>
      <c r="B812" s="73"/>
      <c r="C812" s="73"/>
      <c r="D812" s="73"/>
      <c r="E812" s="73"/>
      <c r="F812" s="73"/>
      <c r="G812" s="73"/>
      <c r="H812" s="73"/>
      <c r="J812" s="73"/>
    </row>
    <row r="813" spans="1:10" ht="15.75" customHeight="1">
      <c r="A813" s="73"/>
      <c r="B813" s="73"/>
      <c r="C813" s="73"/>
      <c r="D813" s="73"/>
      <c r="E813" s="73"/>
      <c r="F813" s="73"/>
      <c r="G813" s="73"/>
      <c r="H813" s="73"/>
      <c r="J813" s="73"/>
    </row>
    <row r="814" spans="1:10" ht="15.75" customHeight="1">
      <c r="A814" s="73"/>
      <c r="B814" s="73"/>
      <c r="C814" s="73"/>
      <c r="D814" s="73"/>
      <c r="E814" s="73"/>
      <c r="F814" s="73"/>
      <c r="G814" s="73"/>
      <c r="H814" s="73"/>
      <c r="J814" s="73"/>
    </row>
    <row r="815" spans="1:10" ht="15.75" customHeight="1">
      <c r="A815" s="73"/>
      <c r="B815" s="73"/>
      <c r="C815" s="73"/>
      <c r="D815" s="73"/>
      <c r="E815" s="73"/>
      <c r="F815" s="73"/>
      <c r="G815" s="73"/>
      <c r="H815" s="73"/>
      <c r="J815" s="73"/>
    </row>
    <row r="816" spans="1:10" ht="15.75" customHeight="1">
      <c r="A816" s="73"/>
      <c r="B816" s="73"/>
      <c r="C816" s="73"/>
      <c r="D816" s="73"/>
      <c r="E816" s="73"/>
      <c r="F816" s="73"/>
      <c r="G816" s="73"/>
      <c r="H816" s="73"/>
      <c r="J816" s="73"/>
    </row>
    <row r="817" spans="1:10" ht="15.75" customHeight="1">
      <c r="A817" s="73"/>
      <c r="B817" s="73"/>
      <c r="C817" s="73"/>
      <c r="D817" s="73"/>
      <c r="E817" s="73"/>
      <c r="F817" s="73"/>
      <c r="G817" s="73"/>
      <c r="H817" s="73"/>
      <c r="J817" s="73"/>
    </row>
    <row r="818" spans="1:10" ht="15.75" customHeight="1">
      <c r="A818" s="73"/>
      <c r="B818" s="73"/>
      <c r="C818" s="73"/>
      <c r="D818" s="73"/>
      <c r="E818" s="73"/>
      <c r="F818" s="73"/>
      <c r="G818" s="73"/>
      <c r="H818" s="73"/>
      <c r="J818" s="73"/>
    </row>
    <row r="819" spans="1:10" ht="15.75" customHeight="1">
      <c r="A819" s="73"/>
      <c r="B819" s="73"/>
      <c r="C819" s="73"/>
      <c r="D819" s="73"/>
      <c r="E819" s="73"/>
      <c r="F819" s="73"/>
      <c r="G819" s="73"/>
      <c r="H819" s="73"/>
      <c r="J819" s="73"/>
    </row>
    <row r="820" spans="1:10" ht="15.75" customHeight="1">
      <c r="A820" s="73"/>
      <c r="B820" s="73"/>
      <c r="C820" s="73"/>
      <c r="D820" s="73"/>
      <c r="E820" s="73"/>
      <c r="F820" s="73"/>
      <c r="G820" s="73"/>
      <c r="H820" s="73"/>
      <c r="J820" s="73"/>
    </row>
    <row r="821" spans="1:10" ht="15.75" customHeight="1">
      <c r="A821" s="73"/>
      <c r="B821" s="73"/>
      <c r="C821" s="73"/>
      <c r="D821" s="73"/>
      <c r="E821" s="73"/>
      <c r="F821" s="73"/>
      <c r="G821" s="73"/>
      <c r="H821" s="73"/>
      <c r="J821" s="73"/>
    </row>
    <row r="822" spans="1:10" ht="15.75" customHeight="1">
      <c r="A822" s="73"/>
      <c r="B822" s="73"/>
      <c r="C822" s="73"/>
      <c r="D822" s="73"/>
      <c r="E822" s="73"/>
      <c r="F822" s="73"/>
      <c r="G822" s="73"/>
      <c r="H822" s="73"/>
      <c r="J822" s="73"/>
    </row>
    <row r="823" spans="1:10" ht="15.75" customHeight="1">
      <c r="A823" s="73"/>
      <c r="B823" s="73"/>
      <c r="C823" s="73"/>
      <c r="D823" s="73"/>
      <c r="E823" s="73"/>
      <c r="F823" s="73"/>
      <c r="G823" s="73"/>
      <c r="H823" s="73"/>
      <c r="J823" s="73"/>
    </row>
    <row r="824" spans="1:10" ht="15.75" customHeight="1">
      <c r="A824" s="73"/>
      <c r="B824" s="73"/>
      <c r="C824" s="73"/>
      <c r="D824" s="73"/>
      <c r="E824" s="73"/>
      <c r="F824" s="73"/>
      <c r="G824" s="73"/>
      <c r="H824" s="73"/>
      <c r="J824" s="73"/>
    </row>
    <row r="825" spans="1:10" ht="15.75" customHeight="1">
      <c r="A825" s="73"/>
      <c r="B825" s="73"/>
      <c r="C825" s="73"/>
      <c r="D825" s="73"/>
      <c r="E825" s="73"/>
      <c r="F825" s="73"/>
      <c r="G825" s="73"/>
      <c r="H825" s="73"/>
      <c r="J825" s="73"/>
    </row>
    <row r="826" spans="1:10" ht="15.75" customHeight="1">
      <c r="A826" s="73"/>
      <c r="B826" s="73"/>
      <c r="C826" s="73"/>
      <c r="D826" s="73"/>
      <c r="E826" s="73"/>
      <c r="F826" s="73"/>
      <c r="G826" s="73"/>
      <c r="H826" s="73"/>
      <c r="J826" s="73"/>
    </row>
    <row r="827" spans="1:10" ht="15.75" customHeight="1">
      <c r="A827" s="73"/>
      <c r="B827" s="73"/>
      <c r="C827" s="73"/>
      <c r="D827" s="73"/>
      <c r="E827" s="73"/>
      <c r="F827" s="73"/>
      <c r="G827" s="73"/>
      <c r="H827" s="73"/>
      <c r="J827" s="73"/>
    </row>
    <row r="828" spans="1:10" ht="15.75" customHeight="1">
      <c r="A828" s="73"/>
      <c r="B828" s="73"/>
      <c r="C828" s="73"/>
      <c r="D828" s="73"/>
      <c r="E828" s="73"/>
      <c r="F828" s="73"/>
      <c r="G828" s="73"/>
      <c r="H828" s="73"/>
      <c r="J828" s="73"/>
    </row>
    <row r="829" spans="1:10" ht="15.75" customHeight="1">
      <c r="A829" s="73"/>
      <c r="B829" s="73"/>
      <c r="C829" s="73"/>
      <c r="D829" s="73"/>
      <c r="E829" s="73"/>
      <c r="F829" s="73"/>
      <c r="G829" s="73"/>
      <c r="H829" s="73"/>
      <c r="J829" s="73"/>
    </row>
    <row r="830" spans="1:10" ht="15.75" customHeight="1">
      <c r="A830" s="73"/>
      <c r="B830" s="73"/>
      <c r="C830" s="73"/>
      <c r="D830" s="73"/>
      <c r="E830" s="73"/>
      <c r="F830" s="73"/>
      <c r="G830" s="73"/>
      <c r="H830" s="73"/>
      <c r="J830" s="73"/>
    </row>
    <row r="831" spans="1:10" ht="15.75" customHeight="1">
      <c r="A831" s="73"/>
      <c r="B831" s="73"/>
      <c r="C831" s="73"/>
      <c r="D831" s="73"/>
      <c r="E831" s="73"/>
      <c r="F831" s="73"/>
      <c r="G831" s="73"/>
      <c r="H831" s="73"/>
      <c r="J831" s="73"/>
    </row>
    <row r="832" spans="1:10" ht="15.75" customHeight="1">
      <c r="A832" s="73"/>
      <c r="B832" s="73"/>
      <c r="C832" s="73"/>
      <c r="D832" s="73"/>
      <c r="E832" s="73"/>
      <c r="F832" s="73"/>
      <c r="G832" s="73"/>
      <c r="H832" s="73"/>
      <c r="J832" s="73"/>
    </row>
    <row r="833" spans="1:10" ht="15.75" customHeight="1">
      <c r="A833" s="73"/>
      <c r="B833" s="73"/>
      <c r="C833" s="73"/>
      <c r="D833" s="73"/>
      <c r="E833" s="73"/>
      <c r="F833" s="73"/>
      <c r="G833" s="73"/>
      <c r="H833" s="73"/>
      <c r="J833" s="73"/>
    </row>
    <row r="834" spans="1:10" ht="15.75" customHeight="1">
      <c r="A834" s="73"/>
      <c r="B834" s="73"/>
      <c r="C834" s="73"/>
      <c r="D834" s="73"/>
      <c r="E834" s="73"/>
      <c r="F834" s="73"/>
      <c r="G834" s="73"/>
      <c r="H834" s="73"/>
      <c r="J834" s="73"/>
    </row>
    <row r="835" spans="1:10" ht="15.75" customHeight="1">
      <c r="A835" s="73"/>
      <c r="B835" s="73"/>
      <c r="C835" s="73"/>
      <c r="D835" s="73"/>
      <c r="E835" s="73"/>
      <c r="F835" s="73"/>
      <c r="G835" s="73"/>
      <c r="H835" s="73"/>
      <c r="J835" s="73"/>
    </row>
    <row r="836" spans="1:10" ht="15.75" customHeight="1">
      <c r="A836" s="73"/>
      <c r="B836" s="73"/>
      <c r="C836" s="73"/>
      <c r="D836" s="73"/>
      <c r="E836" s="73"/>
      <c r="F836" s="73"/>
      <c r="G836" s="73"/>
      <c r="H836" s="73"/>
      <c r="J836" s="73"/>
    </row>
    <row r="837" spans="1:10" ht="15.75" customHeight="1">
      <c r="A837" s="73"/>
      <c r="B837" s="73"/>
      <c r="C837" s="73"/>
      <c r="D837" s="73"/>
      <c r="E837" s="73"/>
      <c r="F837" s="73"/>
      <c r="G837" s="73"/>
      <c r="H837" s="73"/>
      <c r="J837" s="73"/>
    </row>
    <row r="838" spans="1:10" ht="15.75" customHeight="1">
      <c r="A838" s="73"/>
      <c r="B838" s="73"/>
      <c r="C838" s="73"/>
      <c r="D838" s="73"/>
      <c r="E838" s="73"/>
      <c r="F838" s="73"/>
      <c r="G838" s="73"/>
      <c r="H838" s="73"/>
      <c r="J838" s="73"/>
    </row>
    <row r="839" spans="1:10" ht="15.75" customHeight="1">
      <c r="A839" s="73"/>
      <c r="B839" s="73"/>
      <c r="C839" s="73"/>
      <c r="D839" s="73"/>
      <c r="E839" s="73"/>
      <c r="F839" s="73"/>
      <c r="G839" s="73"/>
      <c r="H839" s="73"/>
      <c r="J839" s="73"/>
    </row>
    <row r="840" spans="1:10" ht="15.75" customHeight="1">
      <c r="A840" s="73"/>
      <c r="B840" s="73"/>
      <c r="C840" s="73"/>
      <c r="D840" s="73"/>
      <c r="E840" s="73"/>
      <c r="F840" s="73"/>
      <c r="G840" s="73"/>
      <c r="H840" s="73"/>
      <c r="J840" s="73"/>
    </row>
    <row r="841" spans="1:10" ht="15.75" customHeight="1">
      <c r="A841" s="73"/>
      <c r="B841" s="73"/>
      <c r="C841" s="73"/>
      <c r="D841" s="73"/>
      <c r="E841" s="73"/>
      <c r="F841" s="73"/>
      <c r="G841" s="73"/>
      <c r="H841" s="73"/>
      <c r="J841" s="73"/>
    </row>
    <row r="842" spans="1:10" ht="15.75" customHeight="1">
      <c r="A842" s="73"/>
      <c r="B842" s="73"/>
      <c r="C842" s="73"/>
      <c r="D842" s="73"/>
      <c r="E842" s="73"/>
      <c r="F842" s="73"/>
      <c r="G842" s="73"/>
      <c r="H842" s="73"/>
      <c r="J842" s="73"/>
    </row>
    <row r="843" spans="1:10" ht="15.75" customHeight="1">
      <c r="A843" s="73"/>
      <c r="B843" s="73"/>
      <c r="C843" s="73"/>
      <c r="D843" s="73"/>
      <c r="E843" s="73"/>
      <c r="F843" s="73"/>
      <c r="G843" s="73"/>
      <c r="H843" s="73"/>
      <c r="J843" s="73"/>
    </row>
    <row r="844" spans="1:10" ht="15.75" customHeight="1">
      <c r="A844" s="73"/>
      <c r="B844" s="73"/>
      <c r="C844" s="73"/>
      <c r="D844" s="73"/>
      <c r="E844" s="73"/>
      <c r="F844" s="73"/>
      <c r="G844" s="73"/>
      <c r="H844" s="73"/>
      <c r="J844" s="73"/>
    </row>
    <row r="845" spans="1:10" ht="15.75" customHeight="1">
      <c r="A845" s="73"/>
      <c r="B845" s="73"/>
      <c r="C845" s="73"/>
      <c r="D845" s="73"/>
      <c r="E845" s="73"/>
      <c r="F845" s="73"/>
      <c r="G845" s="73"/>
      <c r="H845" s="73"/>
      <c r="J845" s="73"/>
    </row>
    <row r="846" spans="1:10" ht="15.75" customHeight="1">
      <c r="A846" s="73"/>
      <c r="B846" s="73"/>
      <c r="C846" s="73"/>
      <c r="D846" s="73"/>
      <c r="E846" s="73"/>
      <c r="F846" s="73"/>
      <c r="G846" s="73"/>
      <c r="H846" s="73"/>
      <c r="J846" s="73"/>
    </row>
    <row r="847" spans="1:10" ht="15.75" customHeight="1">
      <c r="A847" s="73"/>
      <c r="B847" s="73"/>
      <c r="C847" s="73"/>
      <c r="D847" s="73"/>
      <c r="E847" s="73"/>
      <c r="F847" s="73"/>
      <c r="G847" s="73"/>
      <c r="H847" s="73"/>
      <c r="J847" s="73"/>
    </row>
    <row r="848" spans="1:10" ht="15.75" customHeight="1">
      <c r="A848" s="73"/>
      <c r="B848" s="73"/>
      <c r="C848" s="73"/>
      <c r="D848" s="73"/>
      <c r="E848" s="73"/>
      <c r="F848" s="73"/>
      <c r="G848" s="73"/>
      <c r="H848" s="73"/>
      <c r="J848" s="73"/>
    </row>
    <row r="849" spans="1:10" ht="15.75" customHeight="1">
      <c r="A849" s="73"/>
      <c r="B849" s="73"/>
      <c r="C849" s="73"/>
      <c r="D849" s="73"/>
      <c r="E849" s="73"/>
      <c r="F849" s="73"/>
      <c r="G849" s="73"/>
      <c r="H849" s="73"/>
      <c r="J849" s="73"/>
    </row>
    <row r="850" spans="1:10" ht="15.75" customHeight="1">
      <c r="A850" s="73"/>
      <c r="B850" s="73"/>
      <c r="C850" s="73"/>
      <c r="D850" s="73"/>
      <c r="E850" s="73"/>
      <c r="F850" s="73"/>
      <c r="G850" s="73"/>
      <c r="H850" s="73"/>
      <c r="J850" s="73"/>
    </row>
    <row r="851" spans="1:10" ht="15.75" customHeight="1">
      <c r="A851" s="73"/>
      <c r="B851" s="73"/>
      <c r="C851" s="73"/>
      <c r="D851" s="73"/>
      <c r="E851" s="73"/>
      <c r="F851" s="73"/>
      <c r="G851" s="73"/>
      <c r="H851" s="73"/>
      <c r="J851" s="73"/>
    </row>
    <row r="852" spans="1:10" ht="15.75" customHeight="1">
      <c r="A852" s="73"/>
      <c r="B852" s="73"/>
      <c r="C852" s="73"/>
      <c r="D852" s="73"/>
      <c r="E852" s="73"/>
      <c r="F852" s="73"/>
      <c r="G852" s="73"/>
      <c r="H852" s="73"/>
      <c r="J852" s="73"/>
    </row>
    <row r="853" spans="1:10" ht="15.75" customHeight="1">
      <c r="A853" s="73"/>
      <c r="B853" s="73"/>
      <c r="C853" s="73"/>
      <c r="D853" s="73"/>
      <c r="E853" s="73"/>
      <c r="F853" s="73"/>
      <c r="G853" s="73"/>
      <c r="H853" s="73"/>
      <c r="J853" s="73"/>
    </row>
    <row r="854" spans="1:10" ht="15.75" customHeight="1">
      <c r="A854" s="73"/>
      <c r="B854" s="73"/>
      <c r="C854" s="73"/>
      <c r="D854" s="73"/>
      <c r="E854" s="73"/>
      <c r="F854" s="73"/>
      <c r="G854" s="73"/>
      <c r="H854" s="73"/>
      <c r="J854" s="73"/>
    </row>
    <row r="855" spans="1:10" ht="15.75" customHeight="1">
      <c r="A855" s="73"/>
      <c r="B855" s="73"/>
      <c r="C855" s="73"/>
      <c r="D855" s="73"/>
      <c r="E855" s="73"/>
      <c r="F855" s="73"/>
      <c r="G855" s="73"/>
      <c r="H855" s="73"/>
      <c r="J855" s="73"/>
    </row>
    <row r="856" spans="1:10" ht="15.75" customHeight="1">
      <c r="A856" s="73"/>
      <c r="B856" s="73"/>
      <c r="C856" s="73"/>
      <c r="D856" s="73"/>
      <c r="E856" s="73"/>
      <c r="F856" s="73"/>
      <c r="G856" s="73"/>
      <c r="H856" s="73"/>
      <c r="J856" s="73"/>
    </row>
    <row r="857" spans="1:10" ht="15.75" customHeight="1">
      <c r="A857" s="73"/>
      <c r="B857" s="73"/>
      <c r="C857" s="73"/>
      <c r="D857" s="73"/>
      <c r="E857" s="73"/>
      <c r="F857" s="73"/>
      <c r="G857" s="73"/>
      <c r="H857" s="73"/>
      <c r="J857" s="73"/>
    </row>
    <row r="858" spans="1:10" ht="15.75" customHeight="1">
      <c r="A858" s="73"/>
      <c r="B858" s="73"/>
      <c r="C858" s="73"/>
      <c r="D858" s="73"/>
      <c r="E858" s="73"/>
      <c r="F858" s="73"/>
      <c r="G858" s="73"/>
      <c r="H858" s="73"/>
      <c r="J858" s="73"/>
    </row>
    <row r="859" spans="1:10" ht="15.75" customHeight="1">
      <c r="A859" s="73"/>
      <c r="B859" s="73"/>
      <c r="C859" s="73"/>
      <c r="D859" s="73"/>
      <c r="E859" s="73"/>
      <c r="F859" s="73"/>
      <c r="G859" s="73"/>
      <c r="H859" s="73"/>
      <c r="J859" s="73"/>
    </row>
    <row r="860" spans="1:10" ht="15.75" customHeight="1">
      <c r="A860" s="73"/>
      <c r="B860" s="73"/>
      <c r="C860" s="73"/>
      <c r="D860" s="73"/>
      <c r="E860" s="73"/>
      <c r="F860" s="73"/>
      <c r="G860" s="73"/>
      <c r="H860" s="73"/>
      <c r="J860" s="73"/>
    </row>
    <row r="861" spans="1:10" ht="15.75" customHeight="1">
      <c r="A861" s="73"/>
      <c r="B861" s="73"/>
      <c r="C861" s="73"/>
      <c r="D861" s="73"/>
      <c r="E861" s="73"/>
      <c r="F861" s="73"/>
      <c r="G861" s="73"/>
      <c r="H861" s="73"/>
      <c r="J861" s="73"/>
    </row>
    <row r="862" spans="1:10" ht="15.75" customHeight="1">
      <c r="A862" s="73"/>
      <c r="B862" s="73"/>
      <c r="C862" s="73"/>
      <c r="D862" s="73"/>
      <c r="E862" s="73"/>
      <c r="F862" s="73"/>
      <c r="G862" s="73"/>
      <c r="H862" s="73"/>
      <c r="J862" s="73"/>
    </row>
    <row r="863" spans="1:10" ht="15.75" customHeight="1">
      <c r="A863" s="73"/>
      <c r="B863" s="73"/>
      <c r="C863" s="73"/>
      <c r="D863" s="73"/>
      <c r="E863" s="73"/>
      <c r="F863" s="73"/>
      <c r="G863" s="73"/>
      <c r="H863" s="73"/>
      <c r="J863" s="73"/>
    </row>
    <row r="864" spans="1:10" ht="15.75" customHeight="1">
      <c r="A864" s="73"/>
      <c r="B864" s="73"/>
      <c r="C864" s="73"/>
      <c r="D864" s="73"/>
      <c r="E864" s="73"/>
      <c r="F864" s="73"/>
      <c r="G864" s="73"/>
      <c r="H864" s="73"/>
      <c r="J864" s="73"/>
    </row>
    <row r="865" spans="1:10" ht="15.75" customHeight="1">
      <c r="A865" s="73"/>
      <c r="B865" s="73"/>
      <c r="C865" s="73"/>
      <c r="D865" s="73"/>
      <c r="E865" s="73"/>
      <c r="F865" s="73"/>
      <c r="G865" s="73"/>
      <c r="H865" s="73"/>
      <c r="J865" s="73"/>
    </row>
    <row r="866" spans="1:10" ht="15.75" customHeight="1">
      <c r="A866" s="73"/>
      <c r="B866" s="73"/>
      <c r="C866" s="73"/>
      <c r="D866" s="73"/>
      <c r="E866" s="73"/>
      <c r="F866" s="73"/>
      <c r="G866" s="73"/>
      <c r="H866" s="73"/>
      <c r="J866" s="73"/>
    </row>
    <row r="867" spans="1:10" ht="15.75" customHeight="1">
      <c r="A867" s="73"/>
      <c r="B867" s="73"/>
      <c r="C867" s="73"/>
      <c r="D867" s="73"/>
      <c r="E867" s="73"/>
      <c r="F867" s="73"/>
      <c r="G867" s="73"/>
      <c r="H867" s="73"/>
      <c r="J867" s="73"/>
    </row>
    <row r="868" spans="1:10" ht="15.75" customHeight="1">
      <c r="A868" s="73"/>
      <c r="B868" s="73"/>
      <c r="C868" s="73"/>
      <c r="D868" s="73"/>
      <c r="E868" s="73"/>
      <c r="F868" s="73"/>
      <c r="G868" s="73"/>
      <c r="H868" s="73"/>
      <c r="J868" s="73"/>
    </row>
    <row r="869" spans="1:10" ht="15.75" customHeight="1">
      <c r="A869" s="73"/>
      <c r="B869" s="73"/>
      <c r="C869" s="73"/>
      <c r="D869" s="73"/>
      <c r="E869" s="73"/>
      <c r="F869" s="73"/>
      <c r="G869" s="73"/>
      <c r="H869" s="73"/>
      <c r="J869" s="73"/>
    </row>
    <row r="870" spans="1:10" ht="15.75" customHeight="1">
      <c r="A870" s="73"/>
      <c r="B870" s="73"/>
      <c r="C870" s="73"/>
      <c r="D870" s="73"/>
      <c r="E870" s="73"/>
      <c r="F870" s="73"/>
      <c r="G870" s="73"/>
      <c r="H870" s="73"/>
      <c r="J870" s="73"/>
    </row>
    <row r="871" spans="1:10" ht="15.75" customHeight="1">
      <c r="A871" s="73"/>
      <c r="B871" s="73"/>
      <c r="C871" s="73"/>
      <c r="D871" s="73"/>
      <c r="E871" s="73"/>
      <c r="F871" s="73"/>
      <c r="G871" s="73"/>
      <c r="H871" s="73"/>
      <c r="J871" s="73"/>
    </row>
    <row r="872" spans="1:10" ht="15.75" customHeight="1">
      <c r="A872" s="73"/>
      <c r="B872" s="73"/>
      <c r="C872" s="73"/>
      <c r="D872" s="73"/>
      <c r="E872" s="73"/>
      <c r="F872" s="73"/>
      <c r="G872" s="73"/>
      <c r="H872" s="73"/>
      <c r="J872" s="73"/>
    </row>
    <row r="873" spans="1:10" ht="15.75" customHeight="1">
      <c r="A873" s="73"/>
      <c r="B873" s="73"/>
      <c r="C873" s="73"/>
      <c r="D873" s="73"/>
      <c r="E873" s="73"/>
      <c r="F873" s="73"/>
      <c r="G873" s="73"/>
      <c r="H873" s="73"/>
      <c r="J873" s="73"/>
    </row>
    <row r="874" spans="1:10" ht="15.75" customHeight="1">
      <c r="A874" s="73"/>
      <c r="B874" s="73"/>
      <c r="C874" s="73"/>
      <c r="D874" s="73"/>
      <c r="E874" s="73"/>
      <c r="F874" s="73"/>
      <c r="G874" s="73"/>
      <c r="H874" s="73"/>
      <c r="J874" s="73"/>
    </row>
    <row r="875" spans="1:10" ht="15.75" customHeight="1">
      <c r="A875" s="73"/>
      <c r="B875" s="73"/>
      <c r="C875" s="73"/>
      <c r="D875" s="73"/>
      <c r="E875" s="73"/>
      <c r="F875" s="73"/>
      <c r="G875" s="73"/>
      <c r="H875" s="73"/>
      <c r="J875" s="73"/>
    </row>
    <row r="876" spans="1:10" ht="15.75" customHeight="1">
      <c r="A876" s="73"/>
      <c r="B876" s="73"/>
      <c r="C876" s="73"/>
      <c r="D876" s="73"/>
      <c r="E876" s="73"/>
      <c r="F876" s="73"/>
      <c r="G876" s="73"/>
      <c r="H876" s="73"/>
      <c r="J876" s="73"/>
    </row>
    <row r="877" spans="1:10" ht="15.75" customHeight="1">
      <c r="A877" s="73"/>
      <c r="B877" s="73"/>
      <c r="C877" s="73"/>
      <c r="D877" s="73"/>
      <c r="E877" s="73"/>
      <c r="F877" s="73"/>
      <c r="G877" s="73"/>
      <c r="H877" s="73"/>
      <c r="J877" s="73"/>
    </row>
    <row r="878" spans="1:10" ht="15.75" customHeight="1">
      <c r="A878" s="73"/>
      <c r="B878" s="73"/>
      <c r="C878" s="73"/>
      <c r="D878" s="73"/>
      <c r="E878" s="73"/>
      <c r="F878" s="73"/>
      <c r="G878" s="73"/>
      <c r="H878" s="73"/>
      <c r="J878" s="73"/>
    </row>
    <row r="879" spans="1:10" ht="15.75" customHeight="1">
      <c r="A879" s="73"/>
      <c r="B879" s="73"/>
      <c r="C879" s="73"/>
      <c r="D879" s="73"/>
      <c r="E879" s="73"/>
      <c r="F879" s="73"/>
      <c r="G879" s="73"/>
      <c r="H879" s="73"/>
      <c r="J879" s="73"/>
    </row>
    <row r="880" spans="1:10" ht="15.75" customHeight="1">
      <c r="A880" s="73"/>
      <c r="B880" s="73"/>
      <c r="C880" s="73"/>
      <c r="D880" s="73"/>
      <c r="E880" s="73"/>
      <c r="F880" s="73"/>
      <c r="G880" s="73"/>
      <c r="H880" s="73"/>
      <c r="J880" s="73"/>
    </row>
    <row r="881" spans="1:10" ht="15.75" customHeight="1">
      <c r="A881" s="73"/>
      <c r="B881" s="73"/>
      <c r="C881" s="73"/>
      <c r="D881" s="73"/>
      <c r="E881" s="73"/>
      <c r="F881" s="73"/>
      <c r="G881" s="73"/>
      <c r="H881" s="73"/>
      <c r="J881" s="73"/>
    </row>
    <row r="882" spans="1:10" ht="15.75" customHeight="1">
      <c r="A882" s="73"/>
      <c r="B882" s="73"/>
      <c r="C882" s="73"/>
      <c r="D882" s="73"/>
      <c r="E882" s="73"/>
      <c r="F882" s="73"/>
      <c r="G882" s="73"/>
      <c r="H882" s="73"/>
      <c r="J882" s="73"/>
    </row>
    <row r="883" spans="1:10" ht="15.75" customHeight="1">
      <c r="A883" s="73"/>
      <c r="B883" s="73"/>
      <c r="C883" s="73"/>
      <c r="D883" s="73"/>
      <c r="E883" s="73"/>
      <c r="F883" s="73"/>
      <c r="G883" s="73"/>
      <c r="H883" s="73"/>
      <c r="J883" s="73"/>
    </row>
    <row r="884" spans="1:10" ht="15.75" customHeight="1">
      <c r="A884" s="73"/>
      <c r="B884" s="73"/>
      <c r="C884" s="73"/>
      <c r="D884" s="73"/>
      <c r="E884" s="73"/>
      <c r="F884" s="73"/>
      <c r="G884" s="73"/>
      <c r="H884" s="73"/>
      <c r="J884" s="73"/>
    </row>
    <row r="885" spans="1:10" ht="15.75" customHeight="1">
      <c r="A885" s="73"/>
      <c r="B885" s="73"/>
      <c r="C885" s="73"/>
      <c r="D885" s="73"/>
      <c r="E885" s="73"/>
      <c r="F885" s="73"/>
      <c r="G885" s="73"/>
      <c r="H885" s="73"/>
      <c r="J885" s="73"/>
    </row>
    <row r="886" spans="1:10" ht="15.75" customHeight="1">
      <c r="A886" s="73"/>
      <c r="B886" s="73"/>
      <c r="C886" s="73"/>
      <c r="D886" s="73"/>
      <c r="E886" s="73"/>
      <c r="F886" s="73"/>
      <c r="G886" s="73"/>
      <c r="H886" s="73"/>
      <c r="J886" s="73"/>
    </row>
    <row r="887" spans="1:10" ht="15.75" customHeight="1">
      <c r="A887" s="73"/>
      <c r="B887" s="73"/>
      <c r="C887" s="73"/>
      <c r="D887" s="73"/>
      <c r="E887" s="73"/>
      <c r="F887" s="73"/>
      <c r="G887" s="73"/>
      <c r="H887" s="73"/>
      <c r="J887" s="73"/>
    </row>
    <row r="888" spans="1:10" ht="15.75" customHeight="1">
      <c r="A888" s="73"/>
      <c r="B888" s="73"/>
      <c r="C888" s="73"/>
      <c r="D888" s="73"/>
      <c r="E888" s="73"/>
      <c r="F888" s="73"/>
      <c r="G888" s="73"/>
      <c r="H888" s="73"/>
      <c r="J888" s="73"/>
    </row>
    <row r="889" spans="1:10" ht="15.75" customHeight="1">
      <c r="A889" s="73"/>
      <c r="B889" s="73"/>
      <c r="C889" s="73"/>
      <c r="D889" s="73"/>
      <c r="E889" s="73"/>
      <c r="F889" s="73"/>
      <c r="G889" s="73"/>
      <c r="H889" s="73"/>
      <c r="J889" s="73"/>
    </row>
    <row r="890" spans="1:10" ht="15.75" customHeight="1">
      <c r="A890" s="73"/>
      <c r="B890" s="73"/>
      <c r="C890" s="73"/>
      <c r="D890" s="73"/>
      <c r="E890" s="73"/>
      <c r="F890" s="73"/>
      <c r="G890" s="73"/>
      <c r="H890" s="73"/>
      <c r="J890" s="73"/>
    </row>
    <row r="891" spans="1:10" ht="15.75" customHeight="1">
      <c r="A891" s="73"/>
      <c r="B891" s="73"/>
      <c r="C891" s="73"/>
      <c r="D891" s="73"/>
      <c r="E891" s="73"/>
      <c r="F891" s="73"/>
      <c r="G891" s="73"/>
      <c r="H891" s="73"/>
      <c r="J891" s="73"/>
    </row>
    <row r="892" spans="1:10" ht="15.75" customHeight="1">
      <c r="A892" s="73"/>
      <c r="B892" s="73"/>
      <c r="C892" s="73"/>
      <c r="D892" s="73"/>
      <c r="E892" s="73"/>
      <c r="F892" s="73"/>
      <c r="G892" s="73"/>
      <c r="H892" s="73"/>
      <c r="J892" s="73"/>
    </row>
    <row r="893" spans="1:10" ht="15.75" customHeight="1">
      <c r="A893" s="73"/>
      <c r="B893" s="73"/>
      <c r="C893" s="73"/>
      <c r="D893" s="73"/>
      <c r="E893" s="73"/>
      <c r="F893" s="73"/>
      <c r="G893" s="73"/>
      <c r="H893" s="73"/>
      <c r="J893" s="73"/>
    </row>
    <row r="894" spans="1:10" ht="15.75" customHeight="1">
      <c r="A894" s="73"/>
      <c r="B894" s="73"/>
      <c r="C894" s="73"/>
      <c r="D894" s="73"/>
      <c r="E894" s="73"/>
      <c r="F894" s="73"/>
      <c r="G894" s="73"/>
      <c r="H894" s="73"/>
      <c r="J894" s="73"/>
    </row>
    <row r="895" spans="1:10" ht="15.75" customHeight="1">
      <c r="A895" s="73"/>
      <c r="B895" s="73"/>
      <c r="C895" s="73"/>
      <c r="D895" s="73"/>
      <c r="E895" s="73"/>
      <c r="F895" s="73"/>
      <c r="G895" s="73"/>
      <c r="H895" s="73"/>
      <c r="J895" s="73"/>
    </row>
    <row r="896" spans="1:10" ht="15.75" customHeight="1">
      <c r="A896" s="73"/>
      <c r="B896" s="73"/>
      <c r="C896" s="73"/>
      <c r="D896" s="73"/>
      <c r="E896" s="73"/>
      <c r="F896" s="73"/>
      <c r="G896" s="73"/>
      <c r="H896" s="73"/>
      <c r="J896" s="73"/>
    </row>
    <row r="897" spans="1:10" ht="15.75" customHeight="1">
      <c r="A897" s="73"/>
      <c r="B897" s="73"/>
      <c r="C897" s="73"/>
      <c r="D897" s="73"/>
      <c r="E897" s="73"/>
      <c r="F897" s="73"/>
      <c r="G897" s="73"/>
      <c r="H897" s="73"/>
      <c r="J897" s="73"/>
    </row>
    <row r="898" spans="1:10" ht="15.75" customHeight="1">
      <c r="A898" s="73"/>
      <c r="B898" s="73"/>
      <c r="C898" s="73"/>
      <c r="D898" s="73"/>
      <c r="E898" s="73"/>
      <c r="F898" s="73"/>
      <c r="G898" s="73"/>
      <c r="H898" s="73"/>
      <c r="J898" s="73"/>
    </row>
    <row r="899" spans="1:10" ht="15.75" customHeight="1">
      <c r="A899" s="73"/>
      <c r="B899" s="73"/>
      <c r="C899" s="73"/>
      <c r="D899" s="73"/>
      <c r="E899" s="73"/>
      <c r="F899" s="73"/>
      <c r="G899" s="73"/>
      <c r="H899" s="73"/>
      <c r="J899" s="73"/>
    </row>
    <row r="900" spans="1:10" ht="15.75" customHeight="1">
      <c r="A900" s="73"/>
      <c r="B900" s="73"/>
      <c r="C900" s="73"/>
      <c r="D900" s="73"/>
      <c r="E900" s="73"/>
      <c r="F900" s="73"/>
      <c r="G900" s="73"/>
      <c r="H900" s="73"/>
      <c r="J900" s="73"/>
    </row>
    <row r="901" spans="1:10" ht="15.75" customHeight="1">
      <c r="A901" s="73"/>
      <c r="B901" s="73"/>
      <c r="C901" s="73"/>
      <c r="D901" s="73"/>
      <c r="E901" s="73"/>
      <c r="F901" s="73"/>
      <c r="G901" s="73"/>
      <c r="H901" s="73"/>
      <c r="J901" s="73"/>
    </row>
    <row r="902" spans="1:10" ht="15.75" customHeight="1">
      <c r="A902" s="73"/>
      <c r="B902" s="73"/>
      <c r="C902" s="73"/>
      <c r="D902" s="73"/>
      <c r="E902" s="73"/>
      <c r="F902" s="73"/>
      <c r="G902" s="73"/>
      <c r="H902" s="73"/>
      <c r="J902" s="73"/>
    </row>
    <row r="903" spans="1:10" ht="15.75" customHeight="1">
      <c r="A903" s="73"/>
      <c r="B903" s="73"/>
      <c r="C903" s="73"/>
      <c r="D903" s="73"/>
      <c r="E903" s="73"/>
      <c r="F903" s="73"/>
      <c r="G903" s="73"/>
      <c r="H903" s="73"/>
      <c r="J903" s="73"/>
    </row>
    <row r="904" spans="1:10" ht="15.75" customHeight="1">
      <c r="A904" s="73"/>
      <c r="B904" s="73"/>
      <c r="C904" s="73"/>
      <c r="D904" s="73"/>
      <c r="E904" s="73"/>
      <c r="F904" s="73"/>
      <c r="G904" s="73"/>
      <c r="H904" s="73"/>
      <c r="J904" s="73"/>
    </row>
    <row r="905" spans="1:10" ht="15.75" customHeight="1">
      <c r="A905" s="73"/>
      <c r="B905" s="73"/>
      <c r="C905" s="73"/>
      <c r="D905" s="73"/>
      <c r="E905" s="73"/>
      <c r="F905" s="73"/>
      <c r="G905" s="73"/>
      <c r="H905" s="73"/>
      <c r="J905" s="73"/>
    </row>
    <row r="906" spans="1:10" ht="15.75" customHeight="1">
      <c r="A906" s="73"/>
      <c r="B906" s="73"/>
      <c r="C906" s="73"/>
      <c r="D906" s="73"/>
      <c r="E906" s="73"/>
      <c r="F906" s="73"/>
      <c r="G906" s="73"/>
      <c r="H906" s="73"/>
      <c r="J906" s="73"/>
    </row>
    <row r="907" spans="1:10" ht="15.75" customHeight="1">
      <c r="A907" s="73"/>
      <c r="B907" s="73"/>
      <c r="C907" s="73"/>
      <c r="D907" s="73"/>
      <c r="E907" s="73"/>
      <c r="F907" s="73"/>
      <c r="G907" s="73"/>
      <c r="H907" s="73"/>
      <c r="J907" s="73"/>
    </row>
    <row r="908" spans="1:10" ht="15.75" customHeight="1">
      <c r="A908" s="73"/>
      <c r="B908" s="73"/>
      <c r="C908" s="73"/>
      <c r="D908" s="73"/>
      <c r="E908" s="73"/>
      <c r="F908" s="73"/>
      <c r="G908" s="73"/>
      <c r="H908" s="73"/>
      <c r="J908" s="73"/>
    </row>
    <row r="909" spans="1:10" ht="15.75" customHeight="1">
      <c r="A909" s="73"/>
      <c r="B909" s="73"/>
      <c r="C909" s="73"/>
      <c r="D909" s="73"/>
      <c r="E909" s="73"/>
      <c r="F909" s="73"/>
      <c r="G909" s="73"/>
      <c r="H909" s="73"/>
      <c r="J909" s="73"/>
    </row>
    <row r="910" spans="1:10" ht="15.75" customHeight="1">
      <c r="A910" s="73"/>
      <c r="B910" s="73"/>
      <c r="C910" s="73"/>
      <c r="D910" s="73"/>
      <c r="E910" s="73"/>
      <c r="F910" s="73"/>
      <c r="G910" s="73"/>
      <c r="H910" s="73"/>
      <c r="J910" s="73"/>
    </row>
    <row r="911" spans="1:10" ht="15.75" customHeight="1">
      <c r="A911" s="73"/>
      <c r="B911" s="73"/>
      <c r="C911" s="73"/>
      <c r="D911" s="73"/>
      <c r="E911" s="73"/>
      <c r="F911" s="73"/>
      <c r="G911" s="73"/>
      <c r="H911" s="73"/>
      <c r="J911" s="73"/>
    </row>
    <row r="912" spans="1:10" ht="15.75" customHeight="1">
      <c r="A912" s="73"/>
      <c r="B912" s="73"/>
      <c r="C912" s="73"/>
      <c r="D912" s="73"/>
      <c r="E912" s="73"/>
      <c r="F912" s="73"/>
      <c r="G912" s="73"/>
      <c r="H912" s="73"/>
      <c r="J912" s="73"/>
    </row>
    <row r="913" spans="1:10" ht="15.75" customHeight="1">
      <c r="A913" s="73"/>
      <c r="B913" s="73"/>
      <c r="C913" s="73"/>
      <c r="D913" s="73"/>
      <c r="E913" s="73"/>
      <c r="F913" s="73"/>
      <c r="G913" s="73"/>
      <c r="H913" s="73"/>
      <c r="J913" s="73"/>
    </row>
    <row r="914" spans="1:10" ht="15.75" customHeight="1">
      <c r="A914" s="73"/>
      <c r="B914" s="73"/>
      <c r="C914" s="73"/>
      <c r="D914" s="73"/>
      <c r="E914" s="73"/>
      <c r="F914" s="73"/>
      <c r="G914" s="73"/>
      <c r="H914" s="73"/>
      <c r="J914" s="73"/>
    </row>
    <row r="915" spans="1:10" ht="15.75" customHeight="1">
      <c r="A915" s="73"/>
      <c r="B915" s="73"/>
      <c r="C915" s="73"/>
      <c r="D915" s="73"/>
      <c r="E915" s="73"/>
      <c r="F915" s="73"/>
      <c r="G915" s="73"/>
      <c r="H915" s="73"/>
      <c r="J915" s="73"/>
    </row>
    <row r="916" spans="1:10" ht="15.75" customHeight="1">
      <c r="A916" s="73"/>
      <c r="B916" s="73"/>
      <c r="C916" s="73"/>
      <c r="D916" s="73"/>
      <c r="E916" s="73"/>
      <c r="F916" s="73"/>
      <c r="G916" s="73"/>
      <c r="H916" s="73"/>
      <c r="J916" s="73"/>
    </row>
    <row r="917" spans="1:10" ht="15.75" customHeight="1">
      <c r="A917" s="73"/>
      <c r="B917" s="73"/>
      <c r="C917" s="73"/>
      <c r="D917" s="73"/>
      <c r="E917" s="73"/>
      <c r="F917" s="73"/>
      <c r="G917" s="73"/>
      <c r="H917" s="73"/>
      <c r="J917" s="73"/>
    </row>
    <row r="918" spans="1:10" ht="15.75" customHeight="1">
      <c r="A918" s="73"/>
      <c r="B918" s="73"/>
      <c r="C918" s="73"/>
      <c r="D918" s="73"/>
      <c r="E918" s="73"/>
      <c r="F918" s="73"/>
      <c r="G918" s="73"/>
      <c r="H918" s="73"/>
      <c r="J918" s="73"/>
    </row>
    <row r="919" spans="1:10" ht="15.75" customHeight="1">
      <c r="A919" s="73"/>
      <c r="B919" s="73"/>
      <c r="C919" s="73"/>
      <c r="D919" s="73"/>
      <c r="E919" s="73"/>
      <c r="F919" s="73"/>
      <c r="G919" s="73"/>
      <c r="H919" s="73"/>
      <c r="J919" s="73"/>
    </row>
    <row r="920" spans="1:10" ht="15.75" customHeight="1">
      <c r="A920" s="73"/>
      <c r="B920" s="73"/>
      <c r="C920" s="73"/>
      <c r="D920" s="73"/>
      <c r="E920" s="73"/>
      <c r="F920" s="73"/>
      <c r="G920" s="73"/>
      <c r="H920" s="73"/>
      <c r="J920" s="73"/>
    </row>
    <row r="921" spans="1:10" ht="15.75" customHeight="1">
      <c r="A921" s="73"/>
      <c r="B921" s="73"/>
      <c r="C921" s="73"/>
      <c r="D921" s="73"/>
      <c r="E921" s="73"/>
      <c r="F921" s="73"/>
      <c r="G921" s="73"/>
      <c r="H921" s="73"/>
      <c r="J921" s="73"/>
    </row>
    <row r="922" spans="1:10" ht="15.75" customHeight="1">
      <c r="A922" s="73"/>
      <c r="B922" s="73"/>
      <c r="C922" s="73"/>
      <c r="D922" s="73"/>
      <c r="E922" s="73"/>
      <c r="F922" s="73"/>
      <c r="G922" s="73"/>
      <c r="H922" s="73"/>
      <c r="J922" s="73"/>
    </row>
    <row r="923" spans="1:10" ht="15.75" customHeight="1">
      <c r="A923" s="73"/>
      <c r="B923" s="73"/>
      <c r="C923" s="73"/>
      <c r="D923" s="73"/>
      <c r="E923" s="73"/>
      <c r="F923" s="73"/>
      <c r="G923" s="73"/>
      <c r="H923" s="73"/>
      <c r="J923" s="73"/>
    </row>
    <row r="924" spans="1:10" ht="15.75" customHeight="1">
      <c r="A924" s="73"/>
      <c r="B924" s="73"/>
      <c r="C924" s="73"/>
      <c r="D924" s="73"/>
      <c r="E924" s="73"/>
      <c r="F924" s="73"/>
      <c r="G924" s="73"/>
      <c r="H924" s="73"/>
      <c r="J924" s="73"/>
    </row>
    <row r="925" spans="1:10" ht="15.75" customHeight="1">
      <c r="A925" s="73"/>
      <c r="B925" s="73"/>
      <c r="C925" s="73"/>
      <c r="D925" s="73"/>
      <c r="E925" s="73"/>
      <c r="F925" s="73"/>
      <c r="G925" s="73"/>
      <c r="H925" s="73"/>
      <c r="J925" s="73"/>
    </row>
    <row r="926" spans="1:10" ht="15.75" customHeight="1">
      <c r="A926" s="73"/>
      <c r="B926" s="73"/>
      <c r="C926" s="73"/>
      <c r="D926" s="73"/>
      <c r="E926" s="73"/>
      <c r="F926" s="73"/>
      <c r="G926" s="73"/>
      <c r="H926" s="73"/>
      <c r="J926" s="73"/>
    </row>
    <row r="927" spans="1:10" ht="15.75" customHeight="1">
      <c r="A927" s="73"/>
      <c r="B927" s="73"/>
      <c r="C927" s="73"/>
      <c r="D927" s="73"/>
      <c r="E927" s="73"/>
      <c r="F927" s="73"/>
      <c r="G927" s="73"/>
      <c r="H927" s="73"/>
      <c r="J927" s="73"/>
    </row>
    <row r="928" spans="1:10" ht="15.75" customHeight="1">
      <c r="A928" s="73"/>
      <c r="B928" s="73"/>
      <c r="C928" s="73"/>
      <c r="D928" s="73"/>
      <c r="E928" s="73"/>
      <c r="F928" s="73"/>
      <c r="G928" s="73"/>
      <c r="H928" s="73"/>
      <c r="J928" s="73"/>
    </row>
    <row r="929" spans="1:10" ht="15.75" customHeight="1">
      <c r="A929" s="73"/>
      <c r="B929" s="73"/>
      <c r="C929" s="73"/>
      <c r="D929" s="73"/>
      <c r="E929" s="73"/>
      <c r="F929" s="73"/>
      <c r="G929" s="73"/>
      <c r="H929" s="73"/>
      <c r="J929" s="73"/>
    </row>
    <row r="930" spans="1:10" ht="15.75" customHeight="1">
      <c r="A930" s="73"/>
      <c r="B930" s="73"/>
      <c r="C930" s="73"/>
      <c r="D930" s="73"/>
      <c r="E930" s="73"/>
      <c r="F930" s="73"/>
      <c r="G930" s="73"/>
      <c r="H930" s="73"/>
      <c r="J930" s="73"/>
    </row>
    <row r="931" spans="1:10" ht="15.75" customHeight="1">
      <c r="A931" s="73"/>
      <c r="B931" s="73"/>
      <c r="C931" s="73"/>
      <c r="D931" s="73"/>
      <c r="E931" s="73"/>
      <c r="F931" s="73"/>
      <c r="G931" s="73"/>
      <c r="H931" s="73"/>
      <c r="J931" s="73"/>
    </row>
    <row r="932" spans="1:10" ht="15.75" customHeight="1">
      <c r="A932" s="73"/>
      <c r="B932" s="73"/>
      <c r="C932" s="73"/>
      <c r="D932" s="73"/>
      <c r="E932" s="73"/>
      <c r="F932" s="73"/>
      <c r="G932" s="73"/>
      <c r="H932" s="73"/>
      <c r="J932" s="73"/>
    </row>
    <row r="933" spans="1:10" ht="15.75" customHeight="1">
      <c r="A933" s="73"/>
      <c r="B933" s="73"/>
      <c r="C933" s="73"/>
      <c r="D933" s="73"/>
      <c r="E933" s="73"/>
      <c r="F933" s="73"/>
      <c r="G933" s="73"/>
      <c r="H933" s="73"/>
      <c r="J933" s="73"/>
    </row>
    <row r="934" spans="1:10" ht="15.75" customHeight="1">
      <c r="A934" s="73"/>
      <c r="B934" s="73"/>
      <c r="C934" s="73"/>
      <c r="D934" s="73"/>
      <c r="E934" s="73"/>
      <c r="F934" s="73"/>
      <c r="G934" s="73"/>
      <c r="H934" s="73"/>
      <c r="J934" s="73"/>
    </row>
    <row r="935" spans="1:10" ht="15.75" customHeight="1">
      <c r="A935" s="73"/>
      <c r="B935" s="73"/>
      <c r="C935" s="73"/>
      <c r="D935" s="73"/>
      <c r="E935" s="73"/>
      <c r="F935" s="73"/>
      <c r="G935" s="73"/>
      <c r="H935" s="73"/>
      <c r="J935" s="73"/>
    </row>
    <row r="936" spans="1:10" ht="15.75" customHeight="1">
      <c r="A936" s="73"/>
      <c r="B936" s="73"/>
      <c r="C936" s="73"/>
      <c r="D936" s="73"/>
      <c r="E936" s="73"/>
      <c r="F936" s="73"/>
      <c r="G936" s="73"/>
      <c r="H936" s="73"/>
      <c r="J936" s="73"/>
    </row>
    <row r="937" spans="1:10" ht="15.75" customHeight="1">
      <c r="A937" s="73"/>
      <c r="B937" s="73"/>
      <c r="C937" s="73"/>
      <c r="D937" s="73"/>
      <c r="E937" s="73"/>
      <c r="F937" s="73"/>
      <c r="G937" s="73"/>
      <c r="H937" s="73"/>
      <c r="J937" s="73"/>
    </row>
    <row r="938" spans="1:10" ht="15.75" customHeight="1">
      <c r="A938" s="73"/>
      <c r="B938" s="73"/>
      <c r="C938" s="73"/>
      <c r="D938" s="73"/>
      <c r="E938" s="73"/>
      <c r="F938" s="73"/>
      <c r="G938" s="73"/>
      <c r="H938" s="73"/>
      <c r="J938" s="73"/>
    </row>
    <row r="939" spans="1:10" ht="15.75" customHeight="1">
      <c r="A939" s="73"/>
      <c r="B939" s="73"/>
      <c r="C939" s="73"/>
      <c r="D939" s="73"/>
      <c r="E939" s="73"/>
      <c r="F939" s="73"/>
      <c r="G939" s="73"/>
      <c r="H939" s="73"/>
      <c r="J939" s="73"/>
    </row>
    <row r="940" spans="1:10" ht="15.75" customHeight="1">
      <c r="A940" s="73"/>
      <c r="B940" s="73"/>
      <c r="C940" s="73"/>
      <c r="D940" s="73"/>
      <c r="E940" s="73"/>
      <c r="F940" s="73"/>
      <c r="G940" s="73"/>
      <c r="H940" s="73"/>
      <c r="J940" s="73"/>
    </row>
    <row r="941" spans="1:10" ht="15.75" customHeight="1">
      <c r="A941" s="73"/>
      <c r="B941" s="73"/>
      <c r="C941" s="73"/>
      <c r="D941" s="73"/>
      <c r="E941" s="73"/>
      <c r="F941" s="73"/>
      <c r="G941" s="73"/>
      <c r="H941" s="73"/>
      <c r="J941" s="73"/>
    </row>
    <row r="942" spans="1:10" ht="15.75" customHeight="1">
      <c r="A942" s="73"/>
      <c r="B942" s="73"/>
      <c r="C942" s="73"/>
      <c r="D942" s="73"/>
      <c r="E942" s="73"/>
      <c r="F942" s="73"/>
      <c r="G942" s="73"/>
      <c r="H942" s="73"/>
      <c r="J942" s="73"/>
    </row>
    <row r="943" spans="1:10" ht="15.75" customHeight="1">
      <c r="A943" s="73"/>
      <c r="B943" s="73"/>
      <c r="C943" s="73"/>
      <c r="D943" s="73"/>
      <c r="E943" s="73"/>
      <c r="F943" s="73"/>
      <c r="G943" s="73"/>
      <c r="H943" s="73"/>
      <c r="J943" s="73"/>
    </row>
    <row r="944" spans="1:10" ht="15.75" customHeight="1">
      <c r="A944" s="73"/>
      <c r="B944" s="73"/>
      <c r="C944" s="73"/>
      <c r="D944" s="73"/>
      <c r="E944" s="73"/>
      <c r="F944" s="73"/>
      <c r="G944" s="73"/>
      <c r="H944" s="73"/>
      <c r="J944" s="73"/>
    </row>
    <row r="945" spans="1:10" ht="15.75" customHeight="1">
      <c r="A945" s="73"/>
      <c r="B945" s="73"/>
      <c r="C945" s="73"/>
      <c r="D945" s="73"/>
      <c r="E945" s="73"/>
      <c r="F945" s="73"/>
      <c r="G945" s="73"/>
      <c r="H945" s="73"/>
      <c r="J945" s="73"/>
    </row>
    <row r="946" spans="1:10" ht="15.75" customHeight="1">
      <c r="A946" s="73"/>
      <c r="B946" s="73"/>
      <c r="C946" s="73"/>
      <c r="D946" s="73"/>
      <c r="E946" s="73"/>
      <c r="F946" s="73"/>
      <c r="G946" s="73"/>
      <c r="H946" s="73"/>
      <c r="J946" s="73"/>
    </row>
    <row r="947" spans="1:10" ht="15.75" customHeight="1">
      <c r="A947" s="73"/>
      <c r="B947" s="73"/>
      <c r="C947" s="73"/>
      <c r="D947" s="73"/>
      <c r="E947" s="73"/>
      <c r="F947" s="73"/>
      <c r="G947" s="73"/>
      <c r="H947" s="73"/>
      <c r="J947" s="73"/>
    </row>
    <row r="948" spans="1:10" ht="15.75" customHeight="1">
      <c r="A948" s="73"/>
      <c r="B948" s="73"/>
      <c r="C948" s="73"/>
      <c r="D948" s="73"/>
      <c r="E948" s="73"/>
      <c r="F948" s="73"/>
      <c r="G948" s="73"/>
      <c r="H948" s="73"/>
      <c r="J948" s="73"/>
    </row>
    <row r="949" spans="1:10" ht="15.75" customHeight="1">
      <c r="A949" s="73"/>
      <c r="B949" s="73"/>
      <c r="C949" s="73"/>
      <c r="D949" s="73"/>
      <c r="E949" s="73"/>
      <c r="F949" s="73"/>
      <c r="G949" s="73"/>
      <c r="H949" s="73"/>
      <c r="J949" s="73"/>
    </row>
    <row r="950" spans="1:10" ht="15.75" customHeight="1">
      <c r="A950" s="73"/>
      <c r="B950" s="73"/>
      <c r="C950" s="73"/>
      <c r="D950" s="73"/>
      <c r="E950" s="73"/>
      <c r="F950" s="73"/>
      <c r="G950" s="73"/>
      <c r="H950" s="73"/>
      <c r="J950" s="73"/>
    </row>
    <row r="951" spans="1:10" ht="15.75" customHeight="1">
      <c r="A951" s="73"/>
      <c r="B951" s="73"/>
      <c r="C951" s="73"/>
      <c r="D951" s="73"/>
      <c r="E951" s="73"/>
      <c r="F951" s="73"/>
      <c r="G951" s="73"/>
      <c r="H951" s="73"/>
      <c r="J951" s="73"/>
    </row>
    <row r="952" spans="1:10" ht="15.75" customHeight="1">
      <c r="A952" s="73"/>
      <c r="B952" s="73"/>
      <c r="C952" s="73"/>
      <c r="D952" s="73"/>
      <c r="E952" s="73"/>
      <c r="F952" s="73"/>
      <c r="G952" s="73"/>
      <c r="H952" s="73"/>
      <c r="J952" s="73"/>
    </row>
    <row r="953" spans="1:10" ht="15.75" customHeight="1">
      <c r="A953" s="73"/>
      <c r="B953" s="73"/>
      <c r="C953" s="73"/>
      <c r="D953" s="73"/>
      <c r="E953" s="73"/>
      <c r="F953" s="73"/>
      <c r="G953" s="73"/>
      <c r="H953" s="73"/>
      <c r="J953" s="73"/>
    </row>
    <row r="954" spans="1:10" ht="15.75" customHeight="1">
      <c r="A954" s="73"/>
      <c r="B954" s="73"/>
      <c r="C954" s="73"/>
      <c r="D954" s="73"/>
      <c r="E954" s="73"/>
      <c r="F954" s="73"/>
      <c r="G954" s="73"/>
      <c r="H954" s="73"/>
      <c r="J954" s="73"/>
    </row>
    <row r="955" spans="1:10" ht="15.75" customHeight="1">
      <c r="A955" s="73"/>
      <c r="B955" s="73"/>
      <c r="C955" s="73"/>
      <c r="D955" s="73"/>
      <c r="E955" s="73"/>
      <c r="F955" s="73"/>
      <c r="G955" s="73"/>
      <c r="H955" s="73"/>
      <c r="J955" s="73"/>
    </row>
    <row r="956" spans="1:10" ht="15.75" customHeight="1">
      <c r="A956" s="73"/>
      <c r="B956" s="73"/>
      <c r="C956" s="73"/>
      <c r="D956" s="73"/>
      <c r="E956" s="73"/>
      <c r="F956" s="73"/>
      <c r="G956" s="73"/>
      <c r="H956" s="73"/>
      <c r="J956" s="73"/>
    </row>
    <row r="957" spans="1:10" ht="15.75" customHeight="1">
      <c r="A957" s="73"/>
      <c r="B957" s="73"/>
      <c r="C957" s="73"/>
      <c r="D957" s="73"/>
      <c r="E957" s="73"/>
      <c r="F957" s="73"/>
      <c r="G957" s="73"/>
      <c r="H957" s="73"/>
      <c r="J957" s="73"/>
    </row>
    <row r="958" spans="1:10" ht="15.75" customHeight="1">
      <c r="A958" s="73"/>
      <c r="B958" s="73"/>
      <c r="C958" s="73"/>
      <c r="D958" s="73"/>
      <c r="E958" s="73"/>
      <c r="F958" s="73"/>
      <c r="G958" s="73"/>
      <c r="H958" s="73"/>
      <c r="J958" s="73"/>
    </row>
    <row r="959" spans="1:10" ht="15.75" customHeight="1">
      <c r="A959" s="73"/>
      <c r="B959" s="73"/>
      <c r="C959" s="73"/>
      <c r="D959" s="73"/>
      <c r="E959" s="73"/>
      <c r="F959" s="73"/>
      <c r="G959" s="73"/>
      <c r="H959" s="73"/>
      <c r="J959" s="73"/>
    </row>
    <row r="960" spans="1:10" ht="15.75" customHeight="1">
      <c r="A960" s="73"/>
      <c r="B960" s="73"/>
      <c r="C960" s="73"/>
      <c r="D960" s="73"/>
      <c r="E960" s="73"/>
      <c r="F960" s="73"/>
      <c r="G960" s="73"/>
      <c r="H960" s="73"/>
      <c r="J960" s="73"/>
    </row>
    <row r="961" spans="1:10" ht="15.75" customHeight="1">
      <c r="A961" s="73"/>
      <c r="B961" s="73"/>
      <c r="C961" s="73"/>
      <c r="D961" s="73"/>
      <c r="E961" s="73"/>
      <c r="F961" s="73"/>
      <c r="G961" s="73"/>
      <c r="H961" s="73"/>
      <c r="J961" s="73"/>
    </row>
    <row r="962" spans="1:10" ht="15.75" customHeight="1">
      <c r="A962" s="73"/>
      <c r="B962" s="73"/>
      <c r="C962" s="73"/>
      <c r="D962" s="73"/>
      <c r="E962" s="73"/>
      <c r="F962" s="73"/>
      <c r="G962" s="73"/>
      <c r="H962" s="73"/>
      <c r="J962" s="73"/>
    </row>
    <row r="963" spans="1:10" ht="15.75" customHeight="1">
      <c r="A963" s="73"/>
      <c r="B963" s="73"/>
      <c r="C963" s="73"/>
      <c r="D963" s="73"/>
      <c r="E963" s="73"/>
      <c r="F963" s="73"/>
      <c r="G963" s="73"/>
      <c r="H963" s="73"/>
      <c r="J963" s="73"/>
    </row>
    <row r="964" spans="1:10" ht="15.75" customHeight="1">
      <c r="A964" s="73"/>
      <c r="B964" s="73"/>
      <c r="C964" s="73"/>
      <c r="D964" s="73"/>
      <c r="E964" s="73"/>
      <c r="F964" s="73"/>
      <c r="G964" s="73"/>
      <c r="H964" s="73"/>
      <c r="J964" s="73"/>
    </row>
    <row r="965" spans="1:10" ht="15.75" customHeight="1">
      <c r="A965" s="73"/>
      <c r="B965" s="73"/>
      <c r="C965" s="73"/>
      <c r="D965" s="73"/>
      <c r="E965" s="73"/>
      <c r="F965" s="73"/>
      <c r="G965" s="73"/>
      <c r="H965" s="73"/>
      <c r="J965" s="73"/>
    </row>
    <row r="966" spans="1:10" ht="15.75" customHeight="1">
      <c r="A966" s="73"/>
      <c r="B966" s="73"/>
      <c r="C966" s="73"/>
      <c r="D966" s="73"/>
      <c r="E966" s="73"/>
      <c r="F966" s="73"/>
      <c r="G966" s="73"/>
      <c r="H966" s="73"/>
      <c r="J966" s="73"/>
    </row>
    <row r="967" spans="1:10" ht="15.75" customHeight="1">
      <c r="A967" s="73"/>
      <c r="B967" s="73"/>
      <c r="C967" s="73"/>
      <c r="D967" s="73"/>
      <c r="E967" s="73"/>
      <c r="F967" s="73"/>
      <c r="G967" s="73"/>
      <c r="H967" s="73"/>
      <c r="J967" s="73"/>
    </row>
    <row r="968" spans="1:10" ht="15.75" customHeight="1">
      <c r="A968" s="73"/>
      <c r="B968" s="73"/>
      <c r="C968" s="73"/>
      <c r="D968" s="73"/>
      <c r="E968" s="73"/>
      <c r="F968" s="73"/>
      <c r="G968" s="73"/>
      <c r="H968" s="73"/>
      <c r="J968" s="73"/>
    </row>
    <row r="969" spans="1:10" ht="15.75" customHeight="1">
      <c r="A969" s="73"/>
      <c r="B969" s="73"/>
      <c r="C969" s="73"/>
      <c r="D969" s="73"/>
      <c r="E969" s="73"/>
      <c r="F969" s="73"/>
      <c r="G969" s="73"/>
      <c r="H969" s="73"/>
      <c r="J969" s="73"/>
    </row>
    <row r="970" spans="1:10" ht="15.75" customHeight="1">
      <c r="A970" s="73"/>
      <c r="B970" s="73"/>
      <c r="C970" s="73"/>
      <c r="D970" s="73"/>
      <c r="E970" s="73"/>
      <c r="F970" s="73"/>
      <c r="G970" s="73"/>
      <c r="H970" s="73"/>
      <c r="J970" s="73"/>
    </row>
    <row r="971" spans="1:10" ht="15.75" customHeight="1">
      <c r="A971" s="73"/>
      <c r="B971" s="73"/>
      <c r="C971" s="73"/>
      <c r="D971" s="73"/>
      <c r="E971" s="73"/>
      <c r="F971" s="73"/>
      <c r="G971" s="73"/>
      <c r="H971" s="73"/>
      <c r="J971" s="73"/>
    </row>
    <row r="972" spans="1:10" ht="15.75" customHeight="1">
      <c r="A972" s="73"/>
      <c r="B972" s="73"/>
      <c r="C972" s="73"/>
      <c r="D972" s="73"/>
      <c r="E972" s="73"/>
      <c r="F972" s="73"/>
      <c r="G972" s="73"/>
      <c r="H972" s="73"/>
      <c r="J972" s="73"/>
    </row>
    <row r="973" spans="1:10" ht="15.75" customHeight="1">
      <c r="A973" s="73"/>
      <c r="B973" s="73"/>
      <c r="C973" s="73"/>
      <c r="D973" s="73"/>
      <c r="E973" s="73"/>
      <c r="F973" s="73"/>
      <c r="G973" s="73"/>
      <c r="H973" s="73"/>
      <c r="J973" s="73"/>
    </row>
    <row r="974" spans="1:10" ht="15.75" customHeight="1">
      <c r="A974" s="73"/>
      <c r="B974" s="73"/>
      <c r="C974" s="73"/>
      <c r="D974" s="73"/>
      <c r="E974" s="73"/>
      <c r="F974" s="73"/>
      <c r="G974" s="73"/>
      <c r="H974" s="73"/>
      <c r="J974" s="73"/>
    </row>
    <row r="975" spans="1:10" ht="15.75" customHeight="1">
      <c r="A975" s="73"/>
      <c r="B975" s="73"/>
      <c r="C975" s="73"/>
      <c r="D975" s="73"/>
      <c r="E975" s="73"/>
      <c r="F975" s="73"/>
      <c r="G975" s="73"/>
      <c r="H975" s="73"/>
      <c r="J975" s="73"/>
    </row>
    <row r="976" spans="1:10" ht="15.75" customHeight="1">
      <c r="A976" s="73"/>
      <c r="B976" s="73"/>
      <c r="C976" s="73"/>
      <c r="D976" s="73"/>
      <c r="E976" s="73"/>
      <c r="F976" s="73"/>
      <c r="G976" s="73"/>
      <c r="H976" s="73"/>
      <c r="J976" s="73"/>
    </row>
    <row r="977" spans="1:10" ht="15.75" customHeight="1">
      <c r="A977" s="73"/>
      <c r="B977" s="73"/>
      <c r="C977" s="73"/>
      <c r="D977" s="73"/>
      <c r="E977" s="73"/>
      <c r="F977" s="73"/>
      <c r="G977" s="73"/>
      <c r="H977" s="73"/>
      <c r="J977" s="73"/>
    </row>
    <row r="978" spans="1:10" ht="15.75" customHeight="1">
      <c r="A978" s="73"/>
      <c r="B978" s="73"/>
      <c r="C978" s="73"/>
      <c r="D978" s="73"/>
      <c r="E978" s="73"/>
      <c r="F978" s="73"/>
      <c r="G978" s="73"/>
      <c r="H978" s="73"/>
      <c r="J978" s="73"/>
    </row>
    <row r="979" spans="1:10" ht="15.75" customHeight="1">
      <c r="A979" s="73"/>
      <c r="B979" s="73"/>
      <c r="C979" s="73"/>
      <c r="D979" s="73"/>
      <c r="E979" s="73"/>
      <c r="F979" s="73"/>
      <c r="G979" s="73"/>
      <c r="H979" s="73"/>
      <c r="J979" s="73"/>
    </row>
    <row r="980" spans="1:10" ht="15.75" customHeight="1">
      <c r="A980" s="73"/>
      <c r="B980" s="73"/>
      <c r="C980" s="73"/>
      <c r="D980" s="73"/>
      <c r="E980" s="73"/>
      <c r="F980" s="73"/>
      <c r="G980" s="73"/>
      <c r="H980" s="73"/>
      <c r="J980" s="73"/>
    </row>
    <row r="981" spans="1:10" ht="15.75" customHeight="1">
      <c r="A981" s="73"/>
      <c r="B981" s="73"/>
      <c r="C981" s="73"/>
      <c r="D981" s="73"/>
      <c r="E981" s="73"/>
      <c r="F981" s="73"/>
      <c r="G981" s="73"/>
      <c r="H981" s="73"/>
      <c r="J981" s="73"/>
    </row>
    <row r="982" spans="1:10" ht="15.75" customHeight="1">
      <c r="A982" s="73"/>
      <c r="B982" s="73"/>
      <c r="C982" s="73"/>
      <c r="D982" s="73"/>
      <c r="E982" s="73"/>
      <c r="F982" s="73"/>
      <c r="G982" s="73"/>
      <c r="H982" s="73"/>
      <c r="J982" s="73"/>
    </row>
    <row r="983" spans="1:10" ht="15.75" customHeight="1">
      <c r="A983" s="73"/>
      <c r="B983" s="73"/>
      <c r="C983" s="73"/>
      <c r="D983" s="73"/>
      <c r="E983" s="73"/>
      <c r="F983" s="73"/>
      <c r="G983" s="73"/>
      <c r="H983" s="73"/>
      <c r="J983" s="73"/>
    </row>
    <row r="984" spans="1:10" ht="15.75" customHeight="1">
      <c r="A984" s="73"/>
      <c r="B984" s="73"/>
      <c r="C984" s="73"/>
      <c r="D984" s="73"/>
      <c r="E984" s="73"/>
      <c r="F984" s="73"/>
      <c r="G984" s="73"/>
      <c r="H984" s="73"/>
      <c r="J984" s="73"/>
    </row>
    <row r="985" spans="1:10" ht="15.75" customHeight="1">
      <c r="A985" s="73"/>
      <c r="B985" s="73"/>
      <c r="C985" s="73"/>
      <c r="D985" s="73"/>
      <c r="E985" s="73"/>
      <c r="F985" s="73"/>
      <c r="G985" s="73"/>
      <c r="H985" s="73"/>
      <c r="J985" s="73"/>
    </row>
    <row r="986" spans="1:10" ht="15.75" customHeight="1">
      <c r="A986" s="73"/>
      <c r="B986" s="73"/>
      <c r="C986" s="73"/>
      <c r="D986" s="73"/>
      <c r="E986" s="73"/>
      <c r="F986" s="73"/>
      <c r="G986" s="73"/>
      <c r="H986" s="73"/>
      <c r="J986" s="73"/>
    </row>
    <row r="987" spans="1:10" ht="15.75" customHeight="1">
      <c r="A987" s="73"/>
      <c r="B987" s="73"/>
      <c r="C987" s="73"/>
      <c r="D987" s="73"/>
      <c r="E987" s="73"/>
      <c r="F987" s="73"/>
      <c r="G987" s="73"/>
      <c r="H987" s="73"/>
      <c r="J987" s="73"/>
    </row>
    <row r="988" spans="1:10" ht="15.75" customHeight="1">
      <c r="A988" s="73"/>
      <c r="B988" s="73"/>
      <c r="C988" s="73"/>
      <c r="D988" s="73"/>
      <c r="E988" s="73"/>
      <c r="F988" s="73"/>
      <c r="G988" s="73"/>
      <c r="H988" s="73"/>
      <c r="J988" s="73"/>
    </row>
    <row r="989" spans="1:10" ht="15.75" customHeight="1">
      <c r="A989" s="73"/>
      <c r="B989" s="73"/>
      <c r="C989" s="73"/>
      <c r="D989" s="73"/>
      <c r="E989" s="73"/>
      <c r="F989" s="73"/>
      <c r="G989" s="73"/>
      <c r="H989" s="73"/>
      <c r="J989" s="73"/>
    </row>
    <row r="990" spans="1:10" ht="15.75" customHeight="1">
      <c r="A990" s="73"/>
      <c r="B990" s="73"/>
      <c r="C990" s="73"/>
      <c r="D990" s="73"/>
      <c r="E990" s="73"/>
      <c r="F990" s="73"/>
      <c r="G990" s="73"/>
      <c r="H990" s="73"/>
      <c r="J990" s="73"/>
    </row>
    <row r="991" spans="1:10" ht="15.75" customHeight="1">
      <c r="A991" s="73"/>
      <c r="B991" s="73"/>
      <c r="C991" s="73"/>
      <c r="D991" s="73"/>
      <c r="E991" s="73"/>
      <c r="F991" s="73"/>
      <c r="G991" s="73"/>
      <c r="H991" s="73"/>
      <c r="J991" s="73"/>
    </row>
    <row r="992" spans="1:10" ht="15.75" customHeight="1">
      <c r="A992" s="73"/>
      <c r="B992" s="73"/>
      <c r="C992" s="73"/>
      <c r="D992" s="73"/>
      <c r="E992" s="73"/>
      <c r="F992" s="73"/>
      <c r="G992" s="73"/>
      <c r="H992" s="73"/>
      <c r="J992" s="73"/>
    </row>
    <row r="993" spans="1:10" ht="15.75" customHeight="1">
      <c r="A993" s="73"/>
      <c r="B993" s="73"/>
      <c r="C993" s="73"/>
      <c r="D993" s="73"/>
      <c r="E993" s="73"/>
      <c r="F993" s="73"/>
      <c r="G993" s="73"/>
      <c r="H993" s="73"/>
      <c r="J993" s="73"/>
    </row>
    <row r="994" spans="1:10" ht="15.75" customHeight="1">
      <c r="A994" s="73"/>
      <c r="B994" s="73"/>
      <c r="C994" s="73"/>
      <c r="D994" s="73"/>
      <c r="E994" s="73"/>
      <c r="F994" s="73"/>
      <c r="G994" s="73"/>
      <c r="H994" s="73"/>
      <c r="J994" s="73"/>
    </row>
    <row r="995" spans="1:10" ht="15.75" customHeight="1">
      <c r="A995" s="73"/>
      <c r="B995" s="73"/>
      <c r="C995" s="73"/>
      <c r="D995" s="73"/>
      <c r="E995" s="73"/>
      <c r="F995" s="73"/>
      <c r="G995" s="73"/>
      <c r="H995" s="73"/>
      <c r="J995" s="73"/>
    </row>
    <row r="996" spans="1:10" ht="15.75" customHeight="1">
      <c r="A996" s="73"/>
      <c r="B996" s="73"/>
      <c r="C996" s="73"/>
      <c r="D996" s="73"/>
      <c r="E996" s="73"/>
      <c r="F996" s="73"/>
      <c r="G996" s="73"/>
      <c r="H996" s="73"/>
      <c r="J996" s="73"/>
    </row>
    <row r="997" spans="1:10" ht="15.75" customHeight="1">
      <c r="A997" s="73"/>
      <c r="B997" s="73"/>
      <c r="C997" s="73"/>
      <c r="D997" s="73"/>
      <c r="E997" s="73"/>
      <c r="F997" s="73"/>
      <c r="G997" s="73"/>
      <c r="H997" s="73"/>
      <c r="J997" s="73"/>
    </row>
    <row r="998" spans="1:10" ht="15.75" customHeight="1">
      <c r="A998" s="73"/>
      <c r="B998" s="73"/>
      <c r="C998" s="73"/>
      <c r="D998" s="73"/>
      <c r="E998" s="73"/>
      <c r="F998" s="73"/>
      <c r="G998" s="73"/>
      <c r="H998" s="73"/>
      <c r="J998" s="73"/>
    </row>
    <row r="999" spans="1:10" ht="15.75" customHeight="1">
      <c r="A999" s="73"/>
      <c r="B999" s="73"/>
      <c r="C999" s="73"/>
      <c r="D999" s="73"/>
      <c r="E999" s="73"/>
      <c r="F999" s="73"/>
      <c r="G999" s="73"/>
      <c r="H999" s="73"/>
      <c r="J999" s="73"/>
    </row>
    <row r="1000" spans="1:10" ht="15.75" customHeight="1">
      <c r="A1000" s="73"/>
      <c r="B1000" s="73"/>
      <c r="C1000" s="73"/>
      <c r="D1000" s="73"/>
      <c r="E1000" s="73"/>
      <c r="F1000" s="73"/>
      <c r="G1000" s="73"/>
      <c r="H1000" s="73"/>
      <c r="J1000" s="73"/>
    </row>
  </sheetData>
  <mergeCells count="34">
    <mergeCell ref="I10:I15"/>
    <mergeCell ref="I16:I19"/>
    <mergeCell ref="I20:I26"/>
    <mergeCell ref="I27:I29"/>
    <mergeCell ref="A34:A38"/>
    <mergeCell ref="A39:A40"/>
    <mergeCell ref="A41:A54"/>
    <mergeCell ref="A55:A60"/>
    <mergeCell ref="A61:J65"/>
    <mergeCell ref="I34:I38"/>
    <mergeCell ref="I39:I40"/>
    <mergeCell ref="I41:I54"/>
    <mergeCell ref="I55:I60"/>
    <mergeCell ref="A3:B3"/>
    <mergeCell ref="C3:C4"/>
    <mergeCell ref="J3:J4"/>
    <mergeCell ref="A30:A33"/>
    <mergeCell ref="B30:B33"/>
    <mergeCell ref="D3:D4"/>
    <mergeCell ref="E3:E4"/>
    <mergeCell ref="A5:A9"/>
    <mergeCell ref="A10:A15"/>
    <mergeCell ref="A16:A19"/>
    <mergeCell ref="A20:A26"/>
    <mergeCell ref="A27:A29"/>
    <mergeCell ref="I30:I33"/>
    <mergeCell ref="F3:F4"/>
    <mergeCell ref="I3:I4"/>
    <mergeCell ref="I5:I9"/>
    <mergeCell ref="A1:B2"/>
    <mergeCell ref="C1:C2"/>
    <mergeCell ref="D1:D2"/>
    <mergeCell ref="E1:E2"/>
    <mergeCell ref="F1:J2"/>
  </mergeCells>
  <phoneticPr fontId="30" type="noConversion"/>
  <pageMargins left="0.25" right="0.25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137.5703125" customWidth="1"/>
    <col min="3" max="3" width="23.7109375" customWidth="1"/>
    <col min="4" max="4" width="17.140625" customWidth="1"/>
    <col min="5" max="5" width="19.5703125" customWidth="1"/>
    <col min="6" max="6" width="30.85546875" customWidth="1"/>
    <col min="7" max="7" width="21.140625" customWidth="1"/>
    <col min="8" max="8" width="21.5703125" customWidth="1"/>
    <col min="10" max="10" width="49.7109375" customWidth="1"/>
  </cols>
  <sheetData>
    <row r="1" spans="1:26" ht="16.5" customHeight="1">
      <c r="A1" s="625" t="s">
        <v>304</v>
      </c>
      <c r="B1" s="611"/>
      <c r="C1" s="657" t="s">
        <v>94</v>
      </c>
      <c r="D1" s="674" t="s">
        <v>305</v>
      </c>
      <c r="E1" s="659" t="s">
        <v>306</v>
      </c>
      <c r="F1" s="629" t="s">
        <v>228</v>
      </c>
      <c r="G1" s="611"/>
      <c r="H1" s="611"/>
      <c r="I1" s="611"/>
      <c r="J1" s="6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608"/>
      <c r="B2" s="613"/>
      <c r="C2" s="606"/>
      <c r="D2" s="648"/>
      <c r="E2" s="606"/>
      <c r="F2" s="630"/>
      <c r="G2" s="631"/>
      <c r="H2" s="631"/>
      <c r="I2" s="631"/>
      <c r="J2" s="6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633"/>
      <c r="B3" s="634"/>
      <c r="C3" s="617" t="s">
        <v>229</v>
      </c>
      <c r="D3" s="619" t="s">
        <v>230</v>
      </c>
      <c r="E3" s="672" t="s">
        <v>231</v>
      </c>
      <c r="F3" s="619" t="s">
        <v>232</v>
      </c>
      <c r="G3" s="3" t="s">
        <v>4</v>
      </c>
      <c r="H3" s="4" t="s">
        <v>5</v>
      </c>
      <c r="I3" s="617" t="s">
        <v>6</v>
      </c>
      <c r="J3" s="619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5" t="s">
        <v>8</v>
      </c>
      <c r="B4" s="41" t="s">
        <v>9</v>
      </c>
      <c r="C4" s="618"/>
      <c r="D4" s="636"/>
      <c r="E4" s="648"/>
      <c r="F4" s="606"/>
      <c r="G4" s="7" t="s">
        <v>10</v>
      </c>
      <c r="H4" s="7" t="s">
        <v>11</v>
      </c>
      <c r="I4" s="618"/>
      <c r="J4" s="60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661" t="s">
        <v>307</v>
      </c>
      <c r="B5" s="86" t="s">
        <v>308</v>
      </c>
      <c r="C5" s="98">
        <v>83000</v>
      </c>
      <c r="D5" s="102">
        <f t="shared" ref="D5:D9" si="0">E5*2-1000</f>
        <v>137000</v>
      </c>
      <c r="E5" s="154">
        <v>69000</v>
      </c>
      <c r="F5" s="155">
        <f t="shared" ref="F5:F21" si="1">1-E5/C5</f>
        <v>0.16867469879518071</v>
      </c>
      <c r="G5" s="76"/>
      <c r="H5" s="119"/>
      <c r="I5" s="642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654"/>
      <c r="B6" s="177" t="s">
        <v>309</v>
      </c>
      <c r="C6" s="100">
        <v>138000</v>
      </c>
      <c r="D6" s="79">
        <f t="shared" si="0"/>
        <v>197000</v>
      </c>
      <c r="E6" s="132">
        <v>99000</v>
      </c>
      <c r="F6" s="156">
        <f t="shared" si="1"/>
        <v>0.28260869565217395</v>
      </c>
      <c r="G6" s="76"/>
      <c r="H6" s="119"/>
      <c r="I6" s="603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654"/>
      <c r="B7" s="177" t="s">
        <v>310</v>
      </c>
      <c r="C7" s="132">
        <v>198000</v>
      </c>
      <c r="D7" s="79">
        <f t="shared" si="0"/>
        <v>277000</v>
      </c>
      <c r="E7" s="132">
        <v>139000</v>
      </c>
      <c r="F7" s="156">
        <f t="shared" si="1"/>
        <v>0.29797979797979801</v>
      </c>
      <c r="G7" s="72"/>
      <c r="H7" s="84"/>
      <c r="I7" s="603"/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654"/>
      <c r="B8" s="177" t="s">
        <v>311</v>
      </c>
      <c r="C8" s="132">
        <v>276000</v>
      </c>
      <c r="D8" s="79">
        <f t="shared" si="0"/>
        <v>397000</v>
      </c>
      <c r="E8" s="132">
        <v>199000</v>
      </c>
      <c r="F8" s="156">
        <f t="shared" si="1"/>
        <v>0.27898550724637683</v>
      </c>
      <c r="G8" s="72"/>
      <c r="H8" s="84"/>
      <c r="I8" s="603"/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655"/>
      <c r="B9" s="177" t="s">
        <v>312</v>
      </c>
      <c r="C9" s="133">
        <f>239000+59000</f>
        <v>298000</v>
      </c>
      <c r="D9" s="81">
        <f t="shared" si="0"/>
        <v>537000</v>
      </c>
      <c r="E9" s="133">
        <v>269000</v>
      </c>
      <c r="F9" s="160">
        <f t="shared" si="1"/>
        <v>9.7315436241610764E-2</v>
      </c>
      <c r="G9" s="72"/>
      <c r="H9" s="104"/>
      <c r="I9" s="621"/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676" t="s">
        <v>313</v>
      </c>
      <c r="B10" s="178" t="s">
        <v>314</v>
      </c>
      <c r="C10" s="154">
        <v>59000</v>
      </c>
      <c r="D10" s="102">
        <v>77000</v>
      </c>
      <c r="E10" s="154">
        <v>39000</v>
      </c>
      <c r="F10" s="155">
        <f t="shared" si="1"/>
        <v>0.33898305084745761</v>
      </c>
      <c r="G10" s="72"/>
      <c r="H10" s="84"/>
      <c r="I10" s="641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608"/>
      <c r="B11" s="88" t="s">
        <v>315</v>
      </c>
      <c r="C11" s="132">
        <v>199000</v>
      </c>
      <c r="D11" s="79">
        <v>297000</v>
      </c>
      <c r="E11" s="39">
        <v>149000</v>
      </c>
      <c r="F11" s="156">
        <f t="shared" si="1"/>
        <v>0.25125628140703515</v>
      </c>
      <c r="G11" s="72"/>
      <c r="H11" s="84"/>
      <c r="I11" s="603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608"/>
      <c r="B12" s="88" t="s">
        <v>316</v>
      </c>
      <c r="C12" s="132">
        <v>300000</v>
      </c>
      <c r="D12" s="79">
        <v>499000</v>
      </c>
      <c r="E12" s="39">
        <v>250000</v>
      </c>
      <c r="F12" s="156">
        <f t="shared" si="1"/>
        <v>0.16666666666666663</v>
      </c>
      <c r="G12" s="72"/>
      <c r="H12" s="84"/>
      <c r="I12" s="603"/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08"/>
      <c r="B13" s="177" t="s">
        <v>317</v>
      </c>
      <c r="C13" s="132">
        <v>349000</v>
      </c>
      <c r="D13" s="79">
        <v>557000</v>
      </c>
      <c r="E13" s="39">
        <v>279000</v>
      </c>
      <c r="F13" s="156">
        <f t="shared" si="1"/>
        <v>0.20057306590257884</v>
      </c>
      <c r="G13" s="72"/>
      <c r="H13" s="84"/>
      <c r="I13" s="603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608"/>
      <c r="B14" s="177" t="s">
        <v>318</v>
      </c>
      <c r="C14" s="132">
        <v>400000</v>
      </c>
      <c r="D14" s="79">
        <v>597000</v>
      </c>
      <c r="E14" s="39">
        <v>299000</v>
      </c>
      <c r="F14" s="156">
        <f t="shared" si="1"/>
        <v>0.25249999999999995</v>
      </c>
      <c r="G14" s="72"/>
      <c r="H14" s="84"/>
      <c r="I14" s="603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610"/>
      <c r="B15" s="177" t="s">
        <v>153</v>
      </c>
      <c r="C15" s="133">
        <v>589000</v>
      </c>
      <c r="D15" s="81">
        <v>997000</v>
      </c>
      <c r="E15" s="103">
        <v>499000</v>
      </c>
      <c r="F15" s="160">
        <f t="shared" si="1"/>
        <v>0.15280135823429541</v>
      </c>
      <c r="G15" s="72"/>
      <c r="H15" s="84"/>
      <c r="I15" s="621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676" t="s">
        <v>319</v>
      </c>
      <c r="B16" s="57" t="s">
        <v>320</v>
      </c>
      <c r="C16" s="87">
        <v>300000</v>
      </c>
      <c r="D16" s="102">
        <v>499000</v>
      </c>
      <c r="E16" s="87">
        <v>250000</v>
      </c>
      <c r="F16" s="155">
        <f t="shared" si="1"/>
        <v>0.16666666666666663</v>
      </c>
      <c r="G16" s="72"/>
      <c r="H16" s="84"/>
      <c r="I16" s="646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608"/>
      <c r="B17" s="61" t="s">
        <v>321</v>
      </c>
      <c r="C17" s="39">
        <v>320000</v>
      </c>
      <c r="D17" s="79">
        <v>537000</v>
      </c>
      <c r="E17" s="39">
        <v>269000</v>
      </c>
      <c r="F17" s="156">
        <f t="shared" si="1"/>
        <v>0.15937500000000004</v>
      </c>
      <c r="G17" s="72"/>
      <c r="H17" s="84"/>
      <c r="I17" s="603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608"/>
      <c r="B18" s="61" t="s">
        <v>322</v>
      </c>
      <c r="C18" s="39">
        <v>399000</v>
      </c>
      <c r="D18" s="79">
        <v>697000</v>
      </c>
      <c r="E18" s="39">
        <v>349000</v>
      </c>
      <c r="F18" s="156">
        <f t="shared" si="1"/>
        <v>0.12531328320802004</v>
      </c>
      <c r="G18" s="72"/>
      <c r="H18" s="84"/>
      <c r="I18" s="603"/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10"/>
      <c r="B19" s="179" t="s">
        <v>323</v>
      </c>
      <c r="C19" s="132">
        <v>499000</v>
      </c>
      <c r="D19" s="79">
        <v>797000</v>
      </c>
      <c r="E19" s="39">
        <v>399000</v>
      </c>
      <c r="F19" s="160">
        <f t="shared" si="1"/>
        <v>0.20040080160320639</v>
      </c>
      <c r="G19" s="72"/>
      <c r="H19" s="84"/>
      <c r="I19" s="601"/>
      <c r="J19" s="1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666" t="s">
        <v>324</v>
      </c>
      <c r="B20" s="201" t="s">
        <v>325</v>
      </c>
      <c r="C20" s="113">
        <v>89000</v>
      </c>
      <c r="D20" s="102">
        <v>117000</v>
      </c>
      <c r="E20" s="75">
        <v>59000</v>
      </c>
      <c r="F20" s="155">
        <f t="shared" si="1"/>
        <v>0.3370786516853933</v>
      </c>
      <c r="G20" s="60"/>
      <c r="H20" s="92"/>
      <c r="I20" s="677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05"/>
      <c r="B21" s="201" t="s">
        <v>326</v>
      </c>
      <c r="C21" s="63">
        <v>117000</v>
      </c>
      <c r="D21" s="79">
        <v>137000</v>
      </c>
      <c r="E21" s="78">
        <v>69000</v>
      </c>
      <c r="F21" s="156">
        <f t="shared" si="1"/>
        <v>0.41025641025641024</v>
      </c>
      <c r="G21" s="66"/>
      <c r="H21" s="92"/>
      <c r="I21" s="614"/>
      <c r="J21" s="1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605"/>
      <c r="B22" s="201" t="s">
        <v>327</v>
      </c>
      <c r="C22" s="63" t="s">
        <v>328</v>
      </c>
      <c r="D22" s="79">
        <v>297000</v>
      </c>
      <c r="E22" s="78">
        <v>149000</v>
      </c>
      <c r="F22" s="156"/>
      <c r="G22" s="60"/>
      <c r="H22" s="95"/>
      <c r="I22" s="614"/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605"/>
      <c r="B23" s="201" t="s">
        <v>329</v>
      </c>
      <c r="C23" s="63">
        <v>378000</v>
      </c>
      <c r="D23" s="79">
        <v>397000</v>
      </c>
      <c r="E23" s="78">
        <v>199000</v>
      </c>
      <c r="F23" s="156">
        <f t="shared" ref="F23:F28" si="2">1-E23/C23</f>
        <v>0.47354497354497349</v>
      </c>
      <c r="G23" s="72"/>
      <c r="H23" s="92"/>
      <c r="I23" s="614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606"/>
      <c r="B24" s="37" t="s">
        <v>330</v>
      </c>
      <c r="C24" s="116">
        <v>299000</v>
      </c>
      <c r="D24" s="81">
        <v>457000</v>
      </c>
      <c r="E24" s="82">
        <v>229000</v>
      </c>
      <c r="F24" s="160">
        <f t="shared" si="2"/>
        <v>0.23411371237458189</v>
      </c>
      <c r="G24" s="66"/>
      <c r="H24" s="92"/>
      <c r="I24" s="614"/>
      <c r="J24" s="1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668" t="s">
        <v>331</v>
      </c>
      <c r="B25" s="178" t="s">
        <v>332</v>
      </c>
      <c r="C25" s="93">
        <v>199000</v>
      </c>
      <c r="D25" s="79">
        <f t="shared" ref="D25:D28" si="3">E25*2-1000</f>
        <v>317000</v>
      </c>
      <c r="E25" s="93">
        <v>159000</v>
      </c>
      <c r="F25" s="155">
        <f t="shared" si="2"/>
        <v>0.20100502512562812</v>
      </c>
      <c r="G25" s="60"/>
      <c r="H25" s="92"/>
      <c r="I25" s="642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608"/>
      <c r="B26" s="88" t="s">
        <v>333</v>
      </c>
      <c r="C26" s="93">
        <v>348000</v>
      </c>
      <c r="D26" s="79">
        <f t="shared" si="3"/>
        <v>597000</v>
      </c>
      <c r="E26" s="93">
        <v>299000</v>
      </c>
      <c r="F26" s="156">
        <f t="shared" si="2"/>
        <v>0.14080459770114939</v>
      </c>
      <c r="G26" s="60"/>
      <c r="H26" s="104"/>
      <c r="I26" s="603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608"/>
      <c r="B27" s="177" t="s">
        <v>334</v>
      </c>
      <c r="C27" s="93">
        <v>658000</v>
      </c>
      <c r="D27" s="79">
        <f t="shared" si="3"/>
        <v>1197000</v>
      </c>
      <c r="E27" s="93">
        <v>599000</v>
      </c>
      <c r="F27" s="156">
        <f t="shared" si="2"/>
        <v>8.9665653495440756E-2</v>
      </c>
      <c r="G27" s="60"/>
      <c r="H27" s="104"/>
      <c r="I27" s="603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1.75" customHeight="1">
      <c r="A28" s="610"/>
      <c r="B28" s="90" t="s">
        <v>335</v>
      </c>
      <c r="C28" s="65">
        <v>399000</v>
      </c>
      <c r="D28" s="81">
        <f t="shared" si="3"/>
        <v>697000</v>
      </c>
      <c r="E28" s="122">
        <v>349000</v>
      </c>
      <c r="F28" s="160">
        <f t="shared" si="2"/>
        <v>0.12531328320802004</v>
      </c>
      <c r="G28" s="66"/>
      <c r="H28" s="92"/>
      <c r="I28" s="601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675" t="s">
        <v>336</v>
      </c>
      <c r="B29" s="671" t="s">
        <v>337</v>
      </c>
      <c r="C29" s="93"/>
      <c r="D29" s="102"/>
      <c r="E29" s="93"/>
      <c r="F29" s="155"/>
      <c r="G29" s="60"/>
      <c r="H29" s="92"/>
      <c r="I29" s="640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08"/>
      <c r="B30" s="605"/>
      <c r="C30" s="93"/>
      <c r="D30" s="79"/>
      <c r="E30" s="93"/>
      <c r="F30" s="156"/>
      <c r="G30" s="60"/>
      <c r="H30" s="92"/>
      <c r="I30" s="603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608"/>
      <c r="B31" s="605"/>
      <c r="C31" s="93"/>
      <c r="D31" s="79"/>
      <c r="E31" s="93"/>
      <c r="F31" s="156"/>
      <c r="G31" s="60"/>
      <c r="H31" s="92"/>
      <c r="I31" s="603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610"/>
      <c r="B32" s="605"/>
      <c r="C32" s="93"/>
      <c r="D32" s="81"/>
      <c r="E32" s="93"/>
      <c r="F32" s="160"/>
      <c r="G32" s="60"/>
      <c r="H32" s="92"/>
      <c r="I32" s="601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668" t="s">
        <v>27</v>
      </c>
      <c r="B33" s="57" t="s">
        <v>252</v>
      </c>
      <c r="C33" s="91">
        <v>69000</v>
      </c>
      <c r="D33" s="102">
        <v>97000</v>
      </c>
      <c r="E33" s="91">
        <v>49000</v>
      </c>
      <c r="F33" s="155">
        <f t="shared" ref="F33:F49" si="4">1-E33/C33</f>
        <v>0.28985507246376807</v>
      </c>
      <c r="G33" s="60"/>
      <c r="H33" s="92"/>
      <c r="I33" s="642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608"/>
      <c r="B34" s="61" t="s">
        <v>338</v>
      </c>
      <c r="C34" s="93">
        <v>149000</v>
      </c>
      <c r="D34" s="79">
        <v>197000</v>
      </c>
      <c r="E34" s="93">
        <v>99000</v>
      </c>
      <c r="F34" s="156">
        <f t="shared" si="4"/>
        <v>0.33557046979865768</v>
      </c>
      <c r="G34" s="60"/>
      <c r="H34" s="92"/>
      <c r="I34" s="603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608"/>
      <c r="B35" s="61" t="s">
        <v>339</v>
      </c>
      <c r="C35" s="93">
        <v>179000</v>
      </c>
      <c r="D35" s="79">
        <v>197000</v>
      </c>
      <c r="E35" s="93">
        <v>99000</v>
      </c>
      <c r="F35" s="156">
        <f t="shared" si="4"/>
        <v>0.44692737430167595</v>
      </c>
      <c r="G35" s="60"/>
      <c r="H35" s="92"/>
      <c r="I35" s="603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608"/>
      <c r="B36" s="61" t="s">
        <v>340</v>
      </c>
      <c r="C36" s="93">
        <v>298000</v>
      </c>
      <c r="D36" s="79">
        <v>497000</v>
      </c>
      <c r="E36" s="93">
        <v>249000</v>
      </c>
      <c r="F36" s="156">
        <f t="shared" si="4"/>
        <v>0.16442953020134232</v>
      </c>
      <c r="G36" s="60"/>
      <c r="H36" s="92"/>
      <c r="I36" s="603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08"/>
      <c r="B37" s="61" t="s">
        <v>341</v>
      </c>
      <c r="C37" s="93">
        <v>329000</v>
      </c>
      <c r="D37" s="79">
        <v>497000</v>
      </c>
      <c r="E37" s="93">
        <v>249000</v>
      </c>
      <c r="F37" s="156">
        <f t="shared" si="4"/>
        <v>0.24316109422492405</v>
      </c>
      <c r="G37" s="60"/>
      <c r="H37" s="92"/>
      <c r="I37" s="603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08"/>
      <c r="B38" s="61" t="s">
        <v>116</v>
      </c>
      <c r="C38" s="93">
        <v>398000</v>
      </c>
      <c r="D38" s="79">
        <v>637000</v>
      </c>
      <c r="E38" s="93">
        <v>319000</v>
      </c>
      <c r="F38" s="156">
        <f t="shared" si="4"/>
        <v>0.19849246231155782</v>
      </c>
      <c r="G38" s="60"/>
      <c r="H38" s="92"/>
      <c r="I38" s="603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610"/>
      <c r="B39" s="56" t="s">
        <v>342</v>
      </c>
      <c r="C39" s="122">
        <v>499000</v>
      </c>
      <c r="D39" s="81">
        <v>797000</v>
      </c>
      <c r="E39" s="122">
        <v>399000</v>
      </c>
      <c r="F39" s="160">
        <f t="shared" si="4"/>
        <v>0.20040080160320639</v>
      </c>
      <c r="G39" s="60"/>
      <c r="H39" s="92"/>
      <c r="I39" s="601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668" t="s">
        <v>343</v>
      </c>
      <c r="B40" s="61" t="s">
        <v>297</v>
      </c>
      <c r="C40" s="93">
        <v>950000</v>
      </c>
      <c r="D40" s="102">
        <f t="shared" ref="D40:D49" si="5">E40*2-1000</f>
        <v>1699000</v>
      </c>
      <c r="E40" s="93">
        <v>850000</v>
      </c>
      <c r="F40" s="155">
        <f t="shared" si="4"/>
        <v>0.10526315789473684</v>
      </c>
      <c r="G40" s="60"/>
      <c r="H40" s="95"/>
      <c r="I40" s="642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608"/>
      <c r="B41" s="61" t="s">
        <v>298</v>
      </c>
      <c r="C41" s="93">
        <v>1600000</v>
      </c>
      <c r="D41" s="79">
        <f t="shared" si="5"/>
        <v>3099000</v>
      </c>
      <c r="E41" s="93">
        <v>1550000</v>
      </c>
      <c r="F41" s="156">
        <f t="shared" si="4"/>
        <v>3.125E-2</v>
      </c>
      <c r="G41" s="60"/>
      <c r="H41" s="92"/>
      <c r="I41" s="603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608"/>
      <c r="B42" s="61" t="s">
        <v>299</v>
      </c>
      <c r="C42" s="93">
        <v>2400000</v>
      </c>
      <c r="D42" s="79">
        <f t="shared" si="5"/>
        <v>4599000</v>
      </c>
      <c r="E42" s="93">
        <v>2300000</v>
      </c>
      <c r="F42" s="156">
        <f t="shared" si="4"/>
        <v>4.166666666666663E-2</v>
      </c>
      <c r="G42" s="60"/>
      <c r="H42" s="92"/>
      <c r="I42" s="603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608"/>
      <c r="B43" s="61" t="s">
        <v>300</v>
      </c>
      <c r="C43" s="93">
        <v>1750000</v>
      </c>
      <c r="D43" s="79">
        <f t="shared" si="5"/>
        <v>3299000</v>
      </c>
      <c r="E43" s="93">
        <v>1650000</v>
      </c>
      <c r="F43" s="156">
        <f t="shared" si="4"/>
        <v>5.7142857142857162E-2</v>
      </c>
      <c r="G43" s="60"/>
      <c r="H43" s="92"/>
      <c r="I43" s="603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610"/>
      <c r="B44" s="61" t="s">
        <v>301</v>
      </c>
      <c r="C44" s="93">
        <v>2450000</v>
      </c>
      <c r="D44" s="81">
        <f t="shared" si="5"/>
        <v>4699000</v>
      </c>
      <c r="E44" s="93">
        <v>2350000</v>
      </c>
      <c r="F44" s="160">
        <f t="shared" si="4"/>
        <v>4.081632653061229E-2</v>
      </c>
      <c r="G44" s="60"/>
      <c r="H44" s="92"/>
      <c r="I44" s="601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668" t="s">
        <v>344</v>
      </c>
      <c r="B45" s="57" t="s">
        <v>260</v>
      </c>
      <c r="C45" s="91">
        <v>249000</v>
      </c>
      <c r="D45" s="102">
        <f t="shared" si="5"/>
        <v>397000</v>
      </c>
      <c r="E45" s="91">
        <v>199000</v>
      </c>
      <c r="F45" s="155">
        <f t="shared" si="4"/>
        <v>0.20080321285140568</v>
      </c>
      <c r="G45" s="66"/>
      <c r="H45" s="92"/>
      <c r="I45" s="642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610"/>
      <c r="B46" s="61" t="s">
        <v>261</v>
      </c>
      <c r="C46" s="93">
        <v>599000</v>
      </c>
      <c r="D46" s="81">
        <f t="shared" si="5"/>
        <v>997000</v>
      </c>
      <c r="E46" s="93">
        <v>499000</v>
      </c>
      <c r="F46" s="160">
        <f t="shared" si="4"/>
        <v>0.1669449081803005</v>
      </c>
      <c r="G46" s="60"/>
      <c r="H46" s="92"/>
      <c r="I46" s="601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660" t="s">
        <v>345</v>
      </c>
      <c r="B47" s="57" t="s">
        <v>292</v>
      </c>
      <c r="C47" s="91">
        <v>79000</v>
      </c>
      <c r="D47" s="102">
        <f t="shared" si="5"/>
        <v>117000</v>
      </c>
      <c r="E47" s="91">
        <v>59000</v>
      </c>
      <c r="F47" s="203">
        <f t="shared" si="4"/>
        <v>0.25316455696202533</v>
      </c>
      <c r="G47" s="69"/>
      <c r="H47" s="99"/>
      <c r="I47" s="643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605"/>
      <c r="B48" s="61" t="s">
        <v>293</v>
      </c>
      <c r="C48" s="93">
        <v>89500</v>
      </c>
      <c r="D48" s="79">
        <f t="shared" si="5"/>
        <v>157000</v>
      </c>
      <c r="E48" s="93">
        <v>79000</v>
      </c>
      <c r="F48" s="162">
        <f t="shared" si="4"/>
        <v>0.11731843575418999</v>
      </c>
      <c r="G48" s="69"/>
      <c r="H48" s="99"/>
      <c r="I48" s="603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606"/>
      <c r="B49" s="61" t="s">
        <v>34</v>
      </c>
      <c r="C49" s="93">
        <v>118000</v>
      </c>
      <c r="D49" s="81">
        <f t="shared" si="5"/>
        <v>177000</v>
      </c>
      <c r="E49" s="93">
        <v>89000</v>
      </c>
      <c r="F49" s="163">
        <f t="shared" si="4"/>
        <v>0.24576271186440679</v>
      </c>
      <c r="G49" s="72"/>
      <c r="H49" s="84"/>
      <c r="I49" s="601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652" t="s">
        <v>346</v>
      </c>
      <c r="B50" s="611"/>
      <c r="C50" s="611"/>
      <c r="D50" s="611"/>
      <c r="E50" s="611"/>
      <c r="F50" s="611"/>
      <c r="G50" s="611"/>
      <c r="H50" s="611"/>
      <c r="I50" s="611"/>
      <c r="J50" s="61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608"/>
      <c r="B51" s="613"/>
      <c r="C51" s="613"/>
      <c r="D51" s="613"/>
      <c r="E51" s="613"/>
      <c r="F51" s="613"/>
      <c r="G51" s="613"/>
      <c r="H51" s="613"/>
      <c r="I51" s="613"/>
      <c r="J51" s="6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608"/>
      <c r="B52" s="613"/>
      <c r="C52" s="613"/>
      <c r="D52" s="613"/>
      <c r="E52" s="613"/>
      <c r="F52" s="613"/>
      <c r="G52" s="613"/>
      <c r="H52" s="613"/>
      <c r="I52" s="613"/>
      <c r="J52" s="61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608"/>
      <c r="B53" s="613"/>
      <c r="C53" s="613"/>
      <c r="D53" s="613"/>
      <c r="E53" s="613"/>
      <c r="F53" s="613"/>
      <c r="G53" s="613"/>
      <c r="H53" s="613"/>
      <c r="I53" s="613"/>
      <c r="J53" s="61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610"/>
      <c r="B54" s="615"/>
      <c r="C54" s="615"/>
      <c r="D54" s="615"/>
      <c r="E54" s="615"/>
      <c r="F54" s="615"/>
      <c r="G54" s="615"/>
      <c r="H54" s="615"/>
      <c r="I54" s="615"/>
      <c r="J54" s="61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36"/>
      <c r="D55" s="36"/>
      <c r="E55" s="36"/>
      <c r="F55" s="36"/>
      <c r="G55" s="36"/>
      <c r="H55" s="37"/>
      <c r="I55" s="37"/>
      <c r="J55" s="3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36"/>
      <c r="D56" s="36"/>
      <c r="E56" s="36"/>
      <c r="F56" s="36"/>
      <c r="G56" s="36"/>
      <c r="H56" s="37"/>
      <c r="I56" s="37"/>
      <c r="J56" s="3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36" t="s">
        <v>347</v>
      </c>
      <c r="D57" s="176" t="s">
        <v>348</v>
      </c>
      <c r="E57" s="36" t="s">
        <v>349</v>
      </c>
      <c r="F57" s="36"/>
      <c r="G57" s="36"/>
      <c r="H57" s="37"/>
      <c r="I57" s="37"/>
      <c r="J57" s="3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660" t="s">
        <v>350</v>
      </c>
      <c r="B58" s="194" t="s">
        <v>208</v>
      </c>
      <c r="C58" s="180">
        <v>1190000</v>
      </c>
      <c r="D58" s="134">
        <f t="shared" ref="D58:D71" si="6">E58*2-1000</f>
        <v>2179000</v>
      </c>
      <c r="E58" s="204">
        <v>1090000</v>
      </c>
      <c r="F58" s="36"/>
      <c r="G58" s="36"/>
      <c r="H58" s="37"/>
      <c r="I58" s="37"/>
      <c r="J58" s="3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605"/>
      <c r="B59" s="198" t="s">
        <v>209</v>
      </c>
      <c r="C59" s="186">
        <v>1440000</v>
      </c>
      <c r="D59" s="142">
        <f t="shared" si="6"/>
        <v>2779000</v>
      </c>
      <c r="E59" s="205">
        <v>1390000</v>
      </c>
      <c r="F59" s="36"/>
      <c r="G59" s="36"/>
      <c r="H59" s="37"/>
      <c r="I59" s="37"/>
      <c r="J59" s="3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605"/>
      <c r="B60" s="198" t="s">
        <v>210</v>
      </c>
      <c r="C60" s="186">
        <v>2100000</v>
      </c>
      <c r="D60" s="142">
        <f t="shared" si="6"/>
        <v>3979000</v>
      </c>
      <c r="E60" s="205">
        <v>1990000</v>
      </c>
      <c r="F60" s="36"/>
      <c r="G60" s="36"/>
      <c r="H60" s="37"/>
      <c r="I60" s="37"/>
      <c r="J60" s="3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605"/>
      <c r="B61" s="194" t="s">
        <v>351</v>
      </c>
      <c r="C61" s="180">
        <v>1900000</v>
      </c>
      <c r="D61" s="134">
        <f t="shared" si="6"/>
        <v>3599000</v>
      </c>
      <c r="E61" s="204">
        <v>1800000</v>
      </c>
      <c r="F61" s="36"/>
      <c r="G61" s="36"/>
      <c r="H61" s="37"/>
      <c r="I61" s="37"/>
      <c r="J61" s="3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605"/>
      <c r="B62" s="199" t="s">
        <v>212</v>
      </c>
      <c r="C62" s="190">
        <v>2700000</v>
      </c>
      <c r="D62" s="146">
        <f t="shared" si="6"/>
        <v>5199000</v>
      </c>
      <c r="E62" s="206">
        <v>2600000</v>
      </c>
      <c r="F62" s="36"/>
      <c r="G62" s="36"/>
      <c r="H62" s="37"/>
      <c r="I62" s="37"/>
      <c r="J62" s="3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605"/>
      <c r="B63" s="194" t="s">
        <v>213</v>
      </c>
      <c r="C63" s="180">
        <v>1750000</v>
      </c>
      <c r="D63" s="134">
        <f t="shared" si="6"/>
        <v>3299000</v>
      </c>
      <c r="E63" s="204">
        <v>1650000</v>
      </c>
      <c r="F63" s="36"/>
      <c r="G63" s="36"/>
      <c r="H63" s="37"/>
      <c r="I63" s="37"/>
      <c r="J63" s="3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605"/>
      <c r="B64" s="199" t="s">
        <v>214</v>
      </c>
      <c r="C64" s="190">
        <v>2450000</v>
      </c>
      <c r="D64" s="146">
        <f t="shared" si="6"/>
        <v>4699000</v>
      </c>
      <c r="E64" s="206">
        <v>2350000</v>
      </c>
      <c r="F64" s="36"/>
      <c r="G64" s="36"/>
      <c r="H64" s="37"/>
      <c r="I64" s="37"/>
      <c r="J64" s="3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605"/>
      <c r="B65" s="194" t="s">
        <v>215</v>
      </c>
      <c r="C65" s="207">
        <v>276000</v>
      </c>
      <c r="D65" s="208">
        <f t="shared" si="6"/>
        <v>499000</v>
      </c>
      <c r="E65" s="209">
        <v>250000</v>
      </c>
      <c r="F65" s="36"/>
      <c r="G65" s="36"/>
      <c r="H65" s="37"/>
      <c r="I65" s="37"/>
      <c r="J65" s="3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605"/>
      <c r="B66" s="194" t="s">
        <v>216</v>
      </c>
      <c r="C66" s="73"/>
      <c r="D66" s="142">
        <f t="shared" si="6"/>
        <v>399000</v>
      </c>
      <c r="E66" s="205">
        <v>200000</v>
      </c>
      <c r="F66" s="36"/>
      <c r="G66" s="36"/>
      <c r="H66" s="37"/>
      <c r="I66" s="37"/>
      <c r="J66" s="3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605"/>
      <c r="B67" s="198" t="s">
        <v>217</v>
      </c>
      <c r="C67" s="73"/>
      <c r="D67" s="142">
        <f t="shared" si="6"/>
        <v>299000</v>
      </c>
      <c r="E67" s="205">
        <v>150000</v>
      </c>
      <c r="F67" s="36"/>
      <c r="G67" s="36"/>
      <c r="H67" s="37"/>
      <c r="I67" s="37"/>
      <c r="J67" s="3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605"/>
      <c r="B68" s="198" t="s">
        <v>218</v>
      </c>
      <c r="C68" s="73"/>
      <c r="D68" s="142">
        <f t="shared" si="6"/>
        <v>199000</v>
      </c>
      <c r="E68" s="205">
        <v>100000</v>
      </c>
      <c r="F68" s="36"/>
      <c r="G68" s="36"/>
      <c r="H68" s="37"/>
      <c r="I68" s="37"/>
      <c r="J68" s="3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605"/>
      <c r="B69" s="198" t="s">
        <v>219</v>
      </c>
      <c r="C69" s="73"/>
      <c r="D69" s="142">
        <f t="shared" si="6"/>
        <v>359000</v>
      </c>
      <c r="E69" s="205">
        <v>180000</v>
      </c>
      <c r="F69" s="36"/>
      <c r="G69" s="36"/>
      <c r="H69" s="37"/>
      <c r="I69" s="37"/>
      <c r="J69" s="3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605"/>
      <c r="B70" s="198" t="s">
        <v>220</v>
      </c>
      <c r="C70" s="73"/>
      <c r="D70" s="142">
        <f t="shared" si="6"/>
        <v>399000</v>
      </c>
      <c r="E70" s="138">
        <v>200000</v>
      </c>
      <c r="F70" s="36"/>
      <c r="G70" s="36"/>
      <c r="H70" s="37"/>
      <c r="I70" s="37"/>
      <c r="J70" s="3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606"/>
      <c r="B71" s="199" t="s">
        <v>221</v>
      </c>
      <c r="C71" s="200"/>
      <c r="D71" s="146">
        <f t="shared" si="6"/>
        <v>799000</v>
      </c>
      <c r="E71" s="206">
        <v>400000</v>
      </c>
      <c r="F71" s="36"/>
      <c r="G71" s="36"/>
      <c r="H71" s="37"/>
      <c r="I71" s="37"/>
      <c r="J71" s="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36"/>
      <c r="D72" s="36"/>
      <c r="E72" s="36"/>
      <c r="F72" s="36"/>
      <c r="G72" s="36"/>
      <c r="H72" s="37"/>
      <c r="I72" s="37"/>
      <c r="J72" s="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36"/>
      <c r="D73" s="36"/>
      <c r="E73" s="36"/>
      <c r="F73" s="36"/>
      <c r="G73" s="36"/>
      <c r="H73" s="37"/>
      <c r="I73" s="37"/>
      <c r="J73" s="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36"/>
      <c r="D74" s="36"/>
      <c r="E74" s="36"/>
      <c r="F74" s="36"/>
      <c r="G74" s="36"/>
      <c r="H74" s="37"/>
      <c r="I74" s="37"/>
      <c r="J74" s="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36"/>
      <c r="D75" s="36"/>
      <c r="E75" s="36"/>
      <c r="F75" s="36"/>
      <c r="G75" s="36"/>
      <c r="H75" s="37"/>
      <c r="I75" s="37"/>
      <c r="J75" s="3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36"/>
      <c r="D76" s="36"/>
      <c r="E76" s="36"/>
      <c r="F76" s="36"/>
      <c r="G76" s="36"/>
      <c r="H76" s="37"/>
      <c r="I76" s="37"/>
      <c r="J76" s="3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36"/>
      <c r="D77" s="36"/>
      <c r="E77" s="36"/>
      <c r="F77" s="36"/>
      <c r="G77" s="36"/>
      <c r="H77" s="37"/>
      <c r="I77" s="37"/>
      <c r="J77" s="3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36"/>
      <c r="D78" s="36"/>
      <c r="E78" s="36"/>
      <c r="F78" s="36"/>
      <c r="G78" s="36"/>
      <c r="H78" s="37"/>
      <c r="I78" s="37"/>
      <c r="J78" s="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36"/>
      <c r="D79" s="36"/>
      <c r="E79" s="36"/>
      <c r="F79" s="36"/>
      <c r="G79" s="36"/>
      <c r="H79" s="37"/>
      <c r="I79" s="37"/>
      <c r="J79" s="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36"/>
      <c r="D80" s="36"/>
      <c r="E80" s="36"/>
      <c r="F80" s="36"/>
      <c r="G80" s="36"/>
      <c r="H80" s="37"/>
      <c r="I80" s="37"/>
      <c r="J80" s="3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36"/>
      <c r="D81" s="36"/>
      <c r="E81" s="36"/>
      <c r="F81" s="36"/>
      <c r="G81" s="36"/>
      <c r="H81" s="37"/>
      <c r="I81" s="37"/>
      <c r="J81" s="3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36"/>
      <c r="D82" s="36"/>
      <c r="E82" s="36"/>
      <c r="F82" s="36"/>
      <c r="G82" s="36"/>
      <c r="H82" s="37"/>
      <c r="I82" s="37"/>
      <c r="J82" s="3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36"/>
      <c r="D83" s="36"/>
      <c r="E83" s="36"/>
      <c r="F83" s="36"/>
      <c r="G83" s="36"/>
      <c r="H83" s="37"/>
      <c r="I83" s="37"/>
      <c r="J83" s="3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36"/>
      <c r="D84" s="36"/>
      <c r="E84" s="36"/>
      <c r="F84" s="36"/>
      <c r="G84" s="36"/>
      <c r="H84" s="37"/>
      <c r="I84" s="37"/>
      <c r="J84" s="3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36"/>
      <c r="D85" s="36"/>
      <c r="E85" s="36"/>
      <c r="F85" s="36"/>
      <c r="G85" s="36"/>
      <c r="H85" s="37"/>
      <c r="I85" s="37"/>
      <c r="J85" s="3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36"/>
      <c r="D86" s="36"/>
      <c r="E86" s="36"/>
      <c r="F86" s="36"/>
      <c r="G86" s="36"/>
      <c r="H86" s="37"/>
      <c r="I86" s="37"/>
      <c r="J86" s="3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36"/>
      <c r="D87" s="36"/>
      <c r="E87" s="36"/>
      <c r="F87" s="36"/>
      <c r="G87" s="36"/>
      <c r="H87" s="37"/>
      <c r="I87" s="37"/>
      <c r="J87" s="3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36"/>
      <c r="D88" s="36"/>
      <c r="E88" s="36"/>
      <c r="F88" s="36"/>
      <c r="G88" s="36"/>
      <c r="H88" s="37"/>
      <c r="I88" s="37"/>
      <c r="J88" s="3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36"/>
      <c r="D89" s="36"/>
      <c r="E89" s="36"/>
      <c r="F89" s="36"/>
      <c r="G89" s="36"/>
      <c r="H89" s="37"/>
      <c r="I89" s="37"/>
      <c r="J89" s="3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36"/>
      <c r="D90" s="36"/>
      <c r="E90" s="36"/>
      <c r="F90" s="36"/>
      <c r="G90" s="36"/>
      <c r="H90" s="37"/>
      <c r="I90" s="37"/>
      <c r="J90" s="3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36"/>
      <c r="D91" s="36"/>
      <c r="E91" s="36"/>
      <c r="F91" s="36"/>
      <c r="G91" s="36"/>
      <c r="H91" s="37"/>
      <c r="I91" s="37"/>
      <c r="J91" s="3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36"/>
      <c r="D92" s="36"/>
      <c r="E92" s="36"/>
      <c r="F92" s="36"/>
      <c r="G92" s="36"/>
      <c r="H92" s="37"/>
      <c r="I92" s="37"/>
      <c r="J92" s="3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36"/>
      <c r="D93" s="36"/>
      <c r="E93" s="36"/>
      <c r="F93" s="36"/>
      <c r="G93" s="36"/>
      <c r="H93" s="37"/>
      <c r="I93" s="37"/>
      <c r="J93" s="3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36"/>
      <c r="D94" s="36"/>
      <c r="E94" s="36"/>
      <c r="F94" s="36"/>
      <c r="G94" s="36"/>
      <c r="H94" s="37"/>
      <c r="I94" s="37"/>
      <c r="J94" s="3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36"/>
      <c r="D95" s="36"/>
      <c r="E95" s="36"/>
      <c r="F95" s="36"/>
      <c r="G95" s="36"/>
      <c r="H95" s="37"/>
      <c r="I95" s="37"/>
      <c r="J95" s="3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36"/>
      <c r="D96" s="36"/>
      <c r="E96" s="36"/>
      <c r="F96" s="36"/>
      <c r="G96" s="36"/>
      <c r="H96" s="37"/>
      <c r="I96" s="37"/>
      <c r="J96" s="3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36"/>
      <c r="D97" s="36"/>
      <c r="E97" s="36"/>
      <c r="F97" s="36"/>
      <c r="G97" s="36"/>
      <c r="H97" s="37"/>
      <c r="I97" s="37"/>
      <c r="J97" s="3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36"/>
      <c r="D98" s="36"/>
      <c r="E98" s="36"/>
      <c r="F98" s="36"/>
      <c r="G98" s="36"/>
      <c r="H98" s="37"/>
      <c r="I98" s="37"/>
      <c r="J98" s="3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36"/>
      <c r="D99" s="36"/>
      <c r="E99" s="36"/>
      <c r="F99" s="36"/>
      <c r="G99" s="36"/>
      <c r="H99" s="37"/>
      <c r="I99" s="37"/>
      <c r="J99" s="3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36"/>
      <c r="D100" s="36"/>
      <c r="E100" s="36"/>
      <c r="F100" s="36"/>
      <c r="G100" s="36"/>
      <c r="H100" s="37"/>
      <c r="I100" s="37"/>
      <c r="J100" s="3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36"/>
      <c r="D101" s="36"/>
      <c r="E101" s="36"/>
      <c r="F101" s="36"/>
      <c r="G101" s="36"/>
      <c r="H101" s="37"/>
      <c r="I101" s="37"/>
      <c r="J101" s="3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36"/>
      <c r="D102" s="36"/>
      <c r="E102" s="36"/>
      <c r="F102" s="36"/>
      <c r="G102" s="36"/>
      <c r="H102" s="37"/>
      <c r="I102" s="37"/>
      <c r="J102" s="3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36"/>
      <c r="D103" s="36"/>
      <c r="E103" s="36"/>
      <c r="F103" s="36"/>
      <c r="G103" s="36"/>
      <c r="H103" s="37"/>
      <c r="I103" s="37"/>
      <c r="J103" s="3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36"/>
      <c r="D104" s="36"/>
      <c r="E104" s="36"/>
      <c r="F104" s="36"/>
      <c r="G104" s="36"/>
      <c r="H104" s="37"/>
      <c r="I104" s="37"/>
      <c r="J104" s="3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36"/>
      <c r="D105" s="36"/>
      <c r="E105" s="36"/>
      <c r="F105" s="36"/>
      <c r="G105" s="36"/>
      <c r="H105" s="37"/>
      <c r="I105" s="37"/>
      <c r="J105" s="3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36"/>
      <c r="D106" s="36"/>
      <c r="E106" s="36"/>
      <c r="F106" s="36"/>
      <c r="G106" s="36"/>
      <c r="H106" s="37"/>
      <c r="I106" s="37"/>
      <c r="J106" s="3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36"/>
      <c r="D107" s="36"/>
      <c r="E107" s="36"/>
      <c r="F107" s="36"/>
      <c r="G107" s="36"/>
      <c r="H107" s="37"/>
      <c r="I107" s="37"/>
      <c r="J107" s="3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36"/>
      <c r="D108" s="36"/>
      <c r="E108" s="36"/>
      <c r="F108" s="36"/>
      <c r="G108" s="36"/>
      <c r="H108" s="37"/>
      <c r="I108" s="37"/>
      <c r="J108" s="3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36"/>
      <c r="D109" s="36"/>
      <c r="E109" s="36"/>
      <c r="F109" s="36"/>
      <c r="G109" s="36"/>
      <c r="H109" s="37"/>
      <c r="I109" s="37"/>
      <c r="J109" s="3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36"/>
      <c r="D110" s="36"/>
      <c r="E110" s="36"/>
      <c r="F110" s="36"/>
      <c r="G110" s="36"/>
      <c r="H110" s="37"/>
      <c r="I110" s="37"/>
      <c r="J110" s="3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36"/>
      <c r="D111" s="36"/>
      <c r="E111" s="36"/>
      <c r="F111" s="36"/>
      <c r="G111" s="36"/>
      <c r="H111" s="37"/>
      <c r="I111" s="37"/>
      <c r="J111" s="3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36"/>
      <c r="D112" s="36"/>
      <c r="E112" s="36"/>
      <c r="F112" s="36"/>
      <c r="G112" s="36"/>
      <c r="H112" s="37"/>
      <c r="I112" s="37"/>
      <c r="J112" s="3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36"/>
      <c r="D113" s="36"/>
      <c r="E113" s="36"/>
      <c r="F113" s="36"/>
      <c r="G113" s="36"/>
      <c r="H113" s="37"/>
      <c r="I113" s="37"/>
      <c r="J113" s="3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36"/>
      <c r="D114" s="36"/>
      <c r="E114" s="36"/>
      <c r="F114" s="36"/>
      <c r="G114" s="36"/>
      <c r="H114" s="37"/>
      <c r="I114" s="37"/>
      <c r="J114" s="3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36"/>
      <c r="D115" s="36"/>
      <c r="E115" s="36"/>
      <c r="F115" s="36"/>
      <c r="G115" s="36"/>
      <c r="H115" s="37"/>
      <c r="I115" s="37"/>
      <c r="J115" s="3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36"/>
      <c r="D116" s="36"/>
      <c r="E116" s="36"/>
      <c r="F116" s="36"/>
      <c r="G116" s="36"/>
      <c r="H116" s="37"/>
      <c r="I116" s="37"/>
      <c r="J116" s="3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36"/>
      <c r="D117" s="36"/>
      <c r="E117" s="36"/>
      <c r="F117" s="36"/>
      <c r="G117" s="36"/>
      <c r="H117" s="37"/>
      <c r="I117" s="37"/>
      <c r="J117" s="3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36"/>
      <c r="D118" s="36"/>
      <c r="E118" s="36"/>
      <c r="F118" s="36"/>
      <c r="G118" s="36"/>
      <c r="H118" s="37"/>
      <c r="I118" s="37"/>
      <c r="J118" s="3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36"/>
      <c r="D119" s="36"/>
      <c r="E119" s="36"/>
      <c r="F119" s="36"/>
      <c r="G119" s="36"/>
      <c r="H119" s="37"/>
      <c r="I119" s="37"/>
      <c r="J119" s="3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36"/>
      <c r="D120" s="36"/>
      <c r="E120" s="36"/>
      <c r="F120" s="36"/>
      <c r="G120" s="36"/>
      <c r="H120" s="37"/>
      <c r="I120" s="37"/>
      <c r="J120" s="3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36"/>
      <c r="D121" s="36"/>
      <c r="E121" s="36"/>
      <c r="F121" s="36"/>
      <c r="G121" s="36"/>
      <c r="H121" s="37"/>
      <c r="I121" s="37"/>
      <c r="J121" s="3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36"/>
      <c r="D122" s="36"/>
      <c r="E122" s="36"/>
      <c r="F122" s="36"/>
      <c r="G122" s="36"/>
      <c r="H122" s="37"/>
      <c r="I122" s="37"/>
      <c r="J122" s="3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36"/>
      <c r="D123" s="36"/>
      <c r="E123" s="36"/>
      <c r="F123" s="36"/>
      <c r="G123" s="36"/>
      <c r="H123" s="37"/>
      <c r="I123" s="37"/>
      <c r="J123" s="3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36"/>
      <c r="D124" s="36"/>
      <c r="E124" s="36"/>
      <c r="F124" s="36"/>
      <c r="G124" s="36"/>
      <c r="H124" s="37"/>
      <c r="I124" s="37"/>
      <c r="J124" s="3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36"/>
      <c r="D125" s="36"/>
      <c r="E125" s="36"/>
      <c r="F125" s="36"/>
      <c r="G125" s="36"/>
      <c r="H125" s="37"/>
      <c r="I125" s="37"/>
      <c r="J125" s="3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36"/>
      <c r="D126" s="36"/>
      <c r="E126" s="36"/>
      <c r="F126" s="36"/>
      <c r="G126" s="36"/>
      <c r="H126" s="37"/>
      <c r="I126" s="37"/>
      <c r="J126" s="3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36"/>
      <c r="D127" s="36"/>
      <c r="E127" s="36"/>
      <c r="F127" s="36"/>
      <c r="G127" s="36"/>
      <c r="H127" s="37"/>
      <c r="I127" s="37"/>
      <c r="J127" s="3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36"/>
      <c r="D128" s="36"/>
      <c r="E128" s="36"/>
      <c r="F128" s="36"/>
      <c r="G128" s="36"/>
      <c r="H128" s="37"/>
      <c r="I128" s="37"/>
      <c r="J128" s="3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36"/>
      <c r="D129" s="36"/>
      <c r="E129" s="36"/>
      <c r="F129" s="36"/>
      <c r="G129" s="36"/>
      <c r="H129" s="37"/>
      <c r="I129" s="37"/>
      <c r="J129" s="3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36"/>
      <c r="D130" s="36"/>
      <c r="E130" s="36"/>
      <c r="F130" s="36"/>
      <c r="G130" s="36"/>
      <c r="H130" s="37"/>
      <c r="I130" s="37"/>
      <c r="J130" s="3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36"/>
      <c r="D131" s="36"/>
      <c r="E131" s="36"/>
      <c r="F131" s="36"/>
      <c r="G131" s="36"/>
      <c r="H131" s="37"/>
      <c r="I131" s="37"/>
      <c r="J131" s="3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36"/>
      <c r="D132" s="36"/>
      <c r="E132" s="36"/>
      <c r="F132" s="36"/>
      <c r="G132" s="36"/>
      <c r="H132" s="37"/>
      <c r="I132" s="37"/>
      <c r="J132" s="3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36"/>
      <c r="D133" s="36"/>
      <c r="E133" s="36"/>
      <c r="F133" s="36"/>
      <c r="G133" s="36"/>
      <c r="H133" s="37"/>
      <c r="I133" s="37"/>
      <c r="J133" s="3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36"/>
      <c r="D134" s="36"/>
      <c r="E134" s="36"/>
      <c r="F134" s="36"/>
      <c r="G134" s="36"/>
      <c r="H134" s="37"/>
      <c r="I134" s="37"/>
      <c r="J134" s="3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36"/>
      <c r="D135" s="36"/>
      <c r="E135" s="36"/>
      <c r="F135" s="36"/>
      <c r="G135" s="36"/>
      <c r="H135" s="37"/>
      <c r="I135" s="37"/>
      <c r="J135" s="3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36"/>
      <c r="D136" s="36"/>
      <c r="E136" s="36"/>
      <c r="F136" s="36"/>
      <c r="G136" s="36"/>
      <c r="H136" s="37"/>
      <c r="I136" s="37"/>
      <c r="J136" s="3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36"/>
      <c r="D137" s="36"/>
      <c r="E137" s="36"/>
      <c r="F137" s="36"/>
      <c r="G137" s="36"/>
      <c r="H137" s="37"/>
      <c r="I137" s="37"/>
      <c r="J137" s="3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36"/>
      <c r="D138" s="36"/>
      <c r="E138" s="36"/>
      <c r="F138" s="36"/>
      <c r="G138" s="36"/>
      <c r="H138" s="37"/>
      <c r="I138" s="37"/>
      <c r="J138" s="3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36"/>
      <c r="D139" s="36"/>
      <c r="E139" s="36"/>
      <c r="F139" s="36"/>
      <c r="G139" s="36"/>
      <c r="H139" s="37"/>
      <c r="I139" s="37"/>
      <c r="J139" s="3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36"/>
      <c r="D140" s="36"/>
      <c r="E140" s="36"/>
      <c r="F140" s="36"/>
      <c r="G140" s="36"/>
      <c r="H140" s="37"/>
      <c r="I140" s="37"/>
      <c r="J140" s="3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36"/>
      <c r="D141" s="36"/>
      <c r="E141" s="36"/>
      <c r="F141" s="36"/>
      <c r="G141" s="36"/>
      <c r="H141" s="37"/>
      <c r="I141" s="37"/>
      <c r="J141" s="3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36"/>
      <c r="D142" s="36"/>
      <c r="E142" s="36"/>
      <c r="F142" s="36"/>
      <c r="G142" s="36"/>
      <c r="H142" s="37"/>
      <c r="I142" s="37"/>
      <c r="J142" s="3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36"/>
      <c r="D143" s="36"/>
      <c r="E143" s="36"/>
      <c r="F143" s="36"/>
      <c r="G143" s="36"/>
      <c r="H143" s="37"/>
      <c r="I143" s="37"/>
      <c r="J143" s="3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36"/>
      <c r="D144" s="36"/>
      <c r="E144" s="36"/>
      <c r="F144" s="36"/>
      <c r="G144" s="36"/>
      <c r="H144" s="37"/>
      <c r="I144" s="37"/>
      <c r="J144" s="3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36"/>
      <c r="D145" s="36"/>
      <c r="E145" s="36"/>
      <c r="F145" s="36"/>
      <c r="G145" s="36"/>
      <c r="H145" s="37"/>
      <c r="I145" s="37"/>
      <c r="J145" s="3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36"/>
      <c r="D146" s="36"/>
      <c r="E146" s="36"/>
      <c r="F146" s="36"/>
      <c r="G146" s="36"/>
      <c r="H146" s="37"/>
      <c r="I146" s="37"/>
      <c r="J146" s="3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36"/>
      <c r="D147" s="36"/>
      <c r="E147" s="36"/>
      <c r="F147" s="36"/>
      <c r="G147" s="36"/>
      <c r="H147" s="37"/>
      <c r="I147" s="37"/>
      <c r="J147" s="3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36"/>
      <c r="D148" s="36"/>
      <c r="E148" s="36"/>
      <c r="F148" s="36"/>
      <c r="G148" s="36"/>
      <c r="H148" s="37"/>
      <c r="I148" s="37"/>
      <c r="J148" s="3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36"/>
      <c r="D149" s="36"/>
      <c r="E149" s="36"/>
      <c r="F149" s="36"/>
      <c r="G149" s="36"/>
      <c r="H149" s="37"/>
      <c r="I149" s="37"/>
      <c r="J149" s="3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36"/>
      <c r="D150" s="36"/>
      <c r="E150" s="36"/>
      <c r="F150" s="36"/>
      <c r="G150" s="36"/>
      <c r="H150" s="37"/>
      <c r="I150" s="37"/>
      <c r="J150" s="3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36"/>
      <c r="D151" s="36"/>
      <c r="E151" s="36"/>
      <c r="F151" s="36"/>
      <c r="G151" s="36"/>
      <c r="H151" s="37"/>
      <c r="I151" s="37"/>
      <c r="J151" s="3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36"/>
      <c r="D152" s="36"/>
      <c r="E152" s="36"/>
      <c r="F152" s="36"/>
      <c r="G152" s="36"/>
      <c r="H152" s="37"/>
      <c r="I152" s="37"/>
      <c r="J152" s="3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36"/>
      <c r="D153" s="36"/>
      <c r="E153" s="36"/>
      <c r="F153" s="36"/>
      <c r="G153" s="36"/>
      <c r="H153" s="37"/>
      <c r="I153" s="37"/>
      <c r="J153" s="3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36"/>
      <c r="D154" s="36"/>
      <c r="E154" s="36"/>
      <c r="F154" s="36"/>
      <c r="G154" s="36"/>
      <c r="H154" s="37"/>
      <c r="I154" s="37"/>
      <c r="J154" s="3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36"/>
      <c r="D155" s="36"/>
      <c r="E155" s="36"/>
      <c r="F155" s="36"/>
      <c r="G155" s="36"/>
      <c r="H155" s="37"/>
      <c r="I155" s="37"/>
      <c r="J155" s="3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36"/>
      <c r="D156" s="36"/>
      <c r="E156" s="36"/>
      <c r="F156" s="36"/>
      <c r="G156" s="36"/>
      <c r="H156" s="37"/>
      <c r="I156" s="37"/>
      <c r="J156" s="3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36"/>
      <c r="D157" s="36"/>
      <c r="E157" s="36"/>
      <c r="F157" s="36"/>
      <c r="G157" s="36"/>
      <c r="H157" s="37"/>
      <c r="I157" s="37"/>
      <c r="J157" s="3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37"/>
      <c r="D158" s="37"/>
      <c r="E158" s="37"/>
      <c r="F158" s="37"/>
      <c r="G158" s="37"/>
      <c r="H158" s="37"/>
      <c r="I158" s="37"/>
      <c r="J158" s="3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37"/>
      <c r="D159" s="37"/>
      <c r="E159" s="37"/>
      <c r="F159" s="37"/>
      <c r="G159" s="37"/>
      <c r="H159" s="37"/>
      <c r="I159" s="37"/>
      <c r="J159" s="3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37"/>
      <c r="D160" s="37"/>
      <c r="E160" s="37"/>
      <c r="F160" s="37"/>
      <c r="G160" s="37"/>
      <c r="H160" s="37"/>
      <c r="I160" s="37"/>
      <c r="J160" s="3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37"/>
      <c r="D161" s="37"/>
      <c r="E161" s="37"/>
      <c r="F161" s="37"/>
      <c r="G161" s="37"/>
      <c r="H161" s="37"/>
      <c r="I161" s="37"/>
      <c r="J161" s="3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37"/>
      <c r="D162" s="37"/>
      <c r="E162" s="37"/>
      <c r="F162" s="37"/>
      <c r="G162" s="37"/>
      <c r="H162" s="37"/>
      <c r="I162" s="37"/>
      <c r="J162" s="3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37"/>
      <c r="D163" s="37"/>
      <c r="E163" s="37"/>
      <c r="F163" s="37"/>
      <c r="G163" s="37"/>
      <c r="H163" s="37"/>
      <c r="I163" s="37"/>
      <c r="J163" s="3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37"/>
      <c r="D164" s="37"/>
      <c r="E164" s="37"/>
      <c r="F164" s="37"/>
      <c r="G164" s="37"/>
      <c r="H164" s="37"/>
      <c r="I164" s="37"/>
      <c r="J164" s="3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37"/>
      <c r="D165" s="37"/>
      <c r="E165" s="37"/>
      <c r="F165" s="37"/>
      <c r="G165" s="37"/>
      <c r="H165" s="37"/>
      <c r="I165" s="37"/>
      <c r="J165" s="3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37"/>
      <c r="D166" s="37"/>
      <c r="E166" s="37"/>
      <c r="F166" s="37"/>
      <c r="G166" s="37"/>
      <c r="H166" s="37"/>
      <c r="I166" s="37"/>
      <c r="J166" s="3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37"/>
      <c r="D167" s="37"/>
      <c r="E167" s="37"/>
      <c r="F167" s="37"/>
      <c r="G167" s="37"/>
      <c r="H167" s="37"/>
      <c r="I167" s="37"/>
      <c r="J167" s="3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37"/>
      <c r="D168" s="37"/>
      <c r="E168" s="37"/>
      <c r="F168" s="37"/>
      <c r="G168" s="37"/>
      <c r="H168" s="37"/>
      <c r="I168" s="37"/>
      <c r="J168" s="3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37"/>
      <c r="D169" s="37"/>
      <c r="E169" s="37"/>
      <c r="F169" s="37"/>
      <c r="G169" s="37"/>
      <c r="H169" s="37"/>
      <c r="I169" s="37"/>
      <c r="J169" s="3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37"/>
      <c r="D170" s="37"/>
      <c r="E170" s="37"/>
      <c r="F170" s="37"/>
      <c r="G170" s="37"/>
      <c r="H170" s="37"/>
      <c r="I170" s="37"/>
      <c r="J170" s="3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37"/>
      <c r="D171" s="37"/>
      <c r="E171" s="37"/>
      <c r="F171" s="37"/>
      <c r="G171" s="37"/>
      <c r="H171" s="37"/>
      <c r="I171" s="37"/>
      <c r="J171" s="3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37"/>
      <c r="D172" s="37"/>
      <c r="E172" s="37"/>
      <c r="F172" s="37"/>
      <c r="G172" s="37"/>
      <c r="H172" s="37"/>
      <c r="I172" s="37"/>
      <c r="J172" s="3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37"/>
      <c r="D173" s="37"/>
      <c r="E173" s="37"/>
      <c r="F173" s="37"/>
      <c r="G173" s="37"/>
      <c r="H173" s="37"/>
      <c r="I173" s="37"/>
      <c r="J173" s="3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37"/>
      <c r="D174" s="37"/>
      <c r="E174" s="37"/>
      <c r="F174" s="37"/>
      <c r="G174" s="37"/>
      <c r="H174" s="37"/>
      <c r="I174" s="37"/>
      <c r="J174" s="3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37"/>
      <c r="D175" s="37"/>
      <c r="E175" s="37"/>
      <c r="F175" s="37"/>
      <c r="G175" s="37"/>
      <c r="H175" s="37"/>
      <c r="I175" s="37"/>
      <c r="J175" s="3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37"/>
      <c r="D176" s="37"/>
      <c r="E176" s="37"/>
      <c r="F176" s="37"/>
      <c r="G176" s="37"/>
      <c r="H176" s="37"/>
      <c r="I176" s="37"/>
      <c r="J176" s="3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37"/>
      <c r="D177" s="37"/>
      <c r="E177" s="37"/>
      <c r="F177" s="37"/>
      <c r="G177" s="37"/>
      <c r="H177" s="37"/>
      <c r="I177" s="37"/>
      <c r="J177" s="3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37"/>
      <c r="D178" s="37"/>
      <c r="E178" s="37"/>
      <c r="F178" s="37"/>
      <c r="G178" s="37"/>
      <c r="H178" s="37"/>
      <c r="I178" s="37"/>
      <c r="J178" s="3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37"/>
      <c r="D179" s="37"/>
      <c r="E179" s="37"/>
      <c r="F179" s="37"/>
      <c r="G179" s="37"/>
      <c r="H179" s="37"/>
      <c r="I179" s="37"/>
      <c r="J179" s="3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37"/>
      <c r="D180" s="37"/>
      <c r="E180" s="37"/>
      <c r="F180" s="37"/>
      <c r="G180" s="37"/>
      <c r="H180" s="37"/>
      <c r="I180" s="37"/>
      <c r="J180" s="3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37"/>
      <c r="D181" s="37"/>
      <c r="E181" s="37"/>
      <c r="F181" s="37"/>
      <c r="G181" s="37"/>
      <c r="H181" s="37"/>
      <c r="I181" s="37"/>
      <c r="J181" s="3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37"/>
      <c r="D182" s="37"/>
      <c r="E182" s="37"/>
      <c r="F182" s="37"/>
      <c r="G182" s="37"/>
      <c r="H182" s="37"/>
      <c r="I182" s="37"/>
      <c r="J182" s="3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37"/>
      <c r="D183" s="37"/>
      <c r="E183" s="37"/>
      <c r="F183" s="37"/>
      <c r="G183" s="37"/>
      <c r="H183" s="37"/>
      <c r="I183" s="37"/>
      <c r="J183" s="3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37"/>
      <c r="D184" s="37"/>
      <c r="E184" s="37"/>
      <c r="F184" s="37"/>
      <c r="G184" s="37"/>
      <c r="H184" s="37"/>
      <c r="I184" s="37"/>
      <c r="J184" s="3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37"/>
      <c r="D185" s="37"/>
      <c r="E185" s="37"/>
      <c r="F185" s="37"/>
      <c r="G185" s="37"/>
      <c r="H185" s="37"/>
      <c r="I185" s="37"/>
      <c r="J185" s="3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37"/>
      <c r="D186" s="37"/>
      <c r="E186" s="37"/>
      <c r="F186" s="37"/>
      <c r="G186" s="37"/>
      <c r="H186" s="37"/>
      <c r="I186" s="37"/>
      <c r="J186" s="3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37"/>
      <c r="D187" s="37"/>
      <c r="E187" s="37"/>
      <c r="F187" s="37"/>
      <c r="G187" s="37"/>
      <c r="H187" s="37"/>
      <c r="I187" s="37"/>
      <c r="J187" s="3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37"/>
      <c r="D188" s="37"/>
      <c r="E188" s="37"/>
      <c r="F188" s="37"/>
      <c r="G188" s="37"/>
      <c r="H188" s="37"/>
      <c r="I188" s="37"/>
      <c r="J188" s="3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37"/>
      <c r="D189" s="37"/>
      <c r="E189" s="37"/>
      <c r="F189" s="37"/>
      <c r="G189" s="37"/>
      <c r="H189" s="37"/>
      <c r="I189" s="37"/>
      <c r="J189" s="3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37"/>
      <c r="D190" s="37"/>
      <c r="E190" s="37"/>
      <c r="F190" s="37"/>
      <c r="G190" s="37"/>
      <c r="H190" s="37"/>
      <c r="I190" s="37"/>
      <c r="J190" s="3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37"/>
      <c r="D191" s="37"/>
      <c r="E191" s="37"/>
      <c r="F191" s="37"/>
      <c r="G191" s="37"/>
      <c r="H191" s="37"/>
      <c r="I191" s="37"/>
      <c r="J191" s="3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37"/>
      <c r="D192" s="37"/>
      <c r="E192" s="37"/>
      <c r="F192" s="37"/>
      <c r="G192" s="37"/>
      <c r="H192" s="37"/>
      <c r="I192" s="37"/>
      <c r="J192" s="3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37"/>
      <c r="D193" s="37"/>
      <c r="E193" s="37"/>
      <c r="F193" s="37"/>
      <c r="G193" s="37"/>
      <c r="H193" s="37"/>
      <c r="I193" s="37"/>
      <c r="J193" s="3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37"/>
      <c r="D194" s="37"/>
      <c r="E194" s="37"/>
      <c r="F194" s="37"/>
      <c r="G194" s="37"/>
      <c r="H194" s="37"/>
      <c r="I194" s="37"/>
      <c r="J194" s="3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37"/>
      <c r="D195" s="37"/>
      <c r="E195" s="37"/>
      <c r="F195" s="37"/>
      <c r="G195" s="37"/>
      <c r="H195" s="37"/>
      <c r="I195" s="37"/>
      <c r="J195" s="3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37"/>
      <c r="D196" s="37"/>
      <c r="E196" s="37"/>
      <c r="F196" s="37"/>
      <c r="G196" s="37"/>
      <c r="H196" s="37"/>
      <c r="I196" s="37"/>
      <c r="J196" s="3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37"/>
      <c r="D197" s="37"/>
      <c r="E197" s="37"/>
      <c r="F197" s="37"/>
      <c r="G197" s="37"/>
      <c r="H197" s="37"/>
      <c r="I197" s="37"/>
      <c r="J197" s="3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37"/>
      <c r="D198" s="37"/>
      <c r="E198" s="37"/>
      <c r="F198" s="37"/>
      <c r="G198" s="37"/>
      <c r="H198" s="37"/>
      <c r="I198" s="37"/>
      <c r="J198" s="3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37"/>
      <c r="D199" s="37"/>
      <c r="E199" s="37"/>
      <c r="F199" s="37"/>
      <c r="G199" s="37"/>
      <c r="H199" s="37"/>
      <c r="I199" s="37"/>
      <c r="J199" s="3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37"/>
      <c r="D200" s="37"/>
      <c r="E200" s="37"/>
      <c r="F200" s="37"/>
      <c r="G200" s="37"/>
      <c r="H200" s="37"/>
      <c r="I200" s="37"/>
      <c r="J200" s="3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37"/>
      <c r="D201" s="37"/>
      <c r="E201" s="37"/>
      <c r="F201" s="37"/>
      <c r="G201" s="37"/>
      <c r="H201" s="37"/>
      <c r="I201" s="37"/>
      <c r="J201" s="3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37"/>
      <c r="D202" s="37"/>
      <c r="E202" s="37"/>
      <c r="F202" s="37"/>
      <c r="G202" s="37"/>
      <c r="H202" s="37"/>
      <c r="I202" s="37"/>
      <c r="J202" s="3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37"/>
      <c r="D203" s="37"/>
      <c r="E203" s="37"/>
      <c r="F203" s="37"/>
      <c r="G203" s="37"/>
      <c r="H203" s="37"/>
      <c r="I203" s="37"/>
      <c r="J203" s="3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37"/>
      <c r="D204" s="37"/>
      <c r="E204" s="37"/>
      <c r="F204" s="37"/>
      <c r="G204" s="37"/>
      <c r="H204" s="37"/>
      <c r="I204" s="37"/>
      <c r="J204" s="3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37"/>
      <c r="D205" s="37"/>
      <c r="E205" s="37"/>
      <c r="F205" s="37"/>
      <c r="G205" s="37"/>
      <c r="H205" s="37"/>
      <c r="I205" s="37"/>
      <c r="J205" s="3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37"/>
      <c r="D206" s="37"/>
      <c r="E206" s="37"/>
      <c r="F206" s="37"/>
      <c r="G206" s="37"/>
      <c r="H206" s="37"/>
      <c r="I206" s="37"/>
      <c r="J206" s="3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37"/>
      <c r="D207" s="37"/>
      <c r="E207" s="37"/>
      <c r="F207" s="37"/>
      <c r="G207" s="37"/>
      <c r="H207" s="37"/>
      <c r="I207" s="37"/>
      <c r="J207" s="3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37"/>
      <c r="D208" s="37"/>
      <c r="E208" s="37"/>
      <c r="F208" s="37"/>
      <c r="G208" s="37"/>
      <c r="H208" s="37"/>
      <c r="I208" s="37"/>
      <c r="J208" s="3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37"/>
      <c r="D209" s="37"/>
      <c r="E209" s="37"/>
      <c r="F209" s="37"/>
      <c r="G209" s="37"/>
      <c r="H209" s="37"/>
      <c r="I209" s="37"/>
      <c r="J209" s="3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37"/>
      <c r="D210" s="37"/>
      <c r="E210" s="37"/>
      <c r="F210" s="37"/>
      <c r="G210" s="37"/>
      <c r="H210" s="37"/>
      <c r="I210" s="37"/>
      <c r="J210" s="3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37"/>
      <c r="D211" s="37"/>
      <c r="E211" s="37"/>
      <c r="F211" s="37"/>
      <c r="G211" s="37"/>
      <c r="H211" s="37"/>
      <c r="I211" s="37"/>
      <c r="J211" s="3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37"/>
      <c r="D212" s="37"/>
      <c r="E212" s="37"/>
      <c r="F212" s="37"/>
      <c r="G212" s="37"/>
      <c r="H212" s="37"/>
      <c r="I212" s="37"/>
      <c r="J212" s="3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37"/>
      <c r="D213" s="37"/>
      <c r="E213" s="37"/>
      <c r="F213" s="37"/>
      <c r="G213" s="37"/>
      <c r="H213" s="37"/>
      <c r="I213" s="37"/>
      <c r="J213" s="3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37"/>
      <c r="D214" s="37"/>
      <c r="E214" s="37"/>
      <c r="F214" s="37"/>
      <c r="G214" s="37"/>
      <c r="H214" s="37"/>
      <c r="I214" s="37"/>
      <c r="J214" s="3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37"/>
      <c r="D215" s="37"/>
      <c r="E215" s="37"/>
      <c r="F215" s="37"/>
      <c r="G215" s="37"/>
      <c r="H215" s="37"/>
      <c r="I215" s="37"/>
      <c r="J215" s="3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37"/>
      <c r="D216" s="37"/>
      <c r="E216" s="37"/>
      <c r="F216" s="37"/>
      <c r="G216" s="37"/>
      <c r="H216" s="37"/>
      <c r="I216" s="37"/>
      <c r="J216" s="3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37"/>
      <c r="D217" s="37"/>
      <c r="E217" s="37"/>
      <c r="F217" s="37"/>
      <c r="G217" s="37"/>
      <c r="H217" s="37"/>
      <c r="I217" s="37"/>
      <c r="J217" s="3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37"/>
      <c r="D218" s="37"/>
      <c r="E218" s="37"/>
      <c r="F218" s="37"/>
      <c r="G218" s="37"/>
      <c r="H218" s="37"/>
      <c r="I218" s="37"/>
      <c r="J218" s="3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37"/>
      <c r="D219" s="37"/>
      <c r="E219" s="37"/>
      <c r="F219" s="37"/>
      <c r="G219" s="37"/>
      <c r="H219" s="37"/>
      <c r="I219" s="37"/>
      <c r="J219" s="3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37"/>
      <c r="D220" s="37"/>
      <c r="E220" s="37"/>
      <c r="F220" s="37"/>
      <c r="G220" s="37"/>
      <c r="H220" s="37"/>
      <c r="I220" s="37"/>
      <c r="J220" s="3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37"/>
      <c r="D221" s="37"/>
      <c r="E221" s="37"/>
      <c r="F221" s="37"/>
      <c r="G221" s="37"/>
      <c r="H221" s="37"/>
      <c r="I221" s="37"/>
      <c r="J221" s="3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37"/>
      <c r="D222" s="37"/>
      <c r="E222" s="37"/>
      <c r="F222" s="37"/>
      <c r="G222" s="37"/>
      <c r="H222" s="37"/>
      <c r="I222" s="37"/>
      <c r="J222" s="3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37"/>
      <c r="D223" s="37"/>
      <c r="E223" s="37"/>
      <c r="F223" s="37"/>
      <c r="G223" s="37"/>
      <c r="H223" s="37"/>
      <c r="I223" s="37"/>
      <c r="J223" s="3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37"/>
      <c r="D224" s="37"/>
      <c r="E224" s="37"/>
      <c r="F224" s="37"/>
      <c r="G224" s="37"/>
      <c r="H224" s="37"/>
      <c r="I224" s="37"/>
      <c r="J224" s="3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37"/>
      <c r="D225" s="37"/>
      <c r="E225" s="37"/>
      <c r="F225" s="37"/>
      <c r="G225" s="37"/>
      <c r="H225" s="37"/>
      <c r="I225" s="37"/>
      <c r="J225" s="3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37"/>
      <c r="D226" s="37"/>
      <c r="E226" s="37"/>
      <c r="F226" s="37"/>
      <c r="G226" s="37"/>
      <c r="H226" s="37"/>
      <c r="I226" s="37"/>
      <c r="J226" s="3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37"/>
      <c r="D227" s="37"/>
      <c r="E227" s="37"/>
      <c r="F227" s="37"/>
      <c r="G227" s="37"/>
      <c r="H227" s="37"/>
      <c r="I227" s="37"/>
      <c r="J227" s="3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37"/>
      <c r="D228" s="37"/>
      <c r="E228" s="37"/>
      <c r="F228" s="37"/>
      <c r="G228" s="37"/>
      <c r="H228" s="37"/>
      <c r="I228" s="37"/>
      <c r="J228" s="3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37"/>
      <c r="D229" s="37"/>
      <c r="E229" s="37"/>
      <c r="F229" s="37"/>
      <c r="G229" s="37"/>
      <c r="H229" s="37"/>
      <c r="I229" s="37"/>
      <c r="J229" s="3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37"/>
      <c r="D230" s="37"/>
      <c r="E230" s="37"/>
      <c r="F230" s="37"/>
      <c r="G230" s="37"/>
      <c r="H230" s="37"/>
      <c r="I230" s="37"/>
      <c r="J230" s="3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37"/>
      <c r="D231" s="37"/>
      <c r="E231" s="37"/>
      <c r="F231" s="37"/>
      <c r="G231" s="37"/>
      <c r="H231" s="37"/>
      <c r="I231" s="37"/>
      <c r="J231" s="3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37"/>
      <c r="D232" s="37"/>
      <c r="E232" s="37"/>
      <c r="F232" s="37"/>
      <c r="G232" s="37"/>
      <c r="H232" s="37"/>
      <c r="I232" s="37"/>
      <c r="J232" s="37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37"/>
      <c r="D233" s="37"/>
      <c r="E233" s="37"/>
      <c r="F233" s="37"/>
      <c r="G233" s="37"/>
      <c r="H233" s="37"/>
      <c r="I233" s="37"/>
      <c r="J233" s="37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37"/>
      <c r="D234" s="37"/>
      <c r="E234" s="37"/>
      <c r="F234" s="37"/>
      <c r="G234" s="37"/>
      <c r="H234" s="37"/>
      <c r="I234" s="37"/>
      <c r="J234" s="37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37"/>
      <c r="D235" s="37"/>
      <c r="E235" s="37"/>
      <c r="F235" s="37"/>
      <c r="G235" s="37"/>
      <c r="H235" s="37"/>
      <c r="I235" s="37"/>
      <c r="J235" s="37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37"/>
      <c r="D236" s="37"/>
      <c r="E236" s="37"/>
      <c r="F236" s="37"/>
      <c r="G236" s="37"/>
      <c r="H236" s="37"/>
      <c r="I236" s="37"/>
      <c r="J236" s="37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37"/>
      <c r="D237" s="37"/>
      <c r="E237" s="37"/>
      <c r="F237" s="37"/>
      <c r="G237" s="37"/>
      <c r="H237" s="37"/>
      <c r="I237" s="37"/>
      <c r="J237" s="37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37"/>
      <c r="D238" s="37"/>
      <c r="E238" s="37"/>
      <c r="F238" s="37"/>
      <c r="G238" s="37"/>
      <c r="H238" s="37"/>
      <c r="I238" s="37"/>
      <c r="J238" s="37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37"/>
      <c r="D239" s="37"/>
      <c r="E239" s="37"/>
      <c r="F239" s="37"/>
      <c r="G239" s="37"/>
      <c r="H239" s="37"/>
      <c r="I239" s="37"/>
      <c r="J239" s="37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37"/>
      <c r="D240" s="37"/>
      <c r="E240" s="37"/>
      <c r="F240" s="37"/>
      <c r="G240" s="37"/>
      <c r="H240" s="37"/>
      <c r="I240" s="37"/>
      <c r="J240" s="37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37"/>
      <c r="D241" s="37"/>
      <c r="E241" s="37"/>
      <c r="F241" s="37"/>
      <c r="G241" s="37"/>
      <c r="H241" s="37"/>
      <c r="I241" s="37"/>
      <c r="J241" s="37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37"/>
      <c r="D242" s="37"/>
      <c r="E242" s="37"/>
      <c r="F242" s="37"/>
      <c r="G242" s="37"/>
      <c r="H242" s="37"/>
      <c r="I242" s="37"/>
      <c r="J242" s="37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37"/>
      <c r="D243" s="37"/>
      <c r="E243" s="37"/>
      <c r="F243" s="37"/>
      <c r="G243" s="37"/>
      <c r="H243" s="37"/>
      <c r="I243" s="37"/>
      <c r="J243" s="37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37"/>
      <c r="D244" s="37"/>
      <c r="E244" s="37"/>
      <c r="F244" s="37"/>
      <c r="G244" s="37"/>
      <c r="H244" s="37"/>
      <c r="I244" s="37"/>
      <c r="J244" s="37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37"/>
      <c r="D245" s="37"/>
      <c r="E245" s="37"/>
      <c r="F245" s="37"/>
      <c r="G245" s="37"/>
      <c r="H245" s="37"/>
      <c r="I245" s="37"/>
      <c r="J245" s="37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37"/>
      <c r="D246" s="37"/>
      <c r="E246" s="37"/>
      <c r="F246" s="37"/>
      <c r="G246" s="37"/>
      <c r="H246" s="37"/>
      <c r="I246" s="37"/>
      <c r="J246" s="37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37"/>
      <c r="D247" s="37"/>
      <c r="E247" s="37"/>
      <c r="F247" s="37"/>
      <c r="G247" s="37"/>
      <c r="H247" s="37"/>
      <c r="I247" s="37"/>
      <c r="J247" s="37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37"/>
      <c r="D248" s="37"/>
      <c r="E248" s="37"/>
      <c r="F248" s="37"/>
      <c r="G248" s="37"/>
      <c r="H248" s="37"/>
      <c r="I248" s="37"/>
      <c r="J248" s="37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37"/>
      <c r="D249" s="37"/>
      <c r="E249" s="37"/>
      <c r="F249" s="37"/>
      <c r="G249" s="37"/>
      <c r="H249" s="37"/>
      <c r="I249" s="37"/>
      <c r="J249" s="37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73"/>
      <c r="B272" s="73"/>
      <c r="C272" s="73"/>
      <c r="D272" s="73"/>
      <c r="E272" s="73"/>
      <c r="F272" s="73"/>
      <c r="G272" s="73"/>
      <c r="H272" s="73"/>
      <c r="J272" s="73"/>
    </row>
    <row r="273" spans="1:10" ht="15.75" customHeight="1">
      <c r="A273" s="73"/>
      <c r="B273" s="73"/>
      <c r="C273" s="73"/>
      <c r="D273" s="73"/>
      <c r="E273" s="73"/>
      <c r="F273" s="73"/>
      <c r="G273" s="73"/>
      <c r="H273" s="73"/>
      <c r="J273" s="73"/>
    </row>
    <row r="274" spans="1:10" ht="15.75" customHeight="1">
      <c r="A274" s="73"/>
      <c r="B274" s="73"/>
      <c r="C274" s="73"/>
      <c r="D274" s="73"/>
      <c r="E274" s="73"/>
      <c r="F274" s="73"/>
      <c r="G274" s="73"/>
      <c r="H274" s="73"/>
      <c r="J274" s="73"/>
    </row>
    <row r="275" spans="1:10" ht="15.75" customHeight="1">
      <c r="A275" s="73"/>
      <c r="B275" s="73"/>
      <c r="C275" s="73"/>
      <c r="D275" s="73"/>
      <c r="E275" s="73"/>
      <c r="F275" s="73"/>
      <c r="G275" s="73"/>
      <c r="H275" s="73"/>
      <c r="J275" s="73"/>
    </row>
    <row r="276" spans="1:10" ht="15.75" customHeight="1">
      <c r="A276" s="73"/>
      <c r="B276" s="73"/>
      <c r="C276" s="73"/>
      <c r="D276" s="73"/>
      <c r="E276" s="73"/>
      <c r="F276" s="73"/>
      <c r="G276" s="73"/>
      <c r="H276" s="73"/>
      <c r="J276" s="73"/>
    </row>
    <row r="277" spans="1:10" ht="15.75" customHeight="1">
      <c r="A277" s="73"/>
      <c r="B277" s="73"/>
      <c r="C277" s="73"/>
      <c r="D277" s="73"/>
      <c r="E277" s="73"/>
      <c r="F277" s="73"/>
      <c r="G277" s="73"/>
      <c r="H277" s="73"/>
      <c r="J277" s="73"/>
    </row>
    <row r="278" spans="1:10" ht="15.75" customHeight="1">
      <c r="A278" s="73"/>
      <c r="B278" s="73"/>
      <c r="C278" s="73"/>
      <c r="D278" s="73"/>
      <c r="E278" s="73"/>
      <c r="F278" s="73"/>
      <c r="G278" s="73"/>
      <c r="H278" s="73"/>
      <c r="J278" s="73"/>
    </row>
    <row r="279" spans="1:10" ht="15.75" customHeight="1">
      <c r="A279" s="73"/>
      <c r="B279" s="73"/>
      <c r="C279" s="73"/>
      <c r="D279" s="73"/>
      <c r="E279" s="73"/>
      <c r="F279" s="73"/>
      <c r="G279" s="73"/>
      <c r="H279" s="73"/>
      <c r="J279" s="73"/>
    </row>
    <row r="280" spans="1:10" ht="15.75" customHeight="1">
      <c r="A280" s="73"/>
      <c r="B280" s="73"/>
      <c r="C280" s="73"/>
      <c r="D280" s="73"/>
      <c r="E280" s="73"/>
      <c r="F280" s="73"/>
      <c r="G280" s="73"/>
      <c r="H280" s="73"/>
      <c r="J280" s="73"/>
    </row>
    <row r="281" spans="1:10" ht="15.75" customHeight="1">
      <c r="A281" s="73"/>
      <c r="B281" s="73"/>
      <c r="C281" s="73"/>
      <c r="D281" s="73"/>
      <c r="E281" s="73"/>
      <c r="F281" s="73"/>
      <c r="G281" s="73"/>
      <c r="H281" s="73"/>
      <c r="J281" s="73"/>
    </row>
    <row r="282" spans="1:10" ht="15.75" customHeight="1">
      <c r="A282" s="73"/>
      <c r="B282" s="73"/>
      <c r="C282" s="73"/>
      <c r="D282" s="73"/>
      <c r="E282" s="73"/>
      <c r="F282" s="73"/>
      <c r="G282" s="73"/>
      <c r="H282" s="73"/>
      <c r="J282" s="73"/>
    </row>
    <row r="283" spans="1:10" ht="15.75" customHeight="1">
      <c r="A283" s="73"/>
      <c r="B283" s="73"/>
      <c r="C283" s="73"/>
      <c r="D283" s="73"/>
      <c r="E283" s="73"/>
      <c r="F283" s="73"/>
      <c r="G283" s="73"/>
      <c r="H283" s="73"/>
      <c r="J283" s="73"/>
    </row>
    <row r="284" spans="1:10" ht="15.75" customHeight="1">
      <c r="A284" s="73"/>
      <c r="B284" s="73"/>
      <c r="C284" s="73"/>
      <c r="D284" s="73"/>
      <c r="E284" s="73"/>
      <c r="F284" s="73"/>
      <c r="G284" s="73"/>
      <c r="H284" s="73"/>
      <c r="J284" s="73"/>
    </row>
    <row r="285" spans="1:10" ht="15.75" customHeight="1">
      <c r="A285" s="73"/>
      <c r="B285" s="73"/>
      <c r="C285" s="73"/>
      <c r="D285" s="73"/>
      <c r="E285" s="73"/>
      <c r="F285" s="73"/>
      <c r="G285" s="73"/>
      <c r="H285" s="73"/>
      <c r="J285" s="73"/>
    </row>
    <row r="286" spans="1:10" ht="15.75" customHeight="1">
      <c r="A286" s="73"/>
      <c r="B286" s="73"/>
      <c r="C286" s="73"/>
      <c r="D286" s="73"/>
      <c r="E286" s="73"/>
      <c r="F286" s="73"/>
      <c r="G286" s="73"/>
      <c r="H286" s="73"/>
      <c r="J286" s="73"/>
    </row>
    <row r="287" spans="1:10" ht="15.75" customHeight="1">
      <c r="A287" s="73"/>
      <c r="B287" s="73"/>
      <c r="C287" s="73"/>
      <c r="D287" s="73"/>
      <c r="E287" s="73"/>
      <c r="F287" s="73"/>
      <c r="G287" s="73"/>
      <c r="H287" s="73"/>
      <c r="J287" s="73"/>
    </row>
    <row r="288" spans="1:10" ht="15.75" customHeight="1">
      <c r="A288" s="73"/>
      <c r="B288" s="73"/>
      <c r="C288" s="73"/>
      <c r="D288" s="73"/>
      <c r="E288" s="73"/>
      <c r="F288" s="73"/>
      <c r="G288" s="73"/>
      <c r="H288" s="73"/>
      <c r="J288" s="73"/>
    </row>
    <row r="289" spans="1:10" ht="15.75" customHeight="1">
      <c r="A289" s="73"/>
      <c r="B289" s="73"/>
      <c r="C289" s="73"/>
      <c r="D289" s="73"/>
      <c r="E289" s="73"/>
      <c r="F289" s="73"/>
      <c r="G289" s="73"/>
      <c r="H289" s="73"/>
      <c r="J289" s="73"/>
    </row>
    <row r="290" spans="1:10" ht="15.75" customHeight="1">
      <c r="A290" s="73"/>
      <c r="B290" s="73"/>
      <c r="C290" s="73"/>
      <c r="D290" s="73"/>
      <c r="E290" s="73"/>
      <c r="F290" s="73"/>
      <c r="G290" s="73"/>
      <c r="H290" s="73"/>
      <c r="J290" s="73"/>
    </row>
    <row r="291" spans="1:10" ht="15.75" customHeight="1">
      <c r="A291" s="73"/>
      <c r="B291" s="73"/>
      <c r="C291" s="73"/>
      <c r="D291" s="73"/>
      <c r="E291" s="73"/>
      <c r="F291" s="73"/>
      <c r="G291" s="73"/>
      <c r="H291" s="73"/>
      <c r="J291" s="73"/>
    </row>
    <row r="292" spans="1:10" ht="15.75" customHeight="1">
      <c r="A292" s="73"/>
      <c r="B292" s="73"/>
      <c r="C292" s="73"/>
      <c r="D292" s="73"/>
      <c r="E292" s="73"/>
      <c r="F292" s="73"/>
      <c r="G292" s="73"/>
      <c r="H292" s="73"/>
      <c r="J292" s="73"/>
    </row>
    <row r="293" spans="1:10" ht="15.75" customHeight="1">
      <c r="A293" s="73"/>
      <c r="B293" s="73"/>
      <c r="C293" s="73"/>
      <c r="D293" s="73"/>
      <c r="E293" s="73"/>
      <c r="F293" s="73"/>
      <c r="G293" s="73"/>
      <c r="H293" s="73"/>
      <c r="J293" s="73"/>
    </row>
    <row r="294" spans="1:10" ht="15.75" customHeight="1">
      <c r="A294" s="73"/>
      <c r="B294" s="73"/>
      <c r="C294" s="73"/>
      <c r="D294" s="73"/>
      <c r="E294" s="73"/>
      <c r="F294" s="73"/>
      <c r="G294" s="73"/>
      <c r="H294" s="73"/>
      <c r="J294" s="73"/>
    </row>
    <row r="295" spans="1:10" ht="15.75" customHeight="1">
      <c r="A295" s="73"/>
      <c r="B295" s="73"/>
      <c r="C295" s="73"/>
      <c r="D295" s="73"/>
      <c r="E295" s="73"/>
      <c r="F295" s="73"/>
      <c r="G295" s="73"/>
      <c r="H295" s="73"/>
      <c r="J295" s="73"/>
    </row>
    <row r="296" spans="1:10" ht="15.75" customHeight="1">
      <c r="A296" s="73"/>
      <c r="B296" s="73"/>
      <c r="C296" s="73"/>
      <c r="D296" s="73"/>
      <c r="E296" s="73"/>
      <c r="F296" s="73"/>
      <c r="G296" s="73"/>
      <c r="H296" s="73"/>
      <c r="J296" s="73"/>
    </row>
    <row r="297" spans="1:10" ht="15.75" customHeight="1">
      <c r="A297" s="73"/>
      <c r="B297" s="73"/>
      <c r="C297" s="73"/>
      <c r="D297" s="73"/>
      <c r="E297" s="73"/>
      <c r="F297" s="73"/>
      <c r="G297" s="73"/>
      <c r="H297" s="73"/>
      <c r="J297" s="73"/>
    </row>
    <row r="298" spans="1:10" ht="15.75" customHeight="1">
      <c r="A298" s="73"/>
      <c r="B298" s="73"/>
      <c r="C298" s="73"/>
      <c r="D298" s="73"/>
      <c r="E298" s="73"/>
      <c r="F298" s="73"/>
      <c r="G298" s="73"/>
      <c r="H298" s="73"/>
      <c r="J298" s="73"/>
    </row>
    <row r="299" spans="1:10" ht="15.75" customHeight="1">
      <c r="A299" s="73"/>
      <c r="B299" s="73"/>
      <c r="C299" s="73"/>
      <c r="D299" s="73"/>
      <c r="E299" s="73"/>
      <c r="F299" s="73"/>
      <c r="G299" s="73"/>
      <c r="H299" s="73"/>
      <c r="J299" s="73"/>
    </row>
    <row r="300" spans="1:10" ht="15.75" customHeight="1">
      <c r="A300" s="73"/>
      <c r="B300" s="73"/>
      <c r="C300" s="73"/>
      <c r="D300" s="73"/>
      <c r="E300" s="73"/>
      <c r="F300" s="73"/>
      <c r="G300" s="73"/>
      <c r="H300" s="73"/>
      <c r="J300" s="73"/>
    </row>
    <row r="301" spans="1:10" ht="15.75" customHeight="1">
      <c r="A301" s="73"/>
      <c r="B301" s="73"/>
      <c r="C301" s="73"/>
      <c r="D301" s="73"/>
      <c r="E301" s="73"/>
      <c r="F301" s="73"/>
      <c r="G301" s="73"/>
      <c r="H301" s="73"/>
      <c r="J301" s="73"/>
    </row>
    <row r="302" spans="1:10" ht="15.75" customHeight="1">
      <c r="A302" s="73"/>
      <c r="B302" s="73"/>
      <c r="C302" s="73"/>
      <c r="D302" s="73"/>
      <c r="E302" s="73"/>
      <c r="F302" s="73"/>
      <c r="G302" s="73"/>
      <c r="H302" s="73"/>
      <c r="J302" s="73"/>
    </row>
    <row r="303" spans="1:10" ht="15.75" customHeight="1">
      <c r="A303" s="73"/>
      <c r="B303" s="73"/>
      <c r="C303" s="73"/>
      <c r="D303" s="73"/>
      <c r="E303" s="73"/>
      <c r="F303" s="73"/>
      <c r="G303" s="73"/>
      <c r="H303" s="73"/>
      <c r="J303" s="73"/>
    </row>
    <row r="304" spans="1:10" ht="15.75" customHeight="1">
      <c r="A304" s="73"/>
      <c r="B304" s="73"/>
      <c r="C304" s="73"/>
      <c r="D304" s="73"/>
      <c r="E304" s="73"/>
      <c r="F304" s="73"/>
      <c r="G304" s="73"/>
      <c r="H304" s="73"/>
      <c r="J304" s="73"/>
    </row>
    <row r="305" spans="1:10" ht="15.75" customHeight="1">
      <c r="A305" s="73"/>
      <c r="B305" s="73"/>
      <c r="C305" s="73"/>
      <c r="D305" s="73"/>
      <c r="E305" s="73"/>
      <c r="F305" s="73"/>
      <c r="G305" s="73"/>
      <c r="H305" s="73"/>
      <c r="J305" s="73"/>
    </row>
    <row r="306" spans="1:10" ht="15.75" customHeight="1">
      <c r="A306" s="73"/>
      <c r="B306" s="73"/>
      <c r="C306" s="73"/>
      <c r="D306" s="73"/>
      <c r="E306" s="73"/>
      <c r="F306" s="73"/>
      <c r="G306" s="73"/>
      <c r="H306" s="73"/>
      <c r="J306" s="73"/>
    </row>
    <row r="307" spans="1:10" ht="15.75" customHeight="1">
      <c r="A307" s="73"/>
      <c r="B307" s="73"/>
      <c r="C307" s="73"/>
      <c r="D307" s="73"/>
      <c r="E307" s="73"/>
      <c r="F307" s="73"/>
      <c r="G307" s="73"/>
      <c r="H307" s="73"/>
      <c r="J307" s="73"/>
    </row>
    <row r="308" spans="1:10" ht="15.75" customHeight="1">
      <c r="A308" s="73"/>
      <c r="B308" s="73"/>
      <c r="C308" s="73"/>
      <c r="D308" s="73"/>
      <c r="E308" s="73"/>
      <c r="F308" s="73"/>
      <c r="G308" s="73"/>
      <c r="H308" s="73"/>
      <c r="J308" s="73"/>
    </row>
    <row r="309" spans="1:10" ht="15.75" customHeight="1">
      <c r="A309" s="73"/>
      <c r="B309" s="73"/>
      <c r="C309" s="73"/>
      <c r="D309" s="73"/>
      <c r="E309" s="73"/>
      <c r="F309" s="73"/>
      <c r="G309" s="73"/>
      <c r="H309" s="73"/>
      <c r="J309" s="73"/>
    </row>
    <row r="310" spans="1:10" ht="15.75" customHeight="1">
      <c r="A310" s="73"/>
      <c r="B310" s="73"/>
      <c r="C310" s="73"/>
      <c r="D310" s="73"/>
      <c r="E310" s="73"/>
      <c r="F310" s="73"/>
      <c r="G310" s="73"/>
      <c r="H310" s="73"/>
      <c r="J310" s="73"/>
    </row>
    <row r="311" spans="1:10" ht="15.75" customHeight="1">
      <c r="A311" s="73"/>
      <c r="B311" s="73"/>
      <c r="C311" s="73"/>
      <c r="D311" s="73"/>
      <c r="E311" s="73"/>
      <c r="F311" s="73"/>
      <c r="G311" s="73"/>
      <c r="H311" s="73"/>
      <c r="J311" s="73"/>
    </row>
    <row r="312" spans="1:10" ht="15.75" customHeight="1">
      <c r="A312" s="73"/>
      <c r="B312" s="73"/>
      <c r="C312" s="73"/>
      <c r="D312" s="73"/>
      <c r="E312" s="73"/>
      <c r="F312" s="73"/>
      <c r="G312" s="73"/>
      <c r="H312" s="73"/>
      <c r="J312" s="73"/>
    </row>
    <row r="313" spans="1:10" ht="15.75" customHeight="1">
      <c r="A313" s="73"/>
      <c r="B313" s="73"/>
      <c r="C313" s="73"/>
      <c r="D313" s="73"/>
      <c r="E313" s="73"/>
      <c r="F313" s="73"/>
      <c r="G313" s="73"/>
      <c r="H313" s="73"/>
      <c r="J313" s="73"/>
    </row>
    <row r="314" spans="1:10" ht="15.75" customHeight="1">
      <c r="A314" s="73"/>
      <c r="B314" s="73"/>
      <c r="C314" s="73"/>
      <c r="D314" s="73"/>
      <c r="E314" s="73"/>
      <c r="F314" s="73"/>
      <c r="G314" s="73"/>
      <c r="H314" s="73"/>
      <c r="J314" s="73"/>
    </row>
    <row r="315" spans="1:10" ht="15.75" customHeight="1">
      <c r="A315" s="73"/>
      <c r="B315" s="73"/>
      <c r="C315" s="73"/>
      <c r="D315" s="73"/>
      <c r="E315" s="73"/>
      <c r="F315" s="73"/>
      <c r="G315" s="73"/>
      <c r="H315" s="73"/>
      <c r="J315" s="73"/>
    </row>
    <row r="316" spans="1:10" ht="15.75" customHeight="1">
      <c r="A316" s="73"/>
      <c r="B316" s="73"/>
      <c r="C316" s="73"/>
      <c r="D316" s="73"/>
      <c r="E316" s="73"/>
      <c r="F316" s="73"/>
      <c r="G316" s="73"/>
      <c r="H316" s="73"/>
      <c r="J316" s="73"/>
    </row>
    <row r="317" spans="1:10" ht="15.75" customHeight="1">
      <c r="A317" s="73"/>
      <c r="B317" s="73"/>
      <c r="C317" s="73"/>
      <c r="D317" s="73"/>
      <c r="E317" s="73"/>
      <c r="F317" s="73"/>
      <c r="G317" s="73"/>
      <c r="H317" s="73"/>
      <c r="J317" s="73"/>
    </row>
    <row r="318" spans="1:10" ht="15.75" customHeight="1">
      <c r="A318" s="73"/>
      <c r="B318" s="73"/>
      <c r="C318" s="73"/>
      <c r="D318" s="73"/>
      <c r="E318" s="73"/>
      <c r="F318" s="73"/>
      <c r="G318" s="73"/>
      <c r="H318" s="73"/>
      <c r="J318" s="73"/>
    </row>
    <row r="319" spans="1:10" ht="15.75" customHeight="1">
      <c r="A319" s="73"/>
      <c r="B319" s="73"/>
      <c r="C319" s="73"/>
      <c r="D319" s="73"/>
      <c r="E319" s="73"/>
      <c r="F319" s="73"/>
      <c r="G319" s="73"/>
      <c r="H319" s="73"/>
      <c r="J319" s="73"/>
    </row>
    <row r="320" spans="1:10" ht="15.75" customHeight="1">
      <c r="A320" s="73"/>
      <c r="B320" s="73"/>
      <c r="C320" s="73"/>
      <c r="D320" s="73"/>
      <c r="E320" s="73"/>
      <c r="F320" s="73"/>
      <c r="G320" s="73"/>
      <c r="H320" s="73"/>
      <c r="J320" s="73"/>
    </row>
    <row r="321" spans="1:10" ht="15.75" customHeight="1">
      <c r="A321" s="73"/>
      <c r="B321" s="73"/>
      <c r="C321" s="73"/>
      <c r="D321" s="73"/>
      <c r="E321" s="73"/>
      <c r="F321" s="73"/>
      <c r="G321" s="73"/>
      <c r="H321" s="73"/>
      <c r="J321" s="73"/>
    </row>
    <row r="322" spans="1:10" ht="15.75" customHeight="1">
      <c r="A322" s="73"/>
      <c r="B322" s="73"/>
      <c r="C322" s="73"/>
      <c r="D322" s="73"/>
      <c r="E322" s="73"/>
      <c r="F322" s="73"/>
      <c r="G322" s="73"/>
      <c r="H322" s="73"/>
      <c r="J322" s="73"/>
    </row>
    <row r="323" spans="1:10" ht="15.75" customHeight="1">
      <c r="A323" s="73"/>
      <c r="B323" s="73"/>
      <c r="C323" s="73"/>
      <c r="D323" s="73"/>
      <c r="E323" s="73"/>
      <c r="F323" s="73"/>
      <c r="G323" s="73"/>
      <c r="H323" s="73"/>
      <c r="J323" s="73"/>
    </row>
    <row r="324" spans="1:10" ht="15.75" customHeight="1">
      <c r="A324" s="73"/>
      <c r="B324" s="73"/>
      <c r="C324" s="73"/>
      <c r="D324" s="73"/>
      <c r="E324" s="73"/>
      <c r="F324" s="73"/>
      <c r="G324" s="73"/>
      <c r="H324" s="73"/>
      <c r="J324" s="73"/>
    </row>
    <row r="325" spans="1:10" ht="15.75" customHeight="1">
      <c r="A325" s="73"/>
      <c r="B325" s="73"/>
      <c r="C325" s="73"/>
      <c r="D325" s="73"/>
      <c r="E325" s="73"/>
      <c r="F325" s="73"/>
      <c r="G325" s="73"/>
      <c r="H325" s="73"/>
      <c r="J325" s="73"/>
    </row>
    <row r="326" spans="1:10" ht="15.75" customHeight="1">
      <c r="A326" s="73"/>
      <c r="B326" s="73"/>
      <c r="C326" s="73"/>
      <c r="D326" s="73"/>
      <c r="E326" s="73"/>
      <c r="F326" s="73"/>
      <c r="G326" s="73"/>
      <c r="H326" s="73"/>
      <c r="J326" s="73"/>
    </row>
    <row r="327" spans="1:10" ht="15.75" customHeight="1">
      <c r="A327" s="73"/>
      <c r="B327" s="73"/>
      <c r="C327" s="73"/>
      <c r="D327" s="73"/>
      <c r="E327" s="73"/>
      <c r="F327" s="73"/>
      <c r="G327" s="73"/>
      <c r="H327" s="73"/>
      <c r="J327" s="73"/>
    </row>
    <row r="328" spans="1:10" ht="15.75" customHeight="1">
      <c r="A328" s="73"/>
      <c r="B328" s="73"/>
      <c r="C328" s="73"/>
      <c r="D328" s="73"/>
      <c r="E328" s="73"/>
      <c r="F328" s="73"/>
      <c r="G328" s="73"/>
      <c r="H328" s="73"/>
      <c r="J328" s="73"/>
    </row>
    <row r="329" spans="1:10" ht="15.75" customHeight="1">
      <c r="A329" s="73"/>
      <c r="B329" s="73"/>
      <c r="C329" s="73"/>
      <c r="D329" s="73"/>
      <c r="E329" s="73"/>
      <c r="F329" s="73"/>
      <c r="G329" s="73"/>
      <c r="H329" s="73"/>
      <c r="J329" s="73"/>
    </row>
    <row r="330" spans="1:10" ht="15.75" customHeight="1">
      <c r="A330" s="73"/>
      <c r="B330" s="73"/>
      <c r="C330" s="73"/>
      <c r="D330" s="73"/>
      <c r="E330" s="73"/>
      <c r="F330" s="73"/>
      <c r="G330" s="73"/>
      <c r="H330" s="73"/>
      <c r="J330" s="73"/>
    </row>
    <row r="331" spans="1:10" ht="15.75" customHeight="1">
      <c r="A331" s="73"/>
      <c r="B331" s="73"/>
      <c r="C331" s="73"/>
      <c r="D331" s="73"/>
      <c r="E331" s="73"/>
      <c r="F331" s="73"/>
      <c r="G331" s="73"/>
      <c r="H331" s="73"/>
      <c r="J331" s="73"/>
    </row>
    <row r="332" spans="1:10" ht="15.75" customHeight="1">
      <c r="A332" s="73"/>
      <c r="B332" s="73"/>
      <c r="C332" s="73"/>
      <c r="D332" s="73"/>
      <c r="E332" s="73"/>
      <c r="F332" s="73"/>
      <c r="G332" s="73"/>
      <c r="H332" s="73"/>
      <c r="J332" s="73"/>
    </row>
    <row r="333" spans="1:10" ht="15.75" customHeight="1">
      <c r="A333" s="73"/>
      <c r="B333" s="73"/>
      <c r="C333" s="73"/>
      <c r="D333" s="73"/>
      <c r="E333" s="73"/>
      <c r="F333" s="73"/>
      <c r="G333" s="73"/>
      <c r="H333" s="73"/>
      <c r="J333" s="73"/>
    </row>
    <row r="334" spans="1:10" ht="15.75" customHeight="1">
      <c r="A334" s="73"/>
      <c r="B334" s="73"/>
      <c r="C334" s="73"/>
      <c r="D334" s="73"/>
      <c r="E334" s="73"/>
      <c r="F334" s="73"/>
      <c r="G334" s="73"/>
      <c r="H334" s="73"/>
      <c r="J334" s="73"/>
    </row>
    <row r="335" spans="1:10" ht="15.75" customHeight="1">
      <c r="A335" s="73"/>
      <c r="B335" s="73"/>
      <c r="C335" s="73"/>
      <c r="D335" s="73"/>
      <c r="E335" s="73"/>
      <c r="F335" s="73"/>
      <c r="G335" s="73"/>
      <c r="H335" s="73"/>
      <c r="J335" s="73"/>
    </row>
    <row r="336" spans="1:10" ht="15.75" customHeight="1">
      <c r="A336" s="73"/>
      <c r="B336" s="73"/>
      <c r="C336" s="73"/>
      <c r="D336" s="73"/>
      <c r="E336" s="73"/>
      <c r="F336" s="73"/>
      <c r="G336" s="73"/>
      <c r="H336" s="73"/>
      <c r="J336" s="73"/>
    </row>
    <row r="337" spans="1:10" ht="15.75" customHeight="1">
      <c r="A337" s="73"/>
      <c r="B337" s="73"/>
      <c r="C337" s="73"/>
      <c r="D337" s="73"/>
      <c r="E337" s="73"/>
      <c r="F337" s="73"/>
      <c r="G337" s="73"/>
      <c r="H337" s="73"/>
      <c r="J337" s="73"/>
    </row>
    <row r="338" spans="1:10" ht="15.75" customHeight="1">
      <c r="A338" s="73"/>
      <c r="B338" s="73"/>
      <c r="C338" s="73"/>
      <c r="D338" s="73"/>
      <c r="E338" s="73"/>
      <c r="F338" s="73"/>
      <c r="G338" s="73"/>
      <c r="H338" s="73"/>
      <c r="J338" s="73"/>
    </row>
    <row r="339" spans="1:10" ht="15.75" customHeight="1">
      <c r="A339" s="73"/>
      <c r="B339" s="73"/>
      <c r="C339" s="73"/>
      <c r="D339" s="73"/>
      <c r="E339" s="73"/>
      <c r="F339" s="73"/>
      <c r="G339" s="73"/>
      <c r="H339" s="73"/>
      <c r="J339" s="73"/>
    </row>
    <row r="340" spans="1:10" ht="15.75" customHeight="1">
      <c r="A340" s="73"/>
      <c r="B340" s="73"/>
      <c r="C340" s="73"/>
      <c r="D340" s="73"/>
      <c r="E340" s="73"/>
      <c r="F340" s="73"/>
      <c r="G340" s="73"/>
      <c r="H340" s="73"/>
      <c r="J340" s="73"/>
    </row>
    <row r="341" spans="1:10" ht="15.75" customHeight="1">
      <c r="A341" s="73"/>
      <c r="B341" s="73"/>
      <c r="C341" s="73"/>
      <c r="D341" s="73"/>
      <c r="E341" s="73"/>
      <c r="F341" s="73"/>
      <c r="G341" s="73"/>
      <c r="H341" s="73"/>
      <c r="J341" s="73"/>
    </row>
    <row r="342" spans="1:10" ht="15.75" customHeight="1">
      <c r="A342" s="73"/>
      <c r="B342" s="73"/>
      <c r="C342" s="73"/>
      <c r="D342" s="73"/>
      <c r="E342" s="73"/>
      <c r="F342" s="73"/>
      <c r="G342" s="73"/>
      <c r="H342" s="73"/>
      <c r="J342" s="73"/>
    </row>
    <row r="343" spans="1:10" ht="15.75" customHeight="1">
      <c r="A343" s="73"/>
      <c r="B343" s="73"/>
      <c r="C343" s="73"/>
      <c r="D343" s="73"/>
      <c r="E343" s="73"/>
      <c r="F343" s="73"/>
      <c r="G343" s="73"/>
      <c r="H343" s="73"/>
      <c r="J343" s="73"/>
    </row>
    <row r="344" spans="1:10" ht="15.75" customHeight="1">
      <c r="A344" s="73"/>
      <c r="B344" s="73"/>
      <c r="C344" s="73"/>
      <c r="D344" s="73"/>
      <c r="E344" s="73"/>
      <c r="F344" s="73"/>
      <c r="G344" s="73"/>
      <c r="H344" s="73"/>
      <c r="J344" s="73"/>
    </row>
    <row r="345" spans="1:10" ht="15.75" customHeight="1">
      <c r="A345" s="73"/>
      <c r="B345" s="73"/>
      <c r="C345" s="73"/>
      <c r="D345" s="73"/>
      <c r="E345" s="73"/>
      <c r="F345" s="73"/>
      <c r="G345" s="73"/>
      <c r="H345" s="73"/>
      <c r="J345" s="73"/>
    </row>
    <row r="346" spans="1:10" ht="15.75" customHeight="1">
      <c r="A346" s="73"/>
      <c r="B346" s="73"/>
      <c r="C346" s="73"/>
      <c r="D346" s="73"/>
      <c r="E346" s="73"/>
      <c r="F346" s="73"/>
      <c r="G346" s="73"/>
      <c r="H346" s="73"/>
      <c r="J346" s="73"/>
    </row>
    <row r="347" spans="1:10" ht="15.75" customHeight="1">
      <c r="A347" s="73"/>
      <c r="B347" s="73"/>
      <c r="C347" s="73"/>
      <c r="D347" s="73"/>
      <c r="E347" s="73"/>
      <c r="F347" s="73"/>
      <c r="G347" s="73"/>
      <c r="H347" s="73"/>
      <c r="J347" s="73"/>
    </row>
    <row r="348" spans="1:10" ht="15.75" customHeight="1">
      <c r="A348" s="73"/>
      <c r="B348" s="73"/>
      <c r="C348" s="73"/>
      <c r="D348" s="73"/>
      <c r="E348" s="73"/>
      <c r="F348" s="73"/>
      <c r="G348" s="73"/>
      <c r="H348" s="73"/>
      <c r="J348" s="73"/>
    </row>
    <row r="349" spans="1:10" ht="15.75" customHeight="1">
      <c r="A349" s="73"/>
      <c r="B349" s="73"/>
      <c r="C349" s="73"/>
      <c r="D349" s="73"/>
      <c r="E349" s="73"/>
      <c r="F349" s="73"/>
      <c r="G349" s="73"/>
      <c r="H349" s="73"/>
      <c r="J349" s="73"/>
    </row>
    <row r="350" spans="1:10" ht="15.75" customHeight="1">
      <c r="A350" s="73"/>
      <c r="B350" s="73"/>
      <c r="C350" s="73"/>
      <c r="D350" s="73"/>
      <c r="E350" s="73"/>
      <c r="F350" s="73"/>
      <c r="G350" s="73"/>
      <c r="H350" s="73"/>
      <c r="J350" s="73"/>
    </row>
    <row r="351" spans="1:10" ht="15.75" customHeight="1">
      <c r="A351" s="73"/>
      <c r="B351" s="73"/>
      <c r="C351" s="73"/>
      <c r="D351" s="73"/>
      <c r="E351" s="73"/>
      <c r="F351" s="73"/>
      <c r="G351" s="73"/>
      <c r="H351" s="73"/>
      <c r="J351" s="73"/>
    </row>
    <row r="352" spans="1:10" ht="15.75" customHeight="1">
      <c r="A352" s="73"/>
      <c r="B352" s="73"/>
      <c r="C352" s="73"/>
      <c r="D352" s="73"/>
      <c r="E352" s="73"/>
      <c r="F352" s="73"/>
      <c r="G352" s="73"/>
      <c r="H352" s="73"/>
      <c r="J352" s="73"/>
    </row>
    <row r="353" spans="1:10" ht="15.75" customHeight="1">
      <c r="A353" s="73"/>
      <c r="B353" s="73"/>
      <c r="C353" s="73"/>
      <c r="D353" s="73"/>
      <c r="E353" s="73"/>
      <c r="F353" s="73"/>
      <c r="G353" s="73"/>
      <c r="H353" s="73"/>
      <c r="J353" s="73"/>
    </row>
    <row r="354" spans="1:10" ht="15.75" customHeight="1">
      <c r="A354" s="73"/>
      <c r="B354" s="73"/>
      <c r="C354" s="73"/>
      <c r="D354" s="73"/>
      <c r="E354" s="73"/>
      <c r="F354" s="73"/>
      <c r="G354" s="73"/>
      <c r="H354" s="73"/>
      <c r="J354" s="73"/>
    </row>
    <row r="355" spans="1:10" ht="15.75" customHeight="1">
      <c r="A355" s="73"/>
      <c r="B355" s="73"/>
      <c r="C355" s="73"/>
      <c r="D355" s="73"/>
      <c r="E355" s="73"/>
      <c r="F355" s="73"/>
      <c r="G355" s="73"/>
      <c r="H355" s="73"/>
      <c r="J355" s="73"/>
    </row>
    <row r="356" spans="1:10" ht="15.75" customHeight="1">
      <c r="A356" s="73"/>
      <c r="B356" s="73"/>
      <c r="C356" s="73"/>
      <c r="D356" s="73"/>
      <c r="E356" s="73"/>
      <c r="F356" s="73"/>
      <c r="G356" s="73"/>
      <c r="H356" s="73"/>
      <c r="J356" s="73"/>
    </row>
    <row r="357" spans="1:10" ht="15.75" customHeight="1">
      <c r="A357" s="73"/>
      <c r="B357" s="73"/>
      <c r="C357" s="73"/>
      <c r="D357" s="73"/>
      <c r="E357" s="73"/>
      <c r="F357" s="73"/>
      <c r="G357" s="73"/>
      <c r="H357" s="73"/>
      <c r="J357" s="73"/>
    </row>
    <row r="358" spans="1:10" ht="15.75" customHeight="1">
      <c r="A358" s="73"/>
      <c r="B358" s="73"/>
      <c r="C358" s="73"/>
      <c r="D358" s="73"/>
      <c r="E358" s="73"/>
      <c r="F358" s="73"/>
      <c r="G358" s="73"/>
      <c r="H358" s="73"/>
      <c r="J358" s="73"/>
    </row>
    <row r="359" spans="1:10" ht="15.75" customHeight="1">
      <c r="A359" s="73"/>
      <c r="B359" s="73"/>
      <c r="C359" s="73"/>
      <c r="D359" s="73"/>
      <c r="E359" s="73"/>
      <c r="F359" s="73"/>
      <c r="G359" s="73"/>
      <c r="H359" s="73"/>
      <c r="J359" s="73"/>
    </row>
    <row r="360" spans="1:10" ht="15.75" customHeight="1">
      <c r="A360" s="73"/>
      <c r="B360" s="73"/>
      <c r="C360" s="73"/>
      <c r="D360" s="73"/>
      <c r="E360" s="73"/>
      <c r="F360" s="73"/>
      <c r="G360" s="73"/>
      <c r="H360" s="73"/>
      <c r="J360" s="73"/>
    </row>
    <row r="361" spans="1:10" ht="15.75" customHeight="1">
      <c r="A361" s="73"/>
      <c r="B361" s="73"/>
      <c r="C361" s="73"/>
      <c r="D361" s="73"/>
      <c r="E361" s="73"/>
      <c r="F361" s="73"/>
      <c r="G361" s="73"/>
      <c r="H361" s="73"/>
      <c r="J361" s="73"/>
    </row>
    <row r="362" spans="1:10" ht="15.75" customHeight="1">
      <c r="A362" s="73"/>
      <c r="B362" s="73"/>
      <c r="C362" s="73"/>
      <c r="D362" s="73"/>
      <c r="E362" s="73"/>
      <c r="F362" s="73"/>
      <c r="G362" s="73"/>
      <c r="H362" s="73"/>
      <c r="J362" s="73"/>
    </row>
    <row r="363" spans="1:10" ht="15.75" customHeight="1">
      <c r="A363" s="73"/>
      <c r="B363" s="73"/>
      <c r="C363" s="73"/>
      <c r="D363" s="73"/>
      <c r="E363" s="73"/>
      <c r="F363" s="73"/>
      <c r="G363" s="73"/>
      <c r="H363" s="73"/>
      <c r="J363" s="73"/>
    </row>
    <row r="364" spans="1:10" ht="15.75" customHeight="1">
      <c r="A364" s="73"/>
      <c r="B364" s="73"/>
      <c r="C364" s="73"/>
      <c r="D364" s="73"/>
      <c r="E364" s="73"/>
      <c r="F364" s="73"/>
      <c r="G364" s="73"/>
      <c r="H364" s="73"/>
      <c r="J364" s="73"/>
    </row>
    <row r="365" spans="1:10" ht="15.75" customHeight="1">
      <c r="A365" s="73"/>
      <c r="B365" s="73"/>
      <c r="C365" s="73"/>
      <c r="D365" s="73"/>
      <c r="E365" s="73"/>
      <c r="F365" s="73"/>
      <c r="G365" s="73"/>
      <c r="H365" s="73"/>
      <c r="J365" s="73"/>
    </row>
    <row r="366" spans="1:10" ht="15.75" customHeight="1">
      <c r="A366" s="73"/>
      <c r="B366" s="73"/>
      <c r="C366" s="73"/>
      <c r="D366" s="73"/>
      <c r="E366" s="73"/>
      <c r="F366" s="73"/>
      <c r="G366" s="73"/>
      <c r="H366" s="73"/>
      <c r="J366" s="73"/>
    </row>
    <row r="367" spans="1:10" ht="15.75" customHeight="1">
      <c r="A367" s="73"/>
      <c r="B367" s="73"/>
      <c r="C367" s="73"/>
      <c r="D367" s="73"/>
      <c r="E367" s="73"/>
      <c r="F367" s="73"/>
      <c r="G367" s="73"/>
      <c r="H367" s="73"/>
      <c r="J367" s="73"/>
    </row>
    <row r="368" spans="1:10" ht="15.75" customHeight="1">
      <c r="A368" s="73"/>
      <c r="B368" s="73"/>
      <c r="C368" s="73"/>
      <c r="D368" s="73"/>
      <c r="E368" s="73"/>
      <c r="F368" s="73"/>
      <c r="G368" s="73"/>
      <c r="H368" s="73"/>
      <c r="J368" s="73"/>
    </row>
    <row r="369" spans="1:10" ht="15.75" customHeight="1">
      <c r="A369" s="73"/>
      <c r="B369" s="73"/>
      <c r="C369" s="73"/>
      <c r="D369" s="73"/>
      <c r="E369" s="73"/>
      <c r="F369" s="73"/>
      <c r="G369" s="73"/>
      <c r="H369" s="73"/>
      <c r="J369" s="73"/>
    </row>
    <row r="370" spans="1:10" ht="15.75" customHeight="1">
      <c r="A370" s="73"/>
      <c r="B370" s="73"/>
      <c r="C370" s="73"/>
      <c r="D370" s="73"/>
      <c r="E370" s="73"/>
      <c r="F370" s="73"/>
      <c r="G370" s="73"/>
      <c r="H370" s="73"/>
      <c r="J370" s="73"/>
    </row>
    <row r="371" spans="1:10" ht="15.75" customHeight="1">
      <c r="A371" s="73"/>
      <c r="B371" s="73"/>
      <c r="C371" s="73"/>
      <c r="D371" s="73"/>
      <c r="E371" s="73"/>
      <c r="F371" s="73"/>
      <c r="G371" s="73"/>
      <c r="H371" s="73"/>
      <c r="J371" s="73"/>
    </row>
    <row r="372" spans="1:10" ht="15.75" customHeight="1">
      <c r="A372" s="73"/>
      <c r="B372" s="73"/>
      <c r="C372" s="73"/>
      <c r="D372" s="73"/>
      <c r="E372" s="73"/>
      <c r="F372" s="73"/>
      <c r="G372" s="73"/>
      <c r="H372" s="73"/>
      <c r="J372" s="73"/>
    </row>
    <row r="373" spans="1:10" ht="15.75" customHeight="1">
      <c r="A373" s="73"/>
      <c r="B373" s="73"/>
      <c r="C373" s="73"/>
      <c r="D373" s="73"/>
      <c r="E373" s="73"/>
      <c r="F373" s="73"/>
      <c r="G373" s="73"/>
      <c r="H373" s="73"/>
      <c r="J373" s="73"/>
    </row>
    <row r="374" spans="1:10" ht="15.75" customHeight="1">
      <c r="A374" s="73"/>
      <c r="B374" s="73"/>
      <c r="C374" s="73"/>
      <c r="D374" s="73"/>
      <c r="E374" s="73"/>
      <c r="F374" s="73"/>
      <c r="G374" s="73"/>
      <c r="H374" s="73"/>
      <c r="J374" s="73"/>
    </row>
    <row r="375" spans="1:10" ht="15.75" customHeight="1">
      <c r="A375" s="73"/>
      <c r="B375" s="73"/>
      <c r="C375" s="73"/>
      <c r="D375" s="73"/>
      <c r="E375" s="73"/>
      <c r="F375" s="73"/>
      <c r="G375" s="73"/>
      <c r="H375" s="73"/>
      <c r="J375" s="73"/>
    </row>
    <row r="376" spans="1:10" ht="15.75" customHeight="1">
      <c r="A376" s="73"/>
      <c r="B376" s="73"/>
      <c r="C376" s="73"/>
      <c r="D376" s="73"/>
      <c r="E376" s="73"/>
      <c r="F376" s="73"/>
      <c r="G376" s="73"/>
      <c r="H376" s="73"/>
      <c r="J376" s="73"/>
    </row>
    <row r="377" spans="1:10" ht="15.75" customHeight="1">
      <c r="A377" s="73"/>
      <c r="B377" s="73"/>
      <c r="C377" s="73"/>
      <c r="D377" s="73"/>
      <c r="E377" s="73"/>
      <c r="F377" s="73"/>
      <c r="G377" s="73"/>
      <c r="H377" s="73"/>
      <c r="J377" s="73"/>
    </row>
    <row r="378" spans="1:10" ht="15.75" customHeight="1">
      <c r="A378" s="73"/>
      <c r="B378" s="73"/>
      <c r="C378" s="73"/>
      <c r="D378" s="73"/>
      <c r="E378" s="73"/>
      <c r="F378" s="73"/>
      <c r="G378" s="73"/>
      <c r="H378" s="73"/>
      <c r="J378" s="73"/>
    </row>
    <row r="379" spans="1:10" ht="15.75" customHeight="1">
      <c r="A379" s="73"/>
      <c r="B379" s="73"/>
      <c r="C379" s="73"/>
      <c r="D379" s="73"/>
      <c r="E379" s="73"/>
      <c r="F379" s="73"/>
      <c r="G379" s="73"/>
      <c r="H379" s="73"/>
      <c r="J379" s="73"/>
    </row>
    <row r="380" spans="1:10" ht="15.75" customHeight="1">
      <c r="A380" s="73"/>
      <c r="B380" s="73"/>
      <c r="C380" s="73"/>
      <c r="D380" s="73"/>
      <c r="E380" s="73"/>
      <c r="F380" s="73"/>
      <c r="G380" s="73"/>
      <c r="H380" s="73"/>
      <c r="J380" s="73"/>
    </row>
    <row r="381" spans="1:10" ht="15.75" customHeight="1">
      <c r="A381" s="73"/>
      <c r="B381" s="73"/>
      <c r="C381" s="73"/>
      <c r="D381" s="73"/>
      <c r="E381" s="73"/>
      <c r="F381" s="73"/>
      <c r="G381" s="73"/>
      <c r="H381" s="73"/>
      <c r="J381" s="73"/>
    </row>
    <row r="382" spans="1:10" ht="15.75" customHeight="1">
      <c r="A382" s="73"/>
      <c r="B382" s="73"/>
      <c r="C382" s="73"/>
      <c r="D382" s="73"/>
      <c r="E382" s="73"/>
      <c r="F382" s="73"/>
      <c r="G382" s="73"/>
      <c r="H382" s="73"/>
      <c r="J382" s="73"/>
    </row>
    <row r="383" spans="1:10" ht="15.75" customHeight="1">
      <c r="A383" s="73"/>
      <c r="B383" s="73"/>
      <c r="C383" s="73"/>
      <c r="D383" s="73"/>
      <c r="E383" s="73"/>
      <c r="F383" s="73"/>
      <c r="G383" s="73"/>
      <c r="H383" s="73"/>
      <c r="J383" s="73"/>
    </row>
    <row r="384" spans="1:10" ht="15.75" customHeight="1">
      <c r="A384" s="73"/>
      <c r="B384" s="73"/>
      <c r="C384" s="73"/>
      <c r="D384" s="73"/>
      <c r="E384" s="73"/>
      <c r="F384" s="73"/>
      <c r="G384" s="73"/>
      <c r="H384" s="73"/>
      <c r="J384" s="73"/>
    </row>
    <row r="385" spans="1:10" ht="15.75" customHeight="1">
      <c r="A385" s="73"/>
      <c r="B385" s="73"/>
      <c r="C385" s="73"/>
      <c r="D385" s="73"/>
      <c r="E385" s="73"/>
      <c r="F385" s="73"/>
      <c r="G385" s="73"/>
      <c r="H385" s="73"/>
      <c r="J385" s="73"/>
    </row>
    <row r="386" spans="1:10" ht="15.75" customHeight="1">
      <c r="A386" s="73"/>
      <c r="B386" s="73"/>
      <c r="C386" s="73"/>
      <c r="D386" s="73"/>
      <c r="E386" s="73"/>
      <c r="F386" s="73"/>
      <c r="G386" s="73"/>
      <c r="H386" s="73"/>
      <c r="J386" s="73"/>
    </row>
    <row r="387" spans="1:10" ht="15.75" customHeight="1">
      <c r="A387" s="73"/>
      <c r="B387" s="73"/>
      <c r="C387" s="73"/>
      <c r="D387" s="73"/>
      <c r="E387" s="73"/>
      <c r="F387" s="73"/>
      <c r="G387" s="73"/>
      <c r="H387" s="73"/>
      <c r="J387" s="73"/>
    </row>
    <row r="388" spans="1:10" ht="15.75" customHeight="1">
      <c r="A388" s="73"/>
      <c r="B388" s="73"/>
      <c r="C388" s="73"/>
      <c r="D388" s="73"/>
      <c r="E388" s="73"/>
      <c r="F388" s="73"/>
      <c r="G388" s="73"/>
      <c r="H388" s="73"/>
      <c r="J388" s="73"/>
    </row>
    <row r="389" spans="1:10" ht="15.75" customHeight="1">
      <c r="A389" s="73"/>
      <c r="B389" s="73"/>
      <c r="C389" s="73"/>
      <c r="D389" s="73"/>
      <c r="E389" s="73"/>
      <c r="F389" s="73"/>
      <c r="G389" s="73"/>
      <c r="H389" s="73"/>
      <c r="J389" s="73"/>
    </row>
    <row r="390" spans="1:10" ht="15.75" customHeight="1">
      <c r="A390" s="73"/>
      <c r="B390" s="73"/>
      <c r="C390" s="73"/>
      <c r="D390" s="73"/>
      <c r="E390" s="73"/>
      <c r="F390" s="73"/>
      <c r="G390" s="73"/>
      <c r="H390" s="73"/>
      <c r="J390" s="73"/>
    </row>
    <row r="391" spans="1:10" ht="15.75" customHeight="1">
      <c r="A391" s="73"/>
      <c r="B391" s="73"/>
      <c r="C391" s="73"/>
      <c r="D391" s="73"/>
      <c r="E391" s="73"/>
      <c r="F391" s="73"/>
      <c r="G391" s="73"/>
      <c r="H391" s="73"/>
      <c r="J391" s="73"/>
    </row>
    <row r="392" spans="1:10" ht="15.75" customHeight="1">
      <c r="A392" s="73"/>
      <c r="B392" s="73"/>
      <c r="C392" s="73"/>
      <c r="D392" s="73"/>
      <c r="E392" s="73"/>
      <c r="F392" s="73"/>
      <c r="G392" s="73"/>
      <c r="H392" s="73"/>
      <c r="J392" s="73"/>
    </row>
    <row r="393" spans="1:10" ht="15.75" customHeight="1">
      <c r="A393" s="73"/>
      <c r="B393" s="73"/>
      <c r="C393" s="73"/>
      <c r="D393" s="73"/>
      <c r="E393" s="73"/>
      <c r="F393" s="73"/>
      <c r="G393" s="73"/>
      <c r="H393" s="73"/>
      <c r="J393" s="73"/>
    </row>
    <row r="394" spans="1:10" ht="15.75" customHeight="1">
      <c r="A394" s="73"/>
      <c r="B394" s="73"/>
      <c r="C394" s="73"/>
      <c r="D394" s="73"/>
      <c r="E394" s="73"/>
      <c r="F394" s="73"/>
      <c r="G394" s="73"/>
      <c r="H394" s="73"/>
      <c r="J394" s="73"/>
    </row>
    <row r="395" spans="1:10" ht="15.75" customHeight="1">
      <c r="A395" s="73"/>
      <c r="B395" s="73"/>
      <c r="C395" s="73"/>
      <c r="D395" s="73"/>
      <c r="E395" s="73"/>
      <c r="F395" s="73"/>
      <c r="G395" s="73"/>
      <c r="H395" s="73"/>
      <c r="J395" s="73"/>
    </row>
    <row r="396" spans="1:10" ht="15.75" customHeight="1">
      <c r="A396" s="73"/>
      <c r="B396" s="73"/>
      <c r="C396" s="73"/>
      <c r="D396" s="73"/>
      <c r="E396" s="73"/>
      <c r="F396" s="73"/>
      <c r="G396" s="73"/>
      <c r="H396" s="73"/>
      <c r="J396" s="73"/>
    </row>
    <row r="397" spans="1:10" ht="15.75" customHeight="1">
      <c r="A397" s="73"/>
      <c r="B397" s="73"/>
      <c r="C397" s="73"/>
      <c r="D397" s="73"/>
      <c r="E397" s="73"/>
      <c r="F397" s="73"/>
      <c r="G397" s="73"/>
      <c r="H397" s="73"/>
      <c r="J397" s="73"/>
    </row>
    <row r="398" spans="1:10" ht="15.75" customHeight="1">
      <c r="A398" s="73"/>
      <c r="B398" s="73"/>
      <c r="C398" s="73"/>
      <c r="D398" s="73"/>
      <c r="E398" s="73"/>
      <c r="F398" s="73"/>
      <c r="G398" s="73"/>
      <c r="H398" s="73"/>
      <c r="J398" s="73"/>
    </row>
    <row r="399" spans="1:10" ht="15.75" customHeight="1">
      <c r="A399" s="73"/>
      <c r="B399" s="73"/>
      <c r="C399" s="73"/>
      <c r="D399" s="73"/>
      <c r="E399" s="73"/>
      <c r="F399" s="73"/>
      <c r="G399" s="73"/>
      <c r="H399" s="73"/>
      <c r="J399" s="73"/>
    </row>
    <row r="400" spans="1:10" ht="15.75" customHeight="1">
      <c r="A400" s="73"/>
      <c r="B400" s="73"/>
      <c r="C400" s="73"/>
      <c r="D400" s="73"/>
      <c r="E400" s="73"/>
      <c r="F400" s="73"/>
      <c r="G400" s="73"/>
      <c r="H400" s="73"/>
      <c r="J400" s="73"/>
    </row>
    <row r="401" spans="1:10" ht="15.75" customHeight="1">
      <c r="A401" s="73"/>
      <c r="B401" s="73"/>
      <c r="C401" s="73"/>
      <c r="D401" s="73"/>
      <c r="E401" s="73"/>
      <c r="F401" s="73"/>
      <c r="G401" s="73"/>
      <c r="H401" s="73"/>
      <c r="J401" s="73"/>
    </row>
    <row r="402" spans="1:10" ht="15.75" customHeight="1">
      <c r="A402" s="73"/>
      <c r="B402" s="73"/>
      <c r="C402" s="73"/>
      <c r="D402" s="73"/>
      <c r="E402" s="73"/>
      <c r="F402" s="73"/>
      <c r="G402" s="73"/>
      <c r="H402" s="73"/>
      <c r="J402" s="73"/>
    </row>
    <row r="403" spans="1:10" ht="15.75" customHeight="1">
      <c r="A403" s="73"/>
      <c r="B403" s="73"/>
      <c r="C403" s="73"/>
      <c r="D403" s="73"/>
      <c r="E403" s="73"/>
      <c r="F403" s="73"/>
      <c r="G403" s="73"/>
      <c r="H403" s="73"/>
      <c r="J403" s="73"/>
    </row>
    <row r="404" spans="1:10" ht="15.75" customHeight="1">
      <c r="A404" s="73"/>
      <c r="B404" s="73"/>
      <c r="C404" s="73"/>
      <c r="D404" s="73"/>
      <c r="E404" s="73"/>
      <c r="F404" s="73"/>
      <c r="G404" s="73"/>
      <c r="H404" s="73"/>
      <c r="J404" s="73"/>
    </row>
    <row r="405" spans="1:10" ht="15.75" customHeight="1">
      <c r="A405" s="73"/>
      <c r="B405" s="73"/>
      <c r="C405" s="73"/>
      <c r="D405" s="73"/>
      <c r="E405" s="73"/>
      <c r="F405" s="73"/>
      <c r="G405" s="73"/>
      <c r="H405" s="73"/>
      <c r="J405" s="73"/>
    </row>
    <row r="406" spans="1:10" ht="15.75" customHeight="1">
      <c r="A406" s="73"/>
      <c r="B406" s="73"/>
      <c r="C406" s="73"/>
      <c r="D406" s="73"/>
      <c r="E406" s="73"/>
      <c r="F406" s="73"/>
      <c r="G406" s="73"/>
      <c r="H406" s="73"/>
      <c r="J406" s="73"/>
    </row>
    <row r="407" spans="1:10" ht="15.75" customHeight="1">
      <c r="A407" s="73"/>
      <c r="B407" s="73"/>
      <c r="C407" s="73"/>
      <c r="D407" s="73"/>
      <c r="E407" s="73"/>
      <c r="F407" s="73"/>
      <c r="G407" s="73"/>
      <c r="H407" s="73"/>
      <c r="J407" s="73"/>
    </row>
    <row r="408" spans="1:10" ht="15.75" customHeight="1">
      <c r="A408" s="73"/>
      <c r="B408" s="73"/>
      <c r="C408" s="73"/>
      <c r="D408" s="73"/>
      <c r="E408" s="73"/>
      <c r="F408" s="73"/>
      <c r="G408" s="73"/>
      <c r="H408" s="73"/>
      <c r="J408" s="73"/>
    </row>
    <row r="409" spans="1:10" ht="15.75" customHeight="1">
      <c r="A409" s="73"/>
      <c r="B409" s="73"/>
      <c r="C409" s="73"/>
      <c r="D409" s="73"/>
      <c r="E409" s="73"/>
      <c r="F409" s="73"/>
      <c r="G409" s="73"/>
      <c r="H409" s="73"/>
      <c r="J409" s="73"/>
    </row>
    <row r="410" spans="1:10" ht="15.75" customHeight="1">
      <c r="A410" s="73"/>
      <c r="B410" s="73"/>
      <c r="C410" s="73"/>
      <c r="D410" s="73"/>
      <c r="E410" s="73"/>
      <c r="F410" s="73"/>
      <c r="G410" s="73"/>
      <c r="H410" s="73"/>
      <c r="J410" s="73"/>
    </row>
    <row r="411" spans="1:10" ht="15.75" customHeight="1">
      <c r="A411" s="73"/>
      <c r="B411" s="73"/>
      <c r="C411" s="73"/>
      <c r="D411" s="73"/>
      <c r="E411" s="73"/>
      <c r="F411" s="73"/>
      <c r="G411" s="73"/>
      <c r="H411" s="73"/>
      <c r="J411" s="73"/>
    </row>
    <row r="412" spans="1:10" ht="15.75" customHeight="1">
      <c r="A412" s="73"/>
      <c r="B412" s="73"/>
      <c r="C412" s="73"/>
      <c r="D412" s="73"/>
      <c r="E412" s="73"/>
      <c r="F412" s="73"/>
      <c r="G412" s="73"/>
      <c r="H412" s="73"/>
      <c r="J412" s="73"/>
    </row>
    <row r="413" spans="1:10" ht="15.75" customHeight="1">
      <c r="A413" s="73"/>
      <c r="B413" s="73"/>
      <c r="C413" s="73"/>
      <c r="D413" s="73"/>
      <c r="E413" s="73"/>
      <c r="F413" s="73"/>
      <c r="G413" s="73"/>
      <c r="H413" s="73"/>
      <c r="J413" s="73"/>
    </row>
    <row r="414" spans="1:10" ht="15.75" customHeight="1">
      <c r="A414" s="73"/>
      <c r="B414" s="73"/>
      <c r="C414" s="73"/>
      <c r="D414" s="73"/>
      <c r="E414" s="73"/>
      <c r="F414" s="73"/>
      <c r="G414" s="73"/>
      <c r="H414" s="73"/>
      <c r="J414" s="73"/>
    </row>
    <row r="415" spans="1:10" ht="15.75" customHeight="1">
      <c r="A415" s="73"/>
      <c r="B415" s="73"/>
      <c r="C415" s="73"/>
      <c r="D415" s="73"/>
      <c r="E415" s="73"/>
      <c r="F415" s="73"/>
      <c r="G415" s="73"/>
      <c r="H415" s="73"/>
      <c r="J415" s="73"/>
    </row>
    <row r="416" spans="1:10" ht="15.75" customHeight="1">
      <c r="A416" s="73"/>
      <c r="B416" s="73"/>
      <c r="C416" s="73"/>
      <c r="D416" s="73"/>
      <c r="E416" s="73"/>
      <c r="F416" s="73"/>
      <c r="G416" s="73"/>
      <c r="H416" s="73"/>
      <c r="J416" s="73"/>
    </row>
    <row r="417" spans="1:10" ht="15.75" customHeight="1">
      <c r="A417" s="73"/>
      <c r="B417" s="73"/>
      <c r="C417" s="73"/>
      <c r="D417" s="73"/>
      <c r="E417" s="73"/>
      <c r="F417" s="73"/>
      <c r="G417" s="73"/>
      <c r="H417" s="73"/>
      <c r="J417" s="73"/>
    </row>
    <row r="418" spans="1:10" ht="15.75" customHeight="1">
      <c r="A418" s="73"/>
      <c r="B418" s="73"/>
      <c r="C418" s="73"/>
      <c r="D418" s="73"/>
      <c r="E418" s="73"/>
      <c r="F418" s="73"/>
      <c r="G418" s="73"/>
      <c r="H418" s="73"/>
      <c r="J418" s="73"/>
    </row>
    <row r="419" spans="1:10" ht="15.75" customHeight="1">
      <c r="A419" s="73"/>
      <c r="B419" s="73"/>
      <c r="C419" s="73"/>
      <c r="D419" s="73"/>
      <c r="E419" s="73"/>
      <c r="F419" s="73"/>
      <c r="G419" s="73"/>
      <c r="H419" s="73"/>
      <c r="J419" s="73"/>
    </row>
    <row r="420" spans="1:10" ht="15.75" customHeight="1">
      <c r="A420" s="73"/>
      <c r="B420" s="73"/>
      <c r="C420" s="73"/>
      <c r="D420" s="73"/>
      <c r="E420" s="73"/>
      <c r="F420" s="73"/>
      <c r="G420" s="73"/>
      <c r="H420" s="73"/>
      <c r="J420" s="73"/>
    </row>
    <row r="421" spans="1:10" ht="15.75" customHeight="1">
      <c r="A421" s="73"/>
      <c r="B421" s="73"/>
      <c r="C421" s="73"/>
      <c r="D421" s="73"/>
      <c r="E421" s="73"/>
      <c r="F421" s="73"/>
      <c r="G421" s="73"/>
      <c r="H421" s="73"/>
      <c r="J421" s="73"/>
    </row>
    <row r="422" spans="1:10" ht="15.75" customHeight="1">
      <c r="A422" s="73"/>
      <c r="B422" s="73"/>
      <c r="C422" s="73"/>
      <c r="D422" s="73"/>
      <c r="E422" s="73"/>
      <c r="F422" s="73"/>
      <c r="G422" s="73"/>
      <c r="H422" s="73"/>
      <c r="J422" s="73"/>
    </row>
    <row r="423" spans="1:10" ht="15.75" customHeight="1">
      <c r="A423" s="73"/>
      <c r="B423" s="73"/>
      <c r="C423" s="73"/>
      <c r="D423" s="73"/>
      <c r="E423" s="73"/>
      <c r="F423" s="73"/>
      <c r="G423" s="73"/>
      <c r="H423" s="73"/>
      <c r="J423" s="73"/>
    </row>
    <row r="424" spans="1:10" ht="15.75" customHeight="1">
      <c r="A424" s="73"/>
      <c r="B424" s="73"/>
      <c r="C424" s="73"/>
      <c r="D424" s="73"/>
      <c r="E424" s="73"/>
      <c r="F424" s="73"/>
      <c r="G424" s="73"/>
      <c r="H424" s="73"/>
      <c r="J424" s="73"/>
    </row>
    <row r="425" spans="1:10" ht="15.75" customHeight="1">
      <c r="A425" s="73"/>
      <c r="B425" s="73"/>
      <c r="C425" s="73"/>
      <c r="D425" s="73"/>
      <c r="E425" s="73"/>
      <c r="F425" s="73"/>
      <c r="G425" s="73"/>
      <c r="H425" s="73"/>
      <c r="J425" s="73"/>
    </row>
    <row r="426" spans="1:10" ht="15.75" customHeight="1">
      <c r="A426" s="73"/>
      <c r="B426" s="73"/>
      <c r="C426" s="73"/>
      <c r="D426" s="73"/>
      <c r="E426" s="73"/>
      <c r="F426" s="73"/>
      <c r="G426" s="73"/>
      <c r="H426" s="73"/>
      <c r="J426" s="73"/>
    </row>
    <row r="427" spans="1:10" ht="15.75" customHeight="1">
      <c r="A427" s="73"/>
      <c r="B427" s="73"/>
      <c r="C427" s="73"/>
      <c r="D427" s="73"/>
      <c r="E427" s="73"/>
      <c r="F427" s="73"/>
      <c r="G427" s="73"/>
      <c r="H427" s="73"/>
      <c r="J427" s="73"/>
    </row>
    <row r="428" spans="1:10" ht="15.75" customHeight="1">
      <c r="A428" s="73"/>
      <c r="B428" s="73"/>
      <c r="C428" s="73"/>
      <c r="D428" s="73"/>
      <c r="E428" s="73"/>
      <c r="F428" s="73"/>
      <c r="G428" s="73"/>
      <c r="H428" s="73"/>
      <c r="J428" s="73"/>
    </row>
    <row r="429" spans="1:10" ht="15.75" customHeight="1">
      <c r="A429" s="73"/>
      <c r="B429" s="73"/>
      <c r="C429" s="73"/>
      <c r="D429" s="73"/>
      <c r="E429" s="73"/>
      <c r="F429" s="73"/>
      <c r="G429" s="73"/>
      <c r="H429" s="73"/>
      <c r="J429" s="73"/>
    </row>
    <row r="430" spans="1:10" ht="15.75" customHeight="1">
      <c r="A430" s="73"/>
      <c r="B430" s="73"/>
      <c r="C430" s="73"/>
      <c r="D430" s="73"/>
      <c r="E430" s="73"/>
      <c r="F430" s="73"/>
      <c r="G430" s="73"/>
      <c r="H430" s="73"/>
      <c r="J430" s="73"/>
    </row>
    <row r="431" spans="1:10" ht="15.75" customHeight="1">
      <c r="A431" s="73"/>
      <c r="B431" s="73"/>
      <c r="C431" s="73"/>
      <c r="D431" s="73"/>
      <c r="E431" s="73"/>
      <c r="F431" s="73"/>
      <c r="G431" s="73"/>
      <c r="H431" s="73"/>
      <c r="J431" s="73"/>
    </row>
    <row r="432" spans="1:10" ht="15.75" customHeight="1">
      <c r="A432" s="73"/>
      <c r="B432" s="73"/>
      <c r="C432" s="73"/>
      <c r="D432" s="73"/>
      <c r="E432" s="73"/>
      <c r="F432" s="73"/>
      <c r="G432" s="73"/>
      <c r="H432" s="73"/>
      <c r="J432" s="73"/>
    </row>
    <row r="433" spans="1:10" ht="15.75" customHeight="1">
      <c r="A433" s="73"/>
      <c r="B433" s="73"/>
      <c r="C433" s="73"/>
      <c r="D433" s="73"/>
      <c r="E433" s="73"/>
      <c r="F433" s="73"/>
      <c r="G433" s="73"/>
      <c r="H433" s="73"/>
      <c r="J433" s="73"/>
    </row>
    <row r="434" spans="1:10" ht="15.75" customHeight="1">
      <c r="A434" s="73"/>
      <c r="B434" s="73"/>
      <c r="C434" s="73"/>
      <c r="D434" s="73"/>
      <c r="E434" s="73"/>
      <c r="F434" s="73"/>
      <c r="G434" s="73"/>
      <c r="H434" s="73"/>
      <c r="J434" s="73"/>
    </row>
    <row r="435" spans="1:10" ht="15.75" customHeight="1">
      <c r="A435" s="73"/>
      <c r="B435" s="73"/>
      <c r="C435" s="73"/>
      <c r="D435" s="73"/>
      <c r="E435" s="73"/>
      <c r="F435" s="73"/>
      <c r="G435" s="73"/>
      <c r="H435" s="73"/>
      <c r="J435" s="73"/>
    </row>
    <row r="436" spans="1:10" ht="15.75" customHeight="1">
      <c r="A436" s="73"/>
      <c r="B436" s="73"/>
      <c r="C436" s="73"/>
      <c r="D436" s="73"/>
      <c r="E436" s="73"/>
      <c r="F436" s="73"/>
      <c r="G436" s="73"/>
      <c r="H436" s="73"/>
      <c r="J436" s="73"/>
    </row>
    <row r="437" spans="1:10" ht="15.75" customHeight="1">
      <c r="A437" s="73"/>
      <c r="B437" s="73"/>
      <c r="C437" s="73"/>
      <c r="D437" s="73"/>
      <c r="E437" s="73"/>
      <c r="F437" s="73"/>
      <c r="G437" s="73"/>
      <c r="H437" s="73"/>
      <c r="J437" s="73"/>
    </row>
    <row r="438" spans="1:10" ht="15.75" customHeight="1">
      <c r="A438" s="73"/>
      <c r="B438" s="73"/>
      <c r="C438" s="73"/>
      <c r="D438" s="73"/>
      <c r="E438" s="73"/>
      <c r="F438" s="73"/>
      <c r="G438" s="73"/>
      <c r="H438" s="73"/>
      <c r="J438" s="73"/>
    </row>
    <row r="439" spans="1:10" ht="15.75" customHeight="1">
      <c r="A439" s="73"/>
      <c r="B439" s="73"/>
      <c r="C439" s="73"/>
      <c r="D439" s="73"/>
      <c r="E439" s="73"/>
      <c r="F439" s="73"/>
      <c r="G439" s="73"/>
      <c r="H439" s="73"/>
      <c r="J439" s="73"/>
    </row>
    <row r="440" spans="1:10" ht="15.75" customHeight="1">
      <c r="A440" s="73"/>
      <c r="B440" s="73"/>
      <c r="C440" s="73"/>
      <c r="D440" s="73"/>
      <c r="E440" s="73"/>
      <c r="F440" s="73"/>
      <c r="G440" s="73"/>
      <c r="H440" s="73"/>
      <c r="J440" s="73"/>
    </row>
    <row r="441" spans="1:10" ht="15.75" customHeight="1">
      <c r="A441" s="73"/>
      <c r="B441" s="73"/>
      <c r="C441" s="73"/>
      <c r="D441" s="73"/>
      <c r="E441" s="73"/>
      <c r="F441" s="73"/>
      <c r="G441" s="73"/>
      <c r="H441" s="73"/>
      <c r="J441" s="73"/>
    </row>
    <row r="442" spans="1:10" ht="15.75" customHeight="1">
      <c r="A442" s="73"/>
      <c r="B442" s="73"/>
      <c r="C442" s="73"/>
      <c r="D442" s="73"/>
      <c r="E442" s="73"/>
      <c r="F442" s="73"/>
      <c r="G442" s="73"/>
      <c r="H442" s="73"/>
      <c r="J442" s="73"/>
    </row>
    <row r="443" spans="1:10" ht="15.75" customHeight="1">
      <c r="A443" s="73"/>
      <c r="B443" s="73"/>
      <c r="C443" s="73"/>
      <c r="D443" s="73"/>
      <c r="E443" s="73"/>
      <c r="F443" s="73"/>
      <c r="G443" s="73"/>
      <c r="H443" s="73"/>
      <c r="J443" s="73"/>
    </row>
    <row r="444" spans="1:10" ht="15.75" customHeight="1">
      <c r="A444" s="73"/>
      <c r="B444" s="73"/>
      <c r="C444" s="73"/>
      <c r="D444" s="73"/>
      <c r="E444" s="73"/>
      <c r="F444" s="73"/>
      <c r="G444" s="73"/>
      <c r="H444" s="73"/>
      <c r="J444" s="73"/>
    </row>
    <row r="445" spans="1:10" ht="15.75" customHeight="1">
      <c r="A445" s="73"/>
      <c r="B445" s="73"/>
      <c r="C445" s="73"/>
      <c r="D445" s="73"/>
      <c r="E445" s="73"/>
      <c r="F445" s="73"/>
      <c r="G445" s="73"/>
      <c r="H445" s="73"/>
      <c r="J445" s="73"/>
    </row>
    <row r="446" spans="1:10" ht="15.75" customHeight="1">
      <c r="A446" s="73"/>
      <c r="B446" s="73"/>
      <c r="C446" s="73"/>
      <c r="D446" s="73"/>
      <c r="E446" s="73"/>
      <c r="F446" s="73"/>
      <c r="G446" s="73"/>
      <c r="H446" s="73"/>
      <c r="J446" s="73"/>
    </row>
    <row r="447" spans="1:10" ht="15.75" customHeight="1">
      <c r="A447" s="73"/>
      <c r="B447" s="73"/>
      <c r="C447" s="73"/>
      <c r="D447" s="73"/>
      <c r="E447" s="73"/>
      <c r="F447" s="73"/>
      <c r="G447" s="73"/>
      <c r="H447" s="73"/>
      <c r="J447" s="73"/>
    </row>
    <row r="448" spans="1:10" ht="15.75" customHeight="1">
      <c r="A448" s="73"/>
      <c r="B448" s="73"/>
      <c r="C448" s="73"/>
      <c r="D448" s="73"/>
      <c r="E448" s="73"/>
      <c r="F448" s="73"/>
      <c r="G448" s="73"/>
      <c r="H448" s="73"/>
      <c r="J448" s="73"/>
    </row>
    <row r="449" spans="1:10" ht="15.75" customHeight="1">
      <c r="A449" s="73"/>
      <c r="B449" s="73"/>
      <c r="C449" s="73"/>
      <c r="D449" s="73"/>
      <c r="E449" s="73"/>
      <c r="F449" s="73"/>
      <c r="G449" s="73"/>
      <c r="H449" s="73"/>
      <c r="J449" s="73"/>
    </row>
    <row r="450" spans="1:10" ht="15.75" customHeight="1">
      <c r="A450" s="73"/>
      <c r="B450" s="73"/>
      <c r="C450" s="73"/>
      <c r="D450" s="73"/>
      <c r="E450" s="73"/>
      <c r="F450" s="73"/>
      <c r="G450" s="73"/>
      <c r="H450" s="73"/>
      <c r="J450" s="73"/>
    </row>
    <row r="451" spans="1:10" ht="15.75" customHeight="1">
      <c r="A451" s="73"/>
      <c r="B451" s="73"/>
      <c r="C451" s="73"/>
      <c r="D451" s="73"/>
      <c r="E451" s="73"/>
      <c r="F451" s="73"/>
      <c r="G451" s="73"/>
      <c r="H451" s="73"/>
      <c r="J451" s="73"/>
    </row>
    <row r="452" spans="1:10" ht="15.75" customHeight="1">
      <c r="A452" s="73"/>
      <c r="B452" s="73"/>
      <c r="C452" s="73"/>
      <c r="D452" s="73"/>
      <c r="E452" s="73"/>
      <c r="F452" s="73"/>
      <c r="G452" s="73"/>
      <c r="H452" s="73"/>
      <c r="J452" s="73"/>
    </row>
    <row r="453" spans="1:10" ht="15.75" customHeight="1">
      <c r="A453" s="73"/>
      <c r="B453" s="73"/>
      <c r="C453" s="73"/>
      <c r="D453" s="73"/>
      <c r="E453" s="73"/>
      <c r="F453" s="73"/>
      <c r="G453" s="73"/>
      <c r="H453" s="73"/>
      <c r="J453" s="73"/>
    </row>
    <row r="454" spans="1:10" ht="15.75" customHeight="1">
      <c r="A454" s="73"/>
      <c r="B454" s="73"/>
      <c r="C454" s="73"/>
      <c r="D454" s="73"/>
      <c r="E454" s="73"/>
      <c r="F454" s="73"/>
      <c r="G454" s="73"/>
      <c r="H454" s="73"/>
      <c r="J454" s="73"/>
    </row>
    <row r="455" spans="1:10" ht="15.75" customHeight="1">
      <c r="A455" s="73"/>
      <c r="B455" s="73"/>
      <c r="C455" s="73"/>
      <c r="D455" s="73"/>
      <c r="E455" s="73"/>
      <c r="F455" s="73"/>
      <c r="G455" s="73"/>
      <c r="H455" s="73"/>
      <c r="J455" s="73"/>
    </row>
    <row r="456" spans="1:10" ht="15.75" customHeight="1">
      <c r="A456" s="73"/>
      <c r="B456" s="73"/>
      <c r="C456" s="73"/>
      <c r="D456" s="73"/>
      <c r="E456" s="73"/>
      <c r="F456" s="73"/>
      <c r="G456" s="73"/>
      <c r="H456" s="73"/>
      <c r="J456" s="73"/>
    </row>
    <row r="457" spans="1:10" ht="15.75" customHeight="1">
      <c r="A457" s="73"/>
      <c r="B457" s="73"/>
      <c r="C457" s="73"/>
      <c r="D457" s="73"/>
      <c r="E457" s="73"/>
      <c r="F457" s="73"/>
      <c r="G457" s="73"/>
      <c r="H457" s="73"/>
      <c r="J457" s="73"/>
    </row>
    <row r="458" spans="1:10" ht="15.75" customHeight="1">
      <c r="A458" s="73"/>
      <c r="B458" s="73"/>
      <c r="C458" s="73"/>
      <c r="D458" s="73"/>
      <c r="E458" s="73"/>
      <c r="F458" s="73"/>
      <c r="G458" s="73"/>
      <c r="H458" s="73"/>
      <c r="J458" s="73"/>
    </row>
    <row r="459" spans="1:10" ht="15.75" customHeight="1">
      <c r="A459" s="73"/>
      <c r="B459" s="73"/>
      <c r="C459" s="73"/>
      <c r="D459" s="73"/>
      <c r="E459" s="73"/>
      <c r="F459" s="73"/>
      <c r="G459" s="73"/>
      <c r="H459" s="73"/>
      <c r="J459" s="73"/>
    </row>
    <row r="460" spans="1:10" ht="15.75" customHeight="1">
      <c r="A460" s="73"/>
      <c r="B460" s="73"/>
      <c r="C460" s="73"/>
      <c r="D460" s="73"/>
      <c r="E460" s="73"/>
      <c r="F460" s="73"/>
      <c r="G460" s="73"/>
      <c r="H460" s="73"/>
      <c r="J460" s="73"/>
    </row>
    <row r="461" spans="1:10" ht="15.75" customHeight="1">
      <c r="A461" s="73"/>
      <c r="B461" s="73"/>
      <c r="C461" s="73"/>
      <c r="D461" s="73"/>
      <c r="E461" s="73"/>
      <c r="F461" s="73"/>
      <c r="G461" s="73"/>
      <c r="H461" s="73"/>
      <c r="J461" s="73"/>
    </row>
    <row r="462" spans="1:10" ht="15.75" customHeight="1">
      <c r="A462" s="73"/>
      <c r="B462" s="73"/>
      <c r="C462" s="73"/>
      <c r="D462" s="73"/>
      <c r="E462" s="73"/>
      <c r="F462" s="73"/>
      <c r="G462" s="73"/>
      <c r="H462" s="73"/>
      <c r="J462" s="73"/>
    </row>
    <row r="463" spans="1:10" ht="15.75" customHeight="1">
      <c r="A463" s="73"/>
      <c r="B463" s="73"/>
      <c r="C463" s="73"/>
      <c r="D463" s="73"/>
      <c r="E463" s="73"/>
      <c r="F463" s="73"/>
      <c r="G463" s="73"/>
      <c r="H463" s="73"/>
      <c r="J463" s="73"/>
    </row>
    <row r="464" spans="1:10" ht="15.75" customHeight="1">
      <c r="A464" s="73"/>
      <c r="B464" s="73"/>
      <c r="C464" s="73"/>
      <c r="D464" s="73"/>
      <c r="E464" s="73"/>
      <c r="F464" s="73"/>
      <c r="G464" s="73"/>
      <c r="H464" s="73"/>
      <c r="J464" s="73"/>
    </row>
    <row r="465" spans="1:10" ht="15.75" customHeight="1">
      <c r="A465" s="73"/>
      <c r="B465" s="73"/>
      <c r="C465" s="73"/>
      <c r="D465" s="73"/>
      <c r="E465" s="73"/>
      <c r="F465" s="73"/>
      <c r="G465" s="73"/>
      <c r="H465" s="73"/>
      <c r="J465" s="73"/>
    </row>
    <row r="466" spans="1:10" ht="15.75" customHeight="1">
      <c r="A466" s="73"/>
      <c r="B466" s="73"/>
      <c r="C466" s="73"/>
      <c r="D466" s="73"/>
      <c r="E466" s="73"/>
      <c r="F466" s="73"/>
      <c r="G466" s="73"/>
      <c r="H466" s="73"/>
      <c r="J466" s="73"/>
    </row>
    <row r="467" spans="1:10" ht="15.75" customHeight="1">
      <c r="A467" s="73"/>
      <c r="B467" s="73"/>
      <c r="C467" s="73"/>
      <c r="D467" s="73"/>
      <c r="E467" s="73"/>
      <c r="F467" s="73"/>
      <c r="G467" s="73"/>
      <c r="H467" s="73"/>
      <c r="J467" s="73"/>
    </row>
    <row r="468" spans="1:10" ht="15.75" customHeight="1">
      <c r="A468" s="73"/>
      <c r="B468" s="73"/>
      <c r="C468" s="73"/>
      <c r="D468" s="73"/>
      <c r="E468" s="73"/>
      <c r="F468" s="73"/>
      <c r="G468" s="73"/>
      <c r="H468" s="73"/>
      <c r="J468" s="73"/>
    </row>
    <row r="469" spans="1:10" ht="15.75" customHeight="1">
      <c r="A469" s="73"/>
      <c r="B469" s="73"/>
      <c r="C469" s="73"/>
      <c r="D469" s="73"/>
      <c r="E469" s="73"/>
      <c r="F469" s="73"/>
      <c r="G469" s="73"/>
      <c r="H469" s="73"/>
      <c r="J469" s="73"/>
    </row>
    <row r="470" spans="1:10" ht="15.75" customHeight="1">
      <c r="A470" s="73"/>
      <c r="B470" s="73"/>
      <c r="C470" s="73"/>
      <c r="D470" s="73"/>
      <c r="E470" s="73"/>
      <c r="F470" s="73"/>
      <c r="G470" s="73"/>
      <c r="H470" s="73"/>
      <c r="J470" s="73"/>
    </row>
    <row r="471" spans="1:10" ht="15.75" customHeight="1">
      <c r="A471" s="73"/>
      <c r="B471" s="73"/>
      <c r="C471" s="73"/>
      <c r="D471" s="73"/>
      <c r="E471" s="73"/>
      <c r="F471" s="73"/>
      <c r="G471" s="73"/>
      <c r="H471" s="73"/>
      <c r="J471" s="73"/>
    </row>
    <row r="472" spans="1:10" ht="15.75" customHeight="1">
      <c r="A472" s="73"/>
      <c r="B472" s="73"/>
      <c r="C472" s="73"/>
      <c r="D472" s="73"/>
      <c r="E472" s="73"/>
      <c r="F472" s="73"/>
      <c r="G472" s="73"/>
      <c r="H472" s="73"/>
      <c r="J472" s="73"/>
    </row>
    <row r="473" spans="1:10" ht="15.75" customHeight="1">
      <c r="A473" s="73"/>
      <c r="B473" s="73"/>
      <c r="C473" s="73"/>
      <c r="D473" s="73"/>
      <c r="E473" s="73"/>
      <c r="F473" s="73"/>
      <c r="G473" s="73"/>
      <c r="H473" s="73"/>
      <c r="J473" s="73"/>
    </row>
    <row r="474" spans="1:10" ht="15.75" customHeight="1">
      <c r="A474" s="73"/>
      <c r="B474" s="73"/>
      <c r="C474" s="73"/>
      <c r="D474" s="73"/>
      <c r="E474" s="73"/>
      <c r="F474" s="73"/>
      <c r="G474" s="73"/>
      <c r="H474" s="73"/>
      <c r="J474" s="73"/>
    </row>
    <row r="475" spans="1:10" ht="15.75" customHeight="1">
      <c r="A475" s="73"/>
      <c r="B475" s="73"/>
      <c r="C475" s="73"/>
      <c r="D475" s="73"/>
      <c r="E475" s="73"/>
      <c r="F475" s="73"/>
      <c r="G475" s="73"/>
      <c r="H475" s="73"/>
      <c r="J475" s="73"/>
    </row>
    <row r="476" spans="1:10" ht="15.75" customHeight="1">
      <c r="A476" s="73"/>
      <c r="B476" s="73"/>
      <c r="C476" s="73"/>
      <c r="D476" s="73"/>
      <c r="E476" s="73"/>
      <c r="F476" s="73"/>
      <c r="G476" s="73"/>
      <c r="H476" s="73"/>
      <c r="J476" s="73"/>
    </row>
    <row r="477" spans="1:10" ht="15.75" customHeight="1">
      <c r="A477" s="73"/>
      <c r="B477" s="73"/>
      <c r="C477" s="73"/>
      <c r="D477" s="73"/>
      <c r="E477" s="73"/>
      <c r="F477" s="73"/>
      <c r="G477" s="73"/>
      <c r="H477" s="73"/>
      <c r="J477" s="73"/>
    </row>
    <row r="478" spans="1:10" ht="15.75" customHeight="1">
      <c r="A478" s="73"/>
      <c r="B478" s="73"/>
      <c r="C478" s="73"/>
      <c r="D478" s="73"/>
      <c r="E478" s="73"/>
      <c r="F478" s="73"/>
      <c r="G478" s="73"/>
      <c r="H478" s="73"/>
      <c r="J478" s="73"/>
    </row>
    <row r="479" spans="1:10" ht="15.75" customHeight="1">
      <c r="A479" s="73"/>
      <c r="B479" s="73"/>
      <c r="C479" s="73"/>
      <c r="D479" s="73"/>
      <c r="E479" s="73"/>
      <c r="F479" s="73"/>
      <c r="G479" s="73"/>
      <c r="H479" s="73"/>
      <c r="J479" s="73"/>
    </row>
    <row r="480" spans="1:10" ht="15.75" customHeight="1">
      <c r="A480" s="73"/>
      <c r="B480" s="73"/>
      <c r="C480" s="73"/>
      <c r="D480" s="73"/>
      <c r="E480" s="73"/>
      <c r="F480" s="73"/>
      <c r="G480" s="73"/>
      <c r="H480" s="73"/>
      <c r="J480" s="73"/>
    </row>
    <row r="481" spans="1:10" ht="15.75" customHeight="1">
      <c r="A481" s="73"/>
      <c r="B481" s="73"/>
      <c r="C481" s="73"/>
      <c r="D481" s="73"/>
      <c r="E481" s="73"/>
      <c r="F481" s="73"/>
      <c r="G481" s="73"/>
      <c r="H481" s="73"/>
      <c r="J481" s="73"/>
    </row>
    <row r="482" spans="1:10" ht="15.75" customHeight="1">
      <c r="A482" s="73"/>
      <c r="B482" s="73"/>
      <c r="C482" s="73"/>
      <c r="D482" s="73"/>
      <c r="E482" s="73"/>
      <c r="F482" s="73"/>
      <c r="G482" s="73"/>
      <c r="H482" s="73"/>
      <c r="J482" s="73"/>
    </row>
    <row r="483" spans="1:10" ht="15.75" customHeight="1">
      <c r="A483" s="73"/>
      <c r="B483" s="73"/>
      <c r="C483" s="73"/>
      <c r="D483" s="73"/>
      <c r="E483" s="73"/>
      <c r="F483" s="73"/>
      <c r="G483" s="73"/>
      <c r="H483" s="73"/>
      <c r="J483" s="73"/>
    </row>
    <row r="484" spans="1:10" ht="15.75" customHeight="1">
      <c r="A484" s="73"/>
      <c r="B484" s="73"/>
      <c r="C484" s="73"/>
      <c r="D484" s="73"/>
      <c r="E484" s="73"/>
      <c r="F484" s="73"/>
      <c r="G484" s="73"/>
      <c r="H484" s="73"/>
      <c r="J484" s="73"/>
    </row>
    <row r="485" spans="1:10" ht="15.75" customHeight="1">
      <c r="A485" s="73"/>
      <c r="B485" s="73"/>
      <c r="C485" s="73"/>
      <c r="D485" s="73"/>
      <c r="E485" s="73"/>
      <c r="F485" s="73"/>
      <c r="G485" s="73"/>
      <c r="H485" s="73"/>
      <c r="J485" s="73"/>
    </row>
    <row r="486" spans="1:10" ht="15.75" customHeight="1">
      <c r="A486" s="73"/>
      <c r="B486" s="73"/>
      <c r="C486" s="73"/>
      <c r="D486" s="73"/>
      <c r="E486" s="73"/>
      <c r="F486" s="73"/>
      <c r="G486" s="73"/>
      <c r="H486" s="73"/>
      <c r="J486" s="73"/>
    </row>
    <row r="487" spans="1:10" ht="15.75" customHeight="1">
      <c r="A487" s="73"/>
      <c r="B487" s="73"/>
      <c r="C487" s="73"/>
      <c r="D487" s="73"/>
      <c r="E487" s="73"/>
      <c r="F487" s="73"/>
      <c r="G487" s="73"/>
      <c r="H487" s="73"/>
      <c r="J487" s="73"/>
    </row>
    <row r="488" spans="1:10" ht="15.75" customHeight="1">
      <c r="A488" s="73"/>
      <c r="B488" s="73"/>
      <c r="C488" s="73"/>
      <c r="D488" s="73"/>
      <c r="E488" s="73"/>
      <c r="F488" s="73"/>
      <c r="G488" s="73"/>
      <c r="H488" s="73"/>
      <c r="J488" s="73"/>
    </row>
    <row r="489" spans="1:10" ht="15.75" customHeight="1">
      <c r="A489" s="73"/>
      <c r="B489" s="73"/>
      <c r="C489" s="73"/>
      <c r="D489" s="73"/>
      <c r="E489" s="73"/>
      <c r="F489" s="73"/>
      <c r="G489" s="73"/>
      <c r="H489" s="73"/>
      <c r="J489" s="73"/>
    </row>
    <row r="490" spans="1:10" ht="15.75" customHeight="1">
      <c r="A490" s="73"/>
      <c r="B490" s="73"/>
      <c r="C490" s="73"/>
      <c r="D490" s="73"/>
      <c r="E490" s="73"/>
      <c r="F490" s="73"/>
      <c r="G490" s="73"/>
      <c r="H490" s="73"/>
      <c r="J490" s="73"/>
    </row>
    <row r="491" spans="1:10" ht="15.75" customHeight="1">
      <c r="A491" s="73"/>
      <c r="B491" s="73"/>
      <c r="C491" s="73"/>
      <c r="D491" s="73"/>
      <c r="E491" s="73"/>
      <c r="F491" s="73"/>
      <c r="G491" s="73"/>
      <c r="H491" s="73"/>
      <c r="J491" s="73"/>
    </row>
    <row r="492" spans="1:10" ht="15.75" customHeight="1">
      <c r="A492" s="73"/>
      <c r="B492" s="73"/>
      <c r="C492" s="73"/>
      <c r="D492" s="73"/>
      <c r="E492" s="73"/>
      <c r="F492" s="73"/>
      <c r="G492" s="73"/>
      <c r="H492" s="73"/>
      <c r="J492" s="73"/>
    </row>
    <row r="493" spans="1:10" ht="15.75" customHeight="1">
      <c r="A493" s="73"/>
      <c r="B493" s="73"/>
      <c r="C493" s="73"/>
      <c r="D493" s="73"/>
      <c r="E493" s="73"/>
      <c r="F493" s="73"/>
      <c r="G493" s="73"/>
      <c r="H493" s="73"/>
      <c r="J493" s="73"/>
    </row>
    <row r="494" spans="1:10" ht="15.75" customHeight="1">
      <c r="A494" s="73"/>
      <c r="B494" s="73"/>
      <c r="C494" s="73"/>
      <c r="D494" s="73"/>
      <c r="E494" s="73"/>
      <c r="F494" s="73"/>
      <c r="G494" s="73"/>
      <c r="H494" s="73"/>
      <c r="J494" s="73"/>
    </row>
    <row r="495" spans="1:10" ht="15.75" customHeight="1">
      <c r="A495" s="73"/>
      <c r="B495" s="73"/>
      <c r="C495" s="73"/>
      <c r="D495" s="73"/>
      <c r="E495" s="73"/>
      <c r="F495" s="73"/>
      <c r="G495" s="73"/>
      <c r="H495" s="73"/>
      <c r="J495" s="73"/>
    </row>
    <row r="496" spans="1:10" ht="15.75" customHeight="1">
      <c r="A496" s="73"/>
      <c r="B496" s="73"/>
      <c r="C496" s="73"/>
      <c r="D496" s="73"/>
      <c r="E496" s="73"/>
      <c r="F496" s="73"/>
      <c r="G496" s="73"/>
      <c r="H496" s="73"/>
      <c r="J496" s="73"/>
    </row>
    <row r="497" spans="1:10" ht="15.75" customHeight="1">
      <c r="A497" s="73"/>
      <c r="B497" s="73"/>
      <c r="C497" s="73"/>
      <c r="D497" s="73"/>
      <c r="E497" s="73"/>
      <c r="F497" s="73"/>
      <c r="G497" s="73"/>
      <c r="H497" s="73"/>
      <c r="J497" s="73"/>
    </row>
    <row r="498" spans="1:10" ht="15.75" customHeight="1">
      <c r="A498" s="73"/>
      <c r="B498" s="73"/>
      <c r="C498" s="73"/>
      <c r="D498" s="73"/>
      <c r="E498" s="73"/>
      <c r="F498" s="73"/>
      <c r="G498" s="73"/>
      <c r="H498" s="73"/>
      <c r="J498" s="73"/>
    </row>
    <row r="499" spans="1:10" ht="15.75" customHeight="1">
      <c r="A499" s="73"/>
      <c r="B499" s="73"/>
      <c r="C499" s="73"/>
      <c r="D499" s="73"/>
      <c r="E499" s="73"/>
      <c r="F499" s="73"/>
      <c r="G499" s="73"/>
      <c r="H499" s="73"/>
      <c r="J499" s="73"/>
    </row>
    <row r="500" spans="1:10" ht="15.75" customHeight="1">
      <c r="A500" s="73"/>
      <c r="B500" s="73"/>
      <c r="C500" s="73"/>
      <c r="D500" s="73"/>
      <c r="E500" s="73"/>
      <c r="F500" s="73"/>
      <c r="G500" s="73"/>
      <c r="H500" s="73"/>
      <c r="J500" s="73"/>
    </row>
    <row r="501" spans="1:10" ht="15.75" customHeight="1">
      <c r="A501" s="73"/>
      <c r="B501" s="73"/>
      <c r="C501" s="73"/>
      <c r="D501" s="73"/>
      <c r="E501" s="73"/>
      <c r="F501" s="73"/>
      <c r="G501" s="73"/>
      <c r="H501" s="73"/>
      <c r="J501" s="73"/>
    </row>
    <row r="502" spans="1:10" ht="15.75" customHeight="1">
      <c r="A502" s="73"/>
      <c r="B502" s="73"/>
      <c r="C502" s="73"/>
      <c r="D502" s="73"/>
      <c r="E502" s="73"/>
      <c r="F502" s="73"/>
      <c r="G502" s="73"/>
      <c r="H502" s="73"/>
      <c r="J502" s="73"/>
    </row>
    <row r="503" spans="1:10" ht="15.75" customHeight="1">
      <c r="A503" s="73"/>
      <c r="B503" s="73"/>
      <c r="C503" s="73"/>
      <c r="D503" s="73"/>
      <c r="E503" s="73"/>
      <c r="F503" s="73"/>
      <c r="G503" s="73"/>
      <c r="H503" s="73"/>
      <c r="J503" s="73"/>
    </row>
    <row r="504" spans="1:10" ht="15.75" customHeight="1">
      <c r="A504" s="73"/>
      <c r="B504" s="73"/>
      <c r="C504" s="73"/>
      <c r="D504" s="73"/>
      <c r="E504" s="73"/>
      <c r="F504" s="73"/>
      <c r="G504" s="73"/>
      <c r="H504" s="73"/>
      <c r="J504" s="73"/>
    </row>
    <row r="505" spans="1:10" ht="15.75" customHeight="1">
      <c r="A505" s="73"/>
      <c r="B505" s="73"/>
      <c r="C505" s="73"/>
      <c r="D505" s="73"/>
      <c r="E505" s="73"/>
      <c r="F505" s="73"/>
      <c r="G505" s="73"/>
      <c r="H505" s="73"/>
      <c r="J505" s="73"/>
    </row>
    <row r="506" spans="1:10" ht="15.75" customHeight="1">
      <c r="A506" s="73"/>
      <c r="B506" s="73"/>
      <c r="C506" s="73"/>
      <c r="D506" s="73"/>
      <c r="E506" s="73"/>
      <c r="F506" s="73"/>
      <c r="G506" s="73"/>
      <c r="H506" s="73"/>
      <c r="J506" s="73"/>
    </row>
    <row r="507" spans="1:10" ht="15.75" customHeight="1">
      <c r="A507" s="73"/>
      <c r="B507" s="73"/>
      <c r="C507" s="73"/>
      <c r="D507" s="73"/>
      <c r="E507" s="73"/>
      <c r="F507" s="73"/>
      <c r="G507" s="73"/>
      <c r="H507" s="73"/>
      <c r="J507" s="73"/>
    </row>
    <row r="508" spans="1:10" ht="15.75" customHeight="1">
      <c r="A508" s="73"/>
      <c r="B508" s="73"/>
      <c r="C508" s="73"/>
      <c r="D508" s="73"/>
      <c r="E508" s="73"/>
      <c r="F508" s="73"/>
      <c r="G508" s="73"/>
      <c r="H508" s="73"/>
      <c r="J508" s="73"/>
    </row>
    <row r="509" spans="1:10" ht="15.75" customHeight="1">
      <c r="A509" s="73"/>
      <c r="B509" s="73"/>
      <c r="C509" s="73"/>
      <c r="D509" s="73"/>
      <c r="E509" s="73"/>
      <c r="F509" s="73"/>
      <c r="G509" s="73"/>
      <c r="H509" s="73"/>
      <c r="J509" s="73"/>
    </row>
    <row r="510" spans="1:10" ht="15.75" customHeight="1">
      <c r="A510" s="73"/>
      <c r="B510" s="73"/>
      <c r="C510" s="73"/>
      <c r="D510" s="73"/>
      <c r="E510" s="73"/>
      <c r="F510" s="73"/>
      <c r="G510" s="73"/>
      <c r="H510" s="73"/>
      <c r="J510" s="73"/>
    </row>
    <row r="511" spans="1:10" ht="15.75" customHeight="1">
      <c r="A511" s="73"/>
      <c r="B511" s="73"/>
      <c r="C511" s="73"/>
      <c r="D511" s="73"/>
      <c r="E511" s="73"/>
      <c r="F511" s="73"/>
      <c r="G511" s="73"/>
      <c r="H511" s="73"/>
      <c r="J511" s="73"/>
    </row>
    <row r="512" spans="1:10" ht="15.75" customHeight="1">
      <c r="A512" s="73"/>
      <c r="B512" s="73"/>
      <c r="C512" s="73"/>
      <c r="D512" s="73"/>
      <c r="E512" s="73"/>
      <c r="F512" s="73"/>
      <c r="G512" s="73"/>
      <c r="H512" s="73"/>
      <c r="J512" s="73"/>
    </row>
    <row r="513" spans="1:10" ht="15.75" customHeight="1">
      <c r="A513" s="73"/>
      <c r="B513" s="73"/>
      <c r="C513" s="73"/>
      <c r="D513" s="73"/>
      <c r="E513" s="73"/>
      <c r="F513" s="73"/>
      <c r="G513" s="73"/>
      <c r="H513" s="73"/>
      <c r="J513" s="73"/>
    </row>
    <row r="514" spans="1:10" ht="15.75" customHeight="1">
      <c r="A514" s="73"/>
      <c r="B514" s="73"/>
      <c r="C514" s="73"/>
      <c r="D514" s="73"/>
      <c r="E514" s="73"/>
      <c r="F514" s="73"/>
      <c r="G514" s="73"/>
      <c r="H514" s="73"/>
      <c r="J514" s="73"/>
    </row>
    <row r="515" spans="1:10" ht="15.75" customHeight="1">
      <c r="A515" s="73"/>
      <c r="B515" s="73"/>
      <c r="C515" s="73"/>
      <c r="D515" s="73"/>
      <c r="E515" s="73"/>
      <c r="F515" s="73"/>
      <c r="G515" s="73"/>
      <c r="H515" s="73"/>
      <c r="J515" s="73"/>
    </row>
    <row r="516" spans="1:10" ht="15.75" customHeight="1">
      <c r="A516" s="73"/>
      <c r="B516" s="73"/>
      <c r="C516" s="73"/>
      <c r="D516" s="73"/>
      <c r="E516" s="73"/>
      <c r="F516" s="73"/>
      <c r="G516" s="73"/>
      <c r="H516" s="73"/>
      <c r="J516" s="73"/>
    </row>
    <row r="517" spans="1:10" ht="15.75" customHeight="1">
      <c r="A517" s="73"/>
      <c r="B517" s="73"/>
      <c r="C517" s="73"/>
      <c r="D517" s="73"/>
      <c r="E517" s="73"/>
      <c r="F517" s="73"/>
      <c r="G517" s="73"/>
      <c r="H517" s="73"/>
      <c r="J517" s="73"/>
    </row>
    <row r="518" spans="1:10" ht="15.75" customHeight="1">
      <c r="A518" s="73"/>
      <c r="B518" s="73"/>
      <c r="C518" s="73"/>
      <c r="D518" s="73"/>
      <c r="E518" s="73"/>
      <c r="F518" s="73"/>
      <c r="G518" s="73"/>
      <c r="H518" s="73"/>
      <c r="J518" s="73"/>
    </row>
    <row r="519" spans="1:10" ht="15.75" customHeight="1">
      <c r="A519" s="73"/>
      <c r="B519" s="73"/>
      <c r="C519" s="73"/>
      <c r="D519" s="73"/>
      <c r="E519" s="73"/>
      <c r="F519" s="73"/>
      <c r="G519" s="73"/>
      <c r="H519" s="73"/>
      <c r="J519" s="73"/>
    </row>
    <row r="520" spans="1:10" ht="15.75" customHeight="1">
      <c r="A520" s="73"/>
      <c r="B520" s="73"/>
      <c r="C520" s="73"/>
      <c r="D520" s="73"/>
      <c r="E520" s="73"/>
      <c r="F520" s="73"/>
      <c r="G520" s="73"/>
      <c r="H520" s="73"/>
      <c r="J520" s="73"/>
    </row>
    <row r="521" spans="1:10" ht="15.75" customHeight="1">
      <c r="A521" s="73"/>
      <c r="B521" s="73"/>
      <c r="C521" s="73"/>
      <c r="D521" s="73"/>
      <c r="E521" s="73"/>
      <c r="F521" s="73"/>
      <c r="G521" s="73"/>
      <c r="H521" s="73"/>
      <c r="J521" s="73"/>
    </row>
    <row r="522" spans="1:10" ht="15.75" customHeight="1">
      <c r="A522" s="73"/>
      <c r="B522" s="73"/>
      <c r="C522" s="73"/>
      <c r="D522" s="73"/>
      <c r="E522" s="73"/>
      <c r="F522" s="73"/>
      <c r="G522" s="73"/>
      <c r="H522" s="73"/>
      <c r="J522" s="73"/>
    </row>
    <row r="523" spans="1:10" ht="15.75" customHeight="1">
      <c r="A523" s="73"/>
      <c r="B523" s="73"/>
      <c r="C523" s="73"/>
      <c r="D523" s="73"/>
      <c r="E523" s="73"/>
      <c r="F523" s="73"/>
      <c r="G523" s="73"/>
      <c r="H523" s="73"/>
      <c r="J523" s="73"/>
    </row>
    <row r="524" spans="1:10" ht="15.75" customHeight="1">
      <c r="A524" s="73"/>
      <c r="B524" s="73"/>
      <c r="C524" s="73"/>
      <c r="D524" s="73"/>
      <c r="E524" s="73"/>
      <c r="F524" s="73"/>
      <c r="G524" s="73"/>
      <c r="H524" s="73"/>
      <c r="J524" s="73"/>
    </row>
    <row r="525" spans="1:10" ht="15.75" customHeight="1">
      <c r="A525" s="73"/>
      <c r="B525" s="73"/>
      <c r="C525" s="73"/>
      <c r="D525" s="73"/>
      <c r="E525" s="73"/>
      <c r="F525" s="73"/>
      <c r="G525" s="73"/>
      <c r="H525" s="73"/>
      <c r="J525" s="73"/>
    </row>
    <row r="526" spans="1:10" ht="15.75" customHeight="1">
      <c r="A526" s="73"/>
      <c r="B526" s="73"/>
      <c r="C526" s="73"/>
      <c r="D526" s="73"/>
      <c r="E526" s="73"/>
      <c r="F526" s="73"/>
      <c r="G526" s="73"/>
      <c r="H526" s="73"/>
      <c r="J526" s="73"/>
    </row>
    <row r="527" spans="1:10" ht="15.75" customHeight="1">
      <c r="A527" s="73"/>
      <c r="B527" s="73"/>
      <c r="C527" s="73"/>
      <c r="D527" s="73"/>
      <c r="E527" s="73"/>
      <c r="F527" s="73"/>
      <c r="G527" s="73"/>
      <c r="H527" s="73"/>
      <c r="J527" s="73"/>
    </row>
    <row r="528" spans="1:10" ht="15.75" customHeight="1">
      <c r="A528" s="73"/>
      <c r="B528" s="73"/>
      <c r="C528" s="73"/>
      <c r="D528" s="73"/>
      <c r="E528" s="73"/>
      <c r="F528" s="73"/>
      <c r="G528" s="73"/>
      <c r="H528" s="73"/>
      <c r="J528" s="73"/>
    </row>
    <row r="529" spans="1:10" ht="15.75" customHeight="1">
      <c r="A529" s="73"/>
      <c r="B529" s="73"/>
      <c r="C529" s="73"/>
      <c r="D529" s="73"/>
      <c r="E529" s="73"/>
      <c r="F529" s="73"/>
      <c r="G529" s="73"/>
      <c r="H529" s="73"/>
      <c r="J529" s="73"/>
    </row>
    <row r="530" spans="1:10" ht="15.75" customHeight="1">
      <c r="A530" s="73"/>
      <c r="B530" s="73"/>
      <c r="C530" s="73"/>
      <c r="D530" s="73"/>
      <c r="E530" s="73"/>
      <c r="F530" s="73"/>
      <c r="G530" s="73"/>
      <c r="H530" s="73"/>
      <c r="J530" s="73"/>
    </row>
    <row r="531" spans="1:10" ht="15.75" customHeight="1">
      <c r="A531" s="73"/>
      <c r="B531" s="73"/>
      <c r="C531" s="73"/>
      <c r="D531" s="73"/>
      <c r="E531" s="73"/>
      <c r="F531" s="73"/>
      <c r="G531" s="73"/>
      <c r="H531" s="73"/>
      <c r="J531" s="73"/>
    </row>
    <row r="532" spans="1:10" ht="15.75" customHeight="1">
      <c r="A532" s="73"/>
      <c r="B532" s="73"/>
      <c r="C532" s="73"/>
      <c r="D532" s="73"/>
      <c r="E532" s="73"/>
      <c r="F532" s="73"/>
      <c r="G532" s="73"/>
      <c r="H532" s="73"/>
      <c r="J532" s="73"/>
    </row>
    <row r="533" spans="1:10" ht="15.75" customHeight="1">
      <c r="A533" s="73"/>
      <c r="B533" s="73"/>
      <c r="C533" s="73"/>
      <c r="D533" s="73"/>
      <c r="E533" s="73"/>
      <c r="F533" s="73"/>
      <c r="G533" s="73"/>
      <c r="H533" s="73"/>
      <c r="J533" s="73"/>
    </row>
    <row r="534" spans="1:10" ht="15.75" customHeight="1">
      <c r="A534" s="73"/>
      <c r="B534" s="73"/>
      <c r="C534" s="73"/>
      <c r="D534" s="73"/>
      <c r="E534" s="73"/>
      <c r="F534" s="73"/>
      <c r="G534" s="73"/>
      <c r="H534" s="73"/>
      <c r="J534" s="73"/>
    </row>
    <row r="535" spans="1:10" ht="15.75" customHeight="1">
      <c r="A535" s="73"/>
      <c r="B535" s="73"/>
      <c r="C535" s="73"/>
      <c r="D535" s="73"/>
      <c r="E535" s="73"/>
      <c r="F535" s="73"/>
      <c r="G535" s="73"/>
      <c r="H535" s="73"/>
      <c r="J535" s="73"/>
    </row>
    <row r="536" spans="1:10" ht="15.75" customHeight="1">
      <c r="A536" s="73"/>
      <c r="B536" s="73"/>
      <c r="C536" s="73"/>
      <c r="D536" s="73"/>
      <c r="E536" s="73"/>
      <c r="F536" s="73"/>
      <c r="G536" s="73"/>
      <c r="H536" s="73"/>
      <c r="J536" s="73"/>
    </row>
    <row r="537" spans="1:10" ht="15.75" customHeight="1">
      <c r="A537" s="73"/>
      <c r="B537" s="73"/>
      <c r="C537" s="73"/>
      <c r="D537" s="73"/>
      <c r="E537" s="73"/>
      <c r="F537" s="73"/>
      <c r="G537" s="73"/>
      <c r="H537" s="73"/>
      <c r="J537" s="73"/>
    </row>
    <row r="538" spans="1:10" ht="15.75" customHeight="1">
      <c r="A538" s="73"/>
      <c r="B538" s="73"/>
      <c r="C538" s="73"/>
      <c r="D538" s="73"/>
      <c r="E538" s="73"/>
      <c r="F538" s="73"/>
      <c r="G538" s="73"/>
      <c r="H538" s="73"/>
      <c r="J538" s="73"/>
    </row>
    <row r="539" spans="1:10" ht="15.75" customHeight="1">
      <c r="A539" s="73"/>
      <c r="B539" s="73"/>
      <c r="C539" s="73"/>
      <c r="D539" s="73"/>
      <c r="E539" s="73"/>
      <c r="F539" s="73"/>
      <c r="G539" s="73"/>
      <c r="H539" s="73"/>
      <c r="J539" s="73"/>
    </row>
    <row r="540" spans="1:10" ht="15.75" customHeight="1">
      <c r="A540" s="73"/>
      <c r="B540" s="73"/>
      <c r="C540" s="73"/>
      <c r="D540" s="73"/>
      <c r="E540" s="73"/>
      <c r="F540" s="73"/>
      <c r="G540" s="73"/>
      <c r="H540" s="73"/>
      <c r="J540" s="73"/>
    </row>
    <row r="541" spans="1:10" ht="15.75" customHeight="1">
      <c r="A541" s="73"/>
      <c r="B541" s="73"/>
      <c r="C541" s="73"/>
      <c r="D541" s="73"/>
      <c r="E541" s="73"/>
      <c r="F541" s="73"/>
      <c r="G541" s="73"/>
      <c r="H541" s="73"/>
      <c r="J541" s="73"/>
    </row>
    <row r="542" spans="1:10" ht="15.75" customHeight="1">
      <c r="A542" s="73"/>
      <c r="B542" s="73"/>
      <c r="C542" s="73"/>
      <c r="D542" s="73"/>
      <c r="E542" s="73"/>
      <c r="F542" s="73"/>
      <c r="G542" s="73"/>
      <c r="H542" s="73"/>
      <c r="J542" s="73"/>
    </row>
    <row r="543" spans="1:10" ht="15.75" customHeight="1">
      <c r="A543" s="73"/>
      <c r="B543" s="73"/>
      <c r="C543" s="73"/>
      <c r="D543" s="73"/>
      <c r="E543" s="73"/>
      <c r="F543" s="73"/>
      <c r="G543" s="73"/>
      <c r="H543" s="73"/>
      <c r="J543" s="73"/>
    </row>
    <row r="544" spans="1:10" ht="15.75" customHeight="1">
      <c r="A544" s="73"/>
      <c r="B544" s="73"/>
      <c r="C544" s="73"/>
      <c r="D544" s="73"/>
      <c r="E544" s="73"/>
      <c r="F544" s="73"/>
      <c r="G544" s="73"/>
      <c r="H544" s="73"/>
      <c r="J544" s="73"/>
    </row>
    <row r="545" spans="1:10" ht="15.75" customHeight="1">
      <c r="A545" s="73"/>
      <c r="B545" s="73"/>
      <c r="C545" s="73"/>
      <c r="D545" s="73"/>
      <c r="E545" s="73"/>
      <c r="F545" s="73"/>
      <c r="G545" s="73"/>
      <c r="H545" s="73"/>
      <c r="J545" s="73"/>
    </row>
    <row r="546" spans="1:10" ht="15.75" customHeight="1">
      <c r="A546" s="73"/>
      <c r="B546" s="73"/>
      <c r="C546" s="73"/>
      <c r="D546" s="73"/>
      <c r="E546" s="73"/>
      <c r="F546" s="73"/>
      <c r="G546" s="73"/>
      <c r="H546" s="73"/>
      <c r="J546" s="73"/>
    </row>
    <row r="547" spans="1:10" ht="15.75" customHeight="1">
      <c r="A547" s="73"/>
      <c r="B547" s="73"/>
      <c r="C547" s="73"/>
      <c r="D547" s="73"/>
      <c r="E547" s="73"/>
      <c r="F547" s="73"/>
      <c r="G547" s="73"/>
      <c r="H547" s="73"/>
      <c r="J547" s="73"/>
    </row>
    <row r="548" spans="1:10" ht="15.75" customHeight="1">
      <c r="A548" s="73"/>
      <c r="B548" s="73"/>
      <c r="C548" s="73"/>
      <c r="D548" s="73"/>
      <c r="E548" s="73"/>
      <c r="F548" s="73"/>
      <c r="G548" s="73"/>
      <c r="H548" s="73"/>
      <c r="J548" s="73"/>
    </row>
    <row r="549" spans="1:10" ht="15.75" customHeight="1">
      <c r="A549" s="73"/>
      <c r="B549" s="73"/>
      <c r="C549" s="73"/>
      <c r="D549" s="73"/>
      <c r="E549" s="73"/>
      <c r="F549" s="73"/>
      <c r="G549" s="73"/>
      <c r="H549" s="73"/>
      <c r="J549" s="73"/>
    </row>
    <row r="550" spans="1:10" ht="15.75" customHeight="1">
      <c r="A550" s="73"/>
      <c r="B550" s="73"/>
      <c r="C550" s="73"/>
      <c r="D550" s="73"/>
      <c r="E550" s="73"/>
      <c r="F550" s="73"/>
      <c r="G550" s="73"/>
      <c r="H550" s="73"/>
      <c r="J550" s="73"/>
    </row>
    <row r="551" spans="1:10" ht="15.75" customHeight="1">
      <c r="A551" s="73"/>
      <c r="B551" s="73"/>
      <c r="C551" s="73"/>
      <c r="D551" s="73"/>
      <c r="E551" s="73"/>
      <c r="F551" s="73"/>
      <c r="G551" s="73"/>
      <c r="H551" s="73"/>
      <c r="J551" s="73"/>
    </row>
    <row r="552" spans="1:10" ht="15.75" customHeight="1">
      <c r="A552" s="73"/>
      <c r="B552" s="73"/>
      <c r="C552" s="73"/>
      <c r="D552" s="73"/>
      <c r="E552" s="73"/>
      <c r="F552" s="73"/>
      <c r="G552" s="73"/>
      <c r="H552" s="73"/>
      <c r="J552" s="73"/>
    </row>
    <row r="553" spans="1:10" ht="15.75" customHeight="1">
      <c r="A553" s="73"/>
      <c r="B553" s="73"/>
      <c r="C553" s="73"/>
      <c r="D553" s="73"/>
      <c r="E553" s="73"/>
      <c r="F553" s="73"/>
      <c r="G553" s="73"/>
      <c r="H553" s="73"/>
      <c r="J553" s="73"/>
    </row>
    <row r="554" spans="1:10" ht="15.75" customHeight="1">
      <c r="A554" s="73"/>
      <c r="B554" s="73"/>
      <c r="C554" s="73"/>
      <c r="D554" s="73"/>
      <c r="E554" s="73"/>
      <c r="F554" s="73"/>
      <c r="G554" s="73"/>
      <c r="H554" s="73"/>
      <c r="J554" s="73"/>
    </row>
    <row r="555" spans="1:10" ht="15.75" customHeight="1">
      <c r="A555" s="73"/>
      <c r="B555" s="73"/>
      <c r="C555" s="73"/>
      <c r="D555" s="73"/>
      <c r="E555" s="73"/>
      <c r="F555" s="73"/>
      <c r="G555" s="73"/>
      <c r="H555" s="73"/>
      <c r="J555" s="73"/>
    </row>
    <row r="556" spans="1:10" ht="15.75" customHeight="1">
      <c r="A556" s="73"/>
      <c r="B556" s="73"/>
      <c r="C556" s="73"/>
      <c r="D556" s="73"/>
      <c r="E556" s="73"/>
      <c r="F556" s="73"/>
      <c r="G556" s="73"/>
      <c r="H556" s="73"/>
      <c r="J556" s="73"/>
    </row>
    <row r="557" spans="1:10" ht="15.75" customHeight="1">
      <c r="A557" s="73"/>
      <c r="B557" s="73"/>
      <c r="C557" s="73"/>
      <c r="D557" s="73"/>
      <c r="E557" s="73"/>
      <c r="F557" s="73"/>
      <c r="G557" s="73"/>
      <c r="H557" s="73"/>
      <c r="J557" s="73"/>
    </row>
    <row r="558" spans="1:10" ht="15.75" customHeight="1">
      <c r="A558" s="73"/>
      <c r="B558" s="73"/>
      <c r="C558" s="73"/>
      <c r="D558" s="73"/>
      <c r="E558" s="73"/>
      <c r="F558" s="73"/>
      <c r="G558" s="73"/>
      <c r="H558" s="73"/>
      <c r="J558" s="73"/>
    </row>
    <row r="559" spans="1:10" ht="15.75" customHeight="1">
      <c r="A559" s="73"/>
      <c r="B559" s="73"/>
      <c r="C559" s="73"/>
      <c r="D559" s="73"/>
      <c r="E559" s="73"/>
      <c r="F559" s="73"/>
      <c r="G559" s="73"/>
      <c r="H559" s="73"/>
      <c r="J559" s="73"/>
    </row>
    <row r="560" spans="1:10" ht="15.75" customHeight="1">
      <c r="A560" s="73"/>
      <c r="B560" s="73"/>
      <c r="C560" s="73"/>
      <c r="D560" s="73"/>
      <c r="E560" s="73"/>
      <c r="F560" s="73"/>
      <c r="G560" s="73"/>
      <c r="H560" s="73"/>
      <c r="J560" s="73"/>
    </row>
    <row r="561" spans="1:10" ht="15.75" customHeight="1">
      <c r="A561" s="73"/>
      <c r="B561" s="73"/>
      <c r="C561" s="73"/>
      <c r="D561" s="73"/>
      <c r="E561" s="73"/>
      <c r="F561" s="73"/>
      <c r="G561" s="73"/>
      <c r="H561" s="73"/>
      <c r="J561" s="73"/>
    </row>
    <row r="562" spans="1:10" ht="15.75" customHeight="1">
      <c r="A562" s="73"/>
      <c r="B562" s="73"/>
      <c r="C562" s="73"/>
      <c r="D562" s="73"/>
      <c r="E562" s="73"/>
      <c r="F562" s="73"/>
      <c r="G562" s="73"/>
      <c r="H562" s="73"/>
      <c r="J562" s="73"/>
    </row>
    <row r="563" spans="1:10" ht="15.75" customHeight="1">
      <c r="A563" s="73"/>
      <c r="B563" s="73"/>
      <c r="C563" s="73"/>
      <c r="D563" s="73"/>
      <c r="E563" s="73"/>
      <c r="F563" s="73"/>
      <c r="G563" s="73"/>
      <c r="H563" s="73"/>
      <c r="J563" s="73"/>
    </row>
    <row r="564" spans="1:10" ht="15.75" customHeight="1">
      <c r="A564" s="73"/>
      <c r="B564" s="73"/>
      <c r="C564" s="73"/>
      <c r="D564" s="73"/>
      <c r="E564" s="73"/>
      <c r="F564" s="73"/>
      <c r="G564" s="73"/>
      <c r="H564" s="73"/>
      <c r="J564" s="73"/>
    </row>
    <row r="565" spans="1:10" ht="15.75" customHeight="1">
      <c r="A565" s="73"/>
      <c r="B565" s="73"/>
      <c r="C565" s="73"/>
      <c r="D565" s="73"/>
      <c r="E565" s="73"/>
      <c r="F565" s="73"/>
      <c r="G565" s="73"/>
      <c r="H565" s="73"/>
      <c r="J565" s="73"/>
    </row>
    <row r="566" spans="1:10" ht="15.75" customHeight="1">
      <c r="A566" s="73"/>
      <c r="B566" s="73"/>
      <c r="C566" s="73"/>
      <c r="D566" s="73"/>
      <c r="E566" s="73"/>
      <c r="F566" s="73"/>
      <c r="G566" s="73"/>
      <c r="H566" s="73"/>
      <c r="J566" s="73"/>
    </row>
    <row r="567" spans="1:10" ht="15.75" customHeight="1">
      <c r="A567" s="73"/>
      <c r="B567" s="73"/>
      <c r="C567" s="73"/>
      <c r="D567" s="73"/>
      <c r="E567" s="73"/>
      <c r="F567" s="73"/>
      <c r="G567" s="73"/>
      <c r="H567" s="73"/>
      <c r="J567" s="73"/>
    </row>
    <row r="568" spans="1:10" ht="15.75" customHeight="1">
      <c r="A568" s="73"/>
      <c r="B568" s="73"/>
      <c r="C568" s="73"/>
      <c r="D568" s="73"/>
      <c r="E568" s="73"/>
      <c r="F568" s="73"/>
      <c r="G568" s="73"/>
      <c r="H568" s="73"/>
      <c r="J568" s="73"/>
    </row>
    <row r="569" spans="1:10" ht="15.75" customHeight="1">
      <c r="A569" s="73"/>
      <c r="B569" s="73"/>
      <c r="C569" s="73"/>
      <c r="D569" s="73"/>
      <c r="E569" s="73"/>
      <c r="F569" s="73"/>
      <c r="G569" s="73"/>
      <c r="H569" s="73"/>
      <c r="J569" s="73"/>
    </row>
    <row r="570" spans="1:10" ht="15.75" customHeight="1">
      <c r="A570" s="73"/>
      <c r="B570" s="73"/>
      <c r="C570" s="73"/>
      <c r="D570" s="73"/>
      <c r="E570" s="73"/>
      <c r="F570" s="73"/>
      <c r="G570" s="73"/>
      <c r="H570" s="73"/>
      <c r="J570" s="73"/>
    </row>
    <row r="571" spans="1:10" ht="15.75" customHeight="1">
      <c r="A571" s="73"/>
      <c r="B571" s="73"/>
      <c r="C571" s="73"/>
      <c r="D571" s="73"/>
      <c r="E571" s="73"/>
      <c r="F571" s="73"/>
      <c r="G571" s="73"/>
      <c r="H571" s="73"/>
      <c r="J571" s="73"/>
    </row>
    <row r="572" spans="1:10" ht="15.75" customHeight="1">
      <c r="A572" s="73"/>
      <c r="B572" s="73"/>
      <c r="C572" s="73"/>
      <c r="D572" s="73"/>
      <c r="E572" s="73"/>
      <c r="F572" s="73"/>
      <c r="G572" s="73"/>
      <c r="H572" s="73"/>
      <c r="J572" s="73"/>
    </row>
    <row r="573" spans="1:10" ht="15.75" customHeight="1">
      <c r="A573" s="73"/>
      <c r="B573" s="73"/>
      <c r="C573" s="73"/>
      <c r="D573" s="73"/>
      <c r="E573" s="73"/>
      <c r="F573" s="73"/>
      <c r="G573" s="73"/>
      <c r="H573" s="73"/>
      <c r="J573" s="73"/>
    </row>
    <row r="574" spans="1:10" ht="15.75" customHeight="1">
      <c r="A574" s="73"/>
      <c r="B574" s="73"/>
      <c r="C574" s="73"/>
      <c r="D574" s="73"/>
      <c r="E574" s="73"/>
      <c r="F574" s="73"/>
      <c r="G574" s="73"/>
      <c r="H574" s="73"/>
      <c r="J574" s="73"/>
    </row>
    <row r="575" spans="1:10" ht="15.75" customHeight="1">
      <c r="A575" s="73"/>
      <c r="B575" s="73"/>
      <c r="C575" s="73"/>
      <c r="D575" s="73"/>
      <c r="E575" s="73"/>
      <c r="F575" s="73"/>
      <c r="G575" s="73"/>
      <c r="H575" s="73"/>
      <c r="J575" s="73"/>
    </row>
    <row r="576" spans="1:10" ht="15.75" customHeight="1">
      <c r="A576" s="73"/>
      <c r="B576" s="73"/>
      <c r="C576" s="73"/>
      <c r="D576" s="73"/>
      <c r="E576" s="73"/>
      <c r="F576" s="73"/>
      <c r="G576" s="73"/>
      <c r="H576" s="73"/>
      <c r="J576" s="73"/>
    </row>
    <row r="577" spans="1:10" ht="15.75" customHeight="1">
      <c r="A577" s="73"/>
      <c r="B577" s="73"/>
      <c r="C577" s="73"/>
      <c r="D577" s="73"/>
      <c r="E577" s="73"/>
      <c r="F577" s="73"/>
      <c r="G577" s="73"/>
      <c r="H577" s="73"/>
      <c r="J577" s="73"/>
    </row>
    <row r="578" spans="1:10" ht="15.75" customHeight="1">
      <c r="A578" s="73"/>
      <c r="B578" s="73"/>
      <c r="C578" s="73"/>
      <c r="D578" s="73"/>
      <c r="E578" s="73"/>
      <c r="F578" s="73"/>
      <c r="G578" s="73"/>
      <c r="H578" s="73"/>
      <c r="J578" s="73"/>
    </row>
    <row r="579" spans="1:10" ht="15.75" customHeight="1">
      <c r="A579" s="73"/>
      <c r="B579" s="73"/>
      <c r="C579" s="73"/>
      <c r="D579" s="73"/>
      <c r="E579" s="73"/>
      <c r="F579" s="73"/>
      <c r="G579" s="73"/>
      <c r="H579" s="73"/>
      <c r="J579" s="73"/>
    </row>
    <row r="580" spans="1:10" ht="15.75" customHeight="1">
      <c r="A580" s="73"/>
      <c r="B580" s="73"/>
      <c r="C580" s="73"/>
      <c r="D580" s="73"/>
      <c r="E580" s="73"/>
      <c r="F580" s="73"/>
      <c r="G580" s="73"/>
      <c r="H580" s="73"/>
      <c r="J580" s="73"/>
    </row>
    <row r="581" spans="1:10" ht="15.75" customHeight="1">
      <c r="A581" s="73"/>
      <c r="B581" s="73"/>
      <c r="C581" s="73"/>
      <c r="D581" s="73"/>
      <c r="E581" s="73"/>
      <c r="F581" s="73"/>
      <c r="G581" s="73"/>
      <c r="H581" s="73"/>
      <c r="J581" s="73"/>
    </row>
    <row r="582" spans="1:10" ht="15.75" customHeight="1">
      <c r="A582" s="73"/>
      <c r="B582" s="73"/>
      <c r="C582" s="73"/>
      <c r="D582" s="73"/>
      <c r="E582" s="73"/>
      <c r="F582" s="73"/>
      <c r="G582" s="73"/>
      <c r="H582" s="73"/>
      <c r="J582" s="73"/>
    </row>
    <row r="583" spans="1:10" ht="15.75" customHeight="1">
      <c r="A583" s="73"/>
      <c r="B583" s="73"/>
      <c r="C583" s="73"/>
      <c r="D583" s="73"/>
      <c r="E583" s="73"/>
      <c r="F583" s="73"/>
      <c r="G583" s="73"/>
      <c r="H583" s="73"/>
      <c r="J583" s="73"/>
    </row>
    <row r="584" spans="1:10" ht="15.75" customHeight="1">
      <c r="A584" s="73"/>
      <c r="B584" s="73"/>
      <c r="C584" s="73"/>
      <c r="D584" s="73"/>
      <c r="E584" s="73"/>
      <c r="F584" s="73"/>
      <c r="G584" s="73"/>
      <c r="H584" s="73"/>
      <c r="J584" s="73"/>
    </row>
    <row r="585" spans="1:10" ht="15.75" customHeight="1">
      <c r="A585" s="73"/>
      <c r="B585" s="73"/>
      <c r="C585" s="73"/>
      <c r="D585" s="73"/>
      <c r="E585" s="73"/>
      <c r="F585" s="73"/>
      <c r="G585" s="73"/>
      <c r="H585" s="73"/>
      <c r="J585" s="73"/>
    </row>
    <row r="586" spans="1:10" ht="15.75" customHeight="1">
      <c r="A586" s="73"/>
      <c r="B586" s="73"/>
      <c r="C586" s="73"/>
      <c r="D586" s="73"/>
      <c r="E586" s="73"/>
      <c r="F586" s="73"/>
      <c r="G586" s="73"/>
      <c r="H586" s="73"/>
      <c r="J586" s="73"/>
    </row>
    <row r="587" spans="1:10" ht="15.75" customHeight="1">
      <c r="A587" s="73"/>
      <c r="B587" s="73"/>
      <c r="C587" s="73"/>
      <c r="D587" s="73"/>
      <c r="E587" s="73"/>
      <c r="F587" s="73"/>
      <c r="G587" s="73"/>
      <c r="H587" s="73"/>
      <c r="J587" s="73"/>
    </row>
    <row r="588" spans="1:10" ht="15.75" customHeight="1">
      <c r="A588" s="73"/>
      <c r="B588" s="73"/>
      <c r="C588" s="73"/>
      <c r="D588" s="73"/>
      <c r="E588" s="73"/>
      <c r="F588" s="73"/>
      <c r="G588" s="73"/>
      <c r="H588" s="73"/>
      <c r="J588" s="73"/>
    </row>
    <row r="589" spans="1:10" ht="15.75" customHeight="1">
      <c r="A589" s="73"/>
      <c r="B589" s="73"/>
      <c r="C589" s="73"/>
      <c r="D589" s="73"/>
      <c r="E589" s="73"/>
      <c r="F589" s="73"/>
      <c r="G589" s="73"/>
      <c r="H589" s="73"/>
      <c r="J589" s="73"/>
    </row>
    <row r="590" spans="1:10" ht="15.75" customHeight="1">
      <c r="A590" s="73"/>
      <c r="B590" s="73"/>
      <c r="C590" s="73"/>
      <c r="D590" s="73"/>
      <c r="E590" s="73"/>
      <c r="F590" s="73"/>
      <c r="G590" s="73"/>
      <c r="H590" s="73"/>
      <c r="J590" s="73"/>
    </row>
    <row r="591" spans="1:10" ht="15.75" customHeight="1">
      <c r="A591" s="73"/>
      <c r="B591" s="73"/>
      <c r="C591" s="73"/>
      <c r="D591" s="73"/>
      <c r="E591" s="73"/>
      <c r="F591" s="73"/>
      <c r="G591" s="73"/>
      <c r="H591" s="73"/>
      <c r="J591" s="73"/>
    </row>
    <row r="592" spans="1:10" ht="15.75" customHeight="1">
      <c r="A592" s="73"/>
      <c r="B592" s="73"/>
      <c r="C592" s="73"/>
      <c r="D592" s="73"/>
      <c r="E592" s="73"/>
      <c r="F592" s="73"/>
      <c r="G592" s="73"/>
      <c r="H592" s="73"/>
      <c r="J592" s="73"/>
    </row>
    <row r="593" spans="1:10" ht="15.75" customHeight="1">
      <c r="A593" s="73"/>
      <c r="B593" s="73"/>
      <c r="C593" s="73"/>
      <c r="D593" s="73"/>
      <c r="E593" s="73"/>
      <c r="F593" s="73"/>
      <c r="G593" s="73"/>
      <c r="H593" s="73"/>
      <c r="J593" s="73"/>
    </row>
    <row r="594" spans="1:10" ht="15.75" customHeight="1">
      <c r="A594" s="73"/>
      <c r="B594" s="73"/>
      <c r="C594" s="73"/>
      <c r="D594" s="73"/>
      <c r="E594" s="73"/>
      <c r="F594" s="73"/>
      <c r="G594" s="73"/>
      <c r="H594" s="73"/>
      <c r="J594" s="73"/>
    </row>
    <row r="595" spans="1:10" ht="15.75" customHeight="1">
      <c r="A595" s="73"/>
      <c r="B595" s="73"/>
      <c r="C595" s="73"/>
      <c r="D595" s="73"/>
      <c r="E595" s="73"/>
      <c r="F595" s="73"/>
      <c r="G595" s="73"/>
      <c r="H595" s="73"/>
      <c r="J595" s="73"/>
    </row>
    <row r="596" spans="1:10" ht="15.75" customHeight="1">
      <c r="A596" s="73"/>
      <c r="B596" s="73"/>
      <c r="C596" s="73"/>
      <c r="D596" s="73"/>
      <c r="E596" s="73"/>
      <c r="F596" s="73"/>
      <c r="G596" s="73"/>
      <c r="H596" s="73"/>
      <c r="J596" s="73"/>
    </row>
    <row r="597" spans="1:10" ht="15.75" customHeight="1">
      <c r="A597" s="73"/>
      <c r="B597" s="73"/>
      <c r="C597" s="73"/>
      <c r="D597" s="73"/>
      <c r="E597" s="73"/>
      <c r="F597" s="73"/>
      <c r="G597" s="73"/>
      <c r="H597" s="73"/>
      <c r="J597" s="73"/>
    </row>
    <row r="598" spans="1:10" ht="15.75" customHeight="1">
      <c r="A598" s="73"/>
      <c r="B598" s="73"/>
      <c r="C598" s="73"/>
      <c r="D598" s="73"/>
      <c r="E598" s="73"/>
      <c r="F598" s="73"/>
      <c r="G598" s="73"/>
      <c r="H598" s="73"/>
      <c r="J598" s="73"/>
    </row>
    <row r="599" spans="1:10" ht="15.75" customHeight="1">
      <c r="A599" s="73"/>
      <c r="B599" s="73"/>
      <c r="C599" s="73"/>
      <c r="D599" s="73"/>
      <c r="E599" s="73"/>
      <c r="F599" s="73"/>
      <c r="G599" s="73"/>
      <c r="H599" s="73"/>
      <c r="J599" s="73"/>
    </row>
    <row r="600" spans="1:10" ht="15.75" customHeight="1">
      <c r="A600" s="73"/>
      <c r="B600" s="73"/>
      <c r="C600" s="73"/>
      <c r="D600" s="73"/>
      <c r="E600" s="73"/>
      <c r="F600" s="73"/>
      <c r="G600" s="73"/>
      <c r="H600" s="73"/>
      <c r="J600" s="73"/>
    </row>
    <row r="601" spans="1:10" ht="15.75" customHeight="1">
      <c r="A601" s="73"/>
      <c r="B601" s="73"/>
      <c r="C601" s="73"/>
      <c r="D601" s="73"/>
      <c r="E601" s="73"/>
      <c r="F601" s="73"/>
      <c r="G601" s="73"/>
      <c r="H601" s="73"/>
      <c r="J601" s="73"/>
    </row>
    <row r="602" spans="1:10" ht="15.75" customHeight="1">
      <c r="A602" s="73"/>
      <c r="B602" s="73"/>
      <c r="C602" s="73"/>
      <c r="D602" s="73"/>
      <c r="E602" s="73"/>
      <c r="F602" s="73"/>
      <c r="G602" s="73"/>
      <c r="H602" s="73"/>
      <c r="J602" s="73"/>
    </row>
    <row r="603" spans="1:10" ht="15.75" customHeight="1">
      <c r="A603" s="73"/>
      <c r="B603" s="73"/>
      <c r="C603" s="73"/>
      <c r="D603" s="73"/>
      <c r="E603" s="73"/>
      <c r="F603" s="73"/>
      <c r="G603" s="73"/>
      <c r="H603" s="73"/>
      <c r="J603" s="73"/>
    </row>
    <row r="604" spans="1:10" ht="15.75" customHeight="1">
      <c r="A604" s="73"/>
      <c r="B604" s="73"/>
      <c r="C604" s="73"/>
      <c r="D604" s="73"/>
      <c r="E604" s="73"/>
      <c r="F604" s="73"/>
      <c r="G604" s="73"/>
      <c r="H604" s="73"/>
      <c r="J604" s="73"/>
    </row>
    <row r="605" spans="1:10" ht="15.75" customHeight="1">
      <c r="A605" s="73"/>
      <c r="B605" s="73"/>
      <c r="C605" s="73"/>
      <c r="D605" s="73"/>
      <c r="E605" s="73"/>
      <c r="F605" s="73"/>
      <c r="G605" s="73"/>
      <c r="H605" s="73"/>
      <c r="J605" s="73"/>
    </row>
    <row r="606" spans="1:10" ht="15.75" customHeight="1">
      <c r="A606" s="73"/>
      <c r="B606" s="73"/>
      <c r="C606" s="73"/>
      <c r="D606" s="73"/>
      <c r="E606" s="73"/>
      <c r="F606" s="73"/>
      <c r="G606" s="73"/>
      <c r="H606" s="73"/>
      <c r="J606" s="73"/>
    </row>
    <row r="607" spans="1:10" ht="15.75" customHeight="1">
      <c r="A607" s="73"/>
      <c r="B607" s="73"/>
      <c r="C607" s="73"/>
      <c r="D607" s="73"/>
      <c r="E607" s="73"/>
      <c r="F607" s="73"/>
      <c r="G607" s="73"/>
      <c r="H607" s="73"/>
      <c r="J607" s="73"/>
    </row>
    <row r="608" spans="1:10" ht="15.75" customHeight="1">
      <c r="A608" s="73"/>
      <c r="B608" s="73"/>
      <c r="C608" s="73"/>
      <c r="D608" s="73"/>
      <c r="E608" s="73"/>
      <c r="F608" s="73"/>
      <c r="G608" s="73"/>
      <c r="H608" s="73"/>
      <c r="J608" s="73"/>
    </row>
    <row r="609" spans="1:10" ht="15.75" customHeight="1">
      <c r="A609" s="73"/>
      <c r="B609" s="73"/>
      <c r="C609" s="73"/>
      <c r="D609" s="73"/>
      <c r="E609" s="73"/>
      <c r="F609" s="73"/>
      <c r="G609" s="73"/>
      <c r="H609" s="73"/>
      <c r="J609" s="73"/>
    </row>
    <row r="610" spans="1:10" ht="15.75" customHeight="1">
      <c r="A610" s="73"/>
      <c r="B610" s="73"/>
      <c r="C610" s="73"/>
      <c r="D610" s="73"/>
      <c r="E610" s="73"/>
      <c r="F610" s="73"/>
      <c r="G610" s="73"/>
      <c r="H610" s="73"/>
      <c r="J610" s="73"/>
    </row>
    <row r="611" spans="1:10" ht="15.75" customHeight="1">
      <c r="A611" s="73"/>
      <c r="B611" s="73"/>
      <c r="C611" s="73"/>
      <c r="D611" s="73"/>
      <c r="E611" s="73"/>
      <c r="F611" s="73"/>
      <c r="G611" s="73"/>
      <c r="H611" s="73"/>
      <c r="J611" s="73"/>
    </row>
    <row r="612" spans="1:10" ht="15.75" customHeight="1">
      <c r="A612" s="73"/>
      <c r="B612" s="73"/>
      <c r="C612" s="73"/>
      <c r="D612" s="73"/>
      <c r="E612" s="73"/>
      <c r="F612" s="73"/>
      <c r="G612" s="73"/>
      <c r="H612" s="73"/>
      <c r="J612" s="73"/>
    </row>
    <row r="613" spans="1:10" ht="15.75" customHeight="1">
      <c r="A613" s="73"/>
      <c r="B613" s="73"/>
      <c r="C613" s="73"/>
      <c r="D613" s="73"/>
      <c r="E613" s="73"/>
      <c r="F613" s="73"/>
      <c r="G613" s="73"/>
      <c r="H613" s="73"/>
      <c r="J613" s="73"/>
    </row>
    <row r="614" spans="1:10" ht="15.75" customHeight="1">
      <c r="A614" s="73"/>
      <c r="B614" s="73"/>
      <c r="C614" s="73"/>
      <c r="D614" s="73"/>
      <c r="E614" s="73"/>
      <c r="F614" s="73"/>
      <c r="G614" s="73"/>
      <c r="H614" s="73"/>
      <c r="J614" s="73"/>
    </row>
    <row r="615" spans="1:10" ht="15.75" customHeight="1">
      <c r="A615" s="73"/>
      <c r="B615" s="73"/>
      <c r="C615" s="73"/>
      <c r="D615" s="73"/>
      <c r="E615" s="73"/>
      <c r="F615" s="73"/>
      <c r="G615" s="73"/>
      <c r="H615" s="73"/>
      <c r="J615" s="73"/>
    </row>
    <row r="616" spans="1:10" ht="15.75" customHeight="1">
      <c r="A616" s="73"/>
      <c r="B616" s="73"/>
      <c r="C616" s="73"/>
      <c r="D616" s="73"/>
      <c r="E616" s="73"/>
      <c r="F616" s="73"/>
      <c r="G616" s="73"/>
      <c r="H616" s="73"/>
      <c r="J616" s="73"/>
    </row>
    <row r="617" spans="1:10" ht="15.75" customHeight="1">
      <c r="A617" s="73"/>
      <c r="B617" s="73"/>
      <c r="C617" s="73"/>
      <c r="D617" s="73"/>
      <c r="E617" s="73"/>
      <c r="F617" s="73"/>
      <c r="G617" s="73"/>
      <c r="H617" s="73"/>
      <c r="J617" s="73"/>
    </row>
    <row r="618" spans="1:10" ht="15.75" customHeight="1">
      <c r="A618" s="73"/>
      <c r="B618" s="73"/>
      <c r="C618" s="73"/>
      <c r="D618" s="73"/>
      <c r="E618" s="73"/>
      <c r="F618" s="73"/>
      <c r="G618" s="73"/>
      <c r="H618" s="73"/>
      <c r="J618" s="73"/>
    </row>
    <row r="619" spans="1:10" ht="15.75" customHeight="1">
      <c r="A619" s="73"/>
      <c r="B619" s="73"/>
      <c r="C619" s="73"/>
      <c r="D619" s="73"/>
      <c r="E619" s="73"/>
      <c r="F619" s="73"/>
      <c r="G619" s="73"/>
      <c r="H619" s="73"/>
      <c r="J619" s="73"/>
    </row>
    <row r="620" spans="1:10" ht="15.75" customHeight="1">
      <c r="A620" s="73"/>
      <c r="B620" s="73"/>
      <c r="C620" s="73"/>
      <c r="D620" s="73"/>
      <c r="E620" s="73"/>
      <c r="F620" s="73"/>
      <c r="G620" s="73"/>
      <c r="H620" s="73"/>
      <c r="J620" s="73"/>
    </row>
    <row r="621" spans="1:10" ht="15.75" customHeight="1">
      <c r="A621" s="73"/>
      <c r="B621" s="73"/>
      <c r="C621" s="73"/>
      <c r="D621" s="73"/>
      <c r="E621" s="73"/>
      <c r="F621" s="73"/>
      <c r="G621" s="73"/>
      <c r="H621" s="73"/>
      <c r="J621" s="73"/>
    </row>
    <row r="622" spans="1:10" ht="15.75" customHeight="1">
      <c r="A622" s="73"/>
      <c r="B622" s="73"/>
      <c r="C622" s="73"/>
      <c r="D622" s="73"/>
      <c r="E622" s="73"/>
      <c r="F622" s="73"/>
      <c r="G622" s="73"/>
      <c r="H622" s="73"/>
      <c r="J622" s="73"/>
    </row>
    <row r="623" spans="1:10" ht="15.75" customHeight="1">
      <c r="A623" s="73"/>
      <c r="B623" s="73"/>
      <c r="C623" s="73"/>
      <c r="D623" s="73"/>
      <c r="E623" s="73"/>
      <c r="F623" s="73"/>
      <c r="G623" s="73"/>
      <c r="H623" s="73"/>
      <c r="J623" s="73"/>
    </row>
    <row r="624" spans="1:10" ht="15.75" customHeight="1">
      <c r="A624" s="73"/>
      <c r="B624" s="73"/>
      <c r="C624" s="73"/>
      <c r="D624" s="73"/>
      <c r="E624" s="73"/>
      <c r="F624" s="73"/>
      <c r="G624" s="73"/>
      <c r="H624" s="73"/>
      <c r="J624" s="73"/>
    </row>
    <row r="625" spans="1:10" ht="15.75" customHeight="1">
      <c r="A625" s="73"/>
      <c r="B625" s="73"/>
      <c r="C625" s="73"/>
      <c r="D625" s="73"/>
      <c r="E625" s="73"/>
      <c r="F625" s="73"/>
      <c r="G625" s="73"/>
      <c r="H625" s="73"/>
      <c r="J625" s="73"/>
    </row>
    <row r="626" spans="1:10" ht="15.75" customHeight="1">
      <c r="A626" s="73"/>
      <c r="B626" s="73"/>
      <c r="C626" s="73"/>
      <c r="D626" s="73"/>
      <c r="E626" s="73"/>
      <c r="F626" s="73"/>
      <c r="G626" s="73"/>
      <c r="H626" s="73"/>
      <c r="J626" s="73"/>
    </row>
    <row r="627" spans="1:10" ht="15.75" customHeight="1">
      <c r="A627" s="73"/>
      <c r="B627" s="73"/>
      <c r="C627" s="73"/>
      <c r="D627" s="73"/>
      <c r="E627" s="73"/>
      <c r="F627" s="73"/>
      <c r="G627" s="73"/>
      <c r="H627" s="73"/>
      <c r="J627" s="73"/>
    </row>
    <row r="628" spans="1:10" ht="15.75" customHeight="1">
      <c r="A628" s="73"/>
      <c r="B628" s="73"/>
      <c r="C628" s="73"/>
      <c r="D628" s="73"/>
      <c r="E628" s="73"/>
      <c r="F628" s="73"/>
      <c r="G628" s="73"/>
      <c r="H628" s="73"/>
      <c r="J628" s="73"/>
    </row>
    <row r="629" spans="1:10" ht="15.75" customHeight="1">
      <c r="A629" s="73"/>
      <c r="B629" s="73"/>
      <c r="C629" s="73"/>
      <c r="D629" s="73"/>
      <c r="E629" s="73"/>
      <c r="F629" s="73"/>
      <c r="G629" s="73"/>
      <c r="H629" s="73"/>
      <c r="J629" s="73"/>
    </row>
    <row r="630" spans="1:10" ht="15.75" customHeight="1">
      <c r="A630" s="73"/>
      <c r="B630" s="73"/>
      <c r="C630" s="73"/>
      <c r="D630" s="73"/>
      <c r="E630" s="73"/>
      <c r="F630" s="73"/>
      <c r="G630" s="73"/>
      <c r="H630" s="73"/>
      <c r="J630" s="73"/>
    </row>
    <row r="631" spans="1:10" ht="15.75" customHeight="1">
      <c r="A631" s="73"/>
      <c r="B631" s="73"/>
      <c r="C631" s="73"/>
      <c r="D631" s="73"/>
      <c r="E631" s="73"/>
      <c r="F631" s="73"/>
      <c r="G631" s="73"/>
      <c r="H631" s="73"/>
      <c r="J631" s="73"/>
    </row>
    <row r="632" spans="1:10" ht="15.75" customHeight="1">
      <c r="A632" s="73"/>
      <c r="B632" s="73"/>
      <c r="C632" s="73"/>
      <c r="D632" s="73"/>
      <c r="E632" s="73"/>
      <c r="F632" s="73"/>
      <c r="G632" s="73"/>
      <c r="H632" s="73"/>
      <c r="J632" s="73"/>
    </row>
    <row r="633" spans="1:10" ht="15.75" customHeight="1">
      <c r="A633" s="73"/>
      <c r="B633" s="73"/>
      <c r="C633" s="73"/>
      <c r="D633" s="73"/>
      <c r="E633" s="73"/>
      <c r="F633" s="73"/>
      <c r="G633" s="73"/>
      <c r="H633" s="73"/>
      <c r="J633" s="73"/>
    </row>
    <row r="634" spans="1:10" ht="15.75" customHeight="1">
      <c r="A634" s="73"/>
      <c r="B634" s="73"/>
      <c r="C634" s="73"/>
      <c r="D634" s="73"/>
      <c r="E634" s="73"/>
      <c r="F634" s="73"/>
      <c r="G634" s="73"/>
      <c r="H634" s="73"/>
      <c r="J634" s="73"/>
    </row>
    <row r="635" spans="1:10" ht="15.75" customHeight="1">
      <c r="A635" s="73"/>
      <c r="B635" s="73"/>
      <c r="C635" s="73"/>
      <c r="D635" s="73"/>
      <c r="E635" s="73"/>
      <c r="F635" s="73"/>
      <c r="G635" s="73"/>
      <c r="H635" s="73"/>
      <c r="J635" s="73"/>
    </row>
    <row r="636" spans="1:10" ht="15.75" customHeight="1">
      <c r="A636" s="73"/>
      <c r="B636" s="73"/>
      <c r="C636" s="73"/>
      <c r="D636" s="73"/>
      <c r="E636" s="73"/>
      <c r="F636" s="73"/>
      <c r="G636" s="73"/>
      <c r="H636" s="73"/>
      <c r="J636" s="73"/>
    </row>
    <row r="637" spans="1:10" ht="15.75" customHeight="1">
      <c r="A637" s="73"/>
      <c r="B637" s="73"/>
      <c r="C637" s="73"/>
      <c r="D637" s="73"/>
      <c r="E637" s="73"/>
      <c r="F637" s="73"/>
      <c r="G637" s="73"/>
      <c r="H637" s="73"/>
      <c r="J637" s="73"/>
    </row>
    <row r="638" spans="1:10" ht="15.75" customHeight="1">
      <c r="A638" s="73"/>
      <c r="B638" s="73"/>
      <c r="C638" s="73"/>
      <c r="D638" s="73"/>
      <c r="E638" s="73"/>
      <c r="F638" s="73"/>
      <c r="G638" s="73"/>
      <c r="H638" s="73"/>
      <c r="J638" s="73"/>
    </row>
    <row r="639" spans="1:10" ht="15.75" customHeight="1">
      <c r="A639" s="73"/>
      <c r="B639" s="73"/>
      <c r="C639" s="73"/>
      <c r="D639" s="73"/>
      <c r="E639" s="73"/>
      <c r="F639" s="73"/>
      <c r="G639" s="73"/>
      <c r="H639" s="73"/>
      <c r="J639" s="73"/>
    </row>
    <row r="640" spans="1:10" ht="15.75" customHeight="1">
      <c r="A640" s="73"/>
      <c r="B640" s="73"/>
      <c r="C640" s="73"/>
      <c r="D640" s="73"/>
      <c r="E640" s="73"/>
      <c r="F640" s="73"/>
      <c r="G640" s="73"/>
      <c r="H640" s="73"/>
      <c r="J640" s="73"/>
    </row>
    <row r="641" spans="1:10" ht="15.75" customHeight="1">
      <c r="A641" s="73"/>
      <c r="B641" s="73"/>
      <c r="C641" s="73"/>
      <c r="D641" s="73"/>
      <c r="E641" s="73"/>
      <c r="F641" s="73"/>
      <c r="G641" s="73"/>
      <c r="H641" s="73"/>
      <c r="J641" s="73"/>
    </row>
    <row r="642" spans="1:10" ht="15.75" customHeight="1">
      <c r="A642" s="73"/>
      <c r="B642" s="73"/>
      <c r="C642" s="73"/>
      <c r="D642" s="73"/>
      <c r="E642" s="73"/>
      <c r="F642" s="73"/>
      <c r="G642" s="73"/>
      <c r="H642" s="73"/>
      <c r="J642" s="73"/>
    </row>
    <row r="643" spans="1:10" ht="15.75" customHeight="1">
      <c r="A643" s="73"/>
      <c r="B643" s="73"/>
      <c r="C643" s="73"/>
      <c r="D643" s="73"/>
      <c r="E643" s="73"/>
      <c r="F643" s="73"/>
      <c r="G643" s="73"/>
      <c r="H643" s="73"/>
      <c r="J643" s="73"/>
    </row>
    <row r="644" spans="1:10" ht="15.75" customHeight="1">
      <c r="A644" s="73"/>
      <c r="B644" s="73"/>
      <c r="C644" s="73"/>
      <c r="D644" s="73"/>
      <c r="E644" s="73"/>
      <c r="F644" s="73"/>
      <c r="G644" s="73"/>
      <c r="H644" s="73"/>
      <c r="J644" s="73"/>
    </row>
    <row r="645" spans="1:10" ht="15.75" customHeight="1">
      <c r="A645" s="73"/>
      <c r="B645" s="73"/>
      <c r="C645" s="73"/>
      <c r="D645" s="73"/>
      <c r="E645" s="73"/>
      <c r="F645" s="73"/>
      <c r="G645" s="73"/>
      <c r="H645" s="73"/>
      <c r="J645" s="73"/>
    </row>
    <row r="646" spans="1:10" ht="15.75" customHeight="1">
      <c r="A646" s="73"/>
      <c r="B646" s="73"/>
      <c r="C646" s="73"/>
      <c r="D646" s="73"/>
      <c r="E646" s="73"/>
      <c r="F646" s="73"/>
      <c r="G646" s="73"/>
      <c r="H646" s="73"/>
      <c r="J646" s="73"/>
    </row>
    <row r="647" spans="1:10" ht="15.75" customHeight="1">
      <c r="A647" s="73"/>
      <c r="B647" s="73"/>
      <c r="C647" s="73"/>
      <c r="D647" s="73"/>
      <c r="E647" s="73"/>
      <c r="F647" s="73"/>
      <c r="G647" s="73"/>
      <c r="H647" s="73"/>
      <c r="J647" s="73"/>
    </row>
    <row r="648" spans="1:10" ht="15.75" customHeight="1">
      <c r="A648" s="73"/>
      <c r="B648" s="73"/>
      <c r="C648" s="73"/>
      <c r="D648" s="73"/>
      <c r="E648" s="73"/>
      <c r="F648" s="73"/>
      <c r="G648" s="73"/>
      <c r="H648" s="73"/>
      <c r="J648" s="73"/>
    </row>
    <row r="649" spans="1:10" ht="15.75" customHeight="1">
      <c r="A649" s="73"/>
      <c r="B649" s="73"/>
      <c r="C649" s="73"/>
      <c r="D649" s="73"/>
      <c r="E649" s="73"/>
      <c r="F649" s="73"/>
      <c r="G649" s="73"/>
      <c r="H649" s="73"/>
      <c r="J649" s="73"/>
    </row>
    <row r="650" spans="1:10" ht="15.75" customHeight="1">
      <c r="A650" s="73"/>
      <c r="B650" s="73"/>
      <c r="C650" s="73"/>
      <c r="D650" s="73"/>
      <c r="E650" s="73"/>
      <c r="F650" s="73"/>
      <c r="G650" s="73"/>
      <c r="H650" s="73"/>
      <c r="J650" s="73"/>
    </row>
    <row r="651" spans="1:10" ht="15.75" customHeight="1">
      <c r="A651" s="73"/>
      <c r="B651" s="73"/>
      <c r="C651" s="73"/>
      <c r="D651" s="73"/>
      <c r="E651" s="73"/>
      <c r="F651" s="73"/>
      <c r="G651" s="73"/>
      <c r="H651" s="73"/>
      <c r="J651" s="73"/>
    </row>
    <row r="652" spans="1:10" ht="15.75" customHeight="1">
      <c r="A652" s="73"/>
      <c r="B652" s="73"/>
      <c r="C652" s="73"/>
      <c r="D652" s="73"/>
      <c r="E652" s="73"/>
      <c r="F652" s="73"/>
      <c r="G652" s="73"/>
      <c r="H652" s="73"/>
      <c r="J652" s="73"/>
    </row>
    <row r="653" spans="1:10" ht="15.75" customHeight="1">
      <c r="A653" s="73"/>
      <c r="B653" s="73"/>
      <c r="C653" s="73"/>
      <c r="D653" s="73"/>
      <c r="E653" s="73"/>
      <c r="F653" s="73"/>
      <c r="G653" s="73"/>
      <c r="H653" s="73"/>
      <c r="J653" s="73"/>
    </row>
    <row r="654" spans="1:10" ht="15.75" customHeight="1">
      <c r="A654" s="73"/>
      <c r="B654" s="73"/>
      <c r="C654" s="73"/>
      <c r="D654" s="73"/>
      <c r="E654" s="73"/>
      <c r="F654" s="73"/>
      <c r="G654" s="73"/>
      <c r="H654" s="73"/>
      <c r="J654" s="73"/>
    </row>
    <row r="655" spans="1:10" ht="15.75" customHeight="1">
      <c r="A655" s="73"/>
      <c r="B655" s="73"/>
      <c r="C655" s="73"/>
      <c r="D655" s="73"/>
      <c r="E655" s="73"/>
      <c r="F655" s="73"/>
      <c r="G655" s="73"/>
      <c r="H655" s="73"/>
      <c r="J655" s="73"/>
    </row>
    <row r="656" spans="1:10" ht="15.75" customHeight="1">
      <c r="A656" s="73"/>
      <c r="B656" s="73"/>
      <c r="C656" s="73"/>
      <c r="D656" s="73"/>
      <c r="E656" s="73"/>
      <c r="F656" s="73"/>
      <c r="G656" s="73"/>
      <c r="H656" s="73"/>
      <c r="J656" s="73"/>
    </row>
    <row r="657" spans="1:10" ht="15.75" customHeight="1">
      <c r="A657" s="73"/>
      <c r="B657" s="73"/>
      <c r="C657" s="73"/>
      <c r="D657" s="73"/>
      <c r="E657" s="73"/>
      <c r="F657" s="73"/>
      <c r="G657" s="73"/>
      <c r="H657" s="73"/>
      <c r="J657" s="73"/>
    </row>
    <row r="658" spans="1:10" ht="15.75" customHeight="1">
      <c r="A658" s="73"/>
      <c r="B658" s="73"/>
      <c r="C658" s="73"/>
      <c r="D658" s="73"/>
      <c r="E658" s="73"/>
      <c r="F658" s="73"/>
      <c r="G658" s="73"/>
      <c r="H658" s="73"/>
      <c r="J658" s="73"/>
    </row>
    <row r="659" spans="1:10" ht="15.75" customHeight="1">
      <c r="A659" s="73"/>
      <c r="B659" s="73"/>
      <c r="C659" s="73"/>
      <c r="D659" s="73"/>
      <c r="E659" s="73"/>
      <c r="F659" s="73"/>
      <c r="G659" s="73"/>
      <c r="H659" s="73"/>
      <c r="J659" s="73"/>
    </row>
    <row r="660" spans="1:10" ht="15.75" customHeight="1">
      <c r="A660" s="73"/>
      <c r="B660" s="73"/>
      <c r="C660" s="73"/>
      <c r="D660" s="73"/>
      <c r="E660" s="73"/>
      <c r="F660" s="73"/>
      <c r="G660" s="73"/>
      <c r="H660" s="73"/>
      <c r="J660" s="73"/>
    </row>
    <row r="661" spans="1:10" ht="15.75" customHeight="1">
      <c r="A661" s="73"/>
      <c r="B661" s="73"/>
      <c r="C661" s="73"/>
      <c r="D661" s="73"/>
      <c r="E661" s="73"/>
      <c r="F661" s="73"/>
      <c r="G661" s="73"/>
      <c r="H661" s="73"/>
      <c r="J661" s="73"/>
    </row>
    <row r="662" spans="1:10" ht="15.75" customHeight="1">
      <c r="A662" s="73"/>
      <c r="B662" s="73"/>
      <c r="C662" s="73"/>
      <c r="D662" s="73"/>
      <c r="E662" s="73"/>
      <c r="F662" s="73"/>
      <c r="G662" s="73"/>
      <c r="H662" s="73"/>
      <c r="J662" s="73"/>
    </row>
    <row r="663" spans="1:10" ht="15.75" customHeight="1">
      <c r="A663" s="73"/>
      <c r="B663" s="73"/>
      <c r="C663" s="73"/>
      <c r="D663" s="73"/>
      <c r="E663" s="73"/>
      <c r="F663" s="73"/>
      <c r="G663" s="73"/>
      <c r="H663" s="73"/>
      <c r="J663" s="73"/>
    </row>
    <row r="664" spans="1:10" ht="15.75" customHeight="1">
      <c r="A664" s="73"/>
      <c r="B664" s="73"/>
      <c r="C664" s="73"/>
      <c r="D664" s="73"/>
      <c r="E664" s="73"/>
      <c r="F664" s="73"/>
      <c r="G664" s="73"/>
      <c r="H664" s="73"/>
      <c r="J664" s="73"/>
    </row>
    <row r="665" spans="1:10" ht="15.75" customHeight="1">
      <c r="A665" s="73"/>
      <c r="B665" s="73"/>
      <c r="C665" s="73"/>
      <c r="D665" s="73"/>
      <c r="E665" s="73"/>
      <c r="F665" s="73"/>
      <c r="G665" s="73"/>
      <c r="H665" s="73"/>
      <c r="J665" s="73"/>
    </row>
    <row r="666" spans="1:10" ht="15.75" customHeight="1">
      <c r="A666" s="73"/>
      <c r="B666" s="73"/>
      <c r="C666" s="73"/>
      <c r="D666" s="73"/>
      <c r="E666" s="73"/>
      <c r="F666" s="73"/>
      <c r="G666" s="73"/>
      <c r="H666" s="73"/>
      <c r="J666" s="73"/>
    </row>
    <row r="667" spans="1:10" ht="15.75" customHeight="1">
      <c r="A667" s="73"/>
      <c r="B667" s="73"/>
      <c r="C667" s="73"/>
      <c r="D667" s="73"/>
      <c r="E667" s="73"/>
      <c r="F667" s="73"/>
      <c r="G667" s="73"/>
      <c r="H667" s="73"/>
      <c r="J667" s="73"/>
    </row>
    <row r="668" spans="1:10" ht="15.75" customHeight="1">
      <c r="A668" s="73"/>
      <c r="B668" s="73"/>
      <c r="C668" s="73"/>
      <c r="D668" s="73"/>
      <c r="E668" s="73"/>
      <c r="F668" s="73"/>
      <c r="G668" s="73"/>
      <c r="H668" s="73"/>
      <c r="J668" s="73"/>
    </row>
    <row r="669" spans="1:10" ht="15.75" customHeight="1">
      <c r="A669" s="73"/>
      <c r="B669" s="73"/>
      <c r="C669" s="73"/>
      <c r="D669" s="73"/>
      <c r="E669" s="73"/>
      <c r="F669" s="73"/>
      <c r="G669" s="73"/>
      <c r="H669" s="73"/>
      <c r="J669" s="73"/>
    </row>
    <row r="670" spans="1:10" ht="15.75" customHeight="1">
      <c r="A670" s="73"/>
      <c r="B670" s="73"/>
      <c r="C670" s="73"/>
      <c r="D670" s="73"/>
      <c r="E670" s="73"/>
      <c r="F670" s="73"/>
      <c r="G670" s="73"/>
      <c r="H670" s="73"/>
      <c r="J670" s="73"/>
    </row>
    <row r="671" spans="1:10" ht="15.75" customHeight="1">
      <c r="A671" s="73"/>
      <c r="B671" s="73"/>
      <c r="C671" s="73"/>
      <c r="D671" s="73"/>
      <c r="E671" s="73"/>
      <c r="F671" s="73"/>
      <c r="G671" s="73"/>
      <c r="H671" s="73"/>
      <c r="J671" s="73"/>
    </row>
    <row r="672" spans="1:10" ht="15.75" customHeight="1">
      <c r="A672" s="73"/>
      <c r="B672" s="73"/>
      <c r="C672" s="73"/>
      <c r="D672" s="73"/>
      <c r="E672" s="73"/>
      <c r="F672" s="73"/>
      <c r="G672" s="73"/>
      <c r="H672" s="73"/>
      <c r="J672" s="73"/>
    </row>
    <row r="673" spans="1:10" ht="15.75" customHeight="1">
      <c r="A673" s="73"/>
      <c r="B673" s="73"/>
      <c r="C673" s="73"/>
      <c r="D673" s="73"/>
      <c r="E673" s="73"/>
      <c r="F673" s="73"/>
      <c r="G673" s="73"/>
      <c r="H673" s="73"/>
      <c r="J673" s="73"/>
    </row>
    <row r="674" spans="1:10" ht="15.75" customHeight="1">
      <c r="A674" s="73"/>
      <c r="B674" s="73"/>
      <c r="C674" s="73"/>
      <c r="D674" s="73"/>
      <c r="E674" s="73"/>
      <c r="F674" s="73"/>
      <c r="G674" s="73"/>
      <c r="H674" s="73"/>
      <c r="J674" s="73"/>
    </row>
    <row r="675" spans="1:10" ht="15.75" customHeight="1">
      <c r="A675" s="73"/>
      <c r="B675" s="73"/>
      <c r="C675" s="73"/>
      <c r="D675" s="73"/>
      <c r="E675" s="73"/>
      <c r="F675" s="73"/>
      <c r="G675" s="73"/>
      <c r="H675" s="73"/>
      <c r="J675" s="73"/>
    </row>
    <row r="676" spans="1:10" ht="15.75" customHeight="1">
      <c r="A676" s="73"/>
      <c r="B676" s="73"/>
      <c r="C676" s="73"/>
      <c r="D676" s="73"/>
      <c r="E676" s="73"/>
      <c r="F676" s="73"/>
      <c r="G676" s="73"/>
      <c r="H676" s="73"/>
      <c r="J676" s="73"/>
    </row>
    <row r="677" spans="1:10" ht="15.75" customHeight="1">
      <c r="A677" s="73"/>
      <c r="B677" s="73"/>
      <c r="C677" s="73"/>
      <c r="D677" s="73"/>
      <c r="E677" s="73"/>
      <c r="F677" s="73"/>
      <c r="G677" s="73"/>
      <c r="H677" s="73"/>
      <c r="J677" s="73"/>
    </row>
    <row r="678" spans="1:10" ht="15.75" customHeight="1">
      <c r="A678" s="73"/>
      <c r="B678" s="73"/>
      <c r="C678" s="73"/>
      <c r="D678" s="73"/>
      <c r="E678" s="73"/>
      <c r="F678" s="73"/>
      <c r="G678" s="73"/>
      <c r="H678" s="73"/>
      <c r="J678" s="73"/>
    </row>
    <row r="679" spans="1:10" ht="15.75" customHeight="1">
      <c r="A679" s="73"/>
      <c r="B679" s="73"/>
      <c r="C679" s="73"/>
      <c r="D679" s="73"/>
      <c r="E679" s="73"/>
      <c r="F679" s="73"/>
      <c r="G679" s="73"/>
      <c r="H679" s="73"/>
      <c r="J679" s="73"/>
    </row>
    <row r="680" spans="1:10" ht="15.75" customHeight="1">
      <c r="A680" s="73"/>
      <c r="B680" s="73"/>
      <c r="C680" s="73"/>
      <c r="D680" s="73"/>
      <c r="E680" s="73"/>
      <c r="F680" s="73"/>
      <c r="G680" s="73"/>
      <c r="H680" s="73"/>
      <c r="J680" s="73"/>
    </row>
    <row r="681" spans="1:10" ht="15.75" customHeight="1">
      <c r="A681" s="73"/>
      <c r="B681" s="73"/>
      <c r="C681" s="73"/>
      <c r="D681" s="73"/>
      <c r="E681" s="73"/>
      <c r="F681" s="73"/>
      <c r="G681" s="73"/>
      <c r="H681" s="73"/>
      <c r="J681" s="73"/>
    </row>
    <row r="682" spans="1:10" ht="15.75" customHeight="1">
      <c r="A682" s="73"/>
      <c r="B682" s="73"/>
      <c r="C682" s="73"/>
      <c r="D682" s="73"/>
      <c r="E682" s="73"/>
      <c r="F682" s="73"/>
      <c r="G682" s="73"/>
      <c r="H682" s="73"/>
      <c r="J682" s="73"/>
    </row>
    <row r="683" spans="1:10" ht="15.75" customHeight="1">
      <c r="A683" s="73"/>
      <c r="B683" s="73"/>
      <c r="C683" s="73"/>
      <c r="D683" s="73"/>
      <c r="E683" s="73"/>
      <c r="F683" s="73"/>
      <c r="G683" s="73"/>
      <c r="H683" s="73"/>
      <c r="J683" s="73"/>
    </row>
    <row r="684" spans="1:10" ht="15.75" customHeight="1">
      <c r="A684" s="73"/>
      <c r="B684" s="73"/>
      <c r="C684" s="73"/>
      <c r="D684" s="73"/>
      <c r="E684" s="73"/>
      <c r="F684" s="73"/>
      <c r="G684" s="73"/>
      <c r="H684" s="73"/>
      <c r="J684" s="73"/>
    </row>
    <row r="685" spans="1:10" ht="15.75" customHeight="1">
      <c r="A685" s="73"/>
      <c r="B685" s="73"/>
      <c r="C685" s="73"/>
      <c r="D685" s="73"/>
      <c r="E685" s="73"/>
      <c r="F685" s="73"/>
      <c r="G685" s="73"/>
      <c r="H685" s="73"/>
      <c r="J685" s="73"/>
    </row>
    <row r="686" spans="1:10" ht="15.75" customHeight="1">
      <c r="A686" s="73"/>
      <c r="B686" s="73"/>
      <c r="C686" s="73"/>
      <c r="D686" s="73"/>
      <c r="E686" s="73"/>
      <c r="F686" s="73"/>
      <c r="G686" s="73"/>
      <c r="H686" s="73"/>
      <c r="J686" s="73"/>
    </row>
    <row r="687" spans="1:10" ht="15.75" customHeight="1">
      <c r="A687" s="73"/>
      <c r="B687" s="73"/>
      <c r="C687" s="73"/>
      <c r="D687" s="73"/>
      <c r="E687" s="73"/>
      <c r="F687" s="73"/>
      <c r="G687" s="73"/>
      <c r="H687" s="73"/>
      <c r="J687" s="73"/>
    </row>
    <row r="688" spans="1:10" ht="15.75" customHeight="1">
      <c r="A688" s="73"/>
      <c r="B688" s="73"/>
      <c r="C688" s="73"/>
      <c r="D688" s="73"/>
      <c r="E688" s="73"/>
      <c r="F688" s="73"/>
      <c r="G688" s="73"/>
      <c r="H688" s="73"/>
      <c r="J688" s="73"/>
    </row>
    <row r="689" spans="1:10" ht="15.75" customHeight="1">
      <c r="A689" s="73"/>
      <c r="B689" s="73"/>
      <c r="C689" s="73"/>
      <c r="D689" s="73"/>
      <c r="E689" s="73"/>
      <c r="F689" s="73"/>
      <c r="G689" s="73"/>
      <c r="H689" s="73"/>
      <c r="J689" s="73"/>
    </row>
    <row r="690" spans="1:10" ht="15.75" customHeight="1">
      <c r="A690" s="73"/>
      <c r="B690" s="73"/>
      <c r="C690" s="73"/>
      <c r="D690" s="73"/>
      <c r="E690" s="73"/>
      <c r="F690" s="73"/>
      <c r="G690" s="73"/>
      <c r="H690" s="73"/>
      <c r="J690" s="73"/>
    </row>
    <row r="691" spans="1:10" ht="15.75" customHeight="1">
      <c r="A691" s="73"/>
      <c r="B691" s="73"/>
      <c r="C691" s="73"/>
      <c r="D691" s="73"/>
      <c r="E691" s="73"/>
      <c r="F691" s="73"/>
      <c r="G691" s="73"/>
      <c r="H691" s="73"/>
      <c r="J691" s="73"/>
    </row>
    <row r="692" spans="1:10" ht="15.75" customHeight="1">
      <c r="A692" s="73"/>
      <c r="B692" s="73"/>
      <c r="C692" s="73"/>
      <c r="D692" s="73"/>
      <c r="E692" s="73"/>
      <c r="F692" s="73"/>
      <c r="G692" s="73"/>
      <c r="H692" s="73"/>
      <c r="J692" s="73"/>
    </row>
    <row r="693" spans="1:10" ht="15.75" customHeight="1">
      <c r="A693" s="73"/>
      <c r="B693" s="73"/>
      <c r="C693" s="73"/>
      <c r="D693" s="73"/>
      <c r="E693" s="73"/>
      <c r="F693" s="73"/>
      <c r="G693" s="73"/>
      <c r="H693" s="73"/>
      <c r="J693" s="73"/>
    </row>
    <row r="694" spans="1:10" ht="15.75" customHeight="1">
      <c r="A694" s="73"/>
      <c r="B694" s="73"/>
      <c r="C694" s="73"/>
      <c r="D694" s="73"/>
      <c r="E694" s="73"/>
      <c r="F694" s="73"/>
      <c r="G694" s="73"/>
      <c r="H694" s="73"/>
      <c r="J694" s="73"/>
    </row>
    <row r="695" spans="1:10" ht="15.75" customHeight="1">
      <c r="A695" s="73"/>
      <c r="B695" s="73"/>
      <c r="C695" s="73"/>
      <c r="D695" s="73"/>
      <c r="E695" s="73"/>
      <c r="F695" s="73"/>
      <c r="G695" s="73"/>
      <c r="H695" s="73"/>
      <c r="J695" s="73"/>
    </row>
    <row r="696" spans="1:10" ht="15.75" customHeight="1">
      <c r="A696" s="73"/>
      <c r="B696" s="73"/>
      <c r="C696" s="73"/>
      <c r="D696" s="73"/>
      <c r="E696" s="73"/>
      <c r="F696" s="73"/>
      <c r="G696" s="73"/>
      <c r="H696" s="73"/>
      <c r="J696" s="73"/>
    </row>
    <row r="697" spans="1:10" ht="15.75" customHeight="1">
      <c r="A697" s="73"/>
      <c r="B697" s="73"/>
      <c r="C697" s="73"/>
      <c r="D697" s="73"/>
      <c r="E697" s="73"/>
      <c r="F697" s="73"/>
      <c r="G697" s="73"/>
      <c r="H697" s="73"/>
      <c r="J697" s="73"/>
    </row>
    <row r="698" spans="1:10" ht="15.75" customHeight="1">
      <c r="A698" s="73"/>
      <c r="B698" s="73"/>
      <c r="C698" s="73"/>
      <c r="D698" s="73"/>
      <c r="E698" s="73"/>
      <c r="F698" s="73"/>
      <c r="G698" s="73"/>
      <c r="H698" s="73"/>
      <c r="J698" s="73"/>
    </row>
    <row r="699" spans="1:10" ht="15.75" customHeight="1">
      <c r="A699" s="73"/>
      <c r="B699" s="73"/>
      <c r="C699" s="73"/>
      <c r="D699" s="73"/>
      <c r="E699" s="73"/>
      <c r="F699" s="73"/>
      <c r="G699" s="73"/>
      <c r="H699" s="73"/>
      <c r="J699" s="73"/>
    </row>
    <row r="700" spans="1:10" ht="15.75" customHeight="1">
      <c r="A700" s="73"/>
      <c r="B700" s="73"/>
      <c r="C700" s="73"/>
      <c r="D700" s="73"/>
      <c r="E700" s="73"/>
      <c r="F700" s="73"/>
      <c r="G700" s="73"/>
      <c r="H700" s="73"/>
      <c r="J700" s="73"/>
    </row>
    <row r="701" spans="1:10" ht="15.75" customHeight="1">
      <c r="A701" s="73"/>
      <c r="B701" s="73"/>
      <c r="C701" s="73"/>
      <c r="D701" s="73"/>
      <c r="E701" s="73"/>
      <c r="F701" s="73"/>
      <c r="G701" s="73"/>
      <c r="H701" s="73"/>
      <c r="J701" s="73"/>
    </row>
    <row r="702" spans="1:10" ht="15.75" customHeight="1">
      <c r="A702" s="73"/>
      <c r="B702" s="73"/>
      <c r="C702" s="73"/>
      <c r="D702" s="73"/>
      <c r="E702" s="73"/>
      <c r="F702" s="73"/>
      <c r="G702" s="73"/>
      <c r="H702" s="73"/>
      <c r="J702" s="73"/>
    </row>
    <row r="703" spans="1:10" ht="15.75" customHeight="1">
      <c r="A703" s="73"/>
      <c r="B703" s="73"/>
      <c r="C703" s="73"/>
      <c r="D703" s="73"/>
      <c r="E703" s="73"/>
      <c r="F703" s="73"/>
      <c r="G703" s="73"/>
      <c r="H703" s="73"/>
      <c r="J703" s="73"/>
    </row>
    <row r="704" spans="1:10" ht="15.75" customHeight="1">
      <c r="A704" s="73"/>
      <c r="B704" s="73"/>
      <c r="C704" s="73"/>
      <c r="D704" s="73"/>
      <c r="E704" s="73"/>
      <c r="F704" s="73"/>
      <c r="G704" s="73"/>
      <c r="H704" s="73"/>
      <c r="J704" s="73"/>
    </row>
    <row r="705" spans="1:10" ht="15.75" customHeight="1">
      <c r="A705" s="73"/>
      <c r="B705" s="73"/>
      <c r="C705" s="73"/>
      <c r="D705" s="73"/>
      <c r="E705" s="73"/>
      <c r="F705" s="73"/>
      <c r="G705" s="73"/>
      <c r="H705" s="73"/>
      <c r="J705" s="73"/>
    </row>
    <row r="706" spans="1:10" ht="15.75" customHeight="1">
      <c r="A706" s="73"/>
      <c r="B706" s="73"/>
      <c r="C706" s="73"/>
      <c r="D706" s="73"/>
      <c r="E706" s="73"/>
      <c r="F706" s="73"/>
      <c r="G706" s="73"/>
      <c r="H706" s="73"/>
      <c r="J706" s="73"/>
    </row>
    <row r="707" spans="1:10" ht="15.75" customHeight="1">
      <c r="A707" s="73"/>
      <c r="B707" s="73"/>
      <c r="C707" s="73"/>
      <c r="D707" s="73"/>
      <c r="E707" s="73"/>
      <c r="F707" s="73"/>
      <c r="G707" s="73"/>
      <c r="H707" s="73"/>
      <c r="J707" s="73"/>
    </row>
    <row r="708" spans="1:10" ht="15.75" customHeight="1">
      <c r="A708" s="73"/>
      <c r="B708" s="73"/>
      <c r="C708" s="73"/>
      <c r="D708" s="73"/>
      <c r="E708" s="73"/>
      <c r="F708" s="73"/>
      <c r="G708" s="73"/>
      <c r="H708" s="73"/>
      <c r="J708" s="73"/>
    </row>
    <row r="709" spans="1:10" ht="15.75" customHeight="1">
      <c r="A709" s="73"/>
      <c r="B709" s="73"/>
      <c r="C709" s="73"/>
      <c r="D709" s="73"/>
      <c r="E709" s="73"/>
      <c r="F709" s="73"/>
      <c r="G709" s="73"/>
      <c r="H709" s="73"/>
      <c r="J709" s="73"/>
    </row>
    <row r="710" spans="1:10" ht="15.75" customHeight="1">
      <c r="A710" s="73"/>
      <c r="B710" s="73"/>
      <c r="C710" s="73"/>
      <c r="D710" s="73"/>
      <c r="E710" s="73"/>
      <c r="F710" s="73"/>
      <c r="G710" s="73"/>
      <c r="H710" s="73"/>
      <c r="J710" s="73"/>
    </row>
    <row r="711" spans="1:10" ht="15.75" customHeight="1">
      <c r="A711" s="73"/>
      <c r="B711" s="73"/>
      <c r="C711" s="73"/>
      <c r="D711" s="73"/>
      <c r="E711" s="73"/>
      <c r="F711" s="73"/>
      <c r="G711" s="73"/>
      <c r="H711" s="73"/>
      <c r="J711" s="73"/>
    </row>
    <row r="712" spans="1:10" ht="15.75" customHeight="1">
      <c r="A712" s="73"/>
      <c r="B712" s="73"/>
      <c r="C712" s="73"/>
      <c r="D712" s="73"/>
      <c r="E712" s="73"/>
      <c r="F712" s="73"/>
      <c r="G712" s="73"/>
      <c r="H712" s="73"/>
      <c r="J712" s="73"/>
    </row>
    <row r="713" spans="1:10" ht="15.75" customHeight="1">
      <c r="A713" s="73"/>
      <c r="B713" s="73"/>
      <c r="C713" s="73"/>
      <c r="D713" s="73"/>
      <c r="E713" s="73"/>
      <c r="F713" s="73"/>
      <c r="G713" s="73"/>
      <c r="H713" s="73"/>
      <c r="J713" s="73"/>
    </row>
    <row r="714" spans="1:10" ht="15.75" customHeight="1">
      <c r="A714" s="73"/>
      <c r="B714" s="73"/>
      <c r="C714" s="73"/>
      <c r="D714" s="73"/>
      <c r="E714" s="73"/>
      <c r="F714" s="73"/>
      <c r="G714" s="73"/>
      <c r="H714" s="73"/>
      <c r="J714" s="73"/>
    </row>
    <row r="715" spans="1:10" ht="15.75" customHeight="1">
      <c r="A715" s="73"/>
      <c r="B715" s="73"/>
      <c r="C715" s="73"/>
      <c r="D715" s="73"/>
      <c r="E715" s="73"/>
      <c r="F715" s="73"/>
      <c r="G715" s="73"/>
      <c r="H715" s="73"/>
      <c r="J715" s="73"/>
    </row>
    <row r="716" spans="1:10" ht="15.75" customHeight="1">
      <c r="A716" s="73"/>
      <c r="B716" s="73"/>
      <c r="C716" s="73"/>
      <c r="D716" s="73"/>
      <c r="E716" s="73"/>
      <c r="F716" s="73"/>
      <c r="G716" s="73"/>
      <c r="H716" s="73"/>
      <c r="J716" s="73"/>
    </row>
    <row r="717" spans="1:10" ht="15.75" customHeight="1">
      <c r="A717" s="73"/>
      <c r="B717" s="73"/>
      <c r="C717" s="73"/>
      <c r="D717" s="73"/>
      <c r="E717" s="73"/>
      <c r="F717" s="73"/>
      <c r="G717" s="73"/>
      <c r="H717" s="73"/>
      <c r="J717" s="73"/>
    </row>
    <row r="718" spans="1:10" ht="15.75" customHeight="1">
      <c r="A718" s="73"/>
      <c r="B718" s="73"/>
      <c r="C718" s="73"/>
      <c r="D718" s="73"/>
      <c r="E718" s="73"/>
      <c r="F718" s="73"/>
      <c r="G718" s="73"/>
      <c r="H718" s="73"/>
      <c r="J718" s="73"/>
    </row>
    <row r="719" spans="1:10" ht="15.75" customHeight="1">
      <c r="A719" s="73"/>
      <c r="B719" s="73"/>
      <c r="C719" s="73"/>
      <c r="D719" s="73"/>
      <c r="E719" s="73"/>
      <c r="F719" s="73"/>
      <c r="G719" s="73"/>
      <c r="H719" s="73"/>
      <c r="J719" s="73"/>
    </row>
    <row r="720" spans="1:10" ht="15.75" customHeight="1">
      <c r="A720" s="73"/>
      <c r="B720" s="73"/>
      <c r="C720" s="73"/>
      <c r="D720" s="73"/>
      <c r="E720" s="73"/>
      <c r="F720" s="73"/>
      <c r="G720" s="73"/>
      <c r="H720" s="73"/>
      <c r="J720" s="73"/>
    </row>
    <row r="721" spans="1:10" ht="15.75" customHeight="1">
      <c r="A721" s="73"/>
      <c r="B721" s="73"/>
      <c r="C721" s="73"/>
      <c r="D721" s="73"/>
      <c r="E721" s="73"/>
      <c r="F721" s="73"/>
      <c r="G721" s="73"/>
      <c r="H721" s="73"/>
      <c r="J721" s="73"/>
    </row>
    <row r="722" spans="1:10" ht="15.75" customHeight="1">
      <c r="A722" s="73"/>
      <c r="B722" s="73"/>
      <c r="C722" s="73"/>
      <c r="D722" s="73"/>
      <c r="E722" s="73"/>
      <c r="F722" s="73"/>
      <c r="G722" s="73"/>
      <c r="H722" s="73"/>
      <c r="J722" s="73"/>
    </row>
    <row r="723" spans="1:10" ht="15.75" customHeight="1">
      <c r="A723" s="73"/>
      <c r="B723" s="73"/>
      <c r="C723" s="73"/>
      <c r="D723" s="73"/>
      <c r="E723" s="73"/>
      <c r="F723" s="73"/>
      <c r="G723" s="73"/>
      <c r="H723" s="73"/>
      <c r="J723" s="73"/>
    </row>
    <row r="724" spans="1:10" ht="15.75" customHeight="1">
      <c r="A724" s="73"/>
      <c r="B724" s="73"/>
      <c r="C724" s="73"/>
      <c r="D724" s="73"/>
      <c r="E724" s="73"/>
      <c r="F724" s="73"/>
      <c r="G724" s="73"/>
      <c r="H724" s="73"/>
      <c r="J724" s="73"/>
    </row>
    <row r="725" spans="1:10" ht="15.75" customHeight="1">
      <c r="A725" s="73"/>
      <c r="B725" s="73"/>
      <c r="C725" s="73"/>
      <c r="D725" s="73"/>
      <c r="E725" s="73"/>
      <c r="F725" s="73"/>
      <c r="G725" s="73"/>
      <c r="H725" s="73"/>
      <c r="J725" s="73"/>
    </row>
    <row r="726" spans="1:10" ht="15.75" customHeight="1">
      <c r="A726" s="73"/>
      <c r="B726" s="73"/>
      <c r="C726" s="73"/>
      <c r="D726" s="73"/>
      <c r="E726" s="73"/>
      <c r="F726" s="73"/>
      <c r="G726" s="73"/>
      <c r="H726" s="73"/>
      <c r="J726" s="73"/>
    </row>
    <row r="727" spans="1:10" ht="15.75" customHeight="1">
      <c r="A727" s="73"/>
      <c r="B727" s="73"/>
      <c r="C727" s="73"/>
      <c r="D727" s="73"/>
      <c r="E727" s="73"/>
      <c r="F727" s="73"/>
      <c r="G727" s="73"/>
      <c r="H727" s="73"/>
      <c r="J727" s="73"/>
    </row>
    <row r="728" spans="1:10" ht="15.75" customHeight="1">
      <c r="A728" s="73"/>
      <c r="B728" s="73"/>
      <c r="C728" s="73"/>
      <c r="D728" s="73"/>
      <c r="E728" s="73"/>
      <c r="F728" s="73"/>
      <c r="G728" s="73"/>
      <c r="H728" s="73"/>
      <c r="J728" s="73"/>
    </row>
    <row r="729" spans="1:10" ht="15.75" customHeight="1">
      <c r="A729" s="73"/>
      <c r="B729" s="73"/>
      <c r="C729" s="73"/>
      <c r="D729" s="73"/>
      <c r="E729" s="73"/>
      <c r="F729" s="73"/>
      <c r="G729" s="73"/>
      <c r="H729" s="73"/>
      <c r="J729" s="73"/>
    </row>
    <row r="730" spans="1:10" ht="15.75" customHeight="1">
      <c r="A730" s="73"/>
      <c r="B730" s="73"/>
      <c r="C730" s="73"/>
      <c r="D730" s="73"/>
      <c r="E730" s="73"/>
      <c r="F730" s="73"/>
      <c r="G730" s="73"/>
      <c r="H730" s="73"/>
      <c r="J730" s="73"/>
    </row>
    <row r="731" spans="1:10" ht="15.75" customHeight="1">
      <c r="A731" s="73"/>
      <c r="B731" s="73"/>
      <c r="C731" s="73"/>
      <c r="D731" s="73"/>
      <c r="E731" s="73"/>
      <c r="F731" s="73"/>
      <c r="G731" s="73"/>
      <c r="H731" s="73"/>
      <c r="J731" s="73"/>
    </row>
    <row r="732" spans="1:10" ht="15.75" customHeight="1">
      <c r="A732" s="73"/>
      <c r="B732" s="73"/>
      <c r="C732" s="73"/>
      <c r="D732" s="73"/>
      <c r="E732" s="73"/>
      <c r="F732" s="73"/>
      <c r="G732" s="73"/>
      <c r="H732" s="73"/>
      <c r="J732" s="73"/>
    </row>
    <row r="733" spans="1:10" ht="15.75" customHeight="1">
      <c r="A733" s="73"/>
      <c r="B733" s="73"/>
      <c r="C733" s="73"/>
      <c r="D733" s="73"/>
      <c r="E733" s="73"/>
      <c r="F733" s="73"/>
      <c r="G733" s="73"/>
      <c r="H733" s="73"/>
      <c r="J733" s="73"/>
    </row>
    <row r="734" spans="1:10" ht="15.75" customHeight="1">
      <c r="A734" s="73"/>
      <c r="B734" s="73"/>
      <c r="C734" s="73"/>
      <c r="D734" s="73"/>
      <c r="E734" s="73"/>
      <c r="F734" s="73"/>
      <c r="G734" s="73"/>
      <c r="H734" s="73"/>
      <c r="J734" s="73"/>
    </row>
    <row r="735" spans="1:10" ht="15.75" customHeight="1">
      <c r="A735" s="73"/>
      <c r="B735" s="73"/>
      <c r="C735" s="73"/>
      <c r="D735" s="73"/>
      <c r="E735" s="73"/>
      <c r="F735" s="73"/>
      <c r="G735" s="73"/>
      <c r="H735" s="73"/>
      <c r="J735" s="73"/>
    </row>
    <row r="736" spans="1:10" ht="15.75" customHeight="1">
      <c r="A736" s="73"/>
      <c r="B736" s="73"/>
      <c r="C736" s="73"/>
      <c r="D736" s="73"/>
      <c r="E736" s="73"/>
      <c r="F736" s="73"/>
      <c r="G736" s="73"/>
      <c r="H736" s="73"/>
      <c r="J736" s="73"/>
    </row>
    <row r="737" spans="1:10" ht="15.75" customHeight="1">
      <c r="A737" s="73"/>
      <c r="B737" s="73"/>
      <c r="C737" s="73"/>
      <c r="D737" s="73"/>
      <c r="E737" s="73"/>
      <c r="F737" s="73"/>
      <c r="G737" s="73"/>
      <c r="H737" s="73"/>
      <c r="J737" s="73"/>
    </row>
    <row r="738" spans="1:10" ht="15.75" customHeight="1">
      <c r="A738" s="73"/>
      <c r="B738" s="73"/>
      <c r="C738" s="73"/>
      <c r="D738" s="73"/>
      <c r="E738" s="73"/>
      <c r="F738" s="73"/>
      <c r="G738" s="73"/>
      <c r="H738" s="73"/>
      <c r="J738" s="73"/>
    </row>
    <row r="739" spans="1:10" ht="15.75" customHeight="1">
      <c r="A739" s="73"/>
      <c r="B739" s="73"/>
      <c r="C739" s="73"/>
      <c r="D739" s="73"/>
      <c r="E739" s="73"/>
      <c r="F739" s="73"/>
      <c r="G739" s="73"/>
      <c r="H739" s="73"/>
      <c r="J739" s="73"/>
    </row>
    <row r="740" spans="1:10" ht="15.75" customHeight="1">
      <c r="A740" s="73"/>
      <c r="B740" s="73"/>
      <c r="C740" s="73"/>
      <c r="D740" s="73"/>
      <c r="E740" s="73"/>
      <c r="F740" s="73"/>
      <c r="G740" s="73"/>
      <c r="H740" s="73"/>
      <c r="J740" s="73"/>
    </row>
    <row r="741" spans="1:10" ht="15.75" customHeight="1">
      <c r="A741" s="73"/>
      <c r="B741" s="73"/>
      <c r="C741" s="73"/>
      <c r="D741" s="73"/>
      <c r="E741" s="73"/>
      <c r="F741" s="73"/>
      <c r="G741" s="73"/>
      <c r="H741" s="73"/>
      <c r="J741" s="73"/>
    </row>
    <row r="742" spans="1:10" ht="15.75" customHeight="1">
      <c r="A742" s="73"/>
      <c r="B742" s="73"/>
      <c r="C742" s="73"/>
      <c r="D742" s="73"/>
      <c r="E742" s="73"/>
      <c r="F742" s="73"/>
      <c r="G742" s="73"/>
      <c r="H742" s="73"/>
      <c r="J742" s="73"/>
    </row>
    <row r="743" spans="1:10" ht="15.75" customHeight="1">
      <c r="A743" s="73"/>
      <c r="B743" s="73"/>
      <c r="C743" s="73"/>
      <c r="D743" s="73"/>
      <c r="E743" s="73"/>
      <c r="F743" s="73"/>
      <c r="G743" s="73"/>
      <c r="H743" s="73"/>
      <c r="J743" s="73"/>
    </row>
    <row r="744" spans="1:10" ht="15.75" customHeight="1">
      <c r="A744" s="73"/>
      <c r="B744" s="73"/>
      <c r="C744" s="73"/>
      <c r="D744" s="73"/>
      <c r="E744" s="73"/>
      <c r="F744" s="73"/>
      <c r="G744" s="73"/>
      <c r="H744" s="73"/>
      <c r="J744" s="73"/>
    </row>
    <row r="745" spans="1:10" ht="15.75" customHeight="1">
      <c r="A745" s="73"/>
      <c r="B745" s="73"/>
      <c r="C745" s="73"/>
      <c r="D745" s="73"/>
      <c r="E745" s="73"/>
      <c r="F745" s="73"/>
      <c r="G745" s="73"/>
      <c r="H745" s="73"/>
      <c r="J745" s="73"/>
    </row>
    <row r="746" spans="1:10" ht="15.75" customHeight="1">
      <c r="A746" s="73"/>
      <c r="B746" s="73"/>
      <c r="C746" s="73"/>
      <c r="D746" s="73"/>
      <c r="E746" s="73"/>
      <c r="F746" s="73"/>
      <c r="G746" s="73"/>
      <c r="H746" s="73"/>
      <c r="J746" s="73"/>
    </row>
    <row r="747" spans="1:10" ht="15.75" customHeight="1">
      <c r="A747" s="73"/>
      <c r="B747" s="73"/>
      <c r="C747" s="73"/>
      <c r="D747" s="73"/>
      <c r="E747" s="73"/>
      <c r="F747" s="73"/>
      <c r="G747" s="73"/>
      <c r="H747" s="73"/>
      <c r="J747" s="73"/>
    </row>
    <row r="748" spans="1:10" ht="15.75" customHeight="1">
      <c r="A748" s="73"/>
      <c r="B748" s="73"/>
      <c r="C748" s="73"/>
      <c r="D748" s="73"/>
      <c r="E748" s="73"/>
      <c r="F748" s="73"/>
      <c r="G748" s="73"/>
      <c r="H748" s="73"/>
      <c r="J748" s="73"/>
    </row>
    <row r="749" spans="1:10" ht="15.75" customHeight="1">
      <c r="A749" s="73"/>
      <c r="B749" s="73"/>
      <c r="C749" s="73"/>
      <c r="D749" s="73"/>
      <c r="E749" s="73"/>
      <c r="F749" s="73"/>
      <c r="G749" s="73"/>
      <c r="H749" s="73"/>
      <c r="J749" s="73"/>
    </row>
    <row r="750" spans="1:10" ht="15.75" customHeight="1">
      <c r="A750" s="73"/>
      <c r="B750" s="73"/>
      <c r="C750" s="73"/>
      <c r="D750" s="73"/>
      <c r="E750" s="73"/>
      <c r="F750" s="73"/>
      <c r="G750" s="73"/>
      <c r="H750" s="73"/>
      <c r="J750" s="73"/>
    </row>
    <row r="751" spans="1:10" ht="15.75" customHeight="1">
      <c r="A751" s="73"/>
      <c r="B751" s="73"/>
      <c r="C751" s="73"/>
      <c r="D751" s="73"/>
      <c r="E751" s="73"/>
      <c r="F751" s="73"/>
      <c r="G751" s="73"/>
      <c r="H751" s="73"/>
      <c r="J751" s="73"/>
    </row>
    <row r="752" spans="1:10" ht="15.75" customHeight="1">
      <c r="A752" s="73"/>
      <c r="B752" s="73"/>
      <c r="C752" s="73"/>
      <c r="D752" s="73"/>
      <c r="E752" s="73"/>
      <c r="F752" s="73"/>
      <c r="G752" s="73"/>
      <c r="H752" s="73"/>
      <c r="J752" s="73"/>
    </row>
    <row r="753" spans="1:10" ht="15.75" customHeight="1">
      <c r="A753" s="73"/>
      <c r="B753" s="73"/>
      <c r="C753" s="73"/>
      <c r="D753" s="73"/>
      <c r="E753" s="73"/>
      <c r="F753" s="73"/>
      <c r="G753" s="73"/>
      <c r="H753" s="73"/>
      <c r="J753" s="73"/>
    </row>
    <row r="754" spans="1:10" ht="15.75" customHeight="1">
      <c r="A754" s="73"/>
      <c r="B754" s="73"/>
      <c r="C754" s="73"/>
      <c r="D754" s="73"/>
      <c r="E754" s="73"/>
      <c r="F754" s="73"/>
      <c r="G754" s="73"/>
      <c r="H754" s="73"/>
      <c r="J754" s="73"/>
    </row>
    <row r="755" spans="1:10" ht="15.75" customHeight="1">
      <c r="A755" s="73"/>
      <c r="B755" s="73"/>
      <c r="C755" s="73"/>
      <c r="D755" s="73"/>
      <c r="E755" s="73"/>
      <c r="F755" s="73"/>
      <c r="G755" s="73"/>
      <c r="H755" s="73"/>
      <c r="J755" s="73"/>
    </row>
    <row r="756" spans="1:10" ht="15.75" customHeight="1">
      <c r="A756" s="73"/>
      <c r="B756" s="73"/>
      <c r="C756" s="73"/>
      <c r="D756" s="73"/>
      <c r="E756" s="73"/>
      <c r="F756" s="73"/>
      <c r="G756" s="73"/>
      <c r="H756" s="73"/>
      <c r="J756" s="73"/>
    </row>
    <row r="757" spans="1:10" ht="15.75" customHeight="1">
      <c r="A757" s="73"/>
      <c r="B757" s="73"/>
      <c r="C757" s="73"/>
      <c r="D757" s="73"/>
      <c r="E757" s="73"/>
      <c r="F757" s="73"/>
      <c r="G757" s="73"/>
      <c r="H757" s="73"/>
      <c r="J757" s="73"/>
    </row>
    <row r="758" spans="1:10" ht="15.75" customHeight="1">
      <c r="A758" s="73"/>
      <c r="B758" s="73"/>
      <c r="C758" s="73"/>
      <c r="D758" s="73"/>
      <c r="E758" s="73"/>
      <c r="F758" s="73"/>
      <c r="G758" s="73"/>
      <c r="H758" s="73"/>
      <c r="J758" s="73"/>
    </row>
    <row r="759" spans="1:10" ht="15.75" customHeight="1">
      <c r="A759" s="73"/>
      <c r="B759" s="73"/>
      <c r="C759" s="73"/>
      <c r="D759" s="73"/>
      <c r="E759" s="73"/>
      <c r="F759" s="73"/>
      <c r="G759" s="73"/>
      <c r="H759" s="73"/>
      <c r="J759" s="73"/>
    </row>
    <row r="760" spans="1:10" ht="15.75" customHeight="1">
      <c r="A760" s="73"/>
      <c r="B760" s="73"/>
      <c r="C760" s="73"/>
      <c r="D760" s="73"/>
      <c r="E760" s="73"/>
      <c r="F760" s="73"/>
      <c r="G760" s="73"/>
      <c r="H760" s="73"/>
      <c r="J760" s="73"/>
    </row>
    <row r="761" spans="1:10" ht="15.75" customHeight="1">
      <c r="A761" s="73"/>
      <c r="B761" s="73"/>
      <c r="C761" s="73"/>
      <c r="D761" s="73"/>
      <c r="E761" s="73"/>
      <c r="F761" s="73"/>
      <c r="G761" s="73"/>
      <c r="H761" s="73"/>
      <c r="J761" s="73"/>
    </row>
    <row r="762" spans="1:10" ht="15.75" customHeight="1">
      <c r="A762" s="73"/>
      <c r="B762" s="73"/>
      <c r="C762" s="73"/>
      <c r="D762" s="73"/>
      <c r="E762" s="73"/>
      <c r="F762" s="73"/>
      <c r="G762" s="73"/>
      <c r="H762" s="73"/>
      <c r="J762" s="73"/>
    </row>
    <row r="763" spans="1:10" ht="15.75" customHeight="1">
      <c r="A763" s="73"/>
      <c r="B763" s="73"/>
      <c r="C763" s="73"/>
      <c r="D763" s="73"/>
      <c r="E763" s="73"/>
      <c r="F763" s="73"/>
      <c r="G763" s="73"/>
      <c r="H763" s="73"/>
      <c r="J763" s="73"/>
    </row>
    <row r="764" spans="1:10" ht="15.75" customHeight="1">
      <c r="A764" s="73"/>
      <c r="B764" s="73"/>
      <c r="C764" s="73"/>
      <c r="D764" s="73"/>
      <c r="E764" s="73"/>
      <c r="F764" s="73"/>
      <c r="G764" s="73"/>
      <c r="H764" s="73"/>
      <c r="J764" s="73"/>
    </row>
    <row r="765" spans="1:10" ht="15.75" customHeight="1">
      <c r="A765" s="73"/>
      <c r="B765" s="73"/>
      <c r="C765" s="73"/>
      <c r="D765" s="73"/>
      <c r="E765" s="73"/>
      <c r="F765" s="73"/>
      <c r="G765" s="73"/>
      <c r="H765" s="73"/>
      <c r="J765" s="73"/>
    </row>
    <row r="766" spans="1:10" ht="15.75" customHeight="1">
      <c r="A766" s="73"/>
      <c r="B766" s="73"/>
      <c r="C766" s="73"/>
      <c r="D766" s="73"/>
      <c r="E766" s="73"/>
      <c r="F766" s="73"/>
      <c r="G766" s="73"/>
      <c r="H766" s="73"/>
      <c r="J766" s="73"/>
    </row>
    <row r="767" spans="1:10" ht="15.75" customHeight="1">
      <c r="A767" s="73"/>
      <c r="B767" s="73"/>
      <c r="C767" s="73"/>
      <c r="D767" s="73"/>
      <c r="E767" s="73"/>
      <c r="F767" s="73"/>
      <c r="G767" s="73"/>
      <c r="H767" s="73"/>
      <c r="J767" s="73"/>
    </row>
    <row r="768" spans="1:10" ht="15.75" customHeight="1">
      <c r="A768" s="73"/>
      <c r="B768" s="73"/>
      <c r="C768" s="73"/>
      <c r="D768" s="73"/>
      <c r="E768" s="73"/>
      <c r="F768" s="73"/>
      <c r="G768" s="73"/>
      <c r="H768" s="73"/>
      <c r="J768" s="73"/>
    </row>
    <row r="769" spans="1:10" ht="15.75" customHeight="1">
      <c r="A769" s="73"/>
      <c r="B769" s="73"/>
      <c r="C769" s="73"/>
      <c r="D769" s="73"/>
      <c r="E769" s="73"/>
      <c r="F769" s="73"/>
      <c r="G769" s="73"/>
      <c r="H769" s="73"/>
      <c r="J769" s="73"/>
    </row>
    <row r="770" spans="1:10" ht="15.75" customHeight="1">
      <c r="A770" s="73"/>
      <c r="B770" s="73"/>
      <c r="C770" s="73"/>
      <c r="D770" s="73"/>
      <c r="E770" s="73"/>
      <c r="F770" s="73"/>
      <c r="G770" s="73"/>
      <c r="H770" s="73"/>
      <c r="J770" s="73"/>
    </row>
    <row r="771" spans="1:10" ht="15.75" customHeight="1">
      <c r="A771" s="73"/>
      <c r="B771" s="73"/>
      <c r="C771" s="73"/>
      <c r="D771" s="73"/>
      <c r="E771" s="73"/>
      <c r="F771" s="73"/>
      <c r="G771" s="73"/>
      <c r="H771" s="73"/>
      <c r="J771" s="73"/>
    </row>
    <row r="772" spans="1:10" ht="15.75" customHeight="1">
      <c r="A772" s="73"/>
      <c r="B772" s="73"/>
      <c r="C772" s="73"/>
      <c r="D772" s="73"/>
      <c r="E772" s="73"/>
      <c r="F772" s="73"/>
      <c r="G772" s="73"/>
      <c r="H772" s="73"/>
      <c r="J772" s="73"/>
    </row>
    <row r="773" spans="1:10" ht="15.75" customHeight="1">
      <c r="A773" s="73"/>
      <c r="B773" s="73"/>
      <c r="C773" s="73"/>
      <c r="D773" s="73"/>
      <c r="E773" s="73"/>
      <c r="F773" s="73"/>
      <c r="G773" s="73"/>
      <c r="H773" s="73"/>
      <c r="J773" s="73"/>
    </row>
    <row r="774" spans="1:10" ht="15.75" customHeight="1">
      <c r="A774" s="73"/>
      <c r="B774" s="73"/>
      <c r="C774" s="73"/>
      <c r="D774" s="73"/>
      <c r="E774" s="73"/>
      <c r="F774" s="73"/>
      <c r="G774" s="73"/>
      <c r="H774" s="73"/>
      <c r="J774" s="73"/>
    </row>
    <row r="775" spans="1:10" ht="15.75" customHeight="1">
      <c r="A775" s="73"/>
      <c r="B775" s="73"/>
      <c r="C775" s="73"/>
      <c r="D775" s="73"/>
      <c r="E775" s="73"/>
      <c r="F775" s="73"/>
      <c r="G775" s="73"/>
      <c r="H775" s="73"/>
      <c r="J775" s="73"/>
    </row>
    <row r="776" spans="1:10" ht="15.75" customHeight="1">
      <c r="A776" s="73"/>
      <c r="B776" s="73"/>
      <c r="C776" s="73"/>
      <c r="D776" s="73"/>
      <c r="E776" s="73"/>
      <c r="F776" s="73"/>
      <c r="G776" s="73"/>
      <c r="H776" s="73"/>
      <c r="J776" s="73"/>
    </row>
    <row r="777" spans="1:10" ht="15.75" customHeight="1">
      <c r="A777" s="73"/>
      <c r="B777" s="73"/>
      <c r="C777" s="73"/>
      <c r="D777" s="73"/>
      <c r="E777" s="73"/>
      <c r="F777" s="73"/>
      <c r="G777" s="73"/>
      <c r="H777" s="73"/>
      <c r="J777" s="73"/>
    </row>
    <row r="778" spans="1:10" ht="15.75" customHeight="1">
      <c r="A778" s="73"/>
      <c r="B778" s="73"/>
      <c r="C778" s="73"/>
      <c r="D778" s="73"/>
      <c r="E778" s="73"/>
      <c r="F778" s="73"/>
      <c r="G778" s="73"/>
      <c r="H778" s="73"/>
      <c r="J778" s="73"/>
    </row>
    <row r="779" spans="1:10" ht="15.75" customHeight="1">
      <c r="A779" s="73"/>
      <c r="B779" s="73"/>
      <c r="C779" s="73"/>
      <c r="D779" s="73"/>
      <c r="E779" s="73"/>
      <c r="F779" s="73"/>
      <c r="G779" s="73"/>
      <c r="H779" s="73"/>
      <c r="J779" s="73"/>
    </row>
    <row r="780" spans="1:10" ht="15.75" customHeight="1">
      <c r="A780" s="73"/>
      <c r="B780" s="73"/>
      <c r="C780" s="73"/>
      <c r="D780" s="73"/>
      <c r="E780" s="73"/>
      <c r="F780" s="73"/>
      <c r="G780" s="73"/>
      <c r="H780" s="73"/>
      <c r="J780" s="73"/>
    </row>
    <row r="781" spans="1:10" ht="15.75" customHeight="1">
      <c r="A781" s="73"/>
      <c r="B781" s="73"/>
      <c r="C781" s="73"/>
      <c r="D781" s="73"/>
      <c r="E781" s="73"/>
      <c r="F781" s="73"/>
      <c r="G781" s="73"/>
      <c r="H781" s="73"/>
      <c r="J781" s="73"/>
    </row>
    <row r="782" spans="1:10" ht="15.75" customHeight="1">
      <c r="A782" s="73"/>
      <c r="B782" s="73"/>
      <c r="C782" s="73"/>
      <c r="D782" s="73"/>
      <c r="E782" s="73"/>
      <c r="F782" s="73"/>
      <c r="G782" s="73"/>
      <c r="H782" s="73"/>
      <c r="J782" s="73"/>
    </row>
    <row r="783" spans="1:10" ht="15.75" customHeight="1">
      <c r="A783" s="73"/>
      <c r="B783" s="73"/>
      <c r="C783" s="73"/>
      <c r="D783" s="73"/>
      <c r="E783" s="73"/>
      <c r="F783" s="73"/>
      <c r="G783" s="73"/>
      <c r="H783" s="73"/>
      <c r="J783" s="73"/>
    </row>
    <row r="784" spans="1:10" ht="15.75" customHeight="1">
      <c r="A784" s="73"/>
      <c r="B784" s="73"/>
      <c r="C784" s="73"/>
      <c r="D784" s="73"/>
      <c r="E784" s="73"/>
      <c r="F784" s="73"/>
      <c r="G784" s="73"/>
      <c r="H784" s="73"/>
      <c r="J784" s="73"/>
    </row>
    <row r="785" spans="1:10" ht="15.75" customHeight="1">
      <c r="A785" s="73"/>
      <c r="B785" s="73"/>
      <c r="C785" s="73"/>
      <c r="D785" s="73"/>
      <c r="E785" s="73"/>
      <c r="F785" s="73"/>
      <c r="G785" s="73"/>
      <c r="H785" s="73"/>
      <c r="J785" s="73"/>
    </row>
    <row r="786" spans="1:10" ht="15.75" customHeight="1">
      <c r="A786" s="73"/>
      <c r="B786" s="73"/>
      <c r="C786" s="73"/>
      <c r="D786" s="73"/>
      <c r="E786" s="73"/>
      <c r="F786" s="73"/>
      <c r="G786" s="73"/>
      <c r="H786" s="73"/>
      <c r="J786" s="73"/>
    </row>
    <row r="787" spans="1:10" ht="15.75" customHeight="1">
      <c r="A787" s="73"/>
      <c r="B787" s="73"/>
      <c r="C787" s="73"/>
      <c r="D787" s="73"/>
      <c r="E787" s="73"/>
      <c r="F787" s="73"/>
      <c r="G787" s="73"/>
      <c r="H787" s="73"/>
      <c r="J787" s="73"/>
    </row>
    <row r="788" spans="1:10" ht="15.75" customHeight="1">
      <c r="A788" s="73"/>
      <c r="B788" s="73"/>
      <c r="C788" s="73"/>
      <c r="D788" s="73"/>
      <c r="E788" s="73"/>
      <c r="F788" s="73"/>
      <c r="G788" s="73"/>
      <c r="H788" s="73"/>
      <c r="J788" s="73"/>
    </row>
    <row r="789" spans="1:10" ht="15.75" customHeight="1">
      <c r="A789" s="73"/>
      <c r="B789" s="73"/>
      <c r="C789" s="73"/>
      <c r="D789" s="73"/>
      <c r="E789" s="73"/>
      <c r="F789" s="73"/>
      <c r="G789" s="73"/>
      <c r="H789" s="73"/>
      <c r="J789" s="73"/>
    </row>
    <row r="790" spans="1:10" ht="15.75" customHeight="1">
      <c r="A790" s="73"/>
      <c r="B790" s="73"/>
      <c r="C790" s="73"/>
      <c r="D790" s="73"/>
      <c r="E790" s="73"/>
      <c r="F790" s="73"/>
      <c r="G790" s="73"/>
      <c r="H790" s="73"/>
      <c r="J790" s="73"/>
    </row>
    <row r="791" spans="1:10" ht="15.75" customHeight="1">
      <c r="A791" s="73"/>
      <c r="B791" s="73"/>
      <c r="C791" s="73"/>
      <c r="D791" s="73"/>
      <c r="E791" s="73"/>
      <c r="F791" s="73"/>
      <c r="G791" s="73"/>
      <c r="H791" s="73"/>
      <c r="J791" s="73"/>
    </row>
    <row r="792" spans="1:10" ht="15.75" customHeight="1">
      <c r="A792" s="73"/>
      <c r="B792" s="73"/>
      <c r="C792" s="73"/>
      <c r="D792" s="73"/>
      <c r="E792" s="73"/>
      <c r="F792" s="73"/>
      <c r="G792" s="73"/>
      <c r="H792" s="73"/>
      <c r="J792" s="73"/>
    </row>
    <row r="793" spans="1:10" ht="15.75" customHeight="1">
      <c r="A793" s="73"/>
      <c r="B793" s="73"/>
      <c r="C793" s="73"/>
      <c r="D793" s="73"/>
      <c r="E793" s="73"/>
      <c r="F793" s="73"/>
      <c r="G793" s="73"/>
      <c r="H793" s="73"/>
      <c r="J793" s="73"/>
    </row>
    <row r="794" spans="1:10" ht="15.75" customHeight="1">
      <c r="A794" s="73"/>
      <c r="B794" s="73"/>
      <c r="C794" s="73"/>
      <c r="D794" s="73"/>
      <c r="E794" s="73"/>
      <c r="F794" s="73"/>
      <c r="G794" s="73"/>
      <c r="H794" s="73"/>
      <c r="J794" s="73"/>
    </row>
    <row r="795" spans="1:10" ht="15.75" customHeight="1">
      <c r="A795" s="73"/>
      <c r="B795" s="73"/>
      <c r="C795" s="73"/>
      <c r="D795" s="73"/>
      <c r="E795" s="73"/>
      <c r="F795" s="73"/>
      <c r="G795" s="73"/>
      <c r="H795" s="73"/>
      <c r="J795" s="73"/>
    </row>
    <row r="796" spans="1:10" ht="15.75" customHeight="1">
      <c r="A796" s="73"/>
      <c r="B796" s="73"/>
      <c r="C796" s="73"/>
      <c r="D796" s="73"/>
      <c r="E796" s="73"/>
      <c r="F796" s="73"/>
      <c r="G796" s="73"/>
      <c r="H796" s="73"/>
      <c r="J796" s="73"/>
    </row>
    <row r="797" spans="1:10" ht="15.75" customHeight="1">
      <c r="A797" s="73"/>
      <c r="B797" s="73"/>
      <c r="C797" s="73"/>
      <c r="D797" s="73"/>
      <c r="E797" s="73"/>
      <c r="F797" s="73"/>
      <c r="G797" s="73"/>
      <c r="H797" s="73"/>
      <c r="J797" s="73"/>
    </row>
    <row r="798" spans="1:10" ht="15.75" customHeight="1">
      <c r="A798" s="73"/>
      <c r="B798" s="73"/>
      <c r="C798" s="73"/>
      <c r="D798" s="73"/>
      <c r="E798" s="73"/>
      <c r="F798" s="73"/>
      <c r="G798" s="73"/>
      <c r="H798" s="73"/>
      <c r="J798" s="73"/>
    </row>
    <row r="799" spans="1:10" ht="15.75" customHeight="1">
      <c r="A799" s="73"/>
      <c r="B799" s="73"/>
      <c r="C799" s="73"/>
      <c r="D799" s="73"/>
      <c r="E799" s="73"/>
      <c r="F799" s="73"/>
      <c r="G799" s="73"/>
      <c r="H799" s="73"/>
      <c r="J799" s="73"/>
    </row>
    <row r="800" spans="1:10" ht="15.75" customHeight="1">
      <c r="A800" s="73"/>
      <c r="B800" s="73"/>
      <c r="C800" s="73"/>
      <c r="D800" s="73"/>
      <c r="E800" s="73"/>
      <c r="F800" s="73"/>
      <c r="G800" s="73"/>
      <c r="H800" s="73"/>
      <c r="J800" s="73"/>
    </row>
    <row r="801" spans="1:10" ht="15.75" customHeight="1">
      <c r="A801" s="73"/>
      <c r="B801" s="73"/>
      <c r="C801" s="73"/>
      <c r="D801" s="73"/>
      <c r="E801" s="73"/>
      <c r="F801" s="73"/>
      <c r="G801" s="73"/>
      <c r="H801" s="73"/>
      <c r="J801" s="73"/>
    </row>
    <row r="802" spans="1:10" ht="15.75" customHeight="1">
      <c r="A802" s="73"/>
      <c r="B802" s="73"/>
      <c r="C802" s="73"/>
      <c r="D802" s="73"/>
      <c r="E802" s="73"/>
      <c r="F802" s="73"/>
      <c r="G802" s="73"/>
      <c r="H802" s="73"/>
      <c r="J802" s="73"/>
    </row>
    <row r="803" spans="1:10" ht="15.75" customHeight="1">
      <c r="A803" s="73"/>
      <c r="B803" s="73"/>
      <c r="C803" s="73"/>
      <c r="D803" s="73"/>
      <c r="E803" s="73"/>
      <c r="F803" s="73"/>
      <c r="G803" s="73"/>
      <c r="H803" s="73"/>
      <c r="J803" s="73"/>
    </row>
    <row r="804" spans="1:10" ht="15.75" customHeight="1">
      <c r="A804" s="73"/>
      <c r="B804" s="73"/>
      <c r="C804" s="73"/>
      <c r="D804" s="73"/>
      <c r="E804" s="73"/>
      <c r="F804" s="73"/>
      <c r="G804" s="73"/>
      <c r="H804" s="73"/>
      <c r="J804" s="73"/>
    </row>
    <row r="805" spans="1:10" ht="15.75" customHeight="1">
      <c r="A805" s="73"/>
      <c r="B805" s="73"/>
      <c r="C805" s="73"/>
      <c r="D805" s="73"/>
      <c r="E805" s="73"/>
      <c r="F805" s="73"/>
      <c r="G805" s="73"/>
      <c r="H805" s="73"/>
      <c r="J805" s="73"/>
    </row>
    <row r="806" spans="1:10" ht="15.75" customHeight="1">
      <c r="A806" s="73"/>
      <c r="B806" s="73"/>
      <c r="C806" s="73"/>
      <c r="D806" s="73"/>
      <c r="E806" s="73"/>
      <c r="F806" s="73"/>
      <c r="G806" s="73"/>
      <c r="H806" s="73"/>
      <c r="J806" s="73"/>
    </row>
    <row r="807" spans="1:10" ht="15.75" customHeight="1">
      <c r="A807" s="73"/>
      <c r="B807" s="73"/>
      <c r="C807" s="73"/>
      <c r="D807" s="73"/>
      <c r="E807" s="73"/>
      <c r="F807" s="73"/>
      <c r="G807" s="73"/>
      <c r="H807" s="73"/>
      <c r="J807" s="73"/>
    </row>
    <row r="808" spans="1:10" ht="15.75" customHeight="1">
      <c r="A808" s="73"/>
      <c r="B808" s="73"/>
      <c r="C808" s="73"/>
      <c r="D808" s="73"/>
      <c r="E808" s="73"/>
      <c r="F808" s="73"/>
      <c r="G808" s="73"/>
      <c r="H808" s="73"/>
      <c r="J808" s="73"/>
    </row>
    <row r="809" spans="1:10" ht="15.75" customHeight="1">
      <c r="A809" s="73"/>
      <c r="B809" s="73"/>
      <c r="C809" s="73"/>
      <c r="D809" s="73"/>
      <c r="E809" s="73"/>
      <c r="F809" s="73"/>
      <c r="G809" s="73"/>
      <c r="H809" s="73"/>
      <c r="J809" s="73"/>
    </row>
    <row r="810" spans="1:10" ht="15.75" customHeight="1">
      <c r="A810" s="73"/>
      <c r="B810" s="73"/>
      <c r="C810" s="73"/>
      <c r="D810" s="73"/>
      <c r="E810" s="73"/>
      <c r="F810" s="73"/>
      <c r="G810" s="73"/>
      <c r="H810" s="73"/>
      <c r="J810" s="73"/>
    </row>
    <row r="811" spans="1:10" ht="15.75" customHeight="1">
      <c r="A811" s="73"/>
      <c r="B811" s="73"/>
      <c r="C811" s="73"/>
      <c r="D811" s="73"/>
      <c r="E811" s="73"/>
      <c r="F811" s="73"/>
      <c r="G811" s="73"/>
      <c r="H811" s="73"/>
      <c r="J811" s="73"/>
    </row>
    <row r="812" spans="1:10" ht="15.75" customHeight="1">
      <c r="A812" s="73"/>
      <c r="B812" s="73"/>
      <c r="C812" s="73"/>
      <c r="D812" s="73"/>
      <c r="E812" s="73"/>
      <c r="F812" s="73"/>
      <c r="G812" s="73"/>
      <c r="H812" s="73"/>
      <c r="J812" s="73"/>
    </row>
    <row r="813" spans="1:10" ht="15.75" customHeight="1">
      <c r="A813" s="73"/>
      <c r="B813" s="73"/>
      <c r="C813" s="73"/>
      <c r="D813" s="73"/>
      <c r="E813" s="73"/>
      <c r="F813" s="73"/>
      <c r="G813" s="73"/>
      <c r="H813" s="73"/>
      <c r="J813" s="73"/>
    </row>
    <row r="814" spans="1:10" ht="15.75" customHeight="1">
      <c r="A814" s="73"/>
      <c r="B814" s="73"/>
      <c r="C814" s="73"/>
      <c r="D814" s="73"/>
      <c r="E814" s="73"/>
      <c r="F814" s="73"/>
      <c r="G814" s="73"/>
      <c r="H814" s="73"/>
      <c r="J814" s="73"/>
    </row>
    <row r="815" spans="1:10" ht="15.75" customHeight="1">
      <c r="A815" s="73"/>
      <c r="B815" s="73"/>
      <c r="C815" s="73"/>
      <c r="D815" s="73"/>
      <c r="E815" s="73"/>
      <c r="F815" s="73"/>
      <c r="G815" s="73"/>
      <c r="H815" s="73"/>
      <c r="J815" s="73"/>
    </row>
    <row r="816" spans="1:10" ht="15.75" customHeight="1">
      <c r="A816" s="73"/>
      <c r="B816" s="73"/>
      <c r="C816" s="73"/>
      <c r="D816" s="73"/>
      <c r="E816" s="73"/>
      <c r="F816" s="73"/>
      <c r="G816" s="73"/>
      <c r="H816" s="73"/>
      <c r="J816" s="73"/>
    </row>
    <row r="817" spans="1:10" ht="15.75" customHeight="1">
      <c r="A817" s="73"/>
      <c r="B817" s="73"/>
      <c r="C817" s="73"/>
      <c r="D817" s="73"/>
      <c r="E817" s="73"/>
      <c r="F817" s="73"/>
      <c r="G817" s="73"/>
      <c r="H817" s="73"/>
      <c r="J817" s="73"/>
    </row>
    <row r="818" spans="1:10" ht="15.75" customHeight="1">
      <c r="A818" s="73"/>
      <c r="B818" s="73"/>
      <c r="C818" s="73"/>
      <c r="D818" s="73"/>
      <c r="E818" s="73"/>
      <c r="F818" s="73"/>
      <c r="G818" s="73"/>
      <c r="H818" s="73"/>
      <c r="J818" s="73"/>
    </row>
    <row r="819" spans="1:10" ht="15.75" customHeight="1">
      <c r="A819" s="73"/>
      <c r="B819" s="73"/>
      <c r="C819" s="73"/>
      <c r="D819" s="73"/>
      <c r="E819" s="73"/>
      <c r="F819" s="73"/>
      <c r="G819" s="73"/>
      <c r="H819" s="73"/>
      <c r="J819" s="73"/>
    </row>
    <row r="820" spans="1:10" ht="15.75" customHeight="1">
      <c r="A820" s="73"/>
      <c r="B820" s="73"/>
      <c r="C820" s="73"/>
      <c r="D820" s="73"/>
      <c r="E820" s="73"/>
      <c r="F820" s="73"/>
      <c r="G820" s="73"/>
      <c r="H820" s="73"/>
      <c r="J820" s="73"/>
    </row>
    <row r="821" spans="1:10" ht="15.75" customHeight="1">
      <c r="A821" s="73"/>
      <c r="B821" s="73"/>
      <c r="C821" s="73"/>
      <c r="D821" s="73"/>
      <c r="E821" s="73"/>
      <c r="F821" s="73"/>
      <c r="G821" s="73"/>
      <c r="H821" s="73"/>
      <c r="J821" s="73"/>
    </row>
    <row r="822" spans="1:10" ht="15.75" customHeight="1">
      <c r="A822" s="73"/>
      <c r="B822" s="73"/>
      <c r="C822" s="73"/>
      <c r="D822" s="73"/>
      <c r="E822" s="73"/>
      <c r="F822" s="73"/>
      <c r="G822" s="73"/>
      <c r="H822" s="73"/>
      <c r="J822" s="73"/>
    </row>
    <row r="823" spans="1:10" ht="15.75" customHeight="1">
      <c r="A823" s="73"/>
      <c r="B823" s="73"/>
      <c r="C823" s="73"/>
      <c r="D823" s="73"/>
      <c r="E823" s="73"/>
      <c r="F823" s="73"/>
      <c r="G823" s="73"/>
      <c r="H823" s="73"/>
      <c r="J823" s="73"/>
    </row>
    <row r="824" spans="1:10" ht="15.75" customHeight="1">
      <c r="A824" s="73"/>
      <c r="B824" s="73"/>
      <c r="C824" s="73"/>
      <c r="D824" s="73"/>
      <c r="E824" s="73"/>
      <c r="F824" s="73"/>
      <c r="G824" s="73"/>
      <c r="H824" s="73"/>
      <c r="J824" s="73"/>
    </row>
    <row r="825" spans="1:10" ht="15.75" customHeight="1">
      <c r="A825" s="73"/>
      <c r="B825" s="73"/>
      <c r="C825" s="73"/>
      <c r="D825" s="73"/>
      <c r="E825" s="73"/>
      <c r="F825" s="73"/>
      <c r="G825" s="73"/>
      <c r="H825" s="73"/>
      <c r="J825" s="73"/>
    </row>
    <row r="826" spans="1:10" ht="15.75" customHeight="1">
      <c r="A826" s="73"/>
      <c r="B826" s="73"/>
      <c r="C826" s="73"/>
      <c r="D826" s="73"/>
      <c r="E826" s="73"/>
      <c r="F826" s="73"/>
      <c r="G826" s="73"/>
      <c r="H826" s="73"/>
      <c r="J826" s="73"/>
    </row>
    <row r="827" spans="1:10" ht="15.75" customHeight="1">
      <c r="A827" s="73"/>
      <c r="B827" s="73"/>
      <c r="C827" s="73"/>
      <c r="D827" s="73"/>
      <c r="E827" s="73"/>
      <c r="F827" s="73"/>
      <c r="G827" s="73"/>
      <c r="H827" s="73"/>
      <c r="J827" s="73"/>
    </row>
    <row r="828" spans="1:10" ht="15.75" customHeight="1">
      <c r="A828" s="73"/>
      <c r="B828" s="73"/>
      <c r="C828" s="73"/>
      <c r="D828" s="73"/>
      <c r="E828" s="73"/>
      <c r="F828" s="73"/>
      <c r="G828" s="73"/>
      <c r="H828" s="73"/>
      <c r="J828" s="73"/>
    </row>
    <row r="829" spans="1:10" ht="15.75" customHeight="1">
      <c r="A829" s="73"/>
      <c r="B829" s="73"/>
      <c r="C829" s="73"/>
      <c r="D829" s="73"/>
      <c r="E829" s="73"/>
      <c r="F829" s="73"/>
      <c r="G829" s="73"/>
      <c r="H829" s="73"/>
      <c r="J829" s="73"/>
    </row>
    <row r="830" spans="1:10" ht="15.75" customHeight="1">
      <c r="A830" s="73"/>
      <c r="B830" s="73"/>
      <c r="C830" s="73"/>
      <c r="D830" s="73"/>
      <c r="E830" s="73"/>
      <c r="F830" s="73"/>
      <c r="G830" s="73"/>
      <c r="H830" s="73"/>
      <c r="J830" s="73"/>
    </row>
    <row r="831" spans="1:10" ht="15.75" customHeight="1">
      <c r="A831" s="73"/>
      <c r="B831" s="73"/>
      <c r="C831" s="73"/>
      <c r="D831" s="73"/>
      <c r="E831" s="73"/>
      <c r="F831" s="73"/>
      <c r="G831" s="73"/>
      <c r="H831" s="73"/>
      <c r="J831" s="73"/>
    </row>
    <row r="832" spans="1:10" ht="15.75" customHeight="1">
      <c r="A832" s="73"/>
      <c r="B832" s="73"/>
      <c r="C832" s="73"/>
      <c r="D832" s="73"/>
      <c r="E832" s="73"/>
      <c r="F832" s="73"/>
      <c r="G832" s="73"/>
      <c r="H832" s="73"/>
      <c r="J832" s="73"/>
    </row>
    <row r="833" spans="1:10" ht="15.75" customHeight="1">
      <c r="A833" s="73"/>
      <c r="B833" s="73"/>
      <c r="C833" s="73"/>
      <c r="D833" s="73"/>
      <c r="E833" s="73"/>
      <c r="F833" s="73"/>
      <c r="G833" s="73"/>
      <c r="H833" s="73"/>
      <c r="J833" s="73"/>
    </row>
    <row r="834" spans="1:10" ht="15.75" customHeight="1">
      <c r="A834" s="73"/>
      <c r="B834" s="73"/>
      <c r="C834" s="73"/>
      <c r="D834" s="73"/>
      <c r="E834" s="73"/>
      <c r="F834" s="73"/>
      <c r="G834" s="73"/>
      <c r="H834" s="73"/>
      <c r="J834" s="73"/>
    </row>
    <row r="835" spans="1:10" ht="15.75" customHeight="1">
      <c r="A835" s="73"/>
      <c r="B835" s="73"/>
      <c r="C835" s="73"/>
      <c r="D835" s="73"/>
      <c r="E835" s="73"/>
      <c r="F835" s="73"/>
      <c r="G835" s="73"/>
      <c r="H835" s="73"/>
      <c r="J835" s="73"/>
    </row>
    <row r="836" spans="1:10" ht="15.75" customHeight="1">
      <c r="A836" s="73"/>
      <c r="B836" s="73"/>
      <c r="C836" s="73"/>
      <c r="D836" s="73"/>
      <c r="E836" s="73"/>
      <c r="F836" s="73"/>
      <c r="G836" s="73"/>
      <c r="H836" s="73"/>
      <c r="J836" s="73"/>
    </row>
    <row r="837" spans="1:10" ht="15.75" customHeight="1">
      <c r="A837" s="73"/>
      <c r="B837" s="73"/>
      <c r="C837" s="73"/>
      <c r="D837" s="73"/>
      <c r="E837" s="73"/>
      <c r="F837" s="73"/>
      <c r="G837" s="73"/>
      <c r="H837" s="73"/>
      <c r="J837" s="73"/>
    </row>
    <row r="838" spans="1:10" ht="15.75" customHeight="1">
      <c r="A838" s="73"/>
      <c r="B838" s="73"/>
      <c r="C838" s="73"/>
      <c r="D838" s="73"/>
      <c r="E838" s="73"/>
      <c r="F838" s="73"/>
      <c r="G838" s="73"/>
      <c r="H838" s="73"/>
      <c r="J838" s="73"/>
    </row>
    <row r="839" spans="1:10" ht="15.75" customHeight="1">
      <c r="A839" s="73"/>
      <c r="B839" s="73"/>
      <c r="C839" s="73"/>
      <c r="D839" s="73"/>
      <c r="E839" s="73"/>
      <c r="F839" s="73"/>
      <c r="G839" s="73"/>
      <c r="H839" s="73"/>
      <c r="J839" s="73"/>
    </row>
    <row r="840" spans="1:10" ht="15.75" customHeight="1">
      <c r="A840" s="73"/>
      <c r="B840" s="73"/>
      <c r="C840" s="73"/>
      <c r="D840" s="73"/>
      <c r="E840" s="73"/>
      <c r="F840" s="73"/>
      <c r="G840" s="73"/>
      <c r="H840" s="73"/>
      <c r="J840" s="73"/>
    </row>
    <row r="841" spans="1:10" ht="15.75" customHeight="1">
      <c r="A841" s="73"/>
      <c r="B841" s="73"/>
      <c r="C841" s="73"/>
      <c r="D841" s="73"/>
      <c r="E841" s="73"/>
      <c r="F841" s="73"/>
      <c r="G841" s="73"/>
      <c r="H841" s="73"/>
      <c r="J841" s="73"/>
    </row>
    <row r="842" spans="1:10" ht="15.75" customHeight="1">
      <c r="A842" s="73"/>
      <c r="B842" s="73"/>
      <c r="C842" s="73"/>
      <c r="D842" s="73"/>
      <c r="E842" s="73"/>
      <c r="F842" s="73"/>
      <c r="G842" s="73"/>
      <c r="H842" s="73"/>
      <c r="J842" s="73"/>
    </row>
    <row r="843" spans="1:10" ht="15.75" customHeight="1">
      <c r="A843" s="73"/>
      <c r="B843" s="73"/>
      <c r="C843" s="73"/>
      <c r="D843" s="73"/>
      <c r="E843" s="73"/>
      <c r="F843" s="73"/>
      <c r="G843" s="73"/>
      <c r="H843" s="73"/>
      <c r="J843" s="73"/>
    </row>
    <row r="844" spans="1:10" ht="15.75" customHeight="1">
      <c r="A844" s="73"/>
      <c r="B844" s="73"/>
      <c r="C844" s="73"/>
      <c r="D844" s="73"/>
      <c r="E844" s="73"/>
      <c r="F844" s="73"/>
      <c r="G844" s="73"/>
      <c r="H844" s="73"/>
      <c r="J844" s="73"/>
    </row>
    <row r="845" spans="1:10" ht="15.75" customHeight="1">
      <c r="A845" s="73"/>
      <c r="B845" s="73"/>
      <c r="C845" s="73"/>
      <c r="D845" s="73"/>
      <c r="E845" s="73"/>
      <c r="F845" s="73"/>
      <c r="G845" s="73"/>
      <c r="H845" s="73"/>
      <c r="J845" s="73"/>
    </row>
    <row r="846" spans="1:10" ht="15.75" customHeight="1">
      <c r="A846" s="73"/>
      <c r="B846" s="73"/>
      <c r="C846" s="73"/>
      <c r="D846" s="73"/>
      <c r="E846" s="73"/>
      <c r="F846" s="73"/>
      <c r="G846" s="73"/>
      <c r="H846" s="73"/>
      <c r="J846" s="73"/>
    </row>
    <row r="847" spans="1:10" ht="15.75" customHeight="1">
      <c r="A847" s="73"/>
      <c r="B847" s="73"/>
      <c r="C847" s="73"/>
      <c r="D847" s="73"/>
      <c r="E847" s="73"/>
      <c r="F847" s="73"/>
      <c r="G847" s="73"/>
      <c r="H847" s="73"/>
      <c r="J847" s="73"/>
    </row>
    <row r="848" spans="1:10" ht="15.75" customHeight="1">
      <c r="A848" s="73"/>
      <c r="B848" s="73"/>
      <c r="C848" s="73"/>
      <c r="D848" s="73"/>
      <c r="E848" s="73"/>
      <c r="F848" s="73"/>
      <c r="G848" s="73"/>
      <c r="H848" s="73"/>
      <c r="J848" s="73"/>
    </row>
    <row r="849" spans="1:10" ht="15.75" customHeight="1">
      <c r="A849" s="73"/>
      <c r="B849" s="73"/>
      <c r="C849" s="73"/>
      <c r="D849" s="73"/>
      <c r="E849" s="73"/>
      <c r="F849" s="73"/>
      <c r="G849" s="73"/>
      <c r="H849" s="73"/>
      <c r="J849" s="73"/>
    </row>
    <row r="850" spans="1:10" ht="15.75" customHeight="1">
      <c r="A850" s="73"/>
      <c r="B850" s="73"/>
      <c r="C850" s="73"/>
      <c r="D850" s="73"/>
      <c r="E850" s="73"/>
      <c r="F850" s="73"/>
      <c r="G850" s="73"/>
      <c r="H850" s="73"/>
      <c r="J850" s="73"/>
    </row>
    <row r="851" spans="1:10" ht="15.75" customHeight="1">
      <c r="A851" s="73"/>
      <c r="B851" s="73"/>
      <c r="C851" s="73"/>
      <c r="D851" s="73"/>
      <c r="E851" s="73"/>
      <c r="F851" s="73"/>
      <c r="G851" s="73"/>
      <c r="H851" s="73"/>
      <c r="J851" s="73"/>
    </row>
    <row r="852" spans="1:10" ht="15.75" customHeight="1">
      <c r="A852" s="73"/>
      <c r="B852" s="73"/>
      <c r="C852" s="73"/>
      <c r="D852" s="73"/>
      <c r="E852" s="73"/>
      <c r="F852" s="73"/>
      <c r="G852" s="73"/>
      <c r="H852" s="73"/>
      <c r="J852" s="73"/>
    </row>
    <row r="853" spans="1:10" ht="15.75" customHeight="1">
      <c r="A853" s="73"/>
      <c r="B853" s="73"/>
      <c r="C853" s="73"/>
      <c r="D853" s="73"/>
      <c r="E853" s="73"/>
      <c r="F853" s="73"/>
      <c r="G853" s="73"/>
      <c r="H853" s="73"/>
      <c r="J853" s="73"/>
    </row>
    <row r="854" spans="1:10" ht="15.75" customHeight="1">
      <c r="A854" s="73"/>
      <c r="B854" s="73"/>
      <c r="C854" s="73"/>
      <c r="D854" s="73"/>
      <c r="E854" s="73"/>
      <c r="F854" s="73"/>
      <c r="G854" s="73"/>
      <c r="H854" s="73"/>
      <c r="J854" s="73"/>
    </row>
    <row r="855" spans="1:10" ht="15.75" customHeight="1">
      <c r="A855" s="73"/>
      <c r="B855" s="73"/>
      <c r="C855" s="73"/>
      <c r="D855" s="73"/>
      <c r="E855" s="73"/>
      <c r="F855" s="73"/>
      <c r="G855" s="73"/>
      <c r="H855" s="73"/>
      <c r="J855" s="73"/>
    </row>
    <row r="856" spans="1:10" ht="15.75" customHeight="1">
      <c r="A856" s="73"/>
      <c r="B856" s="73"/>
      <c r="C856" s="73"/>
      <c r="D856" s="73"/>
      <c r="E856" s="73"/>
      <c r="F856" s="73"/>
      <c r="G856" s="73"/>
      <c r="H856" s="73"/>
      <c r="J856" s="73"/>
    </row>
    <row r="857" spans="1:10" ht="15.75" customHeight="1">
      <c r="A857" s="73"/>
      <c r="B857" s="73"/>
      <c r="C857" s="73"/>
      <c r="D857" s="73"/>
      <c r="E857" s="73"/>
      <c r="F857" s="73"/>
      <c r="G857" s="73"/>
      <c r="H857" s="73"/>
      <c r="J857" s="73"/>
    </row>
    <row r="858" spans="1:10" ht="15.75" customHeight="1">
      <c r="A858" s="73"/>
      <c r="B858" s="73"/>
      <c r="C858" s="73"/>
      <c r="D858" s="73"/>
      <c r="E858" s="73"/>
      <c r="F858" s="73"/>
      <c r="G858" s="73"/>
      <c r="H858" s="73"/>
      <c r="J858" s="73"/>
    </row>
    <row r="859" spans="1:10" ht="15.75" customHeight="1">
      <c r="A859" s="73"/>
      <c r="B859" s="73"/>
      <c r="C859" s="73"/>
      <c r="D859" s="73"/>
      <c r="E859" s="73"/>
      <c r="F859" s="73"/>
      <c r="G859" s="73"/>
      <c r="H859" s="73"/>
      <c r="J859" s="73"/>
    </row>
    <row r="860" spans="1:10" ht="15.75" customHeight="1">
      <c r="A860" s="73"/>
      <c r="B860" s="73"/>
      <c r="C860" s="73"/>
      <c r="D860" s="73"/>
      <c r="E860" s="73"/>
      <c r="F860" s="73"/>
      <c r="G860" s="73"/>
      <c r="H860" s="73"/>
      <c r="J860" s="73"/>
    </row>
    <row r="861" spans="1:10" ht="15.75" customHeight="1">
      <c r="A861" s="73"/>
      <c r="B861" s="73"/>
      <c r="C861" s="73"/>
      <c r="D861" s="73"/>
      <c r="E861" s="73"/>
      <c r="F861" s="73"/>
      <c r="G861" s="73"/>
      <c r="H861" s="73"/>
      <c r="J861" s="73"/>
    </row>
    <row r="862" spans="1:10" ht="15.75" customHeight="1">
      <c r="A862" s="73"/>
      <c r="B862" s="73"/>
      <c r="C862" s="73"/>
      <c r="D862" s="73"/>
      <c r="E862" s="73"/>
      <c r="F862" s="73"/>
      <c r="G862" s="73"/>
      <c r="H862" s="73"/>
      <c r="J862" s="73"/>
    </row>
    <row r="863" spans="1:10" ht="15.75" customHeight="1">
      <c r="A863" s="73"/>
      <c r="B863" s="73"/>
      <c r="C863" s="73"/>
      <c r="D863" s="73"/>
      <c r="E863" s="73"/>
      <c r="F863" s="73"/>
      <c r="G863" s="73"/>
      <c r="H863" s="73"/>
      <c r="J863" s="73"/>
    </row>
    <row r="864" spans="1:10" ht="15.75" customHeight="1">
      <c r="A864" s="73"/>
      <c r="B864" s="73"/>
      <c r="C864" s="73"/>
      <c r="D864" s="73"/>
      <c r="E864" s="73"/>
      <c r="F864" s="73"/>
      <c r="G864" s="73"/>
      <c r="H864" s="73"/>
      <c r="J864" s="73"/>
    </row>
    <row r="865" spans="1:10" ht="15.75" customHeight="1">
      <c r="A865" s="73"/>
      <c r="B865" s="73"/>
      <c r="C865" s="73"/>
      <c r="D865" s="73"/>
      <c r="E865" s="73"/>
      <c r="F865" s="73"/>
      <c r="G865" s="73"/>
      <c r="H865" s="73"/>
      <c r="J865" s="73"/>
    </row>
    <row r="866" spans="1:10" ht="15.75" customHeight="1">
      <c r="A866" s="73"/>
      <c r="B866" s="73"/>
      <c r="C866" s="73"/>
      <c r="D866" s="73"/>
      <c r="E866" s="73"/>
      <c r="F866" s="73"/>
      <c r="G866" s="73"/>
      <c r="H866" s="73"/>
      <c r="J866" s="73"/>
    </row>
    <row r="867" spans="1:10" ht="15.75" customHeight="1">
      <c r="A867" s="73"/>
      <c r="B867" s="73"/>
      <c r="C867" s="73"/>
      <c r="D867" s="73"/>
      <c r="E867" s="73"/>
      <c r="F867" s="73"/>
      <c r="G867" s="73"/>
      <c r="H867" s="73"/>
      <c r="J867" s="73"/>
    </row>
    <row r="868" spans="1:10" ht="15.75" customHeight="1">
      <c r="A868" s="73"/>
      <c r="B868" s="73"/>
      <c r="C868" s="73"/>
      <c r="D868" s="73"/>
      <c r="E868" s="73"/>
      <c r="F868" s="73"/>
      <c r="G868" s="73"/>
      <c r="H868" s="73"/>
      <c r="J868" s="73"/>
    </row>
    <row r="869" spans="1:10" ht="15.75" customHeight="1">
      <c r="A869" s="73"/>
      <c r="B869" s="73"/>
      <c r="C869" s="73"/>
      <c r="D869" s="73"/>
      <c r="E869" s="73"/>
      <c r="F869" s="73"/>
      <c r="G869" s="73"/>
      <c r="H869" s="73"/>
      <c r="J869" s="73"/>
    </row>
    <row r="870" spans="1:10" ht="15.75" customHeight="1">
      <c r="A870" s="73"/>
      <c r="B870" s="73"/>
      <c r="C870" s="73"/>
      <c r="D870" s="73"/>
      <c r="E870" s="73"/>
      <c r="F870" s="73"/>
      <c r="G870" s="73"/>
      <c r="H870" s="73"/>
      <c r="J870" s="73"/>
    </row>
    <row r="871" spans="1:10" ht="15.75" customHeight="1">
      <c r="A871" s="73"/>
      <c r="B871" s="73"/>
      <c r="C871" s="73"/>
      <c r="D871" s="73"/>
      <c r="E871" s="73"/>
      <c r="F871" s="73"/>
      <c r="G871" s="73"/>
      <c r="H871" s="73"/>
      <c r="J871" s="73"/>
    </row>
    <row r="872" spans="1:10" ht="15.75" customHeight="1">
      <c r="A872" s="73"/>
      <c r="B872" s="73"/>
      <c r="C872" s="73"/>
      <c r="D872" s="73"/>
      <c r="E872" s="73"/>
      <c r="F872" s="73"/>
      <c r="G872" s="73"/>
      <c r="H872" s="73"/>
      <c r="J872" s="73"/>
    </row>
    <row r="873" spans="1:10" ht="15.75" customHeight="1">
      <c r="A873" s="73"/>
      <c r="B873" s="73"/>
      <c r="C873" s="73"/>
      <c r="D873" s="73"/>
      <c r="E873" s="73"/>
      <c r="F873" s="73"/>
      <c r="G873" s="73"/>
      <c r="H873" s="73"/>
      <c r="J873" s="73"/>
    </row>
    <row r="874" spans="1:10" ht="15.75" customHeight="1">
      <c r="A874" s="73"/>
      <c r="B874" s="73"/>
      <c r="C874" s="73"/>
      <c r="D874" s="73"/>
      <c r="E874" s="73"/>
      <c r="F874" s="73"/>
      <c r="G874" s="73"/>
      <c r="H874" s="73"/>
      <c r="J874" s="73"/>
    </row>
    <row r="875" spans="1:10" ht="15.75" customHeight="1">
      <c r="A875" s="73"/>
      <c r="B875" s="73"/>
      <c r="C875" s="73"/>
      <c r="D875" s="73"/>
      <c r="E875" s="73"/>
      <c r="F875" s="73"/>
      <c r="G875" s="73"/>
      <c r="H875" s="73"/>
      <c r="J875" s="73"/>
    </row>
    <row r="876" spans="1:10" ht="15.75" customHeight="1">
      <c r="A876" s="73"/>
      <c r="B876" s="73"/>
      <c r="C876" s="73"/>
      <c r="D876" s="73"/>
      <c r="E876" s="73"/>
      <c r="F876" s="73"/>
      <c r="G876" s="73"/>
      <c r="H876" s="73"/>
      <c r="J876" s="73"/>
    </row>
    <row r="877" spans="1:10" ht="15.75" customHeight="1">
      <c r="A877" s="73"/>
      <c r="B877" s="73"/>
      <c r="C877" s="73"/>
      <c r="D877" s="73"/>
      <c r="E877" s="73"/>
      <c r="F877" s="73"/>
      <c r="G877" s="73"/>
      <c r="H877" s="73"/>
      <c r="J877" s="73"/>
    </row>
    <row r="878" spans="1:10" ht="15.75" customHeight="1">
      <c r="A878" s="73"/>
      <c r="B878" s="73"/>
      <c r="C878" s="73"/>
      <c r="D878" s="73"/>
      <c r="E878" s="73"/>
      <c r="F878" s="73"/>
      <c r="G878" s="73"/>
      <c r="H878" s="73"/>
      <c r="J878" s="73"/>
    </row>
    <row r="879" spans="1:10" ht="15.75" customHeight="1">
      <c r="A879" s="73"/>
      <c r="B879" s="73"/>
      <c r="C879" s="73"/>
      <c r="D879" s="73"/>
      <c r="E879" s="73"/>
      <c r="F879" s="73"/>
      <c r="G879" s="73"/>
      <c r="H879" s="73"/>
      <c r="J879" s="73"/>
    </row>
    <row r="880" spans="1:10" ht="15.75" customHeight="1">
      <c r="A880" s="73"/>
      <c r="B880" s="73"/>
      <c r="C880" s="73"/>
      <c r="D880" s="73"/>
      <c r="E880" s="73"/>
      <c r="F880" s="73"/>
      <c r="G880" s="73"/>
      <c r="H880" s="73"/>
      <c r="J880" s="73"/>
    </row>
    <row r="881" spans="1:10" ht="15.75" customHeight="1">
      <c r="A881" s="73"/>
      <c r="B881" s="73"/>
      <c r="C881" s="73"/>
      <c r="D881" s="73"/>
      <c r="E881" s="73"/>
      <c r="F881" s="73"/>
      <c r="G881" s="73"/>
      <c r="H881" s="73"/>
      <c r="J881" s="73"/>
    </row>
    <row r="882" spans="1:10" ht="15.75" customHeight="1">
      <c r="A882" s="73"/>
      <c r="B882" s="73"/>
      <c r="C882" s="73"/>
      <c r="D882" s="73"/>
      <c r="E882" s="73"/>
      <c r="F882" s="73"/>
      <c r="G882" s="73"/>
      <c r="H882" s="73"/>
      <c r="J882" s="73"/>
    </row>
    <row r="883" spans="1:10" ht="15.75" customHeight="1">
      <c r="A883" s="73"/>
      <c r="B883" s="73"/>
      <c r="C883" s="73"/>
      <c r="D883" s="73"/>
      <c r="E883" s="73"/>
      <c r="F883" s="73"/>
      <c r="G883" s="73"/>
      <c r="H883" s="73"/>
      <c r="J883" s="73"/>
    </row>
    <row r="884" spans="1:10" ht="15.75" customHeight="1">
      <c r="A884" s="73"/>
      <c r="B884" s="73"/>
      <c r="C884" s="73"/>
      <c r="D884" s="73"/>
      <c r="E884" s="73"/>
      <c r="F884" s="73"/>
      <c r="G884" s="73"/>
      <c r="H884" s="73"/>
      <c r="J884" s="73"/>
    </row>
    <row r="885" spans="1:10" ht="15.75" customHeight="1">
      <c r="A885" s="73"/>
      <c r="B885" s="73"/>
      <c r="C885" s="73"/>
      <c r="D885" s="73"/>
      <c r="E885" s="73"/>
      <c r="F885" s="73"/>
      <c r="G885" s="73"/>
      <c r="H885" s="73"/>
      <c r="J885" s="73"/>
    </row>
    <row r="886" spans="1:10" ht="15.75" customHeight="1">
      <c r="A886" s="73"/>
      <c r="B886" s="73"/>
      <c r="C886" s="73"/>
      <c r="D886" s="73"/>
      <c r="E886" s="73"/>
      <c r="F886" s="73"/>
      <c r="G886" s="73"/>
      <c r="H886" s="73"/>
      <c r="J886" s="73"/>
    </row>
    <row r="887" spans="1:10" ht="15.75" customHeight="1">
      <c r="A887" s="73"/>
      <c r="B887" s="73"/>
      <c r="C887" s="73"/>
      <c r="D887" s="73"/>
      <c r="E887" s="73"/>
      <c r="F887" s="73"/>
      <c r="G887" s="73"/>
      <c r="H887" s="73"/>
      <c r="J887" s="73"/>
    </row>
    <row r="888" spans="1:10" ht="15.75" customHeight="1">
      <c r="A888" s="73"/>
      <c r="B888" s="73"/>
      <c r="C888" s="73"/>
      <c r="D888" s="73"/>
      <c r="E888" s="73"/>
      <c r="F888" s="73"/>
      <c r="G888" s="73"/>
      <c r="H888" s="73"/>
      <c r="J888" s="73"/>
    </row>
    <row r="889" spans="1:10" ht="15.75" customHeight="1">
      <c r="A889" s="73"/>
      <c r="B889" s="73"/>
      <c r="C889" s="73"/>
      <c r="D889" s="73"/>
      <c r="E889" s="73"/>
      <c r="F889" s="73"/>
      <c r="G889" s="73"/>
      <c r="H889" s="73"/>
      <c r="J889" s="73"/>
    </row>
    <row r="890" spans="1:10" ht="15.75" customHeight="1">
      <c r="A890" s="73"/>
      <c r="B890" s="73"/>
      <c r="C890" s="73"/>
      <c r="D890" s="73"/>
      <c r="E890" s="73"/>
      <c r="F890" s="73"/>
      <c r="G890" s="73"/>
      <c r="H890" s="73"/>
      <c r="J890" s="73"/>
    </row>
    <row r="891" spans="1:10" ht="15.75" customHeight="1">
      <c r="A891" s="73"/>
      <c r="B891" s="73"/>
      <c r="C891" s="73"/>
      <c r="D891" s="73"/>
      <c r="E891" s="73"/>
      <c r="F891" s="73"/>
      <c r="G891" s="73"/>
      <c r="H891" s="73"/>
      <c r="J891" s="73"/>
    </row>
    <row r="892" spans="1:10" ht="15.75" customHeight="1">
      <c r="A892" s="73"/>
      <c r="B892" s="73"/>
      <c r="C892" s="73"/>
      <c r="D892" s="73"/>
      <c r="E892" s="73"/>
      <c r="F892" s="73"/>
      <c r="G892" s="73"/>
      <c r="H892" s="73"/>
      <c r="J892" s="73"/>
    </row>
    <row r="893" spans="1:10" ht="15.75" customHeight="1">
      <c r="A893" s="73"/>
      <c r="B893" s="73"/>
      <c r="C893" s="73"/>
      <c r="D893" s="73"/>
      <c r="E893" s="73"/>
      <c r="F893" s="73"/>
      <c r="G893" s="73"/>
      <c r="H893" s="73"/>
      <c r="J893" s="73"/>
    </row>
    <row r="894" spans="1:10" ht="15.75" customHeight="1">
      <c r="A894" s="73"/>
      <c r="B894" s="73"/>
      <c r="C894" s="73"/>
      <c r="D894" s="73"/>
      <c r="E894" s="73"/>
      <c r="F894" s="73"/>
      <c r="G894" s="73"/>
      <c r="H894" s="73"/>
      <c r="J894" s="73"/>
    </row>
    <row r="895" spans="1:10" ht="15.75" customHeight="1">
      <c r="A895" s="73"/>
      <c r="B895" s="73"/>
      <c r="C895" s="73"/>
      <c r="D895" s="73"/>
      <c r="E895" s="73"/>
      <c r="F895" s="73"/>
      <c r="G895" s="73"/>
      <c r="H895" s="73"/>
      <c r="J895" s="73"/>
    </row>
    <row r="896" spans="1:10" ht="15.75" customHeight="1">
      <c r="A896" s="73"/>
      <c r="B896" s="73"/>
      <c r="C896" s="73"/>
      <c r="D896" s="73"/>
      <c r="E896" s="73"/>
      <c r="F896" s="73"/>
      <c r="G896" s="73"/>
      <c r="H896" s="73"/>
      <c r="J896" s="73"/>
    </row>
    <row r="897" spans="1:10" ht="15.75" customHeight="1">
      <c r="A897" s="73"/>
      <c r="B897" s="73"/>
      <c r="C897" s="73"/>
      <c r="D897" s="73"/>
      <c r="E897" s="73"/>
      <c r="F897" s="73"/>
      <c r="G897" s="73"/>
      <c r="H897" s="73"/>
      <c r="J897" s="73"/>
    </row>
    <row r="898" spans="1:10" ht="15.75" customHeight="1">
      <c r="A898" s="73"/>
      <c r="B898" s="73"/>
      <c r="C898" s="73"/>
      <c r="D898" s="73"/>
      <c r="E898" s="73"/>
      <c r="F898" s="73"/>
      <c r="G898" s="73"/>
      <c r="H898" s="73"/>
      <c r="J898" s="73"/>
    </row>
    <row r="899" spans="1:10" ht="15.75" customHeight="1">
      <c r="A899" s="73"/>
      <c r="B899" s="73"/>
      <c r="C899" s="73"/>
      <c r="D899" s="73"/>
      <c r="E899" s="73"/>
      <c r="F899" s="73"/>
      <c r="G899" s="73"/>
      <c r="H899" s="73"/>
      <c r="J899" s="73"/>
    </row>
    <row r="900" spans="1:10" ht="15.75" customHeight="1">
      <c r="A900" s="73"/>
      <c r="B900" s="73"/>
      <c r="C900" s="73"/>
      <c r="D900" s="73"/>
      <c r="E900" s="73"/>
      <c r="F900" s="73"/>
      <c r="G900" s="73"/>
      <c r="H900" s="73"/>
      <c r="J900" s="73"/>
    </row>
    <row r="901" spans="1:10" ht="15.75" customHeight="1">
      <c r="A901" s="73"/>
      <c r="B901" s="73"/>
      <c r="C901" s="73"/>
      <c r="D901" s="73"/>
      <c r="E901" s="73"/>
      <c r="F901" s="73"/>
      <c r="G901" s="73"/>
      <c r="H901" s="73"/>
      <c r="J901" s="73"/>
    </row>
    <row r="902" spans="1:10" ht="15.75" customHeight="1">
      <c r="A902" s="73"/>
      <c r="B902" s="73"/>
      <c r="C902" s="73"/>
      <c r="D902" s="73"/>
      <c r="E902" s="73"/>
      <c r="F902" s="73"/>
      <c r="G902" s="73"/>
      <c r="H902" s="73"/>
      <c r="J902" s="73"/>
    </row>
    <row r="903" spans="1:10" ht="15.75" customHeight="1">
      <c r="A903" s="73"/>
      <c r="B903" s="73"/>
      <c r="C903" s="73"/>
      <c r="D903" s="73"/>
      <c r="E903" s="73"/>
      <c r="F903" s="73"/>
      <c r="G903" s="73"/>
      <c r="H903" s="73"/>
      <c r="J903" s="73"/>
    </row>
    <row r="904" spans="1:10" ht="15.75" customHeight="1">
      <c r="A904" s="73"/>
      <c r="B904" s="73"/>
      <c r="C904" s="73"/>
      <c r="D904" s="73"/>
      <c r="E904" s="73"/>
      <c r="F904" s="73"/>
      <c r="G904" s="73"/>
      <c r="H904" s="73"/>
      <c r="J904" s="73"/>
    </row>
    <row r="905" spans="1:10" ht="15.75" customHeight="1">
      <c r="A905" s="73"/>
      <c r="B905" s="73"/>
      <c r="C905" s="73"/>
      <c r="D905" s="73"/>
      <c r="E905" s="73"/>
      <c r="F905" s="73"/>
      <c r="G905" s="73"/>
      <c r="H905" s="73"/>
      <c r="J905" s="73"/>
    </row>
    <row r="906" spans="1:10" ht="15.75" customHeight="1">
      <c r="A906" s="73"/>
      <c r="B906" s="73"/>
      <c r="C906" s="73"/>
      <c r="D906" s="73"/>
      <c r="E906" s="73"/>
      <c r="F906" s="73"/>
      <c r="G906" s="73"/>
      <c r="H906" s="73"/>
      <c r="J906" s="73"/>
    </row>
    <row r="907" spans="1:10" ht="15.75" customHeight="1">
      <c r="A907" s="73"/>
      <c r="B907" s="73"/>
      <c r="C907" s="73"/>
      <c r="D907" s="73"/>
      <c r="E907" s="73"/>
      <c r="F907" s="73"/>
      <c r="G907" s="73"/>
      <c r="H907" s="73"/>
      <c r="J907" s="73"/>
    </row>
    <row r="908" spans="1:10" ht="15.75" customHeight="1">
      <c r="A908" s="73"/>
      <c r="B908" s="73"/>
      <c r="C908" s="73"/>
      <c r="D908" s="73"/>
      <c r="E908" s="73"/>
      <c r="F908" s="73"/>
      <c r="G908" s="73"/>
      <c r="H908" s="73"/>
      <c r="J908" s="73"/>
    </row>
    <row r="909" spans="1:10" ht="15.75" customHeight="1">
      <c r="A909" s="73"/>
      <c r="B909" s="73"/>
      <c r="C909" s="73"/>
      <c r="D909" s="73"/>
      <c r="E909" s="73"/>
      <c r="F909" s="73"/>
      <c r="G909" s="73"/>
      <c r="H909" s="73"/>
      <c r="J909" s="73"/>
    </row>
    <row r="910" spans="1:10" ht="15.75" customHeight="1">
      <c r="A910" s="73"/>
      <c r="B910" s="73"/>
      <c r="C910" s="73"/>
      <c r="D910" s="73"/>
      <c r="E910" s="73"/>
      <c r="F910" s="73"/>
      <c r="G910" s="73"/>
      <c r="H910" s="73"/>
      <c r="J910" s="73"/>
    </row>
    <row r="911" spans="1:10" ht="15.75" customHeight="1">
      <c r="A911" s="73"/>
      <c r="B911" s="73"/>
      <c r="C911" s="73"/>
      <c r="D911" s="73"/>
      <c r="E911" s="73"/>
      <c r="F911" s="73"/>
      <c r="G911" s="73"/>
      <c r="H911" s="73"/>
      <c r="J911" s="73"/>
    </row>
    <row r="912" spans="1:10" ht="15.75" customHeight="1">
      <c r="A912" s="73"/>
      <c r="B912" s="73"/>
      <c r="C912" s="73"/>
      <c r="D912" s="73"/>
      <c r="E912" s="73"/>
      <c r="F912" s="73"/>
      <c r="G912" s="73"/>
      <c r="H912" s="73"/>
      <c r="J912" s="73"/>
    </row>
    <row r="913" spans="1:10" ht="15.75" customHeight="1">
      <c r="A913" s="73"/>
      <c r="B913" s="73"/>
      <c r="C913" s="73"/>
      <c r="D913" s="73"/>
      <c r="E913" s="73"/>
      <c r="F913" s="73"/>
      <c r="G913" s="73"/>
      <c r="H913" s="73"/>
      <c r="J913" s="73"/>
    </row>
    <row r="914" spans="1:10" ht="15.75" customHeight="1">
      <c r="A914" s="73"/>
      <c r="B914" s="73"/>
      <c r="C914" s="73"/>
      <c r="D914" s="73"/>
      <c r="E914" s="73"/>
      <c r="F914" s="73"/>
      <c r="G914" s="73"/>
      <c r="H914" s="73"/>
      <c r="J914" s="73"/>
    </row>
    <row r="915" spans="1:10" ht="15.75" customHeight="1">
      <c r="A915" s="73"/>
      <c r="B915" s="73"/>
      <c r="C915" s="73"/>
      <c r="D915" s="73"/>
      <c r="E915" s="73"/>
      <c r="F915" s="73"/>
      <c r="G915" s="73"/>
      <c r="H915" s="73"/>
      <c r="J915" s="73"/>
    </row>
    <row r="916" spans="1:10" ht="15.75" customHeight="1">
      <c r="A916" s="73"/>
      <c r="B916" s="73"/>
      <c r="C916" s="73"/>
      <c r="D916" s="73"/>
      <c r="E916" s="73"/>
      <c r="F916" s="73"/>
      <c r="G916" s="73"/>
      <c r="H916" s="73"/>
      <c r="J916" s="73"/>
    </row>
    <row r="917" spans="1:10" ht="15.75" customHeight="1">
      <c r="A917" s="73"/>
      <c r="B917" s="73"/>
      <c r="C917" s="73"/>
      <c r="D917" s="73"/>
      <c r="E917" s="73"/>
      <c r="F917" s="73"/>
      <c r="G917" s="73"/>
      <c r="H917" s="73"/>
      <c r="J917" s="73"/>
    </row>
    <row r="918" spans="1:10" ht="15.75" customHeight="1">
      <c r="A918" s="73"/>
      <c r="B918" s="73"/>
      <c r="C918" s="73"/>
      <c r="D918" s="73"/>
      <c r="E918" s="73"/>
      <c r="F918" s="73"/>
      <c r="G918" s="73"/>
      <c r="H918" s="73"/>
      <c r="J918" s="73"/>
    </row>
    <row r="919" spans="1:10" ht="15.75" customHeight="1">
      <c r="A919" s="73"/>
      <c r="B919" s="73"/>
      <c r="C919" s="73"/>
      <c r="D919" s="73"/>
      <c r="E919" s="73"/>
      <c r="F919" s="73"/>
      <c r="G919" s="73"/>
      <c r="H919" s="73"/>
      <c r="J919" s="73"/>
    </row>
    <row r="920" spans="1:10" ht="15.75" customHeight="1">
      <c r="A920" s="73"/>
      <c r="B920" s="73"/>
      <c r="C920" s="73"/>
      <c r="D920" s="73"/>
      <c r="E920" s="73"/>
      <c r="F920" s="73"/>
      <c r="G920" s="73"/>
      <c r="H920" s="73"/>
      <c r="J920" s="73"/>
    </row>
    <row r="921" spans="1:10" ht="15.75" customHeight="1">
      <c r="A921" s="73"/>
      <c r="B921" s="73"/>
      <c r="C921" s="73"/>
      <c r="D921" s="73"/>
      <c r="E921" s="73"/>
      <c r="F921" s="73"/>
      <c r="G921" s="73"/>
      <c r="H921" s="73"/>
      <c r="J921" s="73"/>
    </row>
    <row r="922" spans="1:10" ht="15.75" customHeight="1">
      <c r="A922" s="73"/>
      <c r="B922" s="73"/>
      <c r="C922" s="73"/>
      <c r="D922" s="73"/>
      <c r="E922" s="73"/>
      <c r="F922" s="73"/>
      <c r="G922" s="73"/>
      <c r="H922" s="73"/>
      <c r="J922" s="73"/>
    </row>
    <row r="923" spans="1:10" ht="15.75" customHeight="1">
      <c r="A923" s="73"/>
      <c r="B923" s="73"/>
      <c r="C923" s="73"/>
      <c r="D923" s="73"/>
      <c r="E923" s="73"/>
      <c r="F923" s="73"/>
      <c r="G923" s="73"/>
      <c r="H923" s="73"/>
      <c r="J923" s="73"/>
    </row>
    <row r="924" spans="1:10" ht="15.75" customHeight="1">
      <c r="A924" s="73"/>
      <c r="B924" s="73"/>
      <c r="C924" s="73"/>
      <c r="D924" s="73"/>
      <c r="E924" s="73"/>
      <c r="F924" s="73"/>
      <c r="G924" s="73"/>
      <c r="H924" s="73"/>
      <c r="J924" s="73"/>
    </row>
    <row r="925" spans="1:10" ht="15.75" customHeight="1">
      <c r="A925" s="73"/>
      <c r="B925" s="73"/>
      <c r="C925" s="73"/>
      <c r="D925" s="73"/>
      <c r="E925" s="73"/>
      <c r="F925" s="73"/>
      <c r="G925" s="73"/>
      <c r="H925" s="73"/>
      <c r="J925" s="73"/>
    </row>
    <row r="926" spans="1:10" ht="15.75" customHeight="1">
      <c r="A926" s="73"/>
      <c r="B926" s="73"/>
      <c r="C926" s="73"/>
      <c r="D926" s="73"/>
      <c r="E926" s="73"/>
      <c r="F926" s="73"/>
      <c r="G926" s="73"/>
      <c r="H926" s="73"/>
      <c r="J926" s="73"/>
    </row>
    <row r="927" spans="1:10" ht="15.75" customHeight="1">
      <c r="A927" s="73"/>
      <c r="B927" s="73"/>
      <c r="C927" s="73"/>
      <c r="D927" s="73"/>
      <c r="E927" s="73"/>
      <c r="F927" s="73"/>
      <c r="G927" s="73"/>
      <c r="H927" s="73"/>
      <c r="J927" s="73"/>
    </row>
    <row r="928" spans="1:10" ht="15.75" customHeight="1">
      <c r="A928" s="73"/>
      <c r="B928" s="73"/>
      <c r="C928" s="73"/>
      <c r="D928" s="73"/>
      <c r="E928" s="73"/>
      <c r="F928" s="73"/>
      <c r="G928" s="73"/>
      <c r="H928" s="73"/>
      <c r="J928" s="73"/>
    </row>
    <row r="929" spans="1:10" ht="15.75" customHeight="1">
      <c r="A929" s="73"/>
      <c r="B929" s="73"/>
      <c r="C929" s="73"/>
      <c r="D929" s="73"/>
      <c r="E929" s="73"/>
      <c r="F929" s="73"/>
      <c r="G929" s="73"/>
      <c r="H929" s="73"/>
      <c r="J929" s="73"/>
    </row>
    <row r="930" spans="1:10" ht="15.75" customHeight="1">
      <c r="A930" s="73"/>
      <c r="B930" s="73"/>
      <c r="C930" s="73"/>
      <c r="D930" s="73"/>
      <c r="E930" s="73"/>
      <c r="F930" s="73"/>
      <c r="G930" s="73"/>
      <c r="H930" s="73"/>
      <c r="J930" s="73"/>
    </row>
    <row r="931" spans="1:10" ht="15.75" customHeight="1">
      <c r="A931" s="73"/>
      <c r="B931" s="73"/>
      <c r="C931" s="73"/>
      <c r="D931" s="73"/>
      <c r="E931" s="73"/>
      <c r="F931" s="73"/>
      <c r="G931" s="73"/>
      <c r="H931" s="73"/>
      <c r="J931" s="73"/>
    </row>
    <row r="932" spans="1:10" ht="15.75" customHeight="1">
      <c r="A932" s="73"/>
      <c r="B932" s="73"/>
      <c r="C932" s="73"/>
      <c r="D932" s="73"/>
      <c r="E932" s="73"/>
      <c r="F932" s="73"/>
      <c r="G932" s="73"/>
      <c r="H932" s="73"/>
      <c r="J932" s="73"/>
    </row>
    <row r="933" spans="1:10" ht="15.75" customHeight="1">
      <c r="A933" s="73"/>
      <c r="B933" s="73"/>
      <c r="C933" s="73"/>
      <c r="D933" s="73"/>
      <c r="E933" s="73"/>
      <c r="F933" s="73"/>
      <c r="G933" s="73"/>
      <c r="H933" s="73"/>
      <c r="J933" s="73"/>
    </row>
    <row r="934" spans="1:10" ht="15.75" customHeight="1">
      <c r="A934" s="73"/>
      <c r="B934" s="73"/>
      <c r="C934" s="73"/>
      <c r="D934" s="73"/>
      <c r="E934" s="73"/>
      <c r="F934" s="73"/>
      <c r="G934" s="73"/>
      <c r="H934" s="73"/>
      <c r="J934" s="73"/>
    </row>
    <row r="935" spans="1:10" ht="15.75" customHeight="1">
      <c r="A935" s="73"/>
      <c r="B935" s="73"/>
      <c r="C935" s="73"/>
      <c r="D935" s="73"/>
      <c r="E935" s="73"/>
      <c r="F935" s="73"/>
      <c r="G935" s="73"/>
      <c r="H935" s="73"/>
      <c r="J935" s="73"/>
    </row>
    <row r="936" spans="1:10" ht="15.75" customHeight="1">
      <c r="A936" s="73"/>
      <c r="B936" s="73"/>
      <c r="C936" s="73"/>
      <c r="D936" s="73"/>
      <c r="E936" s="73"/>
      <c r="F936" s="73"/>
      <c r="G936" s="73"/>
      <c r="H936" s="73"/>
      <c r="J936" s="73"/>
    </row>
    <row r="937" spans="1:10" ht="15.75" customHeight="1">
      <c r="A937" s="73"/>
      <c r="B937" s="73"/>
      <c r="C937" s="73"/>
      <c r="D937" s="73"/>
      <c r="E937" s="73"/>
      <c r="F937" s="73"/>
      <c r="G937" s="73"/>
      <c r="H937" s="73"/>
      <c r="J937" s="73"/>
    </row>
    <row r="938" spans="1:10" ht="15.75" customHeight="1">
      <c r="A938" s="73"/>
      <c r="B938" s="73"/>
      <c r="C938" s="73"/>
      <c r="D938" s="73"/>
      <c r="E938" s="73"/>
      <c r="F938" s="73"/>
      <c r="G938" s="73"/>
      <c r="H938" s="73"/>
      <c r="J938" s="73"/>
    </row>
    <row r="939" spans="1:10" ht="15.75" customHeight="1">
      <c r="A939" s="73"/>
      <c r="B939" s="73"/>
      <c r="C939" s="73"/>
      <c r="D939" s="73"/>
      <c r="E939" s="73"/>
      <c r="F939" s="73"/>
      <c r="G939" s="73"/>
      <c r="H939" s="73"/>
      <c r="J939" s="73"/>
    </row>
    <row r="940" spans="1:10" ht="15.75" customHeight="1">
      <c r="A940" s="73"/>
      <c r="B940" s="73"/>
      <c r="C940" s="73"/>
      <c r="D940" s="73"/>
      <c r="E940" s="73"/>
      <c r="F940" s="73"/>
      <c r="G940" s="73"/>
      <c r="H940" s="73"/>
      <c r="J940" s="73"/>
    </row>
    <row r="941" spans="1:10" ht="15.75" customHeight="1">
      <c r="A941" s="73"/>
      <c r="B941" s="73"/>
      <c r="C941" s="73"/>
      <c r="D941" s="73"/>
      <c r="E941" s="73"/>
      <c r="F941" s="73"/>
      <c r="G941" s="73"/>
      <c r="H941" s="73"/>
      <c r="J941" s="73"/>
    </row>
    <row r="942" spans="1:10" ht="15.75" customHeight="1">
      <c r="A942" s="73"/>
      <c r="B942" s="73"/>
      <c r="C942" s="73"/>
      <c r="D942" s="73"/>
      <c r="E942" s="73"/>
      <c r="F942" s="73"/>
      <c r="G942" s="73"/>
      <c r="H942" s="73"/>
      <c r="J942" s="73"/>
    </row>
    <row r="943" spans="1:10" ht="15.75" customHeight="1">
      <c r="A943" s="73"/>
      <c r="B943" s="73"/>
      <c r="C943" s="73"/>
      <c r="D943" s="73"/>
      <c r="E943" s="73"/>
      <c r="F943" s="73"/>
      <c r="G943" s="73"/>
      <c r="H943" s="73"/>
      <c r="J943" s="73"/>
    </row>
    <row r="944" spans="1:10" ht="15.75" customHeight="1">
      <c r="A944" s="73"/>
      <c r="B944" s="73"/>
      <c r="C944" s="73"/>
      <c r="D944" s="73"/>
      <c r="E944" s="73"/>
      <c r="F944" s="73"/>
      <c r="G944" s="73"/>
      <c r="H944" s="73"/>
      <c r="J944" s="73"/>
    </row>
    <row r="945" spans="1:10" ht="15.75" customHeight="1">
      <c r="A945" s="73"/>
      <c r="B945" s="73"/>
      <c r="C945" s="73"/>
      <c r="D945" s="73"/>
      <c r="E945" s="73"/>
      <c r="F945" s="73"/>
      <c r="G945" s="73"/>
      <c r="H945" s="73"/>
      <c r="J945" s="73"/>
    </row>
    <row r="946" spans="1:10" ht="15.75" customHeight="1">
      <c r="A946" s="73"/>
      <c r="B946" s="73"/>
      <c r="C946" s="73"/>
      <c r="D946" s="73"/>
      <c r="E946" s="73"/>
      <c r="F946" s="73"/>
      <c r="G946" s="73"/>
      <c r="H946" s="73"/>
      <c r="J946" s="73"/>
    </row>
    <row r="947" spans="1:10" ht="15.75" customHeight="1">
      <c r="A947" s="73"/>
      <c r="B947" s="73"/>
      <c r="C947" s="73"/>
      <c r="D947" s="73"/>
      <c r="E947" s="73"/>
      <c r="F947" s="73"/>
      <c r="G947" s="73"/>
      <c r="H947" s="73"/>
      <c r="J947" s="73"/>
    </row>
    <row r="948" spans="1:10" ht="15.75" customHeight="1">
      <c r="A948" s="73"/>
      <c r="B948" s="73"/>
      <c r="C948" s="73"/>
      <c r="D948" s="73"/>
      <c r="E948" s="73"/>
      <c r="F948" s="73"/>
      <c r="G948" s="73"/>
      <c r="H948" s="73"/>
      <c r="J948" s="73"/>
    </row>
    <row r="949" spans="1:10" ht="15.75" customHeight="1">
      <c r="A949" s="73"/>
      <c r="B949" s="73"/>
      <c r="C949" s="73"/>
      <c r="D949" s="73"/>
      <c r="E949" s="73"/>
      <c r="F949" s="73"/>
      <c r="G949" s="73"/>
      <c r="H949" s="73"/>
      <c r="J949" s="73"/>
    </row>
    <row r="950" spans="1:10" ht="15.75" customHeight="1">
      <c r="A950" s="73"/>
      <c r="B950" s="73"/>
      <c r="C950" s="73"/>
      <c r="D950" s="73"/>
      <c r="E950" s="73"/>
      <c r="F950" s="73"/>
      <c r="G950" s="73"/>
      <c r="H950" s="73"/>
      <c r="J950" s="73"/>
    </row>
    <row r="951" spans="1:10" ht="15.75" customHeight="1">
      <c r="A951" s="73"/>
      <c r="B951" s="73"/>
      <c r="C951" s="73"/>
      <c r="D951" s="73"/>
      <c r="E951" s="73"/>
      <c r="F951" s="73"/>
      <c r="G951" s="73"/>
      <c r="H951" s="73"/>
      <c r="J951" s="73"/>
    </row>
    <row r="952" spans="1:10" ht="15.75" customHeight="1">
      <c r="A952" s="73"/>
      <c r="B952" s="73"/>
      <c r="C952" s="73"/>
      <c r="D952" s="73"/>
      <c r="E952" s="73"/>
      <c r="F952" s="73"/>
      <c r="G952" s="73"/>
      <c r="H952" s="73"/>
      <c r="J952" s="73"/>
    </row>
    <row r="953" spans="1:10" ht="15.75" customHeight="1">
      <c r="A953" s="73"/>
      <c r="B953" s="73"/>
      <c r="C953" s="73"/>
      <c r="D953" s="73"/>
      <c r="E953" s="73"/>
      <c r="F953" s="73"/>
      <c r="G953" s="73"/>
      <c r="H953" s="73"/>
      <c r="J953" s="73"/>
    </row>
    <row r="954" spans="1:10" ht="15.75" customHeight="1">
      <c r="A954" s="73"/>
      <c r="B954" s="73"/>
      <c r="C954" s="73"/>
      <c r="D954" s="73"/>
      <c r="E954" s="73"/>
      <c r="F954" s="73"/>
      <c r="G954" s="73"/>
      <c r="H954" s="73"/>
      <c r="J954" s="73"/>
    </row>
    <row r="955" spans="1:10" ht="15.75" customHeight="1">
      <c r="A955" s="73"/>
      <c r="B955" s="73"/>
      <c r="C955" s="73"/>
      <c r="D955" s="73"/>
      <c r="E955" s="73"/>
      <c r="F955" s="73"/>
      <c r="G955" s="73"/>
      <c r="H955" s="73"/>
      <c r="J955" s="73"/>
    </row>
    <row r="956" spans="1:10" ht="15.75" customHeight="1">
      <c r="A956" s="73"/>
      <c r="B956" s="73"/>
      <c r="C956" s="73"/>
      <c r="D956" s="73"/>
      <c r="E956" s="73"/>
      <c r="F956" s="73"/>
      <c r="G956" s="73"/>
      <c r="H956" s="73"/>
      <c r="J956" s="73"/>
    </row>
    <row r="957" spans="1:10" ht="15.75" customHeight="1">
      <c r="A957" s="73"/>
      <c r="B957" s="73"/>
      <c r="C957" s="73"/>
      <c r="D957" s="73"/>
      <c r="E957" s="73"/>
      <c r="F957" s="73"/>
      <c r="G957" s="73"/>
      <c r="H957" s="73"/>
      <c r="J957" s="73"/>
    </row>
    <row r="958" spans="1:10" ht="15.75" customHeight="1">
      <c r="A958" s="73"/>
      <c r="B958" s="73"/>
      <c r="C958" s="73"/>
      <c r="D958" s="73"/>
      <c r="E958" s="73"/>
      <c r="F958" s="73"/>
      <c r="G958" s="73"/>
      <c r="H958" s="73"/>
      <c r="J958" s="73"/>
    </row>
    <row r="959" spans="1:10" ht="15.75" customHeight="1">
      <c r="A959" s="73"/>
      <c r="B959" s="73"/>
      <c r="C959" s="73"/>
      <c r="D959" s="73"/>
      <c r="E959" s="73"/>
      <c r="F959" s="73"/>
      <c r="G959" s="73"/>
      <c r="H959" s="73"/>
      <c r="J959" s="73"/>
    </row>
    <row r="960" spans="1:10" ht="15.75" customHeight="1">
      <c r="A960" s="73"/>
      <c r="B960" s="73"/>
      <c r="C960" s="73"/>
      <c r="D960" s="73"/>
      <c r="E960" s="73"/>
      <c r="F960" s="73"/>
      <c r="G960" s="73"/>
      <c r="H960" s="73"/>
      <c r="J960" s="73"/>
    </row>
    <row r="961" spans="1:10" ht="15.75" customHeight="1">
      <c r="A961" s="73"/>
      <c r="B961" s="73"/>
      <c r="C961" s="73"/>
      <c r="D961" s="73"/>
      <c r="E961" s="73"/>
      <c r="F961" s="73"/>
      <c r="G961" s="73"/>
      <c r="H961" s="73"/>
      <c r="J961" s="73"/>
    </row>
    <row r="962" spans="1:10" ht="15.75" customHeight="1">
      <c r="A962" s="73"/>
      <c r="B962" s="73"/>
      <c r="C962" s="73"/>
      <c r="D962" s="73"/>
      <c r="E962" s="73"/>
      <c r="F962" s="73"/>
      <c r="G962" s="73"/>
      <c r="H962" s="73"/>
      <c r="J962" s="73"/>
    </row>
    <row r="963" spans="1:10" ht="15.75" customHeight="1">
      <c r="A963" s="73"/>
      <c r="B963" s="73"/>
      <c r="C963" s="73"/>
      <c r="D963" s="73"/>
      <c r="E963" s="73"/>
      <c r="F963" s="73"/>
      <c r="G963" s="73"/>
      <c r="H963" s="73"/>
      <c r="J963" s="73"/>
    </row>
    <row r="964" spans="1:10" ht="15.75" customHeight="1">
      <c r="A964" s="73"/>
      <c r="B964" s="73"/>
      <c r="C964" s="73"/>
      <c r="D964" s="73"/>
      <c r="E964" s="73"/>
      <c r="F964" s="73"/>
      <c r="G964" s="73"/>
      <c r="H964" s="73"/>
      <c r="J964" s="73"/>
    </row>
    <row r="965" spans="1:10" ht="15.75" customHeight="1">
      <c r="A965" s="73"/>
      <c r="B965" s="73"/>
      <c r="C965" s="73"/>
      <c r="D965" s="73"/>
      <c r="E965" s="73"/>
      <c r="F965" s="73"/>
      <c r="G965" s="73"/>
      <c r="H965" s="73"/>
      <c r="J965" s="73"/>
    </row>
    <row r="966" spans="1:10" ht="15.75" customHeight="1">
      <c r="A966" s="73"/>
      <c r="B966" s="73"/>
      <c r="C966" s="73"/>
      <c r="D966" s="73"/>
      <c r="E966" s="73"/>
      <c r="F966" s="73"/>
      <c r="G966" s="73"/>
      <c r="H966" s="73"/>
      <c r="J966" s="73"/>
    </row>
    <row r="967" spans="1:10" ht="15.75" customHeight="1">
      <c r="A967" s="73"/>
      <c r="B967" s="73"/>
      <c r="C967" s="73"/>
      <c r="D967" s="73"/>
      <c r="E967" s="73"/>
      <c r="F967" s="73"/>
      <c r="G967" s="73"/>
      <c r="H967" s="73"/>
      <c r="J967" s="73"/>
    </row>
    <row r="968" spans="1:10" ht="15.75" customHeight="1">
      <c r="A968" s="73"/>
      <c r="B968" s="73"/>
      <c r="C968" s="73"/>
      <c r="D968" s="73"/>
      <c r="E968" s="73"/>
      <c r="F968" s="73"/>
      <c r="G968" s="73"/>
      <c r="H968" s="73"/>
      <c r="J968" s="73"/>
    </row>
    <row r="969" spans="1:10" ht="15.75" customHeight="1">
      <c r="A969" s="73"/>
      <c r="B969" s="73"/>
      <c r="C969" s="73"/>
      <c r="D969" s="73"/>
      <c r="E969" s="73"/>
      <c r="F969" s="73"/>
      <c r="G969" s="73"/>
      <c r="H969" s="73"/>
      <c r="J969" s="73"/>
    </row>
    <row r="970" spans="1:10" ht="15.75" customHeight="1">
      <c r="A970" s="73"/>
      <c r="B970" s="73"/>
      <c r="C970" s="73"/>
      <c r="D970" s="73"/>
      <c r="E970" s="73"/>
      <c r="F970" s="73"/>
      <c r="G970" s="73"/>
      <c r="H970" s="73"/>
      <c r="J970" s="73"/>
    </row>
    <row r="971" spans="1:10" ht="15.75" customHeight="1">
      <c r="A971" s="73"/>
      <c r="B971" s="73"/>
      <c r="C971" s="73"/>
      <c r="D971" s="73"/>
      <c r="E971" s="73"/>
      <c r="F971" s="73"/>
      <c r="G971" s="73"/>
      <c r="H971" s="73"/>
      <c r="J971" s="73"/>
    </row>
    <row r="972" spans="1:10" ht="15.75" customHeight="1">
      <c r="A972" s="73"/>
      <c r="B972" s="73"/>
      <c r="C972" s="73"/>
      <c r="D972" s="73"/>
      <c r="E972" s="73"/>
      <c r="F972" s="73"/>
      <c r="G972" s="73"/>
      <c r="H972" s="73"/>
      <c r="J972" s="73"/>
    </row>
    <row r="973" spans="1:10" ht="15.75" customHeight="1">
      <c r="A973" s="73"/>
      <c r="B973" s="73"/>
      <c r="C973" s="73"/>
      <c r="D973" s="73"/>
      <c r="E973" s="73"/>
      <c r="F973" s="73"/>
      <c r="G973" s="73"/>
      <c r="H973" s="73"/>
      <c r="J973" s="73"/>
    </row>
    <row r="974" spans="1:10" ht="15.75" customHeight="1">
      <c r="A974" s="73"/>
      <c r="B974" s="73"/>
      <c r="C974" s="73"/>
      <c r="D974" s="73"/>
      <c r="E974" s="73"/>
      <c r="F974" s="73"/>
      <c r="G974" s="73"/>
      <c r="H974" s="73"/>
      <c r="J974" s="73"/>
    </row>
    <row r="975" spans="1:10" ht="15.75" customHeight="1">
      <c r="A975" s="73"/>
      <c r="B975" s="73"/>
      <c r="C975" s="73"/>
      <c r="D975" s="73"/>
      <c r="E975" s="73"/>
      <c r="F975" s="73"/>
      <c r="G975" s="73"/>
      <c r="H975" s="73"/>
      <c r="J975" s="73"/>
    </row>
    <row r="976" spans="1:10" ht="15.75" customHeight="1">
      <c r="A976" s="73"/>
      <c r="B976" s="73"/>
      <c r="C976" s="73"/>
      <c r="D976" s="73"/>
      <c r="E976" s="73"/>
      <c r="F976" s="73"/>
      <c r="G976" s="73"/>
      <c r="H976" s="73"/>
      <c r="J976" s="73"/>
    </row>
    <row r="977" spans="1:10" ht="15.75" customHeight="1">
      <c r="A977" s="73"/>
      <c r="B977" s="73"/>
      <c r="C977" s="73"/>
      <c r="D977" s="73"/>
      <c r="E977" s="73"/>
      <c r="F977" s="73"/>
      <c r="G977" s="73"/>
      <c r="H977" s="73"/>
      <c r="J977" s="73"/>
    </row>
    <row r="978" spans="1:10" ht="15.75" customHeight="1">
      <c r="A978" s="73"/>
      <c r="B978" s="73"/>
      <c r="C978" s="73"/>
      <c r="D978" s="73"/>
      <c r="E978" s="73"/>
      <c r="F978" s="73"/>
      <c r="G978" s="73"/>
      <c r="H978" s="73"/>
      <c r="J978" s="73"/>
    </row>
    <row r="979" spans="1:10" ht="15.75" customHeight="1">
      <c r="A979" s="73"/>
      <c r="B979" s="73"/>
      <c r="C979" s="73"/>
      <c r="D979" s="73"/>
      <c r="E979" s="73"/>
      <c r="F979" s="73"/>
      <c r="G979" s="73"/>
      <c r="H979" s="73"/>
      <c r="J979" s="73"/>
    </row>
    <row r="980" spans="1:10" ht="15.75" customHeight="1">
      <c r="A980" s="73"/>
      <c r="B980" s="73"/>
      <c r="C980" s="73"/>
      <c r="D980" s="73"/>
      <c r="E980" s="73"/>
      <c r="F980" s="73"/>
      <c r="G980" s="73"/>
      <c r="H980" s="73"/>
      <c r="J980" s="73"/>
    </row>
    <row r="981" spans="1:10" ht="15.75" customHeight="1">
      <c r="A981" s="73"/>
      <c r="B981" s="73"/>
      <c r="C981" s="73"/>
      <c r="D981" s="73"/>
      <c r="E981" s="73"/>
      <c r="F981" s="73"/>
      <c r="G981" s="73"/>
      <c r="H981" s="73"/>
      <c r="J981" s="73"/>
    </row>
    <row r="982" spans="1:10" ht="15.75" customHeight="1">
      <c r="A982" s="73"/>
      <c r="B982" s="73"/>
      <c r="C982" s="73"/>
      <c r="D982" s="73"/>
      <c r="E982" s="73"/>
      <c r="F982" s="73"/>
      <c r="G982" s="73"/>
      <c r="H982" s="73"/>
      <c r="J982" s="73"/>
    </row>
    <row r="983" spans="1:10" ht="15.75" customHeight="1">
      <c r="A983" s="73"/>
      <c r="B983" s="73"/>
      <c r="C983" s="73"/>
      <c r="D983" s="73"/>
      <c r="E983" s="73"/>
      <c r="F983" s="73"/>
      <c r="G983" s="73"/>
      <c r="H983" s="73"/>
      <c r="J983" s="73"/>
    </row>
    <row r="984" spans="1:10" ht="15.75" customHeight="1">
      <c r="A984" s="73"/>
      <c r="B984" s="73"/>
      <c r="C984" s="73"/>
      <c r="D984" s="73"/>
      <c r="E984" s="73"/>
      <c r="F984" s="73"/>
      <c r="G984" s="73"/>
      <c r="H984" s="73"/>
      <c r="J984" s="73"/>
    </row>
    <row r="985" spans="1:10" ht="15.75" customHeight="1">
      <c r="A985" s="73"/>
      <c r="B985" s="73"/>
      <c r="C985" s="73"/>
      <c r="D985" s="73"/>
      <c r="E985" s="73"/>
      <c r="F985" s="73"/>
      <c r="G985" s="73"/>
      <c r="H985" s="73"/>
      <c r="J985" s="73"/>
    </row>
    <row r="986" spans="1:10" ht="15.75" customHeight="1">
      <c r="A986" s="73"/>
      <c r="B986" s="73"/>
      <c r="C986" s="73"/>
      <c r="D986" s="73"/>
      <c r="E986" s="73"/>
      <c r="F986" s="73"/>
      <c r="G986" s="73"/>
      <c r="H986" s="73"/>
      <c r="J986" s="73"/>
    </row>
    <row r="987" spans="1:10" ht="15.75" customHeight="1">
      <c r="A987" s="73"/>
      <c r="B987" s="73"/>
      <c r="C987" s="73"/>
      <c r="D987" s="73"/>
      <c r="E987" s="73"/>
      <c r="F987" s="73"/>
      <c r="G987" s="73"/>
      <c r="H987" s="73"/>
      <c r="J987" s="73"/>
    </row>
    <row r="988" spans="1:10" ht="15.75" customHeight="1">
      <c r="A988" s="73"/>
      <c r="B988" s="73"/>
      <c r="C988" s="73"/>
      <c r="D988" s="73"/>
      <c r="E988" s="73"/>
      <c r="F988" s="73"/>
      <c r="G988" s="73"/>
      <c r="H988" s="73"/>
      <c r="J988" s="73"/>
    </row>
    <row r="989" spans="1:10" ht="15.75" customHeight="1">
      <c r="A989" s="73"/>
      <c r="B989" s="73"/>
      <c r="C989" s="73"/>
      <c r="D989" s="73"/>
      <c r="E989" s="73"/>
      <c r="F989" s="73"/>
      <c r="G989" s="73"/>
      <c r="H989" s="73"/>
      <c r="J989" s="73"/>
    </row>
    <row r="990" spans="1:10" ht="15.75" customHeight="1">
      <c r="A990" s="73"/>
      <c r="B990" s="73"/>
      <c r="C990" s="73"/>
      <c r="D990" s="73"/>
      <c r="E990" s="73"/>
      <c r="F990" s="73"/>
      <c r="G990" s="73"/>
      <c r="H990" s="73"/>
      <c r="J990" s="73"/>
    </row>
    <row r="991" spans="1:10" ht="15.75" customHeight="1">
      <c r="A991" s="73"/>
      <c r="B991" s="73"/>
      <c r="C991" s="73"/>
      <c r="D991" s="73"/>
      <c r="E991" s="73"/>
      <c r="F991" s="73"/>
      <c r="G991" s="73"/>
      <c r="H991" s="73"/>
      <c r="J991" s="73"/>
    </row>
    <row r="992" spans="1:10" ht="15.75" customHeight="1">
      <c r="A992" s="73"/>
      <c r="B992" s="73"/>
      <c r="C992" s="73"/>
      <c r="D992" s="73"/>
      <c r="E992" s="73"/>
      <c r="F992" s="73"/>
      <c r="G992" s="73"/>
      <c r="H992" s="73"/>
      <c r="J992" s="73"/>
    </row>
    <row r="993" spans="1:10" ht="15.75" customHeight="1">
      <c r="A993" s="73"/>
      <c r="B993" s="73"/>
      <c r="C993" s="73"/>
      <c r="D993" s="73"/>
      <c r="E993" s="73"/>
      <c r="F993" s="73"/>
      <c r="G993" s="73"/>
      <c r="H993" s="73"/>
      <c r="J993" s="73"/>
    </row>
    <row r="994" spans="1:10" ht="15.75" customHeight="1">
      <c r="A994" s="73"/>
      <c r="B994" s="73"/>
      <c r="C994" s="73"/>
      <c r="D994" s="73"/>
      <c r="E994" s="73"/>
      <c r="F994" s="73"/>
      <c r="G994" s="73"/>
      <c r="H994" s="73"/>
      <c r="J994" s="73"/>
    </row>
    <row r="995" spans="1:10" ht="15.75" customHeight="1">
      <c r="A995" s="73"/>
      <c r="B995" s="73"/>
      <c r="C995" s="73"/>
      <c r="D995" s="73"/>
      <c r="E995" s="73"/>
      <c r="F995" s="73"/>
      <c r="G995" s="73"/>
      <c r="H995" s="73"/>
      <c r="J995" s="73"/>
    </row>
    <row r="996" spans="1:10" ht="15.75" customHeight="1">
      <c r="A996" s="73"/>
      <c r="B996" s="73"/>
      <c r="C996" s="73"/>
      <c r="D996" s="73"/>
      <c r="E996" s="73"/>
      <c r="F996" s="73"/>
      <c r="G996" s="73"/>
      <c r="H996" s="73"/>
      <c r="J996" s="73"/>
    </row>
    <row r="997" spans="1:10" ht="15.75" customHeight="1">
      <c r="A997" s="73"/>
      <c r="B997" s="73"/>
      <c r="C997" s="73"/>
      <c r="D997" s="73"/>
      <c r="E997" s="73"/>
      <c r="F997" s="73"/>
      <c r="G997" s="73"/>
      <c r="H997" s="73"/>
      <c r="J997" s="73"/>
    </row>
    <row r="998" spans="1:10" ht="15.75" customHeight="1">
      <c r="A998" s="73"/>
      <c r="B998" s="73"/>
      <c r="C998" s="73"/>
      <c r="D998" s="73"/>
      <c r="E998" s="73"/>
      <c r="F998" s="73"/>
      <c r="G998" s="73"/>
      <c r="H998" s="73"/>
      <c r="J998" s="73"/>
    </row>
    <row r="999" spans="1:10" ht="15.75" customHeight="1">
      <c r="A999" s="73"/>
      <c r="B999" s="73"/>
      <c r="C999" s="73"/>
      <c r="D999" s="73"/>
      <c r="E999" s="73"/>
      <c r="F999" s="73"/>
      <c r="G999" s="73"/>
      <c r="H999" s="73"/>
      <c r="J999" s="73"/>
    </row>
    <row r="1000" spans="1:10" ht="15.75" customHeight="1">
      <c r="A1000" s="73"/>
      <c r="B1000" s="73"/>
      <c r="C1000" s="73"/>
      <c r="D1000" s="73"/>
      <c r="E1000" s="73"/>
      <c r="F1000" s="73"/>
      <c r="G1000" s="73"/>
      <c r="H1000" s="73"/>
      <c r="J1000" s="73"/>
    </row>
  </sheetData>
  <mergeCells count="35">
    <mergeCell ref="A58:A71"/>
    <mergeCell ref="D3:D4"/>
    <mergeCell ref="E3:E4"/>
    <mergeCell ref="A5:A9"/>
    <mergeCell ref="A10:A15"/>
    <mergeCell ref="A16:A19"/>
    <mergeCell ref="A20:A24"/>
    <mergeCell ref="A25:A28"/>
    <mergeCell ref="A33:A39"/>
    <mergeCell ref="A40:A44"/>
    <mergeCell ref="A45:A46"/>
    <mergeCell ref="A47:A49"/>
    <mergeCell ref="A50:J54"/>
    <mergeCell ref="I33:I39"/>
    <mergeCell ref="I40:I44"/>
    <mergeCell ref="I45:I46"/>
    <mergeCell ref="I47:I49"/>
    <mergeCell ref="A3:B3"/>
    <mergeCell ref="C3:C4"/>
    <mergeCell ref="J3:J4"/>
    <mergeCell ref="A29:A32"/>
    <mergeCell ref="B29:B32"/>
    <mergeCell ref="I29:I32"/>
    <mergeCell ref="F3:F4"/>
    <mergeCell ref="I3:I4"/>
    <mergeCell ref="I5:I9"/>
    <mergeCell ref="I10:I15"/>
    <mergeCell ref="I16:I19"/>
    <mergeCell ref="I20:I24"/>
    <mergeCell ref="I25:I28"/>
    <mergeCell ref="A1:B2"/>
    <mergeCell ref="C1:C2"/>
    <mergeCell ref="D1:D2"/>
    <mergeCell ref="E1:E2"/>
    <mergeCell ref="F1:J2"/>
  </mergeCells>
  <phoneticPr fontId="30" type="noConversion"/>
  <pageMargins left="0.25" right="0.25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51.5703125" customWidth="1"/>
    <col min="2" max="2" width="110.85546875" customWidth="1"/>
    <col min="3" max="3" width="36.28515625" customWidth="1"/>
    <col min="4" max="5" width="34.28515625" customWidth="1"/>
    <col min="6" max="6" width="30.85546875" customWidth="1"/>
    <col min="7" max="7" width="21.140625" customWidth="1"/>
    <col min="8" max="8" width="21.5703125" customWidth="1"/>
    <col min="10" max="10" width="49.7109375" customWidth="1"/>
  </cols>
  <sheetData>
    <row r="1" spans="1:26" ht="16.5" customHeight="1">
      <c r="A1" s="625" t="s">
        <v>352</v>
      </c>
      <c r="B1" s="611"/>
      <c r="C1" s="683" t="s">
        <v>94</v>
      </c>
      <c r="D1" s="684" t="s">
        <v>353</v>
      </c>
      <c r="E1" s="685" t="s">
        <v>354</v>
      </c>
      <c r="F1" s="686" t="s">
        <v>228</v>
      </c>
      <c r="G1" s="611"/>
      <c r="H1" s="611"/>
      <c r="I1" s="611"/>
      <c r="J1" s="6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608"/>
      <c r="B2" s="613"/>
      <c r="C2" s="606"/>
      <c r="D2" s="648"/>
      <c r="E2" s="606"/>
      <c r="F2" s="630"/>
      <c r="G2" s="631"/>
      <c r="H2" s="631"/>
      <c r="I2" s="631"/>
      <c r="J2" s="6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687"/>
      <c r="B3" s="634"/>
      <c r="C3" s="679" t="s">
        <v>229</v>
      </c>
      <c r="D3" s="678" t="s">
        <v>230</v>
      </c>
      <c r="E3" s="688" t="s">
        <v>231</v>
      </c>
      <c r="F3" s="678" t="s">
        <v>232</v>
      </c>
      <c r="G3" s="210" t="s">
        <v>4</v>
      </c>
      <c r="H3" s="211" t="s">
        <v>5</v>
      </c>
      <c r="I3" s="679" t="s">
        <v>6</v>
      </c>
      <c r="J3" s="678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5" t="s">
        <v>8</v>
      </c>
      <c r="B4" s="212" t="s">
        <v>9</v>
      </c>
      <c r="C4" s="618"/>
      <c r="D4" s="606"/>
      <c r="E4" s="601"/>
      <c r="F4" s="636"/>
      <c r="G4" s="213" t="s">
        <v>10</v>
      </c>
      <c r="H4" s="213" t="s">
        <v>11</v>
      </c>
      <c r="I4" s="618"/>
      <c r="J4" s="60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666" t="s">
        <v>355</v>
      </c>
      <c r="B5" s="169" t="s">
        <v>356</v>
      </c>
      <c r="C5" s="214">
        <v>98000</v>
      </c>
      <c r="D5" s="125">
        <v>157000</v>
      </c>
      <c r="E5" s="214">
        <v>79000</v>
      </c>
      <c r="F5" s="215">
        <v>0.19400000000000001</v>
      </c>
      <c r="G5" s="216"/>
      <c r="H5" s="217"/>
      <c r="I5" s="680"/>
      <c r="J5" s="18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605"/>
      <c r="B6" s="173" t="s">
        <v>357</v>
      </c>
      <c r="C6" s="218">
        <v>279000</v>
      </c>
      <c r="D6" s="126">
        <v>397000</v>
      </c>
      <c r="E6" s="218">
        <v>199000</v>
      </c>
      <c r="F6" s="219">
        <v>0.28699999999999998</v>
      </c>
      <c r="G6" s="220"/>
      <c r="H6" s="221"/>
      <c r="I6" s="603"/>
      <c r="J6" s="18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605"/>
      <c r="B7" s="173" t="s">
        <v>358</v>
      </c>
      <c r="C7" s="218">
        <v>398000</v>
      </c>
      <c r="D7" s="126">
        <v>497000</v>
      </c>
      <c r="E7" s="218">
        <v>249000</v>
      </c>
      <c r="F7" s="219">
        <v>0.374</v>
      </c>
      <c r="G7" s="222"/>
      <c r="H7" s="223"/>
      <c r="I7" s="603"/>
      <c r="J7" s="18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606"/>
      <c r="B8" s="224" t="s">
        <v>359</v>
      </c>
      <c r="C8" s="225">
        <v>681000</v>
      </c>
      <c r="D8" s="127">
        <v>997000</v>
      </c>
      <c r="E8" s="225">
        <v>499000</v>
      </c>
      <c r="F8" s="226">
        <v>0.26700000000000002</v>
      </c>
      <c r="G8" s="227"/>
      <c r="H8" s="228"/>
      <c r="I8" s="603"/>
      <c r="J8" s="18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689" t="s">
        <v>360</v>
      </c>
      <c r="B9" s="169" t="s">
        <v>361</v>
      </c>
      <c r="C9" s="214">
        <v>178000</v>
      </c>
      <c r="D9" s="125">
        <v>297000</v>
      </c>
      <c r="E9" s="214">
        <v>149000</v>
      </c>
      <c r="F9" s="215">
        <v>0.16300000000000001</v>
      </c>
      <c r="G9" s="230"/>
      <c r="H9" s="231"/>
      <c r="I9" s="603"/>
      <c r="J9" s="18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605"/>
      <c r="B10" s="173" t="s">
        <v>362</v>
      </c>
      <c r="C10" s="218">
        <v>339000</v>
      </c>
      <c r="D10" s="126">
        <v>417000</v>
      </c>
      <c r="E10" s="126">
        <v>209000</v>
      </c>
      <c r="F10" s="219">
        <v>0.38300000000000001</v>
      </c>
      <c r="G10" s="222"/>
      <c r="H10" s="223"/>
      <c r="I10" s="603"/>
      <c r="J10" s="18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606"/>
      <c r="B11" s="175" t="s">
        <v>363</v>
      </c>
      <c r="C11" s="225">
        <v>358000</v>
      </c>
      <c r="D11" s="127">
        <v>577000</v>
      </c>
      <c r="E11" s="127">
        <v>289000</v>
      </c>
      <c r="F11" s="226">
        <v>0.193</v>
      </c>
      <c r="G11" s="232"/>
      <c r="H11" s="233"/>
      <c r="I11" s="603"/>
      <c r="J11" s="18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689" t="s">
        <v>364</v>
      </c>
      <c r="B12" s="169" t="s">
        <v>365</v>
      </c>
      <c r="C12" s="125">
        <v>158000</v>
      </c>
      <c r="D12" s="234">
        <f t="shared" ref="D12:D21" si="0">E12*2-1000</f>
        <v>199000</v>
      </c>
      <c r="E12" s="125">
        <v>100000</v>
      </c>
      <c r="F12" s="215">
        <f t="shared" ref="F12:F16" si="1">1-E12/C12</f>
        <v>0.36708860759493667</v>
      </c>
      <c r="G12" s="230"/>
      <c r="H12" s="235"/>
      <c r="I12" s="603"/>
      <c r="J12" s="18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05"/>
      <c r="B13" s="173" t="s">
        <v>366</v>
      </c>
      <c r="C13" s="126">
        <v>120000</v>
      </c>
      <c r="D13" s="236">
        <f t="shared" si="0"/>
        <v>199000</v>
      </c>
      <c r="E13" s="126">
        <v>100000</v>
      </c>
      <c r="F13" s="219">
        <f t="shared" si="1"/>
        <v>0.16666666666666663</v>
      </c>
      <c r="G13" s="222"/>
      <c r="H13" s="223"/>
      <c r="I13" s="603"/>
      <c r="J13" s="18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605"/>
      <c r="B14" s="173" t="s">
        <v>367</v>
      </c>
      <c r="C14" s="126">
        <v>119000</v>
      </c>
      <c r="D14" s="236">
        <f t="shared" si="0"/>
        <v>199000</v>
      </c>
      <c r="E14" s="126">
        <v>100000</v>
      </c>
      <c r="F14" s="219">
        <f t="shared" si="1"/>
        <v>0.15966386554621848</v>
      </c>
      <c r="G14" s="237"/>
      <c r="H14" s="223"/>
      <c r="I14" s="603"/>
      <c r="J14" s="18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606"/>
      <c r="B15" s="224" t="s">
        <v>368</v>
      </c>
      <c r="C15" s="127">
        <v>149000</v>
      </c>
      <c r="D15" s="238">
        <f t="shared" si="0"/>
        <v>199000</v>
      </c>
      <c r="E15" s="127">
        <v>100000</v>
      </c>
      <c r="F15" s="226">
        <f t="shared" si="1"/>
        <v>0.32885906040268453</v>
      </c>
      <c r="G15" s="227"/>
      <c r="H15" s="228"/>
      <c r="I15" s="601"/>
      <c r="J15" s="18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666" t="s">
        <v>369</v>
      </c>
      <c r="B16" s="239" t="s">
        <v>151</v>
      </c>
      <c r="C16" s="121">
        <v>199000</v>
      </c>
      <c r="D16" s="126">
        <f t="shared" si="0"/>
        <v>277000</v>
      </c>
      <c r="E16" s="121">
        <v>139000</v>
      </c>
      <c r="F16" s="219">
        <f t="shared" si="1"/>
        <v>0.30150753768844218</v>
      </c>
      <c r="G16" s="240"/>
      <c r="H16" s="235"/>
      <c r="I16" s="681"/>
      <c r="J16" s="18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605"/>
      <c r="B17" s="239" t="s">
        <v>370</v>
      </c>
      <c r="C17" s="121" t="s">
        <v>371</v>
      </c>
      <c r="D17" s="126">
        <f t="shared" si="0"/>
        <v>399000</v>
      </c>
      <c r="E17" s="121">
        <v>200000</v>
      </c>
      <c r="F17" s="219">
        <f>1-E17/250000</f>
        <v>0.19999999999999996</v>
      </c>
      <c r="G17" s="222"/>
      <c r="H17" s="223"/>
      <c r="I17" s="614"/>
      <c r="J17" s="18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605"/>
      <c r="B18" s="239" t="s">
        <v>372</v>
      </c>
      <c r="C18" s="121">
        <v>290000</v>
      </c>
      <c r="D18" s="126">
        <f t="shared" si="0"/>
        <v>497000</v>
      </c>
      <c r="E18" s="121">
        <v>249000</v>
      </c>
      <c r="F18" s="219">
        <f t="shared" ref="F18:F21" si="2">1-E18/C18</f>
        <v>0.14137931034482754</v>
      </c>
      <c r="G18" s="222"/>
      <c r="H18" s="223"/>
      <c r="I18" s="614"/>
      <c r="J18" s="18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05"/>
      <c r="B19" s="239" t="s">
        <v>249</v>
      </c>
      <c r="C19" s="121">
        <v>379000</v>
      </c>
      <c r="D19" s="126">
        <f t="shared" si="0"/>
        <v>597000</v>
      </c>
      <c r="E19" s="121">
        <v>299000</v>
      </c>
      <c r="F19" s="219">
        <f t="shared" si="2"/>
        <v>0.21108179419525064</v>
      </c>
      <c r="G19" s="222"/>
      <c r="H19" s="223"/>
      <c r="I19" s="614"/>
      <c r="J19" s="18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605"/>
      <c r="B20" s="239" t="s">
        <v>373</v>
      </c>
      <c r="C20" s="121">
        <v>589000</v>
      </c>
      <c r="D20" s="126">
        <f t="shared" si="0"/>
        <v>997000</v>
      </c>
      <c r="E20" s="121">
        <v>499000</v>
      </c>
      <c r="F20" s="219">
        <f t="shared" si="2"/>
        <v>0.15280135823429541</v>
      </c>
      <c r="G20" s="237"/>
      <c r="H20" s="223"/>
      <c r="I20" s="614"/>
      <c r="J20" s="18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06"/>
      <c r="B21" s="109" t="s">
        <v>374</v>
      </c>
      <c r="C21" s="121">
        <v>1280000</v>
      </c>
      <c r="D21" s="127">
        <f t="shared" si="0"/>
        <v>2299000</v>
      </c>
      <c r="E21" s="123">
        <v>1150000</v>
      </c>
      <c r="F21" s="226">
        <f t="shared" si="2"/>
        <v>0.1015625</v>
      </c>
      <c r="G21" s="227"/>
      <c r="H21" s="228"/>
      <c r="I21" s="614"/>
      <c r="J21" s="241" t="s">
        <v>375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690" t="s">
        <v>376</v>
      </c>
      <c r="B22" s="242" t="s">
        <v>24</v>
      </c>
      <c r="C22" s="125">
        <v>169000</v>
      </c>
      <c r="D22" s="125">
        <v>197000</v>
      </c>
      <c r="E22" s="243">
        <v>99000</v>
      </c>
      <c r="F22" s="215">
        <v>0.41399999999999998</v>
      </c>
      <c r="G22" s="230"/>
      <c r="H22" s="230"/>
      <c r="I22" s="680"/>
      <c r="J22" s="18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654"/>
      <c r="B23" s="244" t="s">
        <v>377</v>
      </c>
      <c r="C23" s="126">
        <v>179000</v>
      </c>
      <c r="D23" s="126">
        <v>217000</v>
      </c>
      <c r="E23" s="243">
        <v>109000</v>
      </c>
      <c r="F23" s="219">
        <v>0.39100000000000001</v>
      </c>
      <c r="G23" s="230"/>
      <c r="H23" s="230"/>
      <c r="I23" s="603"/>
      <c r="J23" s="18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654"/>
      <c r="B24" s="244" t="s">
        <v>378</v>
      </c>
      <c r="C24" s="126">
        <v>199000</v>
      </c>
      <c r="D24" s="126">
        <v>297000</v>
      </c>
      <c r="E24" s="243">
        <v>149000</v>
      </c>
      <c r="F24" s="219">
        <v>0.251</v>
      </c>
      <c r="G24" s="237"/>
      <c r="H24" s="222"/>
      <c r="I24" s="603"/>
      <c r="J24" s="18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654"/>
      <c r="B25" s="244" t="s">
        <v>379</v>
      </c>
      <c r="C25" s="126">
        <v>449000</v>
      </c>
      <c r="D25" s="126">
        <v>597000</v>
      </c>
      <c r="E25" s="243">
        <v>299000</v>
      </c>
      <c r="F25" s="219">
        <v>0.33400000000000002</v>
      </c>
      <c r="G25" s="222"/>
      <c r="H25" s="222"/>
      <c r="I25" s="603"/>
      <c r="J25" s="18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654"/>
      <c r="B26" s="244" t="s">
        <v>380</v>
      </c>
      <c r="C26" s="126">
        <v>420000</v>
      </c>
      <c r="D26" s="126">
        <v>777000</v>
      </c>
      <c r="E26" s="243">
        <v>389000</v>
      </c>
      <c r="F26" s="219">
        <v>7.3999999999999996E-2</v>
      </c>
      <c r="G26" s="222"/>
      <c r="H26" s="222"/>
      <c r="I26" s="603"/>
      <c r="J26" s="18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618"/>
      <c r="B27" s="224" t="s">
        <v>381</v>
      </c>
      <c r="C27" s="127">
        <v>420000</v>
      </c>
      <c r="D27" s="126">
        <v>777000</v>
      </c>
      <c r="E27" s="243">
        <v>389000</v>
      </c>
      <c r="F27" s="219">
        <v>7.3999999999999996E-2</v>
      </c>
      <c r="G27" s="222"/>
      <c r="H27" s="222"/>
      <c r="I27" s="601"/>
      <c r="J27" s="18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666" t="s">
        <v>382</v>
      </c>
      <c r="B28" s="239" t="s">
        <v>383</v>
      </c>
      <c r="C28" s="121">
        <v>319000</v>
      </c>
      <c r="D28" s="125">
        <v>537000</v>
      </c>
      <c r="E28" s="120">
        <v>269000</v>
      </c>
      <c r="F28" s="215">
        <v>0.157</v>
      </c>
      <c r="G28" s="245"/>
      <c r="H28" s="245"/>
      <c r="I28" s="682"/>
      <c r="J28" s="18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605"/>
      <c r="B29" s="239" t="s">
        <v>384</v>
      </c>
      <c r="C29" s="121">
        <v>399000</v>
      </c>
      <c r="D29" s="126">
        <v>597000</v>
      </c>
      <c r="E29" s="121">
        <v>299000</v>
      </c>
      <c r="F29" s="219">
        <v>0.251</v>
      </c>
      <c r="G29" s="222"/>
      <c r="H29" s="222"/>
      <c r="I29" s="603"/>
      <c r="J29" s="18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05"/>
      <c r="B30" s="239" t="s">
        <v>385</v>
      </c>
      <c r="C30" s="121">
        <f>(69000+79000)*3</f>
        <v>444000</v>
      </c>
      <c r="D30" s="126">
        <f t="shared" ref="D30:D32" si="3">E30*2-1000</f>
        <v>797000</v>
      </c>
      <c r="E30" s="121">
        <v>399000</v>
      </c>
      <c r="F30" s="219">
        <f t="shared" ref="F30:F32" si="4">1-E30/C30</f>
        <v>0.10135135135135132</v>
      </c>
      <c r="G30" s="222"/>
      <c r="H30" s="222"/>
      <c r="I30" s="603"/>
      <c r="J30" s="18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605"/>
      <c r="B31" s="239" t="s">
        <v>386</v>
      </c>
      <c r="C31" s="121">
        <v>459000</v>
      </c>
      <c r="D31" s="126">
        <f t="shared" si="3"/>
        <v>897000</v>
      </c>
      <c r="E31" s="121">
        <v>449000</v>
      </c>
      <c r="F31" s="219">
        <f t="shared" si="4"/>
        <v>2.1786492374727628E-2</v>
      </c>
      <c r="G31" s="222"/>
      <c r="H31" s="222"/>
      <c r="I31" s="603"/>
      <c r="J31" s="18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606"/>
      <c r="B32" s="239" t="s">
        <v>387</v>
      </c>
      <c r="C32" s="121">
        <v>600000</v>
      </c>
      <c r="D32" s="127">
        <f t="shared" si="3"/>
        <v>1097000</v>
      </c>
      <c r="E32" s="121">
        <v>549000</v>
      </c>
      <c r="F32" s="226">
        <f t="shared" si="4"/>
        <v>8.4999999999999964E-2</v>
      </c>
      <c r="G32" s="246"/>
      <c r="H32" s="247"/>
      <c r="I32" s="601"/>
      <c r="J32" s="18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668" t="s">
        <v>388</v>
      </c>
      <c r="B33" s="248" t="s">
        <v>389</v>
      </c>
      <c r="C33" s="234">
        <v>49000</v>
      </c>
      <c r="D33" s="125">
        <v>57000</v>
      </c>
      <c r="E33" s="120">
        <v>29000</v>
      </c>
      <c r="F33" s="215">
        <v>0.40799999999999997</v>
      </c>
      <c r="G33" s="249"/>
      <c r="H33" s="250"/>
      <c r="I33" s="251"/>
      <c r="J33" s="18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608"/>
      <c r="B34" s="252" t="s">
        <v>390</v>
      </c>
      <c r="C34" s="236">
        <v>150000</v>
      </c>
      <c r="D34" s="126">
        <v>217000</v>
      </c>
      <c r="E34" s="121">
        <v>109000</v>
      </c>
      <c r="F34" s="219">
        <v>0.27300000000000002</v>
      </c>
      <c r="G34" s="253"/>
      <c r="H34" s="223"/>
      <c r="I34" s="240"/>
      <c r="J34" s="18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608"/>
      <c r="B35" s="252" t="s">
        <v>391</v>
      </c>
      <c r="C35" s="236">
        <v>248000</v>
      </c>
      <c r="D35" s="126">
        <v>397000</v>
      </c>
      <c r="E35" s="121">
        <v>199000</v>
      </c>
      <c r="F35" s="219">
        <v>0.19800000000000001</v>
      </c>
      <c r="G35" s="253"/>
      <c r="H35" s="223"/>
      <c r="I35" s="240"/>
      <c r="J35" s="18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608"/>
      <c r="B36" s="252" t="s">
        <v>392</v>
      </c>
      <c r="C36" s="236">
        <v>249000</v>
      </c>
      <c r="D36" s="126">
        <v>397000</v>
      </c>
      <c r="E36" s="121">
        <v>199000</v>
      </c>
      <c r="F36" s="219">
        <v>0.20100000000000001</v>
      </c>
      <c r="G36" s="253"/>
      <c r="H36" s="223"/>
      <c r="I36" s="240"/>
      <c r="J36" s="18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08"/>
      <c r="B37" s="252" t="s">
        <v>393</v>
      </c>
      <c r="C37" s="236">
        <v>299000</v>
      </c>
      <c r="D37" s="126">
        <v>497000</v>
      </c>
      <c r="E37" s="121">
        <v>249000</v>
      </c>
      <c r="F37" s="219">
        <v>0.16700000000000001</v>
      </c>
      <c r="G37" s="254"/>
      <c r="H37" s="255"/>
      <c r="I37" s="240"/>
      <c r="J37" s="18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10"/>
      <c r="B38" s="256" t="s">
        <v>394</v>
      </c>
      <c r="C38" s="238">
        <v>799000</v>
      </c>
      <c r="D38" s="127">
        <v>1397000</v>
      </c>
      <c r="E38" s="121">
        <v>699000</v>
      </c>
      <c r="F38" s="226">
        <v>0.125</v>
      </c>
      <c r="G38" s="257"/>
      <c r="H38" s="228"/>
      <c r="I38" s="232"/>
      <c r="J38" s="18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660" t="s">
        <v>395</v>
      </c>
      <c r="B39" s="173" t="s">
        <v>292</v>
      </c>
      <c r="C39" s="121">
        <v>79000</v>
      </c>
      <c r="D39" s="125">
        <v>117000</v>
      </c>
      <c r="E39" s="120">
        <v>59000</v>
      </c>
      <c r="F39" s="215">
        <v>0.253</v>
      </c>
      <c r="G39" s="258"/>
      <c r="H39" s="259"/>
      <c r="I39" s="682"/>
      <c r="J39" s="18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605"/>
      <c r="B40" s="173" t="s">
        <v>293</v>
      </c>
      <c r="C40" s="121">
        <v>89500</v>
      </c>
      <c r="D40" s="126">
        <v>157000</v>
      </c>
      <c r="E40" s="121">
        <v>79000</v>
      </c>
      <c r="F40" s="219">
        <v>0.11700000000000001</v>
      </c>
      <c r="G40" s="260"/>
      <c r="H40" s="261"/>
      <c r="I40" s="603"/>
      <c r="J40" s="18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606"/>
      <c r="B41" s="173" t="s">
        <v>34</v>
      </c>
      <c r="C41" s="121">
        <v>118000</v>
      </c>
      <c r="D41" s="127">
        <v>177000</v>
      </c>
      <c r="E41" s="121">
        <v>89000</v>
      </c>
      <c r="F41" s="226">
        <v>0.246</v>
      </c>
      <c r="G41" s="222"/>
      <c r="H41" s="262"/>
      <c r="I41" s="601"/>
      <c r="J41" s="18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652" t="s">
        <v>396</v>
      </c>
      <c r="B42" s="611"/>
      <c r="C42" s="611"/>
      <c r="D42" s="611"/>
      <c r="E42" s="611"/>
      <c r="F42" s="611"/>
      <c r="G42" s="611"/>
      <c r="H42" s="611"/>
      <c r="I42" s="611"/>
      <c r="J42" s="6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608"/>
      <c r="B43" s="613"/>
      <c r="C43" s="613"/>
      <c r="D43" s="613"/>
      <c r="E43" s="613"/>
      <c r="F43" s="613"/>
      <c r="G43" s="613"/>
      <c r="H43" s="613"/>
      <c r="I43" s="613"/>
      <c r="J43" s="6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608"/>
      <c r="B44" s="613"/>
      <c r="C44" s="613"/>
      <c r="D44" s="613"/>
      <c r="E44" s="613"/>
      <c r="F44" s="613"/>
      <c r="G44" s="613"/>
      <c r="H44" s="613"/>
      <c r="I44" s="613"/>
      <c r="J44" s="6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608"/>
      <c r="B45" s="613"/>
      <c r="C45" s="613"/>
      <c r="D45" s="613"/>
      <c r="E45" s="613"/>
      <c r="F45" s="613"/>
      <c r="G45" s="613"/>
      <c r="H45" s="613"/>
      <c r="I45" s="613"/>
      <c r="J45" s="6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610"/>
      <c r="B46" s="615"/>
      <c r="C46" s="615"/>
      <c r="D46" s="615"/>
      <c r="E46" s="615"/>
      <c r="F46" s="615"/>
      <c r="G46" s="615"/>
      <c r="H46" s="615"/>
      <c r="I46" s="615"/>
      <c r="J46" s="6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36"/>
      <c r="D47" s="36"/>
      <c r="E47" s="36"/>
      <c r="F47" s="36"/>
      <c r="G47" s="36"/>
      <c r="H47" s="37"/>
      <c r="I47" s="37"/>
      <c r="J47" s="3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36"/>
      <c r="D48" s="36"/>
      <c r="E48" s="36"/>
      <c r="F48" s="36"/>
      <c r="G48" s="36"/>
      <c r="H48" s="37"/>
      <c r="I48" s="37"/>
      <c r="J48" s="3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36"/>
      <c r="D49" s="36"/>
      <c r="E49" s="36"/>
      <c r="F49" s="36"/>
      <c r="G49" s="36"/>
      <c r="H49" s="37"/>
      <c r="I49" s="37"/>
      <c r="J49" s="3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36"/>
      <c r="D50" s="36"/>
      <c r="E50" s="36"/>
      <c r="F50" s="36"/>
      <c r="G50" s="36"/>
      <c r="H50" s="37"/>
      <c r="I50" s="37"/>
      <c r="J50" s="3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36"/>
      <c r="D51" s="36"/>
      <c r="E51" s="36"/>
      <c r="F51" s="36"/>
      <c r="G51" s="36"/>
      <c r="H51" s="37"/>
      <c r="I51" s="37"/>
      <c r="J51" s="3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36"/>
      <c r="D52" s="36"/>
      <c r="E52" s="36"/>
      <c r="F52" s="36"/>
      <c r="G52" s="36"/>
      <c r="H52" s="37"/>
      <c r="I52" s="37"/>
      <c r="J52" s="3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36"/>
      <c r="D53" s="36"/>
      <c r="E53" s="36"/>
      <c r="F53" s="36"/>
      <c r="G53" s="36"/>
      <c r="H53" s="37"/>
      <c r="I53" s="37"/>
      <c r="J53" s="3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36"/>
      <c r="D54" s="36"/>
      <c r="E54" s="36"/>
      <c r="F54" s="36"/>
      <c r="G54" s="36"/>
      <c r="H54" s="37"/>
      <c r="I54" s="37"/>
      <c r="J54" s="3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36"/>
      <c r="D55" s="36"/>
      <c r="E55" s="36"/>
      <c r="F55" s="36"/>
      <c r="G55" s="36"/>
      <c r="H55" s="37"/>
      <c r="I55" s="37"/>
      <c r="J55" s="3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36"/>
      <c r="D56" s="36"/>
      <c r="E56" s="36"/>
      <c r="F56" s="36"/>
      <c r="G56" s="36"/>
      <c r="H56" s="37"/>
      <c r="I56" s="37"/>
      <c r="J56" s="3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36"/>
      <c r="D57" s="36"/>
      <c r="E57" s="36"/>
      <c r="F57" s="36"/>
      <c r="G57" s="36"/>
      <c r="H57" s="37"/>
      <c r="I57" s="37"/>
      <c r="J57" s="3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36"/>
      <c r="D58" s="36"/>
      <c r="E58" s="36"/>
      <c r="F58" s="36"/>
      <c r="G58" s="36"/>
      <c r="H58" s="37"/>
      <c r="I58" s="37"/>
      <c r="J58" s="3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36"/>
      <c r="D59" s="36"/>
      <c r="E59" s="36"/>
      <c r="F59" s="36"/>
      <c r="G59" s="36"/>
      <c r="H59" s="37"/>
      <c r="I59" s="37"/>
      <c r="J59" s="3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36"/>
      <c r="D60" s="36"/>
      <c r="E60" s="36"/>
      <c r="F60" s="36"/>
      <c r="G60" s="36"/>
      <c r="H60" s="37"/>
      <c r="I60" s="37"/>
      <c r="J60" s="3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36"/>
      <c r="D61" s="36"/>
      <c r="E61" s="36"/>
      <c r="F61" s="36"/>
      <c r="G61" s="36"/>
      <c r="H61" s="37"/>
      <c r="I61" s="37"/>
      <c r="J61" s="3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36"/>
      <c r="D62" s="36"/>
      <c r="E62" s="36"/>
      <c r="F62" s="36"/>
      <c r="G62" s="36"/>
      <c r="H62" s="37"/>
      <c r="I62" s="37"/>
      <c r="J62" s="3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36"/>
      <c r="D63" s="36"/>
      <c r="E63" s="36"/>
      <c r="F63" s="36"/>
      <c r="G63" s="36"/>
      <c r="H63" s="37"/>
      <c r="I63" s="37"/>
      <c r="J63" s="3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36"/>
      <c r="D64" s="36"/>
      <c r="E64" s="36"/>
      <c r="F64" s="36"/>
      <c r="G64" s="36"/>
      <c r="H64" s="37"/>
      <c r="I64" s="37"/>
      <c r="J64" s="3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36"/>
      <c r="D65" s="36"/>
      <c r="E65" s="36"/>
      <c r="F65" s="36"/>
      <c r="G65" s="36"/>
      <c r="H65" s="37"/>
      <c r="I65" s="37"/>
      <c r="J65" s="3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36"/>
      <c r="D66" s="36"/>
      <c r="E66" s="36"/>
      <c r="F66" s="36"/>
      <c r="G66" s="36"/>
      <c r="H66" s="37"/>
      <c r="I66" s="37"/>
      <c r="J66" s="3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36"/>
      <c r="D67" s="36"/>
      <c r="E67" s="36"/>
      <c r="F67" s="36"/>
      <c r="G67" s="36"/>
      <c r="H67" s="37"/>
      <c r="I67" s="37"/>
      <c r="J67" s="3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36"/>
      <c r="D68" s="36"/>
      <c r="E68" s="36"/>
      <c r="F68" s="36"/>
      <c r="G68" s="36"/>
      <c r="H68" s="37"/>
      <c r="I68" s="37"/>
      <c r="J68" s="3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36"/>
      <c r="D69" s="36"/>
      <c r="E69" s="36"/>
      <c r="F69" s="36"/>
      <c r="G69" s="36"/>
      <c r="H69" s="37"/>
      <c r="I69" s="37"/>
      <c r="J69" s="3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36"/>
      <c r="D70" s="36"/>
      <c r="E70" s="36"/>
      <c r="F70" s="36"/>
      <c r="G70" s="36"/>
      <c r="H70" s="37"/>
      <c r="I70" s="37"/>
      <c r="J70" s="3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36"/>
      <c r="D71" s="36"/>
      <c r="E71" s="36"/>
      <c r="F71" s="36"/>
      <c r="G71" s="36"/>
      <c r="H71" s="37"/>
      <c r="I71" s="37"/>
      <c r="J71" s="3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36"/>
      <c r="D72" s="36"/>
      <c r="E72" s="36"/>
      <c r="F72" s="36"/>
      <c r="G72" s="36"/>
      <c r="H72" s="37"/>
      <c r="I72" s="37"/>
      <c r="J72" s="3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36"/>
      <c r="D73" s="36"/>
      <c r="E73" s="36"/>
      <c r="F73" s="36"/>
      <c r="G73" s="36"/>
      <c r="H73" s="37"/>
      <c r="I73" s="37"/>
      <c r="J73" s="3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36"/>
      <c r="D74" s="36"/>
      <c r="E74" s="36"/>
      <c r="F74" s="36"/>
      <c r="G74" s="36"/>
      <c r="H74" s="37"/>
      <c r="I74" s="37"/>
      <c r="J74" s="3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36"/>
      <c r="D75" s="36"/>
      <c r="E75" s="36"/>
      <c r="F75" s="36"/>
      <c r="G75" s="36"/>
      <c r="H75" s="37"/>
      <c r="I75" s="37"/>
      <c r="J75" s="3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36"/>
      <c r="D76" s="36"/>
      <c r="E76" s="36"/>
      <c r="F76" s="36"/>
      <c r="G76" s="36"/>
      <c r="H76" s="37"/>
      <c r="I76" s="37"/>
      <c r="J76" s="3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36"/>
      <c r="D77" s="36"/>
      <c r="E77" s="36"/>
      <c r="F77" s="36"/>
      <c r="G77" s="36"/>
      <c r="H77" s="37"/>
      <c r="I77" s="37"/>
      <c r="J77" s="3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36"/>
      <c r="D78" s="36"/>
      <c r="E78" s="36"/>
      <c r="F78" s="36"/>
      <c r="G78" s="36"/>
      <c r="H78" s="37"/>
      <c r="I78" s="37"/>
      <c r="J78" s="3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36"/>
      <c r="D79" s="36"/>
      <c r="E79" s="36"/>
      <c r="F79" s="36"/>
      <c r="G79" s="36"/>
      <c r="H79" s="37"/>
      <c r="I79" s="37"/>
      <c r="J79" s="3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36"/>
      <c r="D80" s="36"/>
      <c r="E80" s="36"/>
      <c r="F80" s="36"/>
      <c r="G80" s="36"/>
      <c r="H80" s="37"/>
      <c r="I80" s="37"/>
      <c r="J80" s="3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36"/>
      <c r="D81" s="36"/>
      <c r="E81" s="36"/>
      <c r="F81" s="36"/>
      <c r="G81" s="36"/>
      <c r="H81" s="37"/>
      <c r="I81" s="37"/>
      <c r="J81" s="3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36"/>
      <c r="D82" s="36"/>
      <c r="E82" s="36"/>
      <c r="F82" s="36"/>
      <c r="G82" s="36"/>
      <c r="H82" s="37"/>
      <c r="I82" s="37"/>
      <c r="J82" s="3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36"/>
      <c r="D83" s="36"/>
      <c r="E83" s="36"/>
      <c r="F83" s="36"/>
      <c r="G83" s="36"/>
      <c r="H83" s="37"/>
      <c r="I83" s="37"/>
      <c r="J83" s="3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36"/>
      <c r="D84" s="36"/>
      <c r="E84" s="36"/>
      <c r="F84" s="36"/>
      <c r="G84" s="36"/>
      <c r="H84" s="37"/>
      <c r="I84" s="37"/>
      <c r="J84" s="3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36"/>
      <c r="D85" s="36"/>
      <c r="E85" s="36"/>
      <c r="F85" s="36"/>
      <c r="G85" s="36"/>
      <c r="H85" s="37"/>
      <c r="I85" s="37"/>
      <c r="J85" s="3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36"/>
      <c r="D86" s="36"/>
      <c r="E86" s="36"/>
      <c r="F86" s="36"/>
      <c r="G86" s="36"/>
      <c r="H86" s="37"/>
      <c r="I86" s="37"/>
      <c r="J86" s="3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36"/>
      <c r="D87" s="36"/>
      <c r="E87" s="36"/>
      <c r="F87" s="36"/>
      <c r="G87" s="36"/>
      <c r="H87" s="37"/>
      <c r="I87" s="37"/>
      <c r="J87" s="3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36"/>
      <c r="D88" s="36"/>
      <c r="E88" s="36"/>
      <c r="F88" s="36"/>
      <c r="G88" s="36"/>
      <c r="H88" s="37"/>
      <c r="I88" s="37"/>
      <c r="J88" s="3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36"/>
      <c r="D89" s="36"/>
      <c r="E89" s="36"/>
      <c r="F89" s="36"/>
      <c r="G89" s="36"/>
      <c r="H89" s="37"/>
      <c r="I89" s="37"/>
      <c r="J89" s="3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36"/>
      <c r="D90" s="36"/>
      <c r="E90" s="36"/>
      <c r="F90" s="36"/>
      <c r="G90" s="36"/>
      <c r="H90" s="37"/>
      <c r="I90" s="37"/>
      <c r="J90" s="3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36"/>
      <c r="D91" s="36"/>
      <c r="E91" s="36"/>
      <c r="F91" s="36"/>
      <c r="G91" s="36"/>
      <c r="H91" s="37"/>
      <c r="I91" s="37"/>
      <c r="J91" s="3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36"/>
      <c r="D92" s="36"/>
      <c r="E92" s="36"/>
      <c r="F92" s="36"/>
      <c r="G92" s="36"/>
      <c r="H92" s="37"/>
      <c r="I92" s="37"/>
      <c r="J92" s="3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36"/>
      <c r="D93" s="36"/>
      <c r="E93" s="36"/>
      <c r="F93" s="36"/>
      <c r="G93" s="36"/>
      <c r="H93" s="37"/>
      <c r="I93" s="37"/>
      <c r="J93" s="3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36"/>
      <c r="D94" s="36"/>
      <c r="E94" s="36"/>
      <c r="F94" s="36"/>
      <c r="G94" s="36"/>
      <c r="H94" s="37"/>
      <c r="I94" s="37"/>
      <c r="J94" s="3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36"/>
      <c r="D95" s="36"/>
      <c r="E95" s="36"/>
      <c r="F95" s="36"/>
      <c r="G95" s="36"/>
      <c r="H95" s="37"/>
      <c r="I95" s="37"/>
      <c r="J95" s="3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36"/>
      <c r="D96" s="36"/>
      <c r="E96" s="36"/>
      <c r="F96" s="36"/>
      <c r="G96" s="36"/>
      <c r="H96" s="37"/>
      <c r="I96" s="37"/>
      <c r="J96" s="3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36"/>
      <c r="D97" s="36"/>
      <c r="E97" s="36"/>
      <c r="F97" s="36"/>
      <c r="G97" s="36"/>
      <c r="H97" s="37"/>
      <c r="I97" s="37"/>
      <c r="J97" s="3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36"/>
      <c r="D98" s="36"/>
      <c r="E98" s="36"/>
      <c r="F98" s="36"/>
      <c r="G98" s="36"/>
      <c r="H98" s="37"/>
      <c r="I98" s="37"/>
      <c r="J98" s="3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36"/>
      <c r="D99" s="36"/>
      <c r="E99" s="36"/>
      <c r="F99" s="36"/>
      <c r="G99" s="36"/>
      <c r="H99" s="37"/>
      <c r="I99" s="37"/>
      <c r="J99" s="3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36"/>
      <c r="D100" s="36"/>
      <c r="E100" s="36"/>
      <c r="F100" s="36"/>
      <c r="G100" s="36"/>
      <c r="H100" s="37"/>
      <c r="I100" s="37"/>
      <c r="J100" s="3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36"/>
      <c r="D101" s="36"/>
      <c r="E101" s="36"/>
      <c r="F101" s="36"/>
      <c r="G101" s="36"/>
      <c r="H101" s="37"/>
      <c r="I101" s="37"/>
      <c r="J101" s="3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36"/>
      <c r="D102" s="36"/>
      <c r="E102" s="36"/>
      <c r="F102" s="36"/>
      <c r="G102" s="36"/>
      <c r="H102" s="37"/>
      <c r="I102" s="37"/>
      <c r="J102" s="3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36"/>
      <c r="D103" s="36"/>
      <c r="E103" s="36"/>
      <c r="F103" s="36"/>
      <c r="G103" s="36"/>
      <c r="H103" s="37"/>
      <c r="I103" s="37"/>
      <c r="J103" s="3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36"/>
      <c r="D104" s="36"/>
      <c r="E104" s="36"/>
      <c r="F104" s="36"/>
      <c r="G104" s="36"/>
      <c r="H104" s="37"/>
      <c r="I104" s="37"/>
      <c r="J104" s="3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36"/>
      <c r="D105" s="36"/>
      <c r="E105" s="36"/>
      <c r="F105" s="36"/>
      <c r="G105" s="36"/>
      <c r="H105" s="37"/>
      <c r="I105" s="37"/>
      <c r="J105" s="3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36"/>
      <c r="D106" s="36"/>
      <c r="E106" s="36"/>
      <c r="F106" s="36"/>
      <c r="G106" s="36"/>
      <c r="H106" s="37"/>
      <c r="I106" s="37"/>
      <c r="J106" s="3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36"/>
      <c r="D107" s="36"/>
      <c r="E107" s="36"/>
      <c r="F107" s="36"/>
      <c r="G107" s="36"/>
      <c r="H107" s="37"/>
      <c r="I107" s="37"/>
      <c r="J107" s="3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36"/>
      <c r="D108" s="36"/>
      <c r="E108" s="36"/>
      <c r="F108" s="36"/>
      <c r="G108" s="36"/>
      <c r="H108" s="37"/>
      <c r="I108" s="37"/>
      <c r="J108" s="3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36"/>
      <c r="D109" s="36"/>
      <c r="E109" s="36"/>
      <c r="F109" s="36"/>
      <c r="G109" s="36"/>
      <c r="H109" s="37"/>
      <c r="I109" s="37"/>
      <c r="J109" s="3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36"/>
      <c r="D110" s="36"/>
      <c r="E110" s="36"/>
      <c r="F110" s="36"/>
      <c r="G110" s="36"/>
      <c r="H110" s="37"/>
      <c r="I110" s="37"/>
      <c r="J110" s="3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36"/>
      <c r="D111" s="36"/>
      <c r="E111" s="36"/>
      <c r="F111" s="36"/>
      <c r="G111" s="36"/>
      <c r="H111" s="37"/>
      <c r="I111" s="37"/>
      <c r="J111" s="3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36"/>
      <c r="D112" s="36"/>
      <c r="E112" s="36"/>
      <c r="F112" s="36"/>
      <c r="G112" s="36"/>
      <c r="H112" s="37"/>
      <c r="I112" s="37"/>
      <c r="J112" s="3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36"/>
      <c r="D113" s="36"/>
      <c r="E113" s="36"/>
      <c r="F113" s="36"/>
      <c r="G113" s="36"/>
      <c r="H113" s="37"/>
      <c r="I113" s="37"/>
      <c r="J113" s="3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36"/>
      <c r="D114" s="36"/>
      <c r="E114" s="36"/>
      <c r="F114" s="36"/>
      <c r="G114" s="36"/>
      <c r="H114" s="37"/>
      <c r="I114" s="37"/>
      <c r="J114" s="3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36"/>
      <c r="D115" s="36"/>
      <c r="E115" s="36"/>
      <c r="F115" s="36"/>
      <c r="G115" s="36"/>
      <c r="H115" s="37"/>
      <c r="I115" s="37"/>
      <c r="J115" s="3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36"/>
      <c r="D116" s="36"/>
      <c r="E116" s="36"/>
      <c r="F116" s="36"/>
      <c r="G116" s="36"/>
      <c r="H116" s="37"/>
      <c r="I116" s="37"/>
      <c r="J116" s="3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36"/>
      <c r="D117" s="36"/>
      <c r="E117" s="36"/>
      <c r="F117" s="36"/>
      <c r="G117" s="36"/>
      <c r="H117" s="37"/>
      <c r="I117" s="37"/>
      <c r="J117" s="3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36"/>
      <c r="D118" s="36"/>
      <c r="E118" s="36"/>
      <c r="F118" s="36"/>
      <c r="G118" s="36"/>
      <c r="H118" s="37"/>
      <c r="I118" s="37"/>
      <c r="J118" s="3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36"/>
      <c r="D119" s="36"/>
      <c r="E119" s="36"/>
      <c r="F119" s="36"/>
      <c r="G119" s="36"/>
      <c r="H119" s="37"/>
      <c r="I119" s="37"/>
      <c r="J119" s="3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36"/>
      <c r="D120" s="36"/>
      <c r="E120" s="36"/>
      <c r="F120" s="36"/>
      <c r="G120" s="36"/>
      <c r="H120" s="37"/>
      <c r="I120" s="37"/>
      <c r="J120" s="3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36"/>
      <c r="D121" s="36"/>
      <c r="E121" s="36"/>
      <c r="F121" s="36"/>
      <c r="G121" s="36"/>
      <c r="H121" s="37"/>
      <c r="I121" s="37"/>
      <c r="J121" s="3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36"/>
      <c r="D122" s="36"/>
      <c r="E122" s="36"/>
      <c r="F122" s="36"/>
      <c r="G122" s="36"/>
      <c r="H122" s="37"/>
      <c r="I122" s="37"/>
      <c r="J122" s="3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36"/>
      <c r="D123" s="36"/>
      <c r="E123" s="36"/>
      <c r="F123" s="36"/>
      <c r="G123" s="36"/>
      <c r="H123" s="37"/>
      <c r="I123" s="37"/>
      <c r="J123" s="3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36"/>
      <c r="D124" s="36"/>
      <c r="E124" s="36"/>
      <c r="F124" s="36"/>
      <c r="G124" s="36"/>
      <c r="H124" s="37"/>
      <c r="I124" s="37"/>
      <c r="J124" s="3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36"/>
      <c r="D125" s="36"/>
      <c r="E125" s="36"/>
      <c r="F125" s="36"/>
      <c r="G125" s="36"/>
      <c r="H125" s="37"/>
      <c r="I125" s="37"/>
      <c r="J125" s="3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36"/>
      <c r="D126" s="36"/>
      <c r="E126" s="36"/>
      <c r="F126" s="36"/>
      <c r="G126" s="36"/>
      <c r="H126" s="37"/>
      <c r="I126" s="37"/>
      <c r="J126" s="3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36"/>
      <c r="D127" s="36"/>
      <c r="E127" s="36"/>
      <c r="F127" s="36"/>
      <c r="G127" s="36"/>
      <c r="H127" s="37"/>
      <c r="I127" s="37"/>
      <c r="J127" s="3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36"/>
      <c r="D128" s="36"/>
      <c r="E128" s="36"/>
      <c r="F128" s="36"/>
      <c r="G128" s="36"/>
      <c r="H128" s="37"/>
      <c r="I128" s="37"/>
      <c r="J128" s="3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36"/>
      <c r="D129" s="36"/>
      <c r="E129" s="36"/>
      <c r="F129" s="36"/>
      <c r="G129" s="36"/>
      <c r="H129" s="37"/>
      <c r="I129" s="37"/>
      <c r="J129" s="3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36"/>
      <c r="D130" s="36"/>
      <c r="E130" s="36"/>
      <c r="F130" s="36"/>
      <c r="G130" s="36"/>
      <c r="H130" s="37"/>
      <c r="I130" s="37"/>
      <c r="J130" s="3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36"/>
      <c r="D131" s="36"/>
      <c r="E131" s="36"/>
      <c r="F131" s="36"/>
      <c r="G131" s="36"/>
      <c r="H131" s="37"/>
      <c r="I131" s="37"/>
      <c r="J131" s="3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36"/>
      <c r="D132" s="36"/>
      <c r="E132" s="36"/>
      <c r="F132" s="36"/>
      <c r="G132" s="36"/>
      <c r="H132" s="37"/>
      <c r="I132" s="37"/>
      <c r="J132" s="3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36"/>
      <c r="D133" s="36"/>
      <c r="E133" s="36"/>
      <c r="F133" s="36"/>
      <c r="G133" s="36"/>
      <c r="H133" s="37"/>
      <c r="I133" s="37"/>
      <c r="J133" s="3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36"/>
      <c r="D134" s="36"/>
      <c r="E134" s="36"/>
      <c r="F134" s="36"/>
      <c r="G134" s="36"/>
      <c r="H134" s="37"/>
      <c r="I134" s="37"/>
      <c r="J134" s="3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36"/>
      <c r="D135" s="36"/>
      <c r="E135" s="36"/>
      <c r="F135" s="36"/>
      <c r="G135" s="36"/>
      <c r="H135" s="37"/>
      <c r="I135" s="37"/>
      <c r="J135" s="3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36"/>
      <c r="D136" s="36"/>
      <c r="E136" s="36"/>
      <c r="F136" s="36"/>
      <c r="G136" s="36"/>
      <c r="H136" s="37"/>
      <c r="I136" s="37"/>
      <c r="J136" s="3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36"/>
      <c r="D137" s="36"/>
      <c r="E137" s="36"/>
      <c r="F137" s="36"/>
      <c r="G137" s="36"/>
      <c r="H137" s="37"/>
      <c r="I137" s="37"/>
      <c r="J137" s="3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36"/>
      <c r="D138" s="36"/>
      <c r="E138" s="36"/>
      <c r="F138" s="36"/>
      <c r="G138" s="36"/>
      <c r="H138" s="37"/>
      <c r="I138" s="37"/>
      <c r="J138" s="3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36"/>
      <c r="D139" s="36"/>
      <c r="E139" s="36"/>
      <c r="F139" s="36"/>
      <c r="G139" s="36"/>
      <c r="H139" s="37"/>
      <c r="I139" s="37"/>
      <c r="J139" s="3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36"/>
      <c r="D140" s="36"/>
      <c r="E140" s="36"/>
      <c r="F140" s="36"/>
      <c r="G140" s="36"/>
      <c r="H140" s="37"/>
      <c r="I140" s="37"/>
      <c r="J140" s="3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36"/>
      <c r="D141" s="36"/>
      <c r="E141" s="36"/>
      <c r="F141" s="36"/>
      <c r="G141" s="36"/>
      <c r="H141" s="37"/>
      <c r="I141" s="37"/>
      <c r="J141" s="3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36"/>
      <c r="D142" s="36"/>
      <c r="E142" s="36"/>
      <c r="F142" s="36"/>
      <c r="G142" s="36"/>
      <c r="H142" s="37"/>
      <c r="I142" s="37"/>
      <c r="J142" s="3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36"/>
      <c r="D143" s="36"/>
      <c r="E143" s="36"/>
      <c r="F143" s="36"/>
      <c r="G143" s="36"/>
      <c r="H143" s="37"/>
      <c r="I143" s="37"/>
      <c r="J143" s="3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36"/>
      <c r="D144" s="36"/>
      <c r="E144" s="36"/>
      <c r="F144" s="36"/>
      <c r="G144" s="36"/>
      <c r="H144" s="37"/>
      <c r="I144" s="37"/>
      <c r="J144" s="3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36"/>
      <c r="D145" s="36"/>
      <c r="E145" s="36"/>
      <c r="F145" s="36"/>
      <c r="G145" s="36"/>
      <c r="H145" s="37"/>
      <c r="I145" s="37"/>
      <c r="J145" s="3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36"/>
      <c r="D146" s="36"/>
      <c r="E146" s="36"/>
      <c r="F146" s="36"/>
      <c r="G146" s="36"/>
      <c r="H146" s="37"/>
      <c r="I146" s="37"/>
      <c r="J146" s="3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36"/>
      <c r="D147" s="36"/>
      <c r="E147" s="36"/>
      <c r="F147" s="36"/>
      <c r="G147" s="36"/>
      <c r="H147" s="37"/>
      <c r="I147" s="37"/>
      <c r="J147" s="3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36"/>
      <c r="D148" s="36"/>
      <c r="E148" s="36"/>
      <c r="F148" s="36"/>
      <c r="G148" s="36"/>
      <c r="H148" s="37"/>
      <c r="I148" s="37"/>
      <c r="J148" s="3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36"/>
      <c r="D149" s="36"/>
      <c r="E149" s="36"/>
      <c r="F149" s="36"/>
      <c r="G149" s="36"/>
      <c r="H149" s="37"/>
      <c r="I149" s="37"/>
      <c r="J149" s="3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37"/>
      <c r="D150" s="37"/>
      <c r="E150" s="37"/>
      <c r="F150" s="37"/>
      <c r="G150" s="37"/>
      <c r="H150" s="37"/>
      <c r="I150" s="37"/>
      <c r="J150" s="3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37"/>
      <c r="D151" s="37"/>
      <c r="E151" s="37"/>
      <c r="F151" s="37"/>
      <c r="G151" s="37"/>
      <c r="H151" s="37"/>
      <c r="I151" s="37"/>
      <c r="J151" s="3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37"/>
      <c r="D152" s="37"/>
      <c r="E152" s="37"/>
      <c r="F152" s="37"/>
      <c r="G152" s="37"/>
      <c r="H152" s="37"/>
      <c r="I152" s="37"/>
      <c r="J152" s="3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37"/>
      <c r="D153" s="37"/>
      <c r="E153" s="37"/>
      <c r="F153" s="37"/>
      <c r="G153" s="37"/>
      <c r="H153" s="37"/>
      <c r="I153" s="37"/>
      <c r="J153" s="3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37"/>
      <c r="D154" s="37"/>
      <c r="E154" s="37"/>
      <c r="F154" s="37"/>
      <c r="G154" s="37"/>
      <c r="H154" s="37"/>
      <c r="I154" s="37"/>
      <c r="J154" s="3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37"/>
      <c r="D155" s="37"/>
      <c r="E155" s="37"/>
      <c r="F155" s="37"/>
      <c r="G155" s="37"/>
      <c r="H155" s="37"/>
      <c r="I155" s="37"/>
      <c r="J155" s="3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37"/>
      <c r="D156" s="37"/>
      <c r="E156" s="37"/>
      <c r="F156" s="37"/>
      <c r="G156" s="37"/>
      <c r="H156" s="37"/>
      <c r="I156" s="37"/>
      <c r="J156" s="3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37"/>
      <c r="D157" s="37"/>
      <c r="E157" s="37"/>
      <c r="F157" s="37"/>
      <c r="G157" s="37"/>
      <c r="H157" s="37"/>
      <c r="I157" s="37"/>
      <c r="J157" s="3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37"/>
      <c r="D158" s="37"/>
      <c r="E158" s="37"/>
      <c r="F158" s="37"/>
      <c r="G158" s="37"/>
      <c r="H158" s="37"/>
      <c r="I158" s="37"/>
      <c r="J158" s="3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37"/>
      <c r="D159" s="37"/>
      <c r="E159" s="37"/>
      <c r="F159" s="37"/>
      <c r="G159" s="37"/>
      <c r="H159" s="37"/>
      <c r="I159" s="37"/>
      <c r="J159" s="3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37"/>
      <c r="D160" s="37"/>
      <c r="E160" s="37"/>
      <c r="F160" s="37"/>
      <c r="G160" s="37"/>
      <c r="H160" s="37"/>
      <c r="I160" s="37"/>
      <c r="J160" s="3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37"/>
      <c r="D161" s="37"/>
      <c r="E161" s="37"/>
      <c r="F161" s="37"/>
      <c r="G161" s="37"/>
      <c r="H161" s="37"/>
      <c r="I161" s="37"/>
      <c r="J161" s="3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37"/>
      <c r="D162" s="37"/>
      <c r="E162" s="37"/>
      <c r="F162" s="37"/>
      <c r="G162" s="37"/>
      <c r="H162" s="37"/>
      <c r="I162" s="37"/>
      <c r="J162" s="3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37"/>
      <c r="D163" s="37"/>
      <c r="E163" s="37"/>
      <c r="F163" s="37"/>
      <c r="G163" s="37"/>
      <c r="H163" s="37"/>
      <c r="I163" s="37"/>
      <c r="J163" s="3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37"/>
      <c r="D164" s="37"/>
      <c r="E164" s="37"/>
      <c r="F164" s="37"/>
      <c r="G164" s="37"/>
      <c r="H164" s="37"/>
      <c r="I164" s="37"/>
      <c r="J164" s="3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37"/>
      <c r="D165" s="37"/>
      <c r="E165" s="37"/>
      <c r="F165" s="37"/>
      <c r="G165" s="37"/>
      <c r="H165" s="37"/>
      <c r="I165" s="37"/>
      <c r="J165" s="3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37"/>
      <c r="D166" s="37"/>
      <c r="E166" s="37"/>
      <c r="F166" s="37"/>
      <c r="G166" s="37"/>
      <c r="H166" s="37"/>
      <c r="I166" s="37"/>
      <c r="J166" s="3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37"/>
      <c r="D167" s="37"/>
      <c r="E167" s="37"/>
      <c r="F167" s="37"/>
      <c r="G167" s="37"/>
      <c r="H167" s="37"/>
      <c r="I167" s="37"/>
      <c r="J167" s="3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37"/>
      <c r="D168" s="37"/>
      <c r="E168" s="37"/>
      <c r="F168" s="37"/>
      <c r="G168" s="37"/>
      <c r="H168" s="37"/>
      <c r="I168" s="37"/>
      <c r="J168" s="3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37"/>
      <c r="D169" s="37"/>
      <c r="E169" s="37"/>
      <c r="F169" s="37"/>
      <c r="G169" s="37"/>
      <c r="H169" s="37"/>
      <c r="I169" s="37"/>
      <c r="J169" s="3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37"/>
      <c r="D170" s="37"/>
      <c r="E170" s="37"/>
      <c r="F170" s="37"/>
      <c r="G170" s="37"/>
      <c r="H170" s="37"/>
      <c r="I170" s="37"/>
      <c r="J170" s="3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37"/>
      <c r="D171" s="37"/>
      <c r="E171" s="37"/>
      <c r="F171" s="37"/>
      <c r="G171" s="37"/>
      <c r="H171" s="37"/>
      <c r="I171" s="37"/>
      <c r="J171" s="3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37"/>
      <c r="D172" s="37"/>
      <c r="E172" s="37"/>
      <c r="F172" s="37"/>
      <c r="G172" s="37"/>
      <c r="H172" s="37"/>
      <c r="I172" s="37"/>
      <c r="J172" s="3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37"/>
      <c r="D173" s="37"/>
      <c r="E173" s="37"/>
      <c r="F173" s="37"/>
      <c r="G173" s="37"/>
      <c r="H173" s="37"/>
      <c r="I173" s="37"/>
      <c r="J173" s="3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37"/>
      <c r="D174" s="37"/>
      <c r="E174" s="37"/>
      <c r="F174" s="37"/>
      <c r="G174" s="37"/>
      <c r="H174" s="37"/>
      <c r="I174" s="37"/>
      <c r="J174" s="3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37"/>
      <c r="D175" s="37"/>
      <c r="E175" s="37"/>
      <c r="F175" s="37"/>
      <c r="G175" s="37"/>
      <c r="H175" s="37"/>
      <c r="I175" s="37"/>
      <c r="J175" s="3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37"/>
      <c r="D176" s="37"/>
      <c r="E176" s="37"/>
      <c r="F176" s="37"/>
      <c r="G176" s="37"/>
      <c r="H176" s="37"/>
      <c r="I176" s="37"/>
      <c r="J176" s="3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37"/>
      <c r="D177" s="37"/>
      <c r="E177" s="37"/>
      <c r="F177" s="37"/>
      <c r="G177" s="37"/>
      <c r="H177" s="37"/>
      <c r="I177" s="37"/>
      <c r="J177" s="3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37"/>
      <c r="D178" s="37"/>
      <c r="E178" s="37"/>
      <c r="F178" s="37"/>
      <c r="G178" s="37"/>
      <c r="H178" s="37"/>
      <c r="I178" s="37"/>
      <c r="J178" s="3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37"/>
      <c r="D179" s="37"/>
      <c r="E179" s="37"/>
      <c r="F179" s="37"/>
      <c r="G179" s="37"/>
      <c r="H179" s="37"/>
      <c r="I179" s="37"/>
      <c r="J179" s="3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37"/>
      <c r="D180" s="37"/>
      <c r="E180" s="37"/>
      <c r="F180" s="37"/>
      <c r="G180" s="37"/>
      <c r="H180" s="37"/>
      <c r="I180" s="37"/>
      <c r="J180" s="3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37"/>
      <c r="D181" s="37"/>
      <c r="E181" s="37"/>
      <c r="F181" s="37"/>
      <c r="G181" s="37"/>
      <c r="H181" s="37"/>
      <c r="I181" s="37"/>
      <c r="J181" s="3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37"/>
      <c r="D182" s="37"/>
      <c r="E182" s="37"/>
      <c r="F182" s="37"/>
      <c r="G182" s="37"/>
      <c r="H182" s="37"/>
      <c r="I182" s="37"/>
      <c r="J182" s="3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37"/>
      <c r="D183" s="37"/>
      <c r="E183" s="37"/>
      <c r="F183" s="37"/>
      <c r="G183" s="37"/>
      <c r="H183" s="37"/>
      <c r="I183" s="37"/>
      <c r="J183" s="3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37"/>
      <c r="D184" s="37"/>
      <c r="E184" s="37"/>
      <c r="F184" s="37"/>
      <c r="G184" s="37"/>
      <c r="H184" s="37"/>
      <c r="I184" s="37"/>
      <c r="J184" s="3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37"/>
      <c r="D185" s="37"/>
      <c r="E185" s="37"/>
      <c r="F185" s="37"/>
      <c r="G185" s="37"/>
      <c r="H185" s="37"/>
      <c r="I185" s="37"/>
      <c r="J185" s="3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37"/>
      <c r="D186" s="37"/>
      <c r="E186" s="37"/>
      <c r="F186" s="37"/>
      <c r="G186" s="37"/>
      <c r="H186" s="37"/>
      <c r="I186" s="37"/>
      <c r="J186" s="3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37"/>
      <c r="D187" s="37"/>
      <c r="E187" s="37"/>
      <c r="F187" s="37"/>
      <c r="G187" s="37"/>
      <c r="H187" s="37"/>
      <c r="I187" s="37"/>
      <c r="J187" s="3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37"/>
      <c r="D188" s="37"/>
      <c r="E188" s="37"/>
      <c r="F188" s="37"/>
      <c r="G188" s="37"/>
      <c r="H188" s="37"/>
      <c r="I188" s="37"/>
      <c r="J188" s="3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37"/>
      <c r="D189" s="37"/>
      <c r="E189" s="37"/>
      <c r="F189" s="37"/>
      <c r="G189" s="37"/>
      <c r="H189" s="37"/>
      <c r="I189" s="37"/>
      <c r="J189" s="3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37"/>
      <c r="D190" s="37"/>
      <c r="E190" s="37"/>
      <c r="F190" s="37"/>
      <c r="G190" s="37"/>
      <c r="H190" s="37"/>
      <c r="I190" s="37"/>
      <c r="J190" s="3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37"/>
      <c r="D191" s="37"/>
      <c r="E191" s="37"/>
      <c r="F191" s="37"/>
      <c r="G191" s="37"/>
      <c r="H191" s="37"/>
      <c r="I191" s="37"/>
      <c r="J191" s="3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37"/>
      <c r="D192" s="37"/>
      <c r="E192" s="37"/>
      <c r="F192" s="37"/>
      <c r="G192" s="37"/>
      <c r="H192" s="37"/>
      <c r="I192" s="37"/>
      <c r="J192" s="3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37"/>
      <c r="D193" s="37"/>
      <c r="E193" s="37"/>
      <c r="F193" s="37"/>
      <c r="G193" s="37"/>
      <c r="H193" s="37"/>
      <c r="I193" s="37"/>
      <c r="J193" s="3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37"/>
      <c r="D194" s="37"/>
      <c r="E194" s="37"/>
      <c r="F194" s="37"/>
      <c r="G194" s="37"/>
      <c r="H194" s="37"/>
      <c r="I194" s="37"/>
      <c r="J194" s="3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37"/>
      <c r="D195" s="37"/>
      <c r="E195" s="37"/>
      <c r="F195" s="37"/>
      <c r="G195" s="37"/>
      <c r="H195" s="37"/>
      <c r="I195" s="37"/>
      <c r="J195" s="3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37"/>
      <c r="D196" s="37"/>
      <c r="E196" s="37"/>
      <c r="F196" s="37"/>
      <c r="G196" s="37"/>
      <c r="H196" s="37"/>
      <c r="I196" s="37"/>
      <c r="J196" s="3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37"/>
      <c r="D197" s="37"/>
      <c r="E197" s="37"/>
      <c r="F197" s="37"/>
      <c r="G197" s="37"/>
      <c r="H197" s="37"/>
      <c r="I197" s="37"/>
      <c r="J197" s="3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37"/>
      <c r="D198" s="37"/>
      <c r="E198" s="37"/>
      <c r="F198" s="37"/>
      <c r="G198" s="37"/>
      <c r="H198" s="37"/>
      <c r="I198" s="37"/>
      <c r="J198" s="3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37"/>
      <c r="D199" s="37"/>
      <c r="E199" s="37"/>
      <c r="F199" s="37"/>
      <c r="G199" s="37"/>
      <c r="H199" s="37"/>
      <c r="I199" s="37"/>
      <c r="J199" s="3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37"/>
      <c r="D200" s="37"/>
      <c r="E200" s="37"/>
      <c r="F200" s="37"/>
      <c r="G200" s="37"/>
      <c r="H200" s="37"/>
      <c r="I200" s="37"/>
      <c r="J200" s="3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37"/>
      <c r="D201" s="37"/>
      <c r="E201" s="37"/>
      <c r="F201" s="37"/>
      <c r="G201" s="37"/>
      <c r="H201" s="37"/>
      <c r="I201" s="37"/>
      <c r="J201" s="3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37"/>
      <c r="D202" s="37"/>
      <c r="E202" s="37"/>
      <c r="F202" s="37"/>
      <c r="G202" s="37"/>
      <c r="H202" s="37"/>
      <c r="I202" s="37"/>
      <c r="J202" s="3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37"/>
      <c r="D203" s="37"/>
      <c r="E203" s="37"/>
      <c r="F203" s="37"/>
      <c r="G203" s="37"/>
      <c r="H203" s="37"/>
      <c r="I203" s="37"/>
      <c r="J203" s="3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37"/>
      <c r="D204" s="37"/>
      <c r="E204" s="37"/>
      <c r="F204" s="37"/>
      <c r="G204" s="37"/>
      <c r="H204" s="37"/>
      <c r="I204" s="37"/>
      <c r="J204" s="3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37"/>
      <c r="D205" s="37"/>
      <c r="E205" s="37"/>
      <c r="F205" s="37"/>
      <c r="G205" s="37"/>
      <c r="H205" s="37"/>
      <c r="I205" s="37"/>
      <c r="J205" s="3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37"/>
      <c r="D206" s="37"/>
      <c r="E206" s="37"/>
      <c r="F206" s="37"/>
      <c r="G206" s="37"/>
      <c r="H206" s="37"/>
      <c r="I206" s="37"/>
      <c r="J206" s="3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37"/>
      <c r="D207" s="37"/>
      <c r="E207" s="37"/>
      <c r="F207" s="37"/>
      <c r="G207" s="37"/>
      <c r="H207" s="37"/>
      <c r="I207" s="37"/>
      <c r="J207" s="3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37"/>
      <c r="D208" s="37"/>
      <c r="E208" s="37"/>
      <c r="F208" s="37"/>
      <c r="G208" s="37"/>
      <c r="H208" s="37"/>
      <c r="I208" s="37"/>
      <c r="J208" s="3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37"/>
      <c r="D209" s="37"/>
      <c r="E209" s="37"/>
      <c r="F209" s="37"/>
      <c r="G209" s="37"/>
      <c r="H209" s="37"/>
      <c r="I209" s="37"/>
      <c r="J209" s="3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37"/>
      <c r="D210" s="37"/>
      <c r="E210" s="37"/>
      <c r="F210" s="37"/>
      <c r="G210" s="37"/>
      <c r="H210" s="37"/>
      <c r="I210" s="37"/>
      <c r="J210" s="3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37"/>
      <c r="D211" s="37"/>
      <c r="E211" s="37"/>
      <c r="F211" s="37"/>
      <c r="G211" s="37"/>
      <c r="H211" s="37"/>
      <c r="I211" s="37"/>
      <c r="J211" s="3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37"/>
      <c r="D212" s="37"/>
      <c r="E212" s="37"/>
      <c r="F212" s="37"/>
      <c r="G212" s="37"/>
      <c r="H212" s="37"/>
      <c r="I212" s="37"/>
      <c r="J212" s="3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37"/>
      <c r="D213" s="37"/>
      <c r="E213" s="37"/>
      <c r="F213" s="37"/>
      <c r="G213" s="37"/>
      <c r="H213" s="37"/>
      <c r="I213" s="37"/>
      <c r="J213" s="3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37"/>
      <c r="D214" s="37"/>
      <c r="E214" s="37"/>
      <c r="F214" s="37"/>
      <c r="G214" s="37"/>
      <c r="H214" s="37"/>
      <c r="I214" s="37"/>
      <c r="J214" s="3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37"/>
      <c r="D215" s="37"/>
      <c r="E215" s="37"/>
      <c r="F215" s="37"/>
      <c r="G215" s="37"/>
      <c r="H215" s="37"/>
      <c r="I215" s="37"/>
      <c r="J215" s="3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37"/>
      <c r="D216" s="37"/>
      <c r="E216" s="37"/>
      <c r="F216" s="37"/>
      <c r="G216" s="37"/>
      <c r="H216" s="37"/>
      <c r="I216" s="37"/>
      <c r="J216" s="3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37"/>
      <c r="D217" s="37"/>
      <c r="E217" s="37"/>
      <c r="F217" s="37"/>
      <c r="G217" s="37"/>
      <c r="H217" s="37"/>
      <c r="I217" s="37"/>
      <c r="J217" s="3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37"/>
      <c r="D218" s="37"/>
      <c r="E218" s="37"/>
      <c r="F218" s="37"/>
      <c r="G218" s="37"/>
      <c r="H218" s="37"/>
      <c r="I218" s="37"/>
      <c r="J218" s="3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37"/>
      <c r="D219" s="37"/>
      <c r="E219" s="37"/>
      <c r="F219" s="37"/>
      <c r="G219" s="37"/>
      <c r="H219" s="37"/>
      <c r="I219" s="37"/>
      <c r="J219" s="3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37"/>
      <c r="D220" s="37"/>
      <c r="E220" s="37"/>
      <c r="F220" s="37"/>
      <c r="G220" s="37"/>
      <c r="H220" s="37"/>
      <c r="I220" s="37"/>
      <c r="J220" s="3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37"/>
      <c r="D221" s="37"/>
      <c r="E221" s="37"/>
      <c r="F221" s="37"/>
      <c r="G221" s="37"/>
      <c r="H221" s="37"/>
      <c r="I221" s="37"/>
      <c r="J221" s="3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37"/>
      <c r="D222" s="37"/>
      <c r="E222" s="37"/>
      <c r="F222" s="37"/>
      <c r="G222" s="37"/>
      <c r="H222" s="37"/>
      <c r="I222" s="37"/>
      <c r="J222" s="3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37"/>
      <c r="D223" s="37"/>
      <c r="E223" s="37"/>
      <c r="F223" s="37"/>
      <c r="G223" s="37"/>
      <c r="H223" s="37"/>
      <c r="I223" s="37"/>
      <c r="J223" s="3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37"/>
      <c r="D224" s="37"/>
      <c r="E224" s="37"/>
      <c r="F224" s="37"/>
      <c r="G224" s="37"/>
      <c r="H224" s="37"/>
      <c r="I224" s="37"/>
      <c r="J224" s="3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37"/>
      <c r="D225" s="37"/>
      <c r="E225" s="37"/>
      <c r="F225" s="37"/>
      <c r="G225" s="37"/>
      <c r="H225" s="37"/>
      <c r="I225" s="37"/>
      <c r="J225" s="3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37"/>
      <c r="D226" s="37"/>
      <c r="E226" s="37"/>
      <c r="F226" s="37"/>
      <c r="G226" s="37"/>
      <c r="H226" s="37"/>
      <c r="I226" s="37"/>
      <c r="J226" s="3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37"/>
      <c r="D227" s="37"/>
      <c r="E227" s="37"/>
      <c r="F227" s="37"/>
      <c r="G227" s="37"/>
      <c r="H227" s="37"/>
      <c r="I227" s="37"/>
      <c r="J227" s="3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37"/>
      <c r="D228" s="37"/>
      <c r="E228" s="37"/>
      <c r="F228" s="37"/>
      <c r="G228" s="37"/>
      <c r="H228" s="37"/>
      <c r="I228" s="37"/>
      <c r="J228" s="3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37"/>
      <c r="D229" s="37"/>
      <c r="E229" s="37"/>
      <c r="F229" s="37"/>
      <c r="G229" s="37"/>
      <c r="H229" s="37"/>
      <c r="I229" s="37"/>
      <c r="J229" s="3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37"/>
      <c r="D230" s="37"/>
      <c r="E230" s="37"/>
      <c r="F230" s="37"/>
      <c r="G230" s="37"/>
      <c r="H230" s="37"/>
      <c r="I230" s="37"/>
      <c r="J230" s="3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37"/>
      <c r="D231" s="37"/>
      <c r="E231" s="37"/>
      <c r="F231" s="37"/>
      <c r="G231" s="37"/>
      <c r="H231" s="37"/>
      <c r="I231" s="37"/>
      <c r="J231" s="3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37"/>
      <c r="D232" s="37"/>
      <c r="E232" s="37"/>
      <c r="F232" s="37"/>
      <c r="G232" s="37"/>
      <c r="H232" s="37"/>
      <c r="I232" s="37"/>
      <c r="J232" s="37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37"/>
      <c r="D233" s="37"/>
      <c r="E233" s="37"/>
      <c r="F233" s="37"/>
      <c r="G233" s="37"/>
      <c r="H233" s="37"/>
      <c r="I233" s="37"/>
      <c r="J233" s="37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37"/>
      <c r="D234" s="37"/>
      <c r="E234" s="37"/>
      <c r="F234" s="37"/>
      <c r="G234" s="37"/>
      <c r="H234" s="37"/>
      <c r="I234" s="37"/>
      <c r="J234" s="37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37"/>
      <c r="D235" s="37"/>
      <c r="E235" s="37"/>
      <c r="F235" s="37"/>
      <c r="G235" s="37"/>
      <c r="H235" s="37"/>
      <c r="I235" s="37"/>
      <c r="J235" s="37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37"/>
      <c r="D236" s="37"/>
      <c r="E236" s="37"/>
      <c r="F236" s="37"/>
      <c r="G236" s="37"/>
      <c r="H236" s="37"/>
      <c r="I236" s="37"/>
      <c r="J236" s="37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37"/>
      <c r="D237" s="37"/>
      <c r="E237" s="37"/>
      <c r="F237" s="37"/>
      <c r="G237" s="37"/>
      <c r="H237" s="37"/>
      <c r="I237" s="37"/>
      <c r="J237" s="37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37"/>
      <c r="D238" s="37"/>
      <c r="E238" s="37"/>
      <c r="F238" s="37"/>
      <c r="G238" s="37"/>
      <c r="H238" s="37"/>
      <c r="I238" s="37"/>
      <c r="J238" s="37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37"/>
      <c r="D239" s="37"/>
      <c r="E239" s="37"/>
      <c r="F239" s="37"/>
      <c r="G239" s="37"/>
      <c r="H239" s="37"/>
      <c r="I239" s="37"/>
      <c r="J239" s="37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37"/>
      <c r="D240" s="37"/>
      <c r="E240" s="37"/>
      <c r="F240" s="37"/>
      <c r="G240" s="37"/>
      <c r="H240" s="37"/>
      <c r="I240" s="37"/>
      <c r="J240" s="37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37"/>
      <c r="D241" s="37"/>
      <c r="E241" s="37"/>
      <c r="F241" s="37"/>
      <c r="G241" s="37"/>
      <c r="H241" s="37"/>
      <c r="I241" s="37"/>
      <c r="J241" s="37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37"/>
      <c r="D242" s="37"/>
      <c r="E242" s="37"/>
      <c r="F242" s="37"/>
      <c r="G242" s="37"/>
      <c r="H242" s="37"/>
      <c r="I242" s="37"/>
      <c r="J242" s="37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73"/>
      <c r="B243" s="73"/>
      <c r="C243" s="73"/>
      <c r="D243" s="73"/>
      <c r="E243" s="73"/>
      <c r="F243" s="73"/>
      <c r="G243" s="73"/>
      <c r="H243" s="73"/>
      <c r="J243" s="73"/>
    </row>
    <row r="244" spans="1:26" ht="15.75" customHeight="1">
      <c r="A244" s="73"/>
      <c r="B244" s="73"/>
      <c r="C244" s="73"/>
      <c r="D244" s="73"/>
      <c r="E244" s="73"/>
      <c r="F244" s="73"/>
      <c r="G244" s="73"/>
      <c r="H244" s="73"/>
      <c r="J244" s="73"/>
    </row>
    <row r="245" spans="1:26" ht="15.75" customHeight="1">
      <c r="A245" s="73"/>
      <c r="B245" s="73"/>
      <c r="C245" s="73"/>
      <c r="D245" s="73"/>
      <c r="E245" s="73"/>
      <c r="F245" s="73"/>
      <c r="G245" s="73"/>
      <c r="H245" s="73"/>
      <c r="J245" s="73"/>
    </row>
    <row r="246" spans="1:26" ht="15.75" customHeight="1">
      <c r="A246" s="73"/>
      <c r="B246" s="73"/>
      <c r="C246" s="73"/>
      <c r="D246" s="73"/>
      <c r="E246" s="73"/>
      <c r="F246" s="73"/>
      <c r="G246" s="73"/>
      <c r="H246" s="73"/>
      <c r="J246" s="73"/>
    </row>
    <row r="247" spans="1:26" ht="15.75" customHeight="1">
      <c r="A247" s="73"/>
      <c r="B247" s="73"/>
      <c r="C247" s="73"/>
      <c r="D247" s="73"/>
      <c r="E247" s="73"/>
      <c r="F247" s="73"/>
      <c r="G247" s="73"/>
      <c r="H247" s="73"/>
      <c r="J247" s="73"/>
    </row>
    <row r="248" spans="1:26" ht="15.75" customHeight="1">
      <c r="A248" s="73"/>
      <c r="B248" s="73"/>
      <c r="C248" s="73"/>
      <c r="D248" s="73"/>
      <c r="E248" s="73"/>
      <c r="F248" s="73"/>
      <c r="G248" s="73"/>
      <c r="H248" s="73"/>
      <c r="J248" s="73"/>
    </row>
    <row r="249" spans="1:26" ht="15.75" customHeight="1">
      <c r="A249" s="73"/>
      <c r="B249" s="73"/>
      <c r="C249" s="73"/>
      <c r="D249" s="73"/>
      <c r="E249" s="73"/>
      <c r="F249" s="73"/>
      <c r="G249" s="73"/>
      <c r="H249" s="73"/>
      <c r="J249" s="73"/>
    </row>
    <row r="250" spans="1:26" ht="15.75" customHeight="1">
      <c r="A250" s="73"/>
      <c r="B250" s="73"/>
      <c r="C250" s="73"/>
      <c r="D250" s="73"/>
      <c r="E250" s="73"/>
      <c r="F250" s="73"/>
      <c r="G250" s="73"/>
      <c r="H250" s="73"/>
      <c r="J250" s="73"/>
    </row>
    <row r="251" spans="1:26" ht="15.75" customHeight="1">
      <c r="A251" s="73"/>
      <c r="B251" s="73"/>
      <c r="C251" s="73"/>
      <c r="D251" s="73"/>
      <c r="E251" s="73"/>
      <c r="F251" s="73"/>
      <c r="G251" s="73"/>
      <c r="H251" s="73"/>
      <c r="J251" s="73"/>
    </row>
    <row r="252" spans="1:26" ht="15.75" customHeight="1">
      <c r="A252" s="73"/>
      <c r="B252" s="73"/>
      <c r="C252" s="73"/>
      <c r="D252" s="73"/>
      <c r="E252" s="73"/>
      <c r="F252" s="73"/>
      <c r="G252" s="73"/>
      <c r="H252" s="73"/>
      <c r="J252" s="73"/>
    </row>
    <row r="253" spans="1:26" ht="15.75" customHeight="1">
      <c r="A253" s="73"/>
      <c r="B253" s="73"/>
      <c r="C253" s="73"/>
      <c r="D253" s="73"/>
      <c r="E253" s="73"/>
      <c r="F253" s="73"/>
      <c r="G253" s="73"/>
      <c r="H253" s="73"/>
      <c r="J253" s="73"/>
    </row>
    <row r="254" spans="1:26" ht="15.75" customHeight="1">
      <c r="A254" s="73"/>
      <c r="B254" s="73"/>
      <c r="C254" s="73"/>
      <c r="D254" s="73"/>
      <c r="E254" s="73"/>
      <c r="F254" s="73"/>
      <c r="G254" s="73"/>
      <c r="H254" s="73"/>
      <c r="J254" s="73"/>
    </row>
    <row r="255" spans="1:26" ht="15.75" customHeight="1">
      <c r="A255" s="73"/>
      <c r="B255" s="73"/>
      <c r="C255" s="73"/>
      <c r="D255" s="73"/>
      <c r="E255" s="73"/>
      <c r="F255" s="73"/>
      <c r="G255" s="73"/>
      <c r="H255" s="73"/>
      <c r="J255" s="73"/>
    </row>
    <row r="256" spans="1:26" ht="15.75" customHeight="1">
      <c r="A256" s="73"/>
      <c r="B256" s="73"/>
      <c r="C256" s="73"/>
      <c r="D256" s="73"/>
      <c r="E256" s="73"/>
      <c r="F256" s="73"/>
      <c r="G256" s="73"/>
      <c r="H256" s="73"/>
      <c r="J256" s="73"/>
    </row>
    <row r="257" spans="1:10" ht="15.75" customHeight="1">
      <c r="A257" s="73"/>
      <c r="B257" s="73"/>
      <c r="C257" s="73"/>
      <c r="D257" s="73"/>
      <c r="E257" s="73"/>
      <c r="F257" s="73"/>
      <c r="G257" s="73"/>
      <c r="H257" s="73"/>
      <c r="J257" s="73"/>
    </row>
    <row r="258" spans="1:10" ht="15.75" customHeight="1">
      <c r="A258" s="73"/>
      <c r="B258" s="73"/>
      <c r="C258" s="73"/>
      <c r="D258" s="73"/>
      <c r="E258" s="73"/>
      <c r="F258" s="73"/>
      <c r="G258" s="73"/>
      <c r="H258" s="73"/>
      <c r="J258" s="73"/>
    </row>
    <row r="259" spans="1:10" ht="15.75" customHeight="1">
      <c r="A259" s="73"/>
      <c r="B259" s="73"/>
      <c r="C259" s="73"/>
      <c r="D259" s="73"/>
      <c r="E259" s="73"/>
      <c r="F259" s="73"/>
      <c r="G259" s="73"/>
      <c r="H259" s="73"/>
      <c r="J259" s="73"/>
    </row>
    <row r="260" spans="1:10" ht="15.75" customHeight="1">
      <c r="A260" s="73"/>
      <c r="B260" s="73"/>
      <c r="C260" s="73"/>
      <c r="D260" s="73"/>
      <c r="E260" s="73"/>
      <c r="F260" s="73"/>
      <c r="G260" s="73"/>
      <c r="H260" s="73"/>
      <c r="J260" s="73"/>
    </row>
    <row r="261" spans="1:10" ht="15.75" customHeight="1">
      <c r="A261" s="73"/>
      <c r="B261" s="73"/>
      <c r="C261" s="73"/>
      <c r="D261" s="73"/>
      <c r="E261" s="73"/>
      <c r="F261" s="73"/>
      <c r="G261" s="73"/>
      <c r="H261" s="73"/>
      <c r="J261" s="73"/>
    </row>
    <row r="262" spans="1:10" ht="15.75" customHeight="1">
      <c r="A262" s="73"/>
      <c r="B262" s="73"/>
      <c r="C262" s="73"/>
      <c r="D262" s="73"/>
      <c r="E262" s="73"/>
      <c r="F262" s="73"/>
      <c r="G262" s="73"/>
      <c r="H262" s="73"/>
      <c r="J262" s="73"/>
    </row>
    <row r="263" spans="1:10" ht="15.75" customHeight="1">
      <c r="A263" s="73"/>
      <c r="B263" s="73"/>
      <c r="C263" s="73"/>
      <c r="D263" s="73"/>
      <c r="E263" s="73"/>
      <c r="F263" s="73"/>
      <c r="G263" s="73"/>
      <c r="H263" s="73"/>
      <c r="J263" s="73"/>
    </row>
    <row r="264" spans="1:10" ht="15.75" customHeight="1">
      <c r="A264" s="73"/>
      <c r="B264" s="73"/>
      <c r="C264" s="73"/>
      <c r="D264" s="73"/>
      <c r="E264" s="73"/>
      <c r="F264" s="73"/>
      <c r="G264" s="73"/>
      <c r="H264" s="73"/>
      <c r="J264" s="73"/>
    </row>
    <row r="265" spans="1:10" ht="15.75" customHeight="1">
      <c r="A265" s="73"/>
      <c r="B265" s="73"/>
      <c r="C265" s="73"/>
      <c r="D265" s="73"/>
      <c r="E265" s="73"/>
      <c r="F265" s="73"/>
      <c r="G265" s="73"/>
      <c r="H265" s="73"/>
      <c r="J265" s="73"/>
    </row>
    <row r="266" spans="1:10" ht="15.75" customHeight="1">
      <c r="A266" s="73"/>
      <c r="B266" s="73"/>
      <c r="C266" s="73"/>
      <c r="D266" s="73"/>
      <c r="E266" s="73"/>
      <c r="F266" s="73"/>
      <c r="G266" s="73"/>
      <c r="H266" s="73"/>
      <c r="J266" s="73"/>
    </row>
    <row r="267" spans="1:10" ht="15.75" customHeight="1">
      <c r="A267" s="73"/>
      <c r="B267" s="73"/>
      <c r="C267" s="73"/>
      <c r="D267" s="73"/>
      <c r="E267" s="73"/>
      <c r="F267" s="73"/>
      <c r="G267" s="73"/>
      <c r="H267" s="73"/>
      <c r="J267" s="73"/>
    </row>
    <row r="268" spans="1:10" ht="15.75" customHeight="1">
      <c r="A268" s="73"/>
      <c r="B268" s="73"/>
      <c r="C268" s="73"/>
      <c r="D268" s="73"/>
      <c r="E268" s="73"/>
      <c r="F268" s="73"/>
      <c r="G268" s="73"/>
      <c r="H268" s="73"/>
      <c r="J268" s="73"/>
    </row>
    <row r="269" spans="1:10" ht="15.75" customHeight="1">
      <c r="A269" s="73"/>
      <c r="B269" s="73"/>
      <c r="C269" s="73"/>
      <c r="D269" s="73"/>
      <c r="E269" s="73"/>
      <c r="F269" s="73"/>
      <c r="G269" s="73"/>
      <c r="H269" s="73"/>
      <c r="J269" s="73"/>
    </row>
    <row r="270" spans="1:10" ht="15.75" customHeight="1">
      <c r="A270" s="73"/>
      <c r="B270" s="73"/>
      <c r="C270" s="73"/>
      <c r="D270" s="73"/>
      <c r="E270" s="73"/>
      <c r="F270" s="73"/>
      <c r="G270" s="73"/>
      <c r="H270" s="73"/>
      <c r="J270" s="73"/>
    </row>
    <row r="271" spans="1:10" ht="15.75" customHeight="1">
      <c r="A271" s="73"/>
      <c r="B271" s="73"/>
      <c r="C271" s="73"/>
      <c r="D271" s="73"/>
      <c r="E271" s="73"/>
      <c r="F271" s="73"/>
      <c r="G271" s="73"/>
      <c r="H271" s="73"/>
      <c r="J271" s="73"/>
    </row>
    <row r="272" spans="1:10" ht="15.75" customHeight="1">
      <c r="A272" s="73"/>
      <c r="B272" s="73"/>
      <c r="C272" s="73"/>
      <c r="D272" s="73"/>
      <c r="E272" s="73"/>
      <c r="F272" s="73"/>
      <c r="G272" s="73"/>
      <c r="H272" s="73"/>
      <c r="J272" s="73"/>
    </row>
    <row r="273" spans="1:10" ht="15.75" customHeight="1">
      <c r="A273" s="73"/>
      <c r="B273" s="73"/>
      <c r="C273" s="73"/>
      <c r="D273" s="73"/>
      <c r="E273" s="73"/>
      <c r="F273" s="73"/>
      <c r="G273" s="73"/>
      <c r="H273" s="73"/>
      <c r="J273" s="73"/>
    </row>
    <row r="274" spans="1:10" ht="15.75" customHeight="1">
      <c r="A274" s="73"/>
      <c r="B274" s="73"/>
      <c r="C274" s="73"/>
      <c r="D274" s="73"/>
      <c r="E274" s="73"/>
      <c r="F274" s="73"/>
      <c r="G274" s="73"/>
      <c r="H274" s="73"/>
      <c r="J274" s="73"/>
    </row>
    <row r="275" spans="1:10" ht="15.75" customHeight="1">
      <c r="A275" s="73"/>
      <c r="B275" s="73"/>
      <c r="C275" s="73"/>
      <c r="D275" s="73"/>
      <c r="E275" s="73"/>
      <c r="F275" s="73"/>
      <c r="G275" s="73"/>
      <c r="H275" s="73"/>
      <c r="J275" s="73"/>
    </row>
    <row r="276" spans="1:10" ht="15.75" customHeight="1">
      <c r="A276" s="73"/>
      <c r="B276" s="73"/>
      <c r="C276" s="73"/>
      <c r="D276" s="73"/>
      <c r="E276" s="73"/>
      <c r="F276" s="73"/>
      <c r="G276" s="73"/>
      <c r="H276" s="73"/>
      <c r="J276" s="73"/>
    </row>
    <row r="277" spans="1:10" ht="15.75" customHeight="1">
      <c r="A277" s="73"/>
      <c r="B277" s="73"/>
      <c r="C277" s="73"/>
      <c r="D277" s="73"/>
      <c r="E277" s="73"/>
      <c r="F277" s="73"/>
      <c r="G277" s="73"/>
      <c r="H277" s="73"/>
      <c r="J277" s="73"/>
    </row>
    <row r="278" spans="1:10" ht="15.75" customHeight="1">
      <c r="A278" s="73"/>
      <c r="B278" s="73"/>
      <c r="C278" s="73"/>
      <c r="D278" s="73"/>
      <c r="E278" s="73"/>
      <c r="F278" s="73"/>
      <c r="G278" s="73"/>
      <c r="H278" s="73"/>
      <c r="J278" s="73"/>
    </row>
    <row r="279" spans="1:10" ht="15.75" customHeight="1">
      <c r="A279" s="73"/>
      <c r="B279" s="73"/>
      <c r="C279" s="73"/>
      <c r="D279" s="73"/>
      <c r="E279" s="73"/>
      <c r="F279" s="73"/>
      <c r="G279" s="73"/>
      <c r="H279" s="73"/>
      <c r="J279" s="73"/>
    </row>
    <row r="280" spans="1:10" ht="15.75" customHeight="1">
      <c r="A280" s="73"/>
      <c r="B280" s="73"/>
      <c r="C280" s="73"/>
      <c r="D280" s="73"/>
      <c r="E280" s="73"/>
      <c r="F280" s="73"/>
      <c r="G280" s="73"/>
      <c r="H280" s="73"/>
      <c r="J280" s="73"/>
    </row>
    <row r="281" spans="1:10" ht="15.75" customHeight="1">
      <c r="A281" s="73"/>
      <c r="B281" s="73"/>
      <c r="C281" s="73"/>
      <c r="D281" s="73"/>
      <c r="E281" s="73"/>
      <c r="F281" s="73"/>
      <c r="G281" s="73"/>
      <c r="H281" s="73"/>
      <c r="J281" s="73"/>
    </row>
    <row r="282" spans="1:10" ht="15.75" customHeight="1">
      <c r="A282" s="73"/>
      <c r="B282" s="73"/>
      <c r="C282" s="73"/>
      <c r="D282" s="73"/>
      <c r="E282" s="73"/>
      <c r="F282" s="73"/>
      <c r="G282" s="73"/>
      <c r="H282" s="73"/>
      <c r="J282" s="73"/>
    </row>
    <row r="283" spans="1:10" ht="15.75" customHeight="1">
      <c r="A283" s="73"/>
      <c r="B283" s="73"/>
      <c r="C283" s="73"/>
      <c r="D283" s="73"/>
      <c r="E283" s="73"/>
      <c r="F283" s="73"/>
      <c r="G283" s="73"/>
      <c r="H283" s="73"/>
      <c r="J283" s="73"/>
    </row>
    <row r="284" spans="1:10" ht="15.75" customHeight="1">
      <c r="A284" s="73"/>
      <c r="B284" s="73"/>
      <c r="C284" s="73"/>
      <c r="D284" s="73"/>
      <c r="E284" s="73"/>
      <c r="F284" s="73"/>
      <c r="G284" s="73"/>
      <c r="H284" s="73"/>
      <c r="J284" s="73"/>
    </row>
    <row r="285" spans="1:10" ht="15.75" customHeight="1">
      <c r="A285" s="73"/>
      <c r="B285" s="73"/>
      <c r="C285" s="73"/>
      <c r="D285" s="73"/>
      <c r="E285" s="73"/>
      <c r="F285" s="73"/>
      <c r="G285" s="73"/>
      <c r="H285" s="73"/>
      <c r="J285" s="73"/>
    </row>
    <row r="286" spans="1:10" ht="15.75" customHeight="1">
      <c r="A286" s="73"/>
      <c r="B286" s="73"/>
      <c r="C286" s="73"/>
      <c r="D286" s="73"/>
      <c r="E286" s="73"/>
      <c r="F286" s="73"/>
      <c r="G286" s="73"/>
      <c r="H286" s="73"/>
      <c r="J286" s="73"/>
    </row>
    <row r="287" spans="1:10" ht="15.75" customHeight="1">
      <c r="A287" s="73"/>
      <c r="B287" s="73"/>
      <c r="C287" s="73"/>
      <c r="D287" s="73"/>
      <c r="E287" s="73"/>
      <c r="F287" s="73"/>
      <c r="G287" s="73"/>
      <c r="H287" s="73"/>
      <c r="J287" s="73"/>
    </row>
    <row r="288" spans="1:10" ht="15.75" customHeight="1">
      <c r="A288" s="73"/>
      <c r="B288" s="73"/>
      <c r="C288" s="73"/>
      <c r="D288" s="73"/>
      <c r="E288" s="73"/>
      <c r="F288" s="73"/>
      <c r="G288" s="73"/>
      <c r="H288" s="73"/>
      <c r="J288" s="73"/>
    </row>
    <row r="289" spans="1:10" ht="15.75" customHeight="1">
      <c r="A289" s="73"/>
      <c r="B289" s="73"/>
      <c r="C289" s="73"/>
      <c r="D289" s="73"/>
      <c r="E289" s="73"/>
      <c r="F289" s="73"/>
      <c r="G289" s="73"/>
      <c r="H289" s="73"/>
      <c r="J289" s="73"/>
    </row>
    <row r="290" spans="1:10" ht="15.75" customHeight="1">
      <c r="A290" s="73"/>
      <c r="B290" s="73"/>
      <c r="C290" s="73"/>
      <c r="D290" s="73"/>
      <c r="E290" s="73"/>
      <c r="F290" s="73"/>
      <c r="G290" s="73"/>
      <c r="H290" s="73"/>
      <c r="J290" s="73"/>
    </row>
    <row r="291" spans="1:10" ht="15.75" customHeight="1">
      <c r="A291" s="73"/>
      <c r="B291" s="73"/>
      <c r="C291" s="73"/>
      <c r="D291" s="73"/>
      <c r="E291" s="73"/>
      <c r="F291" s="73"/>
      <c r="G291" s="73"/>
      <c r="H291" s="73"/>
      <c r="J291" s="73"/>
    </row>
    <row r="292" spans="1:10" ht="15.75" customHeight="1">
      <c r="A292" s="73"/>
      <c r="B292" s="73"/>
      <c r="C292" s="73"/>
      <c r="D292" s="73"/>
      <c r="E292" s="73"/>
      <c r="F292" s="73"/>
      <c r="G292" s="73"/>
      <c r="H292" s="73"/>
      <c r="J292" s="73"/>
    </row>
    <row r="293" spans="1:10" ht="15.75" customHeight="1">
      <c r="A293" s="73"/>
      <c r="B293" s="73"/>
      <c r="C293" s="73"/>
      <c r="D293" s="73"/>
      <c r="E293" s="73"/>
      <c r="F293" s="73"/>
      <c r="G293" s="73"/>
      <c r="H293" s="73"/>
      <c r="J293" s="73"/>
    </row>
    <row r="294" spans="1:10" ht="15.75" customHeight="1">
      <c r="A294" s="73"/>
      <c r="B294" s="73"/>
      <c r="C294" s="73"/>
      <c r="D294" s="73"/>
      <c r="E294" s="73"/>
      <c r="F294" s="73"/>
      <c r="G294" s="73"/>
      <c r="H294" s="73"/>
      <c r="J294" s="73"/>
    </row>
    <row r="295" spans="1:10" ht="15.75" customHeight="1">
      <c r="A295" s="73"/>
      <c r="B295" s="73"/>
      <c r="C295" s="73"/>
      <c r="D295" s="73"/>
      <c r="E295" s="73"/>
      <c r="F295" s="73"/>
      <c r="G295" s="73"/>
      <c r="H295" s="73"/>
      <c r="J295" s="73"/>
    </row>
    <row r="296" spans="1:10" ht="15.75" customHeight="1">
      <c r="A296" s="73"/>
      <c r="B296" s="73"/>
      <c r="C296" s="73"/>
      <c r="D296" s="73"/>
      <c r="E296" s="73"/>
      <c r="F296" s="73"/>
      <c r="G296" s="73"/>
      <c r="H296" s="73"/>
      <c r="J296" s="73"/>
    </row>
    <row r="297" spans="1:10" ht="15.75" customHeight="1">
      <c r="A297" s="73"/>
      <c r="B297" s="73"/>
      <c r="C297" s="73"/>
      <c r="D297" s="73"/>
      <c r="E297" s="73"/>
      <c r="F297" s="73"/>
      <c r="G297" s="73"/>
      <c r="H297" s="73"/>
      <c r="J297" s="73"/>
    </row>
    <row r="298" spans="1:10" ht="15.75" customHeight="1">
      <c r="A298" s="73"/>
      <c r="B298" s="73"/>
      <c r="C298" s="73"/>
      <c r="D298" s="73"/>
      <c r="E298" s="73"/>
      <c r="F298" s="73"/>
      <c r="G298" s="73"/>
      <c r="H298" s="73"/>
      <c r="J298" s="73"/>
    </row>
    <row r="299" spans="1:10" ht="15.75" customHeight="1">
      <c r="A299" s="73"/>
      <c r="B299" s="73"/>
      <c r="C299" s="73"/>
      <c r="D299" s="73"/>
      <c r="E299" s="73"/>
      <c r="F299" s="73"/>
      <c r="G299" s="73"/>
      <c r="H299" s="73"/>
      <c r="J299" s="73"/>
    </row>
    <row r="300" spans="1:10" ht="15.75" customHeight="1">
      <c r="A300" s="73"/>
      <c r="B300" s="73"/>
      <c r="C300" s="73"/>
      <c r="D300" s="73"/>
      <c r="E300" s="73"/>
      <c r="F300" s="73"/>
      <c r="G300" s="73"/>
      <c r="H300" s="73"/>
      <c r="J300" s="73"/>
    </row>
    <row r="301" spans="1:10" ht="15.75" customHeight="1">
      <c r="A301" s="73"/>
      <c r="B301" s="73"/>
      <c r="C301" s="73"/>
      <c r="D301" s="73"/>
      <c r="E301" s="73"/>
      <c r="F301" s="73"/>
      <c r="G301" s="73"/>
      <c r="H301" s="73"/>
      <c r="J301" s="73"/>
    </row>
    <row r="302" spans="1:10" ht="15.75" customHeight="1">
      <c r="A302" s="73"/>
      <c r="B302" s="73"/>
      <c r="C302" s="73"/>
      <c r="D302" s="73"/>
      <c r="E302" s="73"/>
      <c r="F302" s="73"/>
      <c r="G302" s="73"/>
      <c r="H302" s="73"/>
      <c r="J302" s="73"/>
    </row>
    <row r="303" spans="1:10" ht="15.75" customHeight="1">
      <c r="A303" s="73"/>
      <c r="B303" s="73"/>
      <c r="C303" s="73"/>
      <c r="D303" s="73"/>
      <c r="E303" s="73"/>
      <c r="F303" s="73"/>
      <c r="G303" s="73"/>
      <c r="H303" s="73"/>
      <c r="J303" s="73"/>
    </row>
    <row r="304" spans="1:10" ht="15.75" customHeight="1">
      <c r="A304" s="73"/>
      <c r="B304" s="73"/>
      <c r="C304" s="73"/>
      <c r="D304" s="73"/>
      <c r="E304" s="73"/>
      <c r="F304" s="73"/>
      <c r="G304" s="73"/>
      <c r="H304" s="73"/>
      <c r="J304" s="73"/>
    </row>
    <row r="305" spans="1:10" ht="15.75" customHeight="1">
      <c r="A305" s="73"/>
      <c r="B305" s="73"/>
      <c r="C305" s="73"/>
      <c r="D305" s="73"/>
      <c r="E305" s="73"/>
      <c r="F305" s="73"/>
      <c r="G305" s="73"/>
      <c r="H305" s="73"/>
      <c r="J305" s="73"/>
    </row>
    <row r="306" spans="1:10" ht="15.75" customHeight="1">
      <c r="A306" s="73"/>
      <c r="B306" s="73"/>
      <c r="C306" s="73"/>
      <c r="D306" s="73"/>
      <c r="E306" s="73"/>
      <c r="F306" s="73"/>
      <c r="G306" s="73"/>
      <c r="H306" s="73"/>
      <c r="J306" s="73"/>
    </row>
    <row r="307" spans="1:10" ht="15.75" customHeight="1">
      <c r="A307" s="73"/>
      <c r="B307" s="73"/>
      <c r="C307" s="73"/>
      <c r="D307" s="73"/>
      <c r="E307" s="73"/>
      <c r="F307" s="73"/>
      <c r="G307" s="73"/>
      <c r="H307" s="73"/>
      <c r="J307" s="73"/>
    </row>
    <row r="308" spans="1:10" ht="15.75" customHeight="1">
      <c r="A308" s="73"/>
      <c r="B308" s="73"/>
      <c r="C308" s="73"/>
      <c r="D308" s="73"/>
      <c r="E308" s="73"/>
      <c r="F308" s="73"/>
      <c r="G308" s="73"/>
      <c r="H308" s="73"/>
      <c r="J308" s="73"/>
    </row>
    <row r="309" spans="1:10" ht="15.75" customHeight="1">
      <c r="A309" s="73"/>
      <c r="B309" s="73"/>
      <c r="C309" s="73"/>
      <c r="D309" s="73"/>
      <c r="E309" s="73"/>
      <c r="F309" s="73"/>
      <c r="G309" s="73"/>
      <c r="H309" s="73"/>
      <c r="J309" s="73"/>
    </row>
    <row r="310" spans="1:10" ht="15.75" customHeight="1">
      <c r="A310" s="73"/>
      <c r="B310" s="73"/>
      <c r="C310" s="73"/>
      <c r="D310" s="73"/>
      <c r="E310" s="73"/>
      <c r="F310" s="73"/>
      <c r="G310" s="73"/>
      <c r="H310" s="73"/>
      <c r="J310" s="73"/>
    </row>
    <row r="311" spans="1:10" ht="15.75" customHeight="1">
      <c r="A311" s="73"/>
      <c r="B311" s="73"/>
      <c r="C311" s="73"/>
      <c r="D311" s="73"/>
      <c r="E311" s="73"/>
      <c r="F311" s="73"/>
      <c r="G311" s="73"/>
      <c r="H311" s="73"/>
      <c r="J311" s="73"/>
    </row>
    <row r="312" spans="1:10" ht="15.75" customHeight="1">
      <c r="A312" s="73"/>
      <c r="B312" s="73"/>
      <c r="C312" s="73"/>
      <c r="D312" s="73"/>
      <c r="E312" s="73"/>
      <c r="F312" s="73"/>
      <c r="G312" s="73"/>
      <c r="H312" s="73"/>
      <c r="J312" s="73"/>
    </row>
    <row r="313" spans="1:10" ht="15.75" customHeight="1">
      <c r="A313" s="73"/>
      <c r="B313" s="73"/>
      <c r="C313" s="73"/>
      <c r="D313" s="73"/>
      <c r="E313" s="73"/>
      <c r="F313" s="73"/>
      <c r="G313" s="73"/>
      <c r="H313" s="73"/>
      <c r="J313" s="73"/>
    </row>
    <row r="314" spans="1:10" ht="15.75" customHeight="1">
      <c r="A314" s="73"/>
      <c r="B314" s="73"/>
      <c r="C314" s="73"/>
      <c r="D314" s="73"/>
      <c r="E314" s="73"/>
      <c r="F314" s="73"/>
      <c r="G314" s="73"/>
      <c r="H314" s="73"/>
      <c r="J314" s="73"/>
    </row>
    <row r="315" spans="1:10" ht="15.75" customHeight="1">
      <c r="A315" s="73"/>
      <c r="B315" s="73"/>
      <c r="C315" s="73"/>
      <c r="D315" s="73"/>
      <c r="E315" s="73"/>
      <c r="F315" s="73"/>
      <c r="G315" s="73"/>
      <c r="H315" s="73"/>
      <c r="J315" s="73"/>
    </row>
    <row r="316" spans="1:10" ht="15.75" customHeight="1">
      <c r="A316" s="73"/>
      <c r="B316" s="73"/>
      <c r="C316" s="73"/>
      <c r="D316" s="73"/>
      <c r="E316" s="73"/>
      <c r="F316" s="73"/>
      <c r="G316" s="73"/>
      <c r="H316" s="73"/>
      <c r="J316" s="73"/>
    </row>
    <row r="317" spans="1:10" ht="15.75" customHeight="1">
      <c r="A317" s="73"/>
      <c r="B317" s="73"/>
      <c r="C317" s="73"/>
      <c r="D317" s="73"/>
      <c r="E317" s="73"/>
      <c r="F317" s="73"/>
      <c r="G317" s="73"/>
      <c r="H317" s="73"/>
      <c r="J317" s="73"/>
    </row>
    <row r="318" spans="1:10" ht="15.75" customHeight="1">
      <c r="A318" s="73"/>
      <c r="B318" s="73"/>
      <c r="C318" s="73"/>
      <c r="D318" s="73"/>
      <c r="E318" s="73"/>
      <c r="F318" s="73"/>
      <c r="G318" s="73"/>
      <c r="H318" s="73"/>
      <c r="J318" s="73"/>
    </row>
    <row r="319" spans="1:10" ht="15.75" customHeight="1">
      <c r="A319" s="73"/>
      <c r="B319" s="73"/>
      <c r="C319" s="73"/>
      <c r="D319" s="73"/>
      <c r="E319" s="73"/>
      <c r="F319" s="73"/>
      <c r="G319" s="73"/>
      <c r="H319" s="73"/>
      <c r="J319" s="73"/>
    </row>
    <row r="320" spans="1:10" ht="15.75" customHeight="1">
      <c r="A320" s="73"/>
      <c r="B320" s="73"/>
      <c r="C320" s="73"/>
      <c r="D320" s="73"/>
      <c r="E320" s="73"/>
      <c r="F320" s="73"/>
      <c r="G320" s="73"/>
      <c r="H320" s="73"/>
      <c r="J320" s="73"/>
    </row>
    <row r="321" spans="1:10" ht="15.75" customHeight="1">
      <c r="A321" s="73"/>
      <c r="B321" s="73"/>
      <c r="C321" s="73"/>
      <c r="D321" s="73"/>
      <c r="E321" s="73"/>
      <c r="F321" s="73"/>
      <c r="G321" s="73"/>
      <c r="H321" s="73"/>
      <c r="J321" s="73"/>
    </row>
    <row r="322" spans="1:10" ht="15.75" customHeight="1">
      <c r="A322" s="73"/>
      <c r="B322" s="73"/>
      <c r="C322" s="73"/>
      <c r="D322" s="73"/>
      <c r="E322" s="73"/>
      <c r="F322" s="73"/>
      <c r="G322" s="73"/>
      <c r="H322" s="73"/>
      <c r="J322" s="73"/>
    </row>
    <row r="323" spans="1:10" ht="15.75" customHeight="1">
      <c r="A323" s="73"/>
      <c r="B323" s="73"/>
      <c r="C323" s="73"/>
      <c r="D323" s="73"/>
      <c r="E323" s="73"/>
      <c r="F323" s="73"/>
      <c r="G323" s="73"/>
      <c r="H323" s="73"/>
      <c r="J323" s="73"/>
    </row>
    <row r="324" spans="1:10" ht="15.75" customHeight="1">
      <c r="A324" s="73"/>
      <c r="B324" s="73"/>
      <c r="C324" s="73"/>
      <c r="D324" s="73"/>
      <c r="E324" s="73"/>
      <c r="F324" s="73"/>
      <c r="G324" s="73"/>
      <c r="H324" s="73"/>
      <c r="J324" s="73"/>
    </row>
    <row r="325" spans="1:10" ht="15.75" customHeight="1">
      <c r="A325" s="73"/>
      <c r="B325" s="73"/>
      <c r="C325" s="73"/>
      <c r="D325" s="73"/>
      <c r="E325" s="73"/>
      <c r="F325" s="73"/>
      <c r="G325" s="73"/>
      <c r="H325" s="73"/>
      <c r="J325" s="73"/>
    </row>
    <row r="326" spans="1:10" ht="15.75" customHeight="1">
      <c r="A326" s="73"/>
      <c r="B326" s="73"/>
      <c r="C326" s="73"/>
      <c r="D326" s="73"/>
      <c r="E326" s="73"/>
      <c r="F326" s="73"/>
      <c r="G326" s="73"/>
      <c r="H326" s="73"/>
      <c r="J326" s="73"/>
    </row>
    <row r="327" spans="1:10" ht="15.75" customHeight="1">
      <c r="A327" s="73"/>
      <c r="B327" s="73"/>
      <c r="C327" s="73"/>
      <c r="D327" s="73"/>
      <c r="E327" s="73"/>
      <c r="F327" s="73"/>
      <c r="G327" s="73"/>
      <c r="H327" s="73"/>
      <c r="J327" s="73"/>
    </row>
    <row r="328" spans="1:10" ht="15.75" customHeight="1">
      <c r="A328" s="73"/>
      <c r="B328" s="73"/>
      <c r="C328" s="73"/>
      <c r="D328" s="73"/>
      <c r="E328" s="73"/>
      <c r="F328" s="73"/>
      <c r="G328" s="73"/>
      <c r="H328" s="73"/>
      <c r="J328" s="73"/>
    </row>
    <row r="329" spans="1:10" ht="15.75" customHeight="1">
      <c r="A329" s="73"/>
      <c r="B329" s="73"/>
      <c r="C329" s="73"/>
      <c r="D329" s="73"/>
      <c r="E329" s="73"/>
      <c r="F329" s="73"/>
      <c r="G329" s="73"/>
      <c r="H329" s="73"/>
      <c r="J329" s="73"/>
    </row>
    <row r="330" spans="1:10" ht="15.75" customHeight="1">
      <c r="A330" s="73"/>
      <c r="B330" s="73"/>
      <c r="C330" s="73"/>
      <c r="D330" s="73"/>
      <c r="E330" s="73"/>
      <c r="F330" s="73"/>
      <c r="G330" s="73"/>
      <c r="H330" s="73"/>
      <c r="J330" s="73"/>
    </row>
    <row r="331" spans="1:10" ht="15.75" customHeight="1">
      <c r="A331" s="73"/>
      <c r="B331" s="73"/>
      <c r="C331" s="73"/>
      <c r="D331" s="73"/>
      <c r="E331" s="73"/>
      <c r="F331" s="73"/>
      <c r="G331" s="73"/>
      <c r="H331" s="73"/>
      <c r="J331" s="73"/>
    </row>
    <row r="332" spans="1:10" ht="15.75" customHeight="1">
      <c r="A332" s="73"/>
      <c r="B332" s="73"/>
      <c r="C332" s="73"/>
      <c r="D332" s="73"/>
      <c r="E332" s="73"/>
      <c r="F332" s="73"/>
      <c r="G332" s="73"/>
      <c r="H332" s="73"/>
      <c r="J332" s="73"/>
    </row>
    <row r="333" spans="1:10" ht="15.75" customHeight="1">
      <c r="A333" s="73"/>
      <c r="B333" s="73"/>
      <c r="C333" s="73"/>
      <c r="D333" s="73"/>
      <c r="E333" s="73"/>
      <c r="F333" s="73"/>
      <c r="G333" s="73"/>
      <c r="H333" s="73"/>
      <c r="J333" s="73"/>
    </row>
    <row r="334" spans="1:10" ht="15.75" customHeight="1">
      <c r="A334" s="73"/>
      <c r="B334" s="73"/>
      <c r="C334" s="73"/>
      <c r="D334" s="73"/>
      <c r="E334" s="73"/>
      <c r="F334" s="73"/>
      <c r="G334" s="73"/>
      <c r="H334" s="73"/>
      <c r="J334" s="73"/>
    </row>
    <row r="335" spans="1:10" ht="15.75" customHeight="1">
      <c r="A335" s="73"/>
      <c r="B335" s="73"/>
      <c r="C335" s="73"/>
      <c r="D335" s="73"/>
      <c r="E335" s="73"/>
      <c r="F335" s="73"/>
      <c r="G335" s="73"/>
      <c r="H335" s="73"/>
      <c r="J335" s="73"/>
    </row>
    <row r="336" spans="1:10" ht="15.75" customHeight="1">
      <c r="A336" s="73"/>
      <c r="B336" s="73"/>
      <c r="C336" s="73"/>
      <c r="D336" s="73"/>
      <c r="E336" s="73"/>
      <c r="F336" s="73"/>
      <c r="G336" s="73"/>
      <c r="H336" s="73"/>
      <c r="J336" s="73"/>
    </row>
    <row r="337" spans="1:10" ht="15.75" customHeight="1">
      <c r="A337" s="73"/>
      <c r="B337" s="73"/>
      <c r="C337" s="73"/>
      <c r="D337" s="73"/>
      <c r="E337" s="73"/>
      <c r="F337" s="73"/>
      <c r="G337" s="73"/>
      <c r="H337" s="73"/>
      <c r="J337" s="73"/>
    </row>
    <row r="338" spans="1:10" ht="15.75" customHeight="1">
      <c r="A338" s="73"/>
      <c r="B338" s="73"/>
      <c r="C338" s="73"/>
      <c r="D338" s="73"/>
      <c r="E338" s="73"/>
      <c r="F338" s="73"/>
      <c r="G338" s="73"/>
      <c r="H338" s="73"/>
      <c r="J338" s="73"/>
    </row>
    <row r="339" spans="1:10" ht="15.75" customHeight="1">
      <c r="A339" s="73"/>
      <c r="B339" s="73"/>
      <c r="C339" s="73"/>
      <c r="D339" s="73"/>
      <c r="E339" s="73"/>
      <c r="F339" s="73"/>
      <c r="G339" s="73"/>
      <c r="H339" s="73"/>
      <c r="J339" s="73"/>
    </row>
    <row r="340" spans="1:10" ht="15.75" customHeight="1">
      <c r="A340" s="73"/>
      <c r="B340" s="73"/>
      <c r="C340" s="73"/>
      <c r="D340" s="73"/>
      <c r="E340" s="73"/>
      <c r="F340" s="73"/>
      <c r="G340" s="73"/>
      <c r="H340" s="73"/>
      <c r="J340" s="73"/>
    </row>
    <row r="341" spans="1:10" ht="15.75" customHeight="1">
      <c r="A341" s="73"/>
      <c r="B341" s="73"/>
      <c r="C341" s="73"/>
      <c r="D341" s="73"/>
      <c r="E341" s="73"/>
      <c r="F341" s="73"/>
      <c r="G341" s="73"/>
      <c r="H341" s="73"/>
      <c r="J341" s="73"/>
    </row>
    <row r="342" spans="1:10" ht="15.75" customHeight="1">
      <c r="A342" s="73"/>
      <c r="B342" s="73"/>
      <c r="C342" s="73"/>
      <c r="D342" s="73"/>
      <c r="E342" s="73"/>
      <c r="F342" s="73"/>
      <c r="G342" s="73"/>
      <c r="H342" s="73"/>
      <c r="J342" s="73"/>
    </row>
    <row r="343" spans="1:10" ht="15.75" customHeight="1">
      <c r="A343" s="73"/>
      <c r="B343" s="73"/>
      <c r="C343" s="73"/>
      <c r="D343" s="73"/>
      <c r="E343" s="73"/>
      <c r="F343" s="73"/>
      <c r="G343" s="73"/>
      <c r="H343" s="73"/>
      <c r="J343" s="73"/>
    </row>
    <row r="344" spans="1:10" ht="15.75" customHeight="1">
      <c r="A344" s="73"/>
      <c r="B344" s="73"/>
      <c r="C344" s="73"/>
      <c r="D344" s="73"/>
      <c r="E344" s="73"/>
      <c r="F344" s="73"/>
      <c r="G344" s="73"/>
      <c r="H344" s="73"/>
      <c r="J344" s="73"/>
    </row>
    <row r="345" spans="1:10" ht="15.75" customHeight="1">
      <c r="A345" s="73"/>
      <c r="B345" s="73"/>
      <c r="C345" s="73"/>
      <c r="D345" s="73"/>
      <c r="E345" s="73"/>
      <c r="F345" s="73"/>
      <c r="G345" s="73"/>
      <c r="H345" s="73"/>
      <c r="J345" s="73"/>
    </row>
    <row r="346" spans="1:10" ht="15.75" customHeight="1">
      <c r="A346" s="73"/>
      <c r="B346" s="73"/>
      <c r="C346" s="73"/>
      <c r="D346" s="73"/>
      <c r="E346" s="73"/>
      <c r="F346" s="73"/>
      <c r="G346" s="73"/>
      <c r="H346" s="73"/>
      <c r="J346" s="73"/>
    </row>
    <row r="347" spans="1:10" ht="15.75" customHeight="1">
      <c r="A347" s="73"/>
      <c r="B347" s="73"/>
      <c r="C347" s="73"/>
      <c r="D347" s="73"/>
      <c r="E347" s="73"/>
      <c r="F347" s="73"/>
      <c r="G347" s="73"/>
      <c r="H347" s="73"/>
      <c r="J347" s="73"/>
    </row>
    <row r="348" spans="1:10" ht="15.75" customHeight="1">
      <c r="A348" s="73"/>
      <c r="B348" s="73"/>
      <c r="C348" s="73"/>
      <c r="D348" s="73"/>
      <c r="E348" s="73"/>
      <c r="F348" s="73"/>
      <c r="G348" s="73"/>
      <c r="H348" s="73"/>
      <c r="J348" s="73"/>
    </row>
    <row r="349" spans="1:10" ht="15.75" customHeight="1">
      <c r="A349" s="73"/>
      <c r="B349" s="73"/>
      <c r="C349" s="73"/>
      <c r="D349" s="73"/>
      <c r="E349" s="73"/>
      <c r="F349" s="73"/>
      <c r="G349" s="73"/>
      <c r="H349" s="73"/>
      <c r="J349" s="73"/>
    </row>
    <row r="350" spans="1:10" ht="15.75" customHeight="1">
      <c r="A350" s="73"/>
      <c r="B350" s="73"/>
      <c r="C350" s="73"/>
      <c r="D350" s="73"/>
      <c r="E350" s="73"/>
      <c r="F350" s="73"/>
      <c r="G350" s="73"/>
      <c r="H350" s="73"/>
      <c r="J350" s="73"/>
    </row>
    <row r="351" spans="1:10" ht="15.75" customHeight="1">
      <c r="A351" s="73"/>
      <c r="B351" s="73"/>
      <c r="C351" s="73"/>
      <c r="D351" s="73"/>
      <c r="E351" s="73"/>
      <c r="F351" s="73"/>
      <c r="G351" s="73"/>
      <c r="H351" s="73"/>
      <c r="J351" s="73"/>
    </row>
    <row r="352" spans="1:10" ht="15.75" customHeight="1">
      <c r="A352" s="73"/>
      <c r="B352" s="73"/>
      <c r="C352" s="73"/>
      <c r="D352" s="73"/>
      <c r="E352" s="73"/>
      <c r="F352" s="73"/>
      <c r="G352" s="73"/>
      <c r="H352" s="73"/>
      <c r="J352" s="73"/>
    </row>
    <row r="353" spans="1:10" ht="15.75" customHeight="1">
      <c r="A353" s="73"/>
      <c r="B353" s="73"/>
      <c r="C353" s="73"/>
      <c r="D353" s="73"/>
      <c r="E353" s="73"/>
      <c r="F353" s="73"/>
      <c r="G353" s="73"/>
      <c r="H353" s="73"/>
      <c r="J353" s="73"/>
    </row>
    <row r="354" spans="1:10" ht="15.75" customHeight="1">
      <c r="A354" s="73"/>
      <c r="B354" s="73"/>
      <c r="C354" s="73"/>
      <c r="D354" s="73"/>
      <c r="E354" s="73"/>
      <c r="F354" s="73"/>
      <c r="G354" s="73"/>
      <c r="H354" s="73"/>
      <c r="J354" s="73"/>
    </row>
    <row r="355" spans="1:10" ht="15.75" customHeight="1">
      <c r="A355" s="73"/>
      <c r="B355" s="73"/>
      <c r="C355" s="73"/>
      <c r="D355" s="73"/>
      <c r="E355" s="73"/>
      <c r="F355" s="73"/>
      <c r="G355" s="73"/>
      <c r="H355" s="73"/>
      <c r="J355" s="73"/>
    </row>
    <row r="356" spans="1:10" ht="15.75" customHeight="1">
      <c r="A356" s="73"/>
      <c r="B356" s="73"/>
      <c r="C356" s="73"/>
      <c r="D356" s="73"/>
      <c r="E356" s="73"/>
      <c r="F356" s="73"/>
      <c r="G356" s="73"/>
      <c r="H356" s="73"/>
      <c r="J356" s="73"/>
    </row>
    <row r="357" spans="1:10" ht="15.75" customHeight="1">
      <c r="A357" s="73"/>
      <c r="B357" s="73"/>
      <c r="C357" s="73"/>
      <c r="D357" s="73"/>
      <c r="E357" s="73"/>
      <c r="F357" s="73"/>
      <c r="G357" s="73"/>
      <c r="H357" s="73"/>
      <c r="J357" s="73"/>
    </row>
    <row r="358" spans="1:10" ht="15.75" customHeight="1">
      <c r="A358" s="73"/>
      <c r="B358" s="73"/>
      <c r="C358" s="73"/>
      <c r="D358" s="73"/>
      <c r="E358" s="73"/>
      <c r="F358" s="73"/>
      <c r="G358" s="73"/>
      <c r="H358" s="73"/>
      <c r="J358" s="73"/>
    </row>
    <row r="359" spans="1:10" ht="15.75" customHeight="1">
      <c r="A359" s="73"/>
      <c r="B359" s="73"/>
      <c r="C359" s="73"/>
      <c r="D359" s="73"/>
      <c r="E359" s="73"/>
      <c r="F359" s="73"/>
      <c r="G359" s="73"/>
      <c r="H359" s="73"/>
      <c r="J359" s="73"/>
    </row>
    <row r="360" spans="1:10" ht="15.75" customHeight="1">
      <c r="A360" s="73"/>
      <c r="B360" s="73"/>
      <c r="C360" s="73"/>
      <c r="D360" s="73"/>
      <c r="E360" s="73"/>
      <c r="F360" s="73"/>
      <c r="G360" s="73"/>
      <c r="H360" s="73"/>
      <c r="J360" s="73"/>
    </row>
    <row r="361" spans="1:10" ht="15.75" customHeight="1">
      <c r="A361" s="73"/>
      <c r="B361" s="73"/>
      <c r="C361" s="73"/>
      <c r="D361" s="73"/>
      <c r="E361" s="73"/>
      <c r="F361" s="73"/>
      <c r="G361" s="73"/>
      <c r="H361" s="73"/>
      <c r="J361" s="73"/>
    </row>
    <row r="362" spans="1:10" ht="15.75" customHeight="1">
      <c r="A362" s="73"/>
      <c r="B362" s="73"/>
      <c r="C362" s="73"/>
      <c r="D362" s="73"/>
      <c r="E362" s="73"/>
      <c r="F362" s="73"/>
      <c r="G362" s="73"/>
      <c r="H362" s="73"/>
      <c r="J362" s="73"/>
    </row>
    <row r="363" spans="1:10" ht="15.75" customHeight="1">
      <c r="A363" s="73"/>
      <c r="B363" s="73"/>
      <c r="C363" s="73"/>
      <c r="D363" s="73"/>
      <c r="E363" s="73"/>
      <c r="F363" s="73"/>
      <c r="G363" s="73"/>
      <c r="H363" s="73"/>
      <c r="J363" s="73"/>
    </row>
    <row r="364" spans="1:10" ht="15.75" customHeight="1">
      <c r="A364" s="73"/>
      <c r="B364" s="73"/>
      <c r="C364" s="73"/>
      <c r="D364" s="73"/>
      <c r="E364" s="73"/>
      <c r="F364" s="73"/>
      <c r="G364" s="73"/>
      <c r="H364" s="73"/>
      <c r="J364" s="73"/>
    </row>
    <row r="365" spans="1:10" ht="15.75" customHeight="1">
      <c r="A365" s="73"/>
      <c r="B365" s="73"/>
      <c r="C365" s="73"/>
      <c r="D365" s="73"/>
      <c r="E365" s="73"/>
      <c r="F365" s="73"/>
      <c r="G365" s="73"/>
      <c r="H365" s="73"/>
      <c r="J365" s="73"/>
    </row>
    <row r="366" spans="1:10" ht="15.75" customHeight="1">
      <c r="A366" s="73"/>
      <c r="B366" s="73"/>
      <c r="C366" s="73"/>
      <c r="D366" s="73"/>
      <c r="E366" s="73"/>
      <c r="F366" s="73"/>
      <c r="G366" s="73"/>
      <c r="H366" s="73"/>
      <c r="J366" s="73"/>
    </row>
    <row r="367" spans="1:10" ht="15.75" customHeight="1">
      <c r="A367" s="73"/>
      <c r="B367" s="73"/>
      <c r="C367" s="73"/>
      <c r="D367" s="73"/>
      <c r="E367" s="73"/>
      <c r="F367" s="73"/>
      <c r="G367" s="73"/>
      <c r="H367" s="73"/>
      <c r="J367" s="73"/>
    </row>
    <row r="368" spans="1:10" ht="15.75" customHeight="1">
      <c r="A368" s="73"/>
      <c r="B368" s="73"/>
      <c r="C368" s="73"/>
      <c r="D368" s="73"/>
      <c r="E368" s="73"/>
      <c r="F368" s="73"/>
      <c r="G368" s="73"/>
      <c r="H368" s="73"/>
      <c r="J368" s="73"/>
    </row>
    <row r="369" spans="1:10" ht="15.75" customHeight="1">
      <c r="A369" s="73"/>
      <c r="B369" s="73"/>
      <c r="C369" s="73"/>
      <c r="D369" s="73"/>
      <c r="E369" s="73"/>
      <c r="F369" s="73"/>
      <c r="G369" s="73"/>
      <c r="H369" s="73"/>
      <c r="J369" s="73"/>
    </row>
    <row r="370" spans="1:10" ht="15.75" customHeight="1">
      <c r="A370" s="73"/>
      <c r="B370" s="73"/>
      <c r="C370" s="73"/>
      <c r="D370" s="73"/>
      <c r="E370" s="73"/>
      <c r="F370" s="73"/>
      <c r="G370" s="73"/>
      <c r="H370" s="73"/>
      <c r="J370" s="73"/>
    </row>
    <row r="371" spans="1:10" ht="15.75" customHeight="1">
      <c r="A371" s="73"/>
      <c r="B371" s="73"/>
      <c r="C371" s="73"/>
      <c r="D371" s="73"/>
      <c r="E371" s="73"/>
      <c r="F371" s="73"/>
      <c r="G371" s="73"/>
      <c r="H371" s="73"/>
      <c r="J371" s="73"/>
    </row>
    <row r="372" spans="1:10" ht="15.75" customHeight="1">
      <c r="A372" s="73"/>
      <c r="B372" s="73"/>
      <c r="C372" s="73"/>
      <c r="D372" s="73"/>
      <c r="E372" s="73"/>
      <c r="F372" s="73"/>
      <c r="G372" s="73"/>
      <c r="H372" s="73"/>
      <c r="J372" s="73"/>
    </row>
    <row r="373" spans="1:10" ht="15.75" customHeight="1">
      <c r="A373" s="73"/>
      <c r="B373" s="73"/>
      <c r="C373" s="73"/>
      <c r="D373" s="73"/>
      <c r="E373" s="73"/>
      <c r="F373" s="73"/>
      <c r="G373" s="73"/>
      <c r="H373" s="73"/>
      <c r="J373" s="73"/>
    </row>
    <row r="374" spans="1:10" ht="15.75" customHeight="1">
      <c r="A374" s="73"/>
      <c r="B374" s="73"/>
      <c r="C374" s="73"/>
      <c r="D374" s="73"/>
      <c r="E374" s="73"/>
      <c r="F374" s="73"/>
      <c r="G374" s="73"/>
      <c r="H374" s="73"/>
      <c r="J374" s="73"/>
    </row>
    <row r="375" spans="1:10" ht="15.75" customHeight="1">
      <c r="A375" s="73"/>
      <c r="B375" s="73"/>
      <c r="C375" s="73"/>
      <c r="D375" s="73"/>
      <c r="E375" s="73"/>
      <c r="F375" s="73"/>
      <c r="G375" s="73"/>
      <c r="H375" s="73"/>
      <c r="J375" s="73"/>
    </row>
    <row r="376" spans="1:10" ht="15.75" customHeight="1">
      <c r="A376" s="73"/>
      <c r="B376" s="73"/>
      <c r="C376" s="73"/>
      <c r="D376" s="73"/>
      <c r="E376" s="73"/>
      <c r="F376" s="73"/>
      <c r="G376" s="73"/>
      <c r="H376" s="73"/>
      <c r="J376" s="73"/>
    </row>
    <row r="377" spans="1:10" ht="15.75" customHeight="1">
      <c r="A377" s="73"/>
      <c r="B377" s="73"/>
      <c r="C377" s="73"/>
      <c r="D377" s="73"/>
      <c r="E377" s="73"/>
      <c r="F377" s="73"/>
      <c r="G377" s="73"/>
      <c r="H377" s="73"/>
      <c r="J377" s="73"/>
    </row>
    <row r="378" spans="1:10" ht="15.75" customHeight="1">
      <c r="A378" s="73"/>
      <c r="B378" s="73"/>
      <c r="C378" s="73"/>
      <c r="D378" s="73"/>
      <c r="E378" s="73"/>
      <c r="F378" s="73"/>
      <c r="G378" s="73"/>
      <c r="H378" s="73"/>
      <c r="J378" s="73"/>
    </row>
    <row r="379" spans="1:10" ht="15.75" customHeight="1">
      <c r="A379" s="73"/>
      <c r="B379" s="73"/>
      <c r="C379" s="73"/>
      <c r="D379" s="73"/>
      <c r="E379" s="73"/>
      <c r="F379" s="73"/>
      <c r="G379" s="73"/>
      <c r="H379" s="73"/>
      <c r="J379" s="73"/>
    </row>
    <row r="380" spans="1:10" ht="15.75" customHeight="1">
      <c r="A380" s="73"/>
      <c r="B380" s="73"/>
      <c r="C380" s="73"/>
      <c r="D380" s="73"/>
      <c r="E380" s="73"/>
      <c r="F380" s="73"/>
      <c r="G380" s="73"/>
      <c r="H380" s="73"/>
      <c r="J380" s="73"/>
    </row>
    <row r="381" spans="1:10" ht="15.75" customHeight="1">
      <c r="A381" s="73"/>
      <c r="B381" s="73"/>
      <c r="C381" s="73"/>
      <c r="D381" s="73"/>
      <c r="E381" s="73"/>
      <c r="F381" s="73"/>
      <c r="G381" s="73"/>
      <c r="H381" s="73"/>
      <c r="J381" s="73"/>
    </row>
    <row r="382" spans="1:10" ht="15.75" customHeight="1">
      <c r="A382" s="73"/>
      <c r="B382" s="73"/>
      <c r="C382" s="73"/>
      <c r="D382" s="73"/>
      <c r="E382" s="73"/>
      <c r="F382" s="73"/>
      <c r="G382" s="73"/>
      <c r="H382" s="73"/>
      <c r="J382" s="73"/>
    </row>
    <row r="383" spans="1:10" ht="15.75" customHeight="1">
      <c r="A383" s="73"/>
      <c r="B383" s="73"/>
      <c r="C383" s="73"/>
      <c r="D383" s="73"/>
      <c r="E383" s="73"/>
      <c r="F383" s="73"/>
      <c r="G383" s="73"/>
      <c r="H383" s="73"/>
      <c r="J383" s="73"/>
    </row>
    <row r="384" spans="1:10" ht="15.75" customHeight="1">
      <c r="A384" s="73"/>
      <c r="B384" s="73"/>
      <c r="C384" s="73"/>
      <c r="D384" s="73"/>
      <c r="E384" s="73"/>
      <c r="F384" s="73"/>
      <c r="G384" s="73"/>
      <c r="H384" s="73"/>
      <c r="J384" s="73"/>
    </row>
    <row r="385" spans="1:10" ht="15.75" customHeight="1">
      <c r="A385" s="73"/>
      <c r="B385" s="73"/>
      <c r="C385" s="73"/>
      <c r="D385" s="73"/>
      <c r="E385" s="73"/>
      <c r="F385" s="73"/>
      <c r="G385" s="73"/>
      <c r="H385" s="73"/>
      <c r="J385" s="73"/>
    </row>
    <row r="386" spans="1:10" ht="15.75" customHeight="1">
      <c r="A386" s="73"/>
      <c r="B386" s="73"/>
      <c r="C386" s="73"/>
      <c r="D386" s="73"/>
      <c r="E386" s="73"/>
      <c r="F386" s="73"/>
      <c r="G386" s="73"/>
      <c r="H386" s="73"/>
      <c r="J386" s="73"/>
    </row>
    <row r="387" spans="1:10" ht="15.75" customHeight="1">
      <c r="A387" s="73"/>
      <c r="B387" s="73"/>
      <c r="C387" s="73"/>
      <c r="D387" s="73"/>
      <c r="E387" s="73"/>
      <c r="F387" s="73"/>
      <c r="G387" s="73"/>
      <c r="H387" s="73"/>
      <c r="J387" s="73"/>
    </row>
    <row r="388" spans="1:10" ht="15.75" customHeight="1">
      <c r="A388" s="73"/>
      <c r="B388" s="73"/>
      <c r="C388" s="73"/>
      <c r="D388" s="73"/>
      <c r="E388" s="73"/>
      <c r="F388" s="73"/>
      <c r="G388" s="73"/>
      <c r="H388" s="73"/>
      <c r="J388" s="73"/>
    </row>
    <row r="389" spans="1:10" ht="15.75" customHeight="1">
      <c r="A389" s="73"/>
      <c r="B389" s="73"/>
      <c r="C389" s="73"/>
      <c r="D389" s="73"/>
      <c r="E389" s="73"/>
      <c r="F389" s="73"/>
      <c r="G389" s="73"/>
      <c r="H389" s="73"/>
      <c r="J389" s="73"/>
    </row>
    <row r="390" spans="1:10" ht="15.75" customHeight="1">
      <c r="A390" s="73"/>
      <c r="B390" s="73"/>
      <c r="C390" s="73"/>
      <c r="D390" s="73"/>
      <c r="E390" s="73"/>
      <c r="F390" s="73"/>
      <c r="G390" s="73"/>
      <c r="H390" s="73"/>
      <c r="J390" s="73"/>
    </row>
    <row r="391" spans="1:10" ht="15.75" customHeight="1">
      <c r="A391" s="73"/>
      <c r="B391" s="73"/>
      <c r="C391" s="73"/>
      <c r="D391" s="73"/>
      <c r="E391" s="73"/>
      <c r="F391" s="73"/>
      <c r="G391" s="73"/>
      <c r="H391" s="73"/>
      <c r="J391" s="73"/>
    </row>
    <row r="392" spans="1:10" ht="15.75" customHeight="1">
      <c r="A392" s="73"/>
      <c r="B392" s="73"/>
      <c r="C392" s="73"/>
      <c r="D392" s="73"/>
      <c r="E392" s="73"/>
      <c r="F392" s="73"/>
      <c r="G392" s="73"/>
      <c r="H392" s="73"/>
      <c r="J392" s="73"/>
    </row>
    <row r="393" spans="1:10" ht="15.75" customHeight="1">
      <c r="A393" s="73"/>
      <c r="B393" s="73"/>
      <c r="C393" s="73"/>
      <c r="D393" s="73"/>
      <c r="E393" s="73"/>
      <c r="F393" s="73"/>
      <c r="G393" s="73"/>
      <c r="H393" s="73"/>
      <c r="J393" s="73"/>
    </row>
    <row r="394" spans="1:10" ht="15.75" customHeight="1">
      <c r="A394" s="73"/>
      <c r="B394" s="73"/>
      <c r="C394" s="73"/>
      <c r="D394" s="73"/>
      <c r="E394" s="73"/>
      <c r="F394" s="73"/>
      <c r="G394" s="73"/>
      <c r="H394" s="73"/>
      <c r="J394" s="73"/>
    </row>
    <row r="395" spans="1:10" ht="15.75" customHeight="1">
      <c r="A395" s="73"/>
      <c r="B395" s="73"/>
      <c r="C395" s="73"/>
      <c r="D395" s="73"/>
      <c r="E395" s="73"/>
      <c r="F395" s="73"/>
      <c r="G395" s="73"/>
      <c r="H395" s="73"/>
      <c r="J395" s="73"/>
    </row>
    <row r="396" spans="1:10" ht="15.75" customHeight="1">
      <c r="A396" s="73"/>
      <c r="B396" s="73"/>
      <c r="C396" s="73"/>
      <c r="D396" s="73"/>
      <c r="E396" s="73"/>
      <c r="F396" s="73"/>
      <c r="G396" s="73"/>
      <c r="H396" s="73"/>
      <c r="J396" s="73"/>
    </row>
    <row r="397" spans="1:10" ht="15.75" customHeight="1">
      <c r="A397" s="73"/>
      <c r="B397" s="73"/>
      <c r="C397" s="73"/>
      <c r="D397" s="73"/>
      <c r="E397" s="73"/>
      <c r="F397" s="73"/>
      <c r="G397" s="73"/>
      <c r="H397" s="73"/>
      <c r="J397" s="73"/>
    </row>
    <row r="398" spans="1:10" ht="15.75" customHeight="1">
      <c r="A398" s="73"/>
      <c r="B398" s="73"/>
      <c r="C398" s="73"/>
      <c r="D398" s="73"/>
      <c r="E398" s="73"/>
      <c r="F398" s="73"/>
      <c r="G398" s="73"/>
      <c r="H398" s="73"/>
      <c r="J398" s="73"/>
    </row>
    <row r="399" spans="1:10" ht="15.75" customHeight="1">
      <c r="A399" s="73"/>
      <c r="B399" s="73"/>
      <c r="C399" s="73"/>
      <c r="D399" s="73"/>
      <c r="E399" s="73"/>
      <c r="F399" s="73"/>
      <c r="G399" s="73"/>
      <c r="H399" s="73"/>
      <c r="J399" s="73"/>
    </row>
    <row r="400" spans="1:10" ht="15.75" customHeight="1">
      <c r="A400" s="73"/>
      <c r="B400" s="73"/>
      <c r="C400" s="73"/>
      <c r="D400" s="73"/>
      <c r="E400" s="73"/>
      <c r="F400" s="73"/>
      <c r="G400" s="73"/>
      <c r="H400" s="73"/>
      <c r="J400" s="73"/>
    </row>
    <row r="401" spans="1:10" ht="15.75" customHeight="1">
      <c r="A401" s="73"/>
      <c r="B401" s="73"/>
      <c r="C401" s="73"/>
      <c r="D401" s="73"/>
      <c r="E401" s="73"/>
      <c r="F401" s="73"/>
      <c r="G401" s="73"/>
      <c r="H401" s="73"/>
      <c r="J401" s="73"/>
    </row>
    <row r="402" spans="1:10" ht="15.75" customHeight="1">
      <c r="A402" s="73"/>
      <c r="B402" s="73"/>
      <c r="C402" s="73"/>
      <c r="D402" s="73"/>
      <c r="E402" s="73"/>
      <c r="F402" s="73"/>
      <c r="G402" s="73"/>
      <c r="H402" s="73"/>
      <c r="J402" s="73"/>
    </row>
    <row r="403" spans="1:10" ht="15.75" customHeight="1">
      <c r="A403" s="73"/>
      <c r="B403" s="73"/>
      <c r="C403" s="73"/>
      <c r="D403" s="73"/>
      <c r="E403" s="73"/>
      <c r="F403" s="73"/>
      <c r="G403" s="73"/>
      <c r="H403" s="73"/>
      <c r="J403" s="73"/>
    </row>
    <row r="404" spans="1:10" ht="15.75" customHeight="1">
      <c r="A404" s="73"/>
      <c r="B404" s="73"/>
      <c r="C404" s="73"/>
      <c r="D404" s="73"/>
      <c r="E404" s="73"/>
      <c r="F404" s="73"/>
      <c r="G404" s="73"/>
      <c r="H404" s="73"/>
      <c r="J404" s="73"/>
    </row>
    <row r="405" spans="1:10" ht="15.75" customHeight="1">
      <c r="A405" s="73"/>
      <c r="B405" s="73"/>
      <c r="C405" s="73"/>
      <c r="D405" s="73"/>
      <c r="E405" s="73"/>
      <c r="F405" s="73"/>
      <c r="G405" s="73"/>
      <c r="H405" s="73"/>
      <c r="J405" s="73"/>
    </row>
    <row r="406" spans="1:10" ht="15.75" customHeight="1">
      <c r="A406" s="73"/>
      <c r="B406" s="73"/>
      <c r="C406" s="73"/>
      <c r="D406" s="73"/>
      <c r="E406" s="73"/>
      <c r="F406" s="73"/>
      <c r="G406" s="73"/>
      <c r="H406" s="73"/>
      <c r="J406" s="73"/>
    </row>
    <row r="407" spans="1:10" ht="15.75" customHeight="1">
      <c r="A407" s="73"/>
      <c r="B407" s="73"/>
      <c r="C407" s="73"/>
      <c r="D407" s="73"/>
      <c r="E407" s="73"/>
      <c r="F407" s="73"/>
      <c r="G407" s="73"/>
      <c r="H407" s="73"/>
      <c r="J407" s="73"/>
    </row>
    <row r="408" spans="1:10" ht="15.75" customHeight="1">
      <c r="A408" s="73"/>
      <c r="B408" s="73"/>
      <c r="C408" s="73"/>
      <c r="D408" s="73"/>
      <c r="E408" s="73"/>
      <c r="F408" s="73"/>
      <c r="G408" s="73"/>
      <c r="H408" s="73"/>
      <c r="J408" s="73"/>
    </row>
    <row r="409" spans="1:10" ht="15.75" customHeight="1">
      <c r="A409" s="73"/>
      <c r="B409" s="73"/>
      <c r="C409" s="73"/>
      <c r="D409" s="73"/>
      <c r="E409" s="73"/>
      <c r="F409" s="73"/>
      <c r="G409" s="73"/>
      <c r="H409" s="73"/>
      <c r="J409" s="73"/>
    </row>
    <row r="410" spans="1:10" ht="15.75" customHeight="1">
      <c r="A410" s="73"/>
      <c r="B410" s="73"/>
      <c r="C410" s="73"/>
      <c r="D410" s="73"/>
      <c r="E410" s="73"/>
      <c r="F410" s="73"/>
      <c r="G410" s="73"/>
      <c r="H410" s="73"/>
      <c r="J410" s="73"/>
    </row>
    <row r="411" spans="1:10" ht="15.75" customHeight="1">
      <c r="A411" s="73"/>
      <c r="B411" s="73"/>
      <c r="C411" s="73"/>
      <c r="D411" s="73"/>
      <c r="E411" s="73"/>
      <c r="F411" s="73"/>
      <c r="G411" s="73"/>
      <c r="H411" s="73"/>
      <c r="J411" s="73"/>
    </row>
    <row r="412" spans="1:10" ht="15.75" customHeight="1">
      <c r="A412" s="73"/>
      <c r="B412" s="73"/>
      <c r="C412" s="73"/>
      <c r="D412" s="73"/>
      <c r="E412" s="73"/>
      <c r="F412" s="73"/>
      <c r="G412" s="73"/>
      <c r="H412" s="73"/>
      <c r="J412" s="73"/>
    </row>
    <row r="413" spans="1:10" ht="15.75" customHeight="1">
      <c r="A413" s="73"/>
      <c r="B413" s="73"/>
      <c r="C413" s="73"/>
      <c r="D413" s="73"/>
      <c r="E413" s="73"/>
      <c r="F413" s="73"/>
      <c r="G413" s="73"/>
      <c r="H413" s="73"/>
      <c r="J413" s="73"/>
    </row>
    <row r="414" spans="1:10" ht="15.75" customHeight="1">
      <c r="A414" s="73"/>
      <c r="B414" s="73"/>
      <c r="C414" s="73"/>
      <c r="D414" s="73"/>
      <c r="E414" s="73"/>
      <c r="F414" s="73"/>
      <c r="G414" s="73"/>
      <c r="H414" s="73"/>
      <c r="J414" s="73"/>
    </row>
    <row r="415" spans="1:10" ht="15.75" customHeight="1">
      <c r="A415" s="73"/>
      <c r="B415" s="73"/>
      <c r="C415" s="73"/>
      <c r="D415" s="73"/>
      <c r="E415" s="73"/>
      <c r="F415" s="73"/>
      <c r="G415" s="73"/>
      <c r="H415" s="73"/>
      <c r="J415" s="73"/>
    </row>
    <row r="416" spans="1:10" ht="15.75" customHeight="1">
      <c r="A416" s="73"/>
      <c r="B416" s="73"/>
      <c r="C416" s="73"/>
      <c r="D416" s="73"/>
      <c r="E416" s="73"/>
      <c r="F416" s="73"/>
      <c r="G416" s="73"/>
      <c r="H416" s="73"/>
      <c r="J416" s="73"/>
    </row>
    <row r="417" spans="1:10" ht="15.75" customHeight="1">
      <c r="A417" s="73"/>
      <c r="B417" s="73"/>
      <c r="C417" s="73"/>
      <c r="D417" s="73"/>
      <c r="E417" s="73"/>
      <c r="F417" s="73"/>
      <c r="G417" s="73"/>
      <c r="H417" s="73"/>
      <c r="J417" s="73"/>
    </row>
    <row r="418" spans="1:10" ht="15.75" customHeight="1">
      <c r="A418" s="73"/>
      <c r="B418" s="73"/>
      <c r="C418" s="73"/>
      <c r="D418" s="73"/>
      <c r="E418" s="73"/>
      <c r="F418" s="73"/>
      <c r="G418" s="73"/>
      <c r="H418" s="73"/>
      <c r="J418" s="73"/>
    </row>
    <row r="419" spans="1:10" ht="15.75" customHeight="1">
      <c r="A419" s="73"/>
      <c r="B419" s="73"/>
      <c r="C419" s="73"/>
      <c r="D419" s="73"/>
      <c r="E419" s="73"/>
      <c r="F419" s="73"/>
      <c r="G419" s="73"/>
      <c r="H419" s="73"/>
      <c r="J419" s="73"/>
    </row>
    <row r="420" spans="1:10" ht="15.75" customHeight="1">
      <c r="A420" s="73"/>
      <c r="B420" s="73"/>
      <c r="C420" s="73"/>
      <c r="D420" s="73"/>
      <c r="E420" s="73"/>
      <c r="F420" s="73"/>
      <c r="G420" s="73"/>
      <c r="H420" s="73"/>
      <c r="J420" s="73"/>
    </row>
    <row r="421" spans="1:10" ht="15.75" customHeight="1">
      <c r="A421" s="73"/>
      <c r="B421" s="73"/>
      <c r="C421" s="73"/>
      <c r="D421" s="73"/>
      <c r="E421" s="73"/>
      <c r="F421" s="73"/>
      <c r="G421" s="73"/>
      <c r="H421" s="73"/>
      <c r="J421" s="73"/>
    </row>
    <row r="422" spans="1:10" ht="15.75" customHeight="1">
      <c r="A422" s="73"/>
      <c r="B422" s="73"/>
      <c r="C422" s="73"/>
      <c r="D422" s="73"/>
      <c r="E422" s="73"/>
      <c r="F422" s="73"/>
      <c r="G422" s="73"/>
      <c r="H422" s="73"/>
      <c r="J422" s="73"/>
    </row>
    <row r="423" spans="1:10" ht="15.75" customHeight="1">
      <c r="A423" s="73"/>
      <c r="B423" s="73"/>
      <c r="C423" s="73"/>
      <c r="D423" s="73"/>
      <c r="E423" s="73"/>
      <c r="F423" s="73"/>
      <c r="G423" s="73"/>
      <c r="H423" s="73"/>
      <c r="J423" s="73"/>
    </row>
    <row r="424" spans="1:10" ht="15.75" customHeight="1">
      <c r="A424" s="73"/>
      <c r="B424" s="73"/>
      <c r="C424" s="73"/>
      <c r="D424" s="73"/>
      <c r="E424" s="73"/>
      <c r="F424" s="73"/>
      <c r="G424" s="73"/>
      <c r="H424" s="73"/>
      <c r="J424" s="73"/>
    </row>
    <row r="425" spans="1:10" ht="15.75" customHeight="1">
      <c r="A425" s="73"/>
      <c r="B425" s="73"/>
      <c r="C425" s="73"/>
      <c r="D425" s="73"/>
      <c r="E425" s="73"/>
      <c r="F425" s="73"/>
      <c r="G425" s="73"/>
      <c r="H425" s="73"/>
      <c r="J425" s="73"/>
    </row>
    <row r="426" spans="1:10" ht="15.75" customHeight="1">
      <c r="A426" s="73"/>
      <c r="B426" s="73"/>
      <c r="C426" s="73"/>
      <c r="D426" s="73"/>
      <c r="E426" s="73"/>
      <c r="F426" s="73"/>
      <c r="G426" s="73"/>
      <c r="H426" s="73"/>
      <c r="J426" s="73"/>
    </row>
    <row r="427" spans="1:10" ht="15.75" customHeight="1">
      <c r="A427" s="73"/>
      <c r="B427" s="73"/>
      <c r="C427" s="73"/>
      <c r="D427" s="73"/>
      <c r="E427" s="73"/>
      <c r="F427" s="73"/>
      <c r="G427" s="73"/>
      <c r="H427" s="73"/>
      <c r="J427" s="73"/>
    </row>
    <row r="428" spans="1:10" ht="15.75" customHeight="1">
      <c r="A428" s="73"/>
      <c r="B428" s="73"/>
      <c r="C428" s="73"/>
      <c r="D428" s="73"/>
      <c r="E428" s="73"/>
      <c r="F428" s="73"/>
      <c r="G428" s="73"/>
      <c r="H428" s="73"/>
      <c r="J428" s="73"/>
    </row>
    <row r="429" spans="1:10" ht="15.75" customHeight="1">
      <c r="A429" s="73"/>
      <c r="B429" s="73"/>
      <c r="C429" s="73"/>
      <c r="D429" s="73"/>
      <c r="E429" s="73"/>
      <c r="F429" s="73"/>
      <c r="G429" s="73"/>
      <c r="H429" s="73"/>
      <c r="J429" s="73"/>
    </row>
    <row r="430" spans="1:10" ht="15.75" customHeight="1">
      <c r="A430" s="73"/>
      <c r="B430" s="73"/>
      <c r="C430" s="73"/>
      <c r="D430" s="73"/>
      <c r="E430" s="73"/>
      <c r="F430" s="73"/>
      <c r="G430" s="73"/>
      <c r="H430" s="73"/>
      <c r="J430" s="73"/>
    </row>
    <row r="431" spans="1:10" ht="15.75" customHeight="1">
      <c r="A431" s="73"/>
      <c r="B431" s="73"/>
      <c r="C431" s="73"/>
      <c r="D431" s="73"/>
      <c r="E431" s="73"/>
      <c r="F431" s="73"/>
      <c r="G431" s="73"/>
      <c r="H431" s="73"/>
      <c r="J431" s="73"/>
    </row>
    <row r="432" spans="1:10" ht="15.75" customHeight="1">
      <c r="A432" s="73"/>
      <c r="B432" s="73"/>
      <c r="C432" s="73"/>
      <c r="D432" s="73"/>
      <c r="E432" s="73"/>
      <c r="F432" s="73"/>
      <c r="G432" s="73"/>
      <c r="H432" s="73"/>
      <c r="J432" s="73"/>
    </row>
    <row r="433" spans="1:10" ht="15.75" customHeight="1">
      <c r="A433" s="73"/>
      <c r="B433" s="73"/>
      <c r="C433" s="73"/>
      <c r="D433" s="73"/>
      <c r="E433" s="73"/>
      <c r="F433" s="73"/>
      <c r="G433" s="73"/>
      <c r="H433" s="73"/>
      <c r="J433" s="73"/>
    </row>
    <row r="434" spans="1:10" ht="15.75" customHeight="1">
      <c r="A434" s="73"/>
      <c r="B434" s="73"/>
      <c r="C434" s="73"/>
      <c r="D434" s="73"/>
      <c r="E434" s="73"/>
      <c r="F434" s="73"/>
      <c r="G434" s="73"/>
      <c r="H434" s="73"/>
      <c r="J434" s="73"/>
    </row>
    <row r="435" spans="1:10" ht="15.75" customHeight="1">
      <c r="A435" s="73"/>
      <c r="B435" s="73"/>
      <c r="C435" s="73"/>
      <c r="D435" s="73"/>
      <c r="E435" s="73"/>
      <c r="F435" s="73"/>
      <c r="G435" s="73"/>
      <c r="H435" s="73"/>
      <c r="J435" s="73"/>
    </row>
    <row r="436" spans="1:10" ht="15.75" customHeight="1">
      <c r="A436" s="73"/>
      <c r="B436" s="73"/>
      <c r="C436" s="73"/>
      <c r="D436" s="73"/>
      <c r="E436" s="73"/>
      <c r="F436" s="73"/>
      <c r="G436" s="73"/>
      <c r="H436" s="73"/>
      <c r="J436" s="73"/>
    </row>
    <row r="437" spans="1:10" ht="15.75" customHeight="1">
      <c r="A437" s="73"/>
      <c r="B437" s="73"/>
      <c r="C437" s="73"/>
      <c r="D437" s="73"/>
      <c r="E437" s="73"/>
      <c r="F437" s="73"/>
      <c r="G437" s="73"/>
      <c r="H437" s="73"/>
      <c r="J437" s="73"/>
    </row>
    <row r="438" spans="1:10" ht="15.75" customHeight="1">
      <c r="A438" s="73"/>
      <c r="B438" s="73"/>
      <c r="C438" s="73"/>
      <c r="D438" s="73"/>
      <c r="E438" s="73"/>
      <c r="F438" s="73"/>
      <c r="G438" s="73"/>
      <c r="H438" s="73"/>
      <c r="J438" s="73"/>
    </row>
    <row r="439" spans="1:10" ht="15.75" customHeight="1">
      <c r="A439" s="73"/>
      <c r="B439" s="73"/>
      <c r="C439" s="73"/>
      <c r="D439" s="73"/>
      <c r="E439" s="73"/>
      <c r="F439" s="73"/>
      <c r="G439" s="73"/>
      <c r="H439" s="73"/>
      <c r="J439" s="73"/>
    </row>
    <row r="440" spans="1:10" ht="15.75" customHeight="1">
      <c r="A440" s="73"/>
      <c r="B440" s="73"/>
      <c r="C440" s="73"/>
      <c r="D440" s="73"/>
      <c r="E440" s="73"/>
      <c r="F440" s="73"/>
      <c r="G440" s="73"/>
      <c r="H440" s="73"/>
      <c r="J440" s="73"/>
    </row>
    <row r="441" spans="1:10" ht="15.75" customHeight="1">
      <c r="A441" s="73"/>
      <c r="B441" s="73"/>
      <c r="C441" s="73"/>
      <c r="D441" s="73"/>
      <c r="E441" s="73"/>
      <c r="F441" s="73"/>
      <c r="G441" s="73"/>
      <c r="H441" s="73"/>
      <c r="J441" s="73"/>
    </row>
    <row r="442" spans="1:10" ht="15.75" customHeight="1">
      <c r="A442" s="73"/>
      <c r="B442" s="73"/>
      <c r="C442" s="73"/>
      <c r="D442" s="73"/>
      <c r="E442" s="73"/>
      <c r="F442" s="73"/>
      <c r="G442" s="73"/>
      <c r="H442" s="73"/>
      <c r="J442" s="73"/>
    </row>
    <row r="443" spans="1:10" ht="15.75" customHeight="1">
      <c r="A443" s="73"/>
      <c r="B443" s="73"/>
      <c r="C443" s="73"/>
      <c r="D443" s="73"/>
      <c r="E443" s="73"/>
      <c r="F443" s="73"/>
      <c r="G443" s="73"/>
      <c r="H443" s="73"/>
      <c r="J443" s="73"/>
    </row>
    <row r="444" spans="1:10" ht="15.75" customHeight="1">
      <c r="A444" s="73"/>
      <c r="B444" s="73"/>
      <c r="C444" s="73"/>
      <c r="D444" s="73"/>
      <c r="E444" s="73"/>
      <c r="F444" s="73"/>
      <c r="G444" s="73"/>
      <c r="H444" s="73"/>
      <c r="J444" s="73"/>
    </row>
    <row r="445" spans="1:10" ht="15.75" customHeight="1">
      <c r="A445" s="73"/>
      <c r="B445" s="73"/>
      <c r="C445" s="73"/>
      <c r="D445" s="73"/>
      <c r="E445" s="73"/>
      <c r="F445" s="73"/>
      <c r="G445" s="73"/>
      <c r="H445" s="73"/>
      <c r="J445" s="73"/>
    </row>
    <row r="446" spans="1:10" ht="15.75" customHeight="1">
      <c r="A446" s="73"/>
      <c r="B446" s="73"/>
      <c r="C446" s="73"/>
      <c r="D446" s="73"/>
      <c r="E446" s="73"/>
      <c r="F446" s="73"/>
      <c r="G446" s="73"/>
      <c r="H446" s="73"/>
      <c r="J446" s="73"/>
    </row>
    <row r="447" spans="1:10" ht="15.75" customHeight="1">
      <c r="A447" s="73"/>
      <c r="B447" s="73"/>
      <c r="C447" s="73"/>
      <c r="D447" s="73"/>
      <c r="E447" s="73"/>
      <c r="F447" s="73"/>
      <c r="G447" s="73"/>
      <c r="H447" s="73"/>
      <c r="J447" s="73"/>
    </row>
    <row r="448" spans="1:10" ht="15.75" customHeight="1">
      <c r="A448" s="73"/>
      <c r="B448" s="73"/>
      <c r="C448" s="73"/>
      <c r="D448" s="73"/>
      <c r="E448" s="73"/>
      <c r="F448" s="73"/>
      <c r="G448" s="73"/>
      <c r="H448" s="73"/>
      <c r="J448" s="73"/>
    </row>
    <row r="449" spans="1:10" ht="15.75" customHeight="1">
      <c r="A449" s="73"/>
      <c r="B449" s="73"/>
      <c r="C449" s="73"/>
      <c r="D449" s="73"/>
      <c r="E449" s="73"/>
      <c r="F449" s="73"/>
      <c r="G449" s="73"/>
      <c r="H449" s="73"/>
      <c r="J449" s="73"/>
    </row>
    <row r="450" spans="1:10" ht="15.75" customHeight="1">
      <c r="A450" s="73"/>
      <c r="B450" s="73"/>
      <c r="C450" s="73"/>
      <c r="D450" s="73"/>
      <c r="E450" s="73"/>
      <c r="F450" s="73"/>
      <c r="G450" s="73"/>
      <c r="H450" s="73"/>
      <c r="J450" s="73"/>
    </row>
    <row r="451" spans="1:10" ht="15.75" customHeight="1">
      <c r="A451" s="73"/>
      <c r="B451" s="73"/>
      <c r="C451" s="73"/>
      <c r="D451" s="73"/>
      <c r="E451" s="73"/>
      <c r="F451" s="73"/>
      <c r="G451" s="73"/>
      <c r="H451" s="73"/>
      <c r="J451" s="73"/>
    </row>
    <row r="452" spans="1:10" ht="15.75" customHeight="1">
      <c r="A452" s="73"/>
      <c r="B452" s="73"/>
      <c r="C452" s="73"/>
      <c r="D452" s="73"/>
      <c r="E452" s="73"/>
      <c r="F452" s="73"/>
      <c r="G452" s="73"/>
      <c r="H452" s="73"/>
      <c r="J452" s="73"/>
    </row>
    <row r="453" spans="1:10" ht="15.75" customHeight="1">
      <c r="A453" s="73"/>
      <c r="B453" s="73"/>
      <c r="C453" s="73"/>
      <c r="D453" s="73"/>
      <c r="E453" s="73"/>
      <c r="F453" s="73"/>
      <c r="G453" s="73"/>
      <c r="H453" s="73"/>
      <c r="J453" s="73"/>
    </row>
    <row r="454" spans="1:10" ht="15.75" customHeight="1">
      <c r="A454" s="73"/>
      <c r="B454" s="73"/>
      <c r="C454" s="73"/>
      <c r="D454" s="73"/>
      <c r="E454" s="73"/>
      <c r="F454" s="73"/>
      <c r="G454" s="73"/>
      <c r="H454" s="73"/>
      <c r="J454" s="73"/>
    </row>
    <row r="455" spans="1:10" ht="15.75" customHeight="1">
      <c r="A455" s="73"/>
      <c r="B455" s="73"/>
      <c r="C455" s="73"/>
      <c r="D455" s="73"/>
      <c r="E455" s="73"/>
      <c r="F455" s="73"/>
      <c r="G455" s="73"/>
      <c r="H455" s="73"/>
      <c r="J455" s="73"/>
    </row>
    <row r="456" spans="1:10" ht="15.75" customHeight="1">
      <c r="A456" s="73"/>
      <c r="B456" s="73"/>
      <c r="C456" s="73"/>
      <c r="D456" s="73"/>
      <c r="E456" s="73"/>
      <c r="F456" s="73"/>
      <c r="G456" s="73"/>
      <c r="H456" s="73"/>
      <c r="J456" s="73"/>
    </row>
    <row r="457" spans="1:10" ht="15.75" customHeight="1">
      <c r="A457" s="73"/>
      <c r="B457" s="73"/>
      <c r="C457" s="73"/>
      <c r="D457" s="73"/>
      <c r="E457" s="73"/>
      <c r="F457" s="73"/>
      <c r="G457" s="73"/>
      <c r="H457" s="73"/>
      <c r="J457" s="73"/>
    </row>
    <row r="458" spans="1:10" ht="15.75" customHeight="1">
      <c r="A458" s="73"/>
      <c r="B458" s="73"/>
      <c r="C458" s="73"/>
      <c r="D458" s="73"/>
      <c r="E458" s="73"/>
      <c r="F458" s="73"/>
      <c r="G458" s="73"/>
      <c r="H458" s="73"/>
      <c r="J458" s="73"/>
    </row>
    <row r="459" spans="1:10" ht="15.75" customHeight="1">
      <c r="A459" s="73"/>
      <c r="B459" s="73"/>
      <c r="C459" s="73"/>
      <c r="D459" s="73"/>
      <c r="E459" s="73"/>
      <c r="F459" s="73"/>
      <c r="G459" s="73"/>
      <c r="H459" s="73"/>
      <c r="J459" s="73"/>
    </row>
    <row r="460" spans="1:10" ht="15.75" customHeight="1">
      <c r="A460" s="73"/>
      <c r="B460" s="73"/>
      <c r="C460" s="73"/>
      <c r="D460" s="73"/>
      <c r="E460" s="73"/>
      <c r="F460" s="73"/>
      <c r="G460" s="73"/>
      <c r="H460" s="73"/>
      <c r="J460" s="73"/>
    </row>
    <row r="461" spans="1:10" ht="15.75" customHeight="1">
      <c r="A461" s="73"/>
      <c r="B461" s="73"/>
      <c r="C461" s="73"/>
      <c r="D461" s="73"/>
      <c r="E461" s="73"/>
      <c r="F461" s="73"/>
      <c r="G461" s="73"/>
      <c r="H461" s="73"/>
      <c r="J461" s="73"/>
    </row>
    <row r="462" spans="1:10" ht="15.75" customHeight="1">
      <c r="A462" s="73"/>
      <c r="B462" s="73"/>
      <c r="C462" s="73"/>
      <c r="D462" s="73"/>
      <c r="E462" s="73"/>
      <c r="F462" s="73"/>
      <c r="G462" s="73"/>
      <c r="H462" s="73"/>
      <c r="J462" s="73"/>
    </row>
    <row r="463" spans="1:10" ht="15.75" customHeight="1">
      <c r="A463" s="73"/>
      <c r="B463" s="73"/>
      <c r="C463" s="73"/>
      <c r="D463" s="73"/>
      <c r="E463" s="73"/>
      <c r="F463" s="73"/>
      <c r="G463" s="73"/>
      <c r="H463" s="73"/>
      <c r="J463" s="73"/>
    </row>
    <row r="464" spans="1:10" ht="15.75" customHeight="1">
      <c r="A464" s="73"/>
      <c r="B464" s="73"/>
      <c r="C464" s="73"/>
      <c r="D464" s="73"/>
      <c r="E464" s="73"/>
      <c r="F464" s="73"/>
      <c r="G464" s="73"/>
      <c r="H464" s="73"/>
      <c r="J464" s="73"/>
    </row>
    <row r="465" spans="1:10" ht="15.75" customHeight="1">
      <c r="A465" s="73"/>
      <c r="B465" s="73"/>
      <c r="C465" s="73"/>
      <c r="D465" s="73"/>
      <c r="E465" s="73"/>
      <c r="F465" s="73"/>
      <c r="G465" s="73"/>
      <c r="H465" s="73"/>
      <c r="J465" s="73"/>
    </row>
    <row r="466" spans="1:10" ht="15.75" customHeight="1">
      <c r="A466" s="73"/>
      <c r="B466" s="73"/>
      <c r="C466" s="73"/>
      <c r="D466" s="73"/>
      <c r="E466" s="73"/>
      <c r="F466" s="73"/>
      <c r="G466" s="73"/>
      <c r="H466" s="73"/>
      <c r="J466" s="73"/>
    </row>
    <row r="467" spans="1:10" ht="15.75" customHeight="1">
      <c r="A467" s="73"/>
      <c r="B467" s="73"/>
      <c r="C467" s="73"/>
      <c r="D467" s="73"/>
      <c r="E467" s="73"/>
      <c r="F467" s="73"/>
      <c r="G467" s="73"/>
      <c r="H467" s="73"/>
      <c r="J467" s="73"/>
    </row>
    <row r="468" spans="1:10" ht="15.75" customHeight="1">
      <c r="A468" s="73"/>
      <c r="B468" s="73"/>
      <c r="C468" s="73"/>
      <c r="D468" s="73"/>
      <c r="E468" s="73"/>
      <c r="F468" s="73"/>
      <c r="G468" s="73"/>
      <c r="H468" s="73"/>
      <c r="J468" s="73"/>
    </row>
    <row r="469" spans="1:10" ht="15.75" customHeight="1">
      <c r="A469" s="73"/>
      <c r="B469" s="73"/>
      <c r="C469" s="73"/>
      <c r="D469" s="73"/>
      <c r="E469" s="73"/>
      <c r="F469" s="73"/>
      <c r="G469" s="73"/>
      <c r="H469" s="73"/>
      <c r="J469" s="73"/>
    </row>
    <row r="470" spans="1:10" ht="15.75" customHeight="1">
      <c r="A470" s="73"/>
      <c r="B470" s="73"/>
      <c r="C470" s="73"/>
      <c r="D470" s="73"/>
      <c r="E470" s="73"/>
      <c r="F470" s="73"/>
      <c r="G470" s="73"/>
      <c r="H470" s="73"/>
      <c r="J470" s="73"/>
    </row>
    <row r="471" spans="1:10" ht="15.75" customHeight="1">
      <c r="A471" s="73"/>
      <c r="B471" s="73"/>
      <c r="C471" s="73"/>
      <c r="D471" s="73"/>
      <c r="E471" s="73"/>
      <c r="F471" s="73"/>
      <c r="G471" s="73"/>
      <c r="H471" s="73"/>
      <c r="J471" s="73"/>
    </row>
    <row r="472" spans="1:10" ht="15.75" customHeight="1">
      <c r="A472" s="73"/>
      <c r="B472" s="73"/>
      <c r="C472" s="73"/>
      <c r="D472" s="73"/>
      <c r="E472" s="73"/>
      <c r="F472" s="73"/>
      <c r="G472" s="73"/>
      <c r="H472" s="73"/>
      <c r="J472" s="73"/>
    </row>
    <row r="473" spans="1:10" ht="15.75" customHeight="1">
      <c r="A473" s="73"/>
      <c r="B473" s="73"/>
      <c r="C473" s="73"/>
      <c r="D473" s="73"/>
      <c r="E473" s="73"/>
      <c r="F473" s="73"/>
      <c r="G473" s="73"/>
      <c r="H473" s="73"/>
      <c r="J473" s="73"/>
    </row>
    <row r="474" spans="1:10" ht="15.75" customHeight="1">
      <c r="A474" s="73"/>
      <c r="B474" s="73"/>
      <c r="C474" s="73"/>
      <c r="D474" s="73"/>
      <c r="E474" s="73"/>
      <c r="F474" s="73"/>
      <c r="G474" s="73"/>
      <c r="H474" s="73"/>
      <c r="J474" s="73"/>
    </row>
    <row r="475" spans="1:10" ht="15.75" customHeight="1">
      <c r="A475" s="73"/>
      <c r="B475" s="73"/>
      <c r="C475" s="73"/>
      <c r="D475" s="73"/>
      <c r="E475" s="73"/>
      <c r="F475" s="73"/>
      <c r="G475" s="73"/>
      <c r="H475" s="73"/>
      <c r="J475" s="73"/>
    </row>
    <row r="476" spans="1:10" ht="15.75" customHeight="1">
      <c r="A476" s="73"/>
      <c r="B476" s="73"/>
      <c r="C476" s="73"/>
      <c r="D476" s="73"/>
      <c r="E476" s="73"/>
      <c r="F476" s="73"/>
      <c r="G476" s="73"/>
      <c r="H476" s="73"/>
      <c r="J476" s="73"/>
    </row>
    <row r="477" spans="1:10" ht="15.75" customHeight="1">
      <c r="A477" s="73"/>
      <c r="B477" s="73"/>
      <c r="C477" s="73"/>
      <c r="D477" s="73"/>
      <c r="E477" s="73"/>
      <c r="F477" s="73"/>
      <c r="G477" s="73"/>
      <c r="H477" s="73"/>
      <c r="J477" s="73"/>
    </row>
    <row r="478" spans="1:10" ht="15.75" customHeight="1">
      <c r="A478" s="73"/>
      <c r="B478" s="73"/>
      <c r="C478" s="73"/>
      <c r="D478" s="73"/>
      <c r="E478" s="73"/>
      <c r="F478" s="73"/>
      <c r="G478" s="73"/>
      <c r="H478" s="73"/>
      <c r="J478" s="73"/>
    </row>
    <row r="479" spans="1:10" ht="15.75" customHeight="1">
      <c r="A479" s="73"/>
      <c r="B479" s="73"/>
      <c r="C479" s="73"/>
      <c r="D479" s="73"/>
      <c r="E479" s="73"/>
      <c r="F479" s="73"/>
      <c r="G479" s="73"/>
      <c r="H479" s="73"/>
      <c r="J479" s="73"/>
    </row>
    <row r="480" spans="1:10" ht="15.75" customHeight="1">
      <c r="A480" s="73"/>
      <c r="B480" s="73"/>
      <c r="C480" s="73"/>
      <c r="D480" s="73"/>
      <c r="E480" s="73"/>
      <c r="F480" s="73"/>
      <c r="G480" s="73"/>
      <c r="H480" s="73"/>
      <c r="J480" s="73"/>
    </row>
    <row r="481" spans="1:10" ht="15.75" customHeight="1">
      <c r="A481" s="73"/>
      <c r="B481" s="73"/>
      <c r="C481" s="73"/>
      <c r="D481" s="73"/>
      <c r="E481" s="73"/>
      <c r="F481" s="73"/>
      <c r="G481" s="73"/>
      <c r="H481" s="73"/>
      <c r="J481" s="73"/>
    </row>
    <row r="482" spans="1:10" ht="15.75" customHeight="1">
      <c r="A482" s="73"/>
      <c r="B482" s="73"/>
      <c r="C482" s="73"/>
      <c r="D482" s="73"/>
      <c r="E482" s="73"/>
      <c r="F482" s="73"/>
      <c r="G482" s="73"/>
      <c r="H482" s="73"/>
      <c r="J482" s="73"/>
    </row>
    <row r="483" spans="1:10" ht="15.75" customHeight="1">
      <c r="A483" s="73"/>
      <c r="B483" s="73"/>
      <c r="C483" s="73"/>
      <c r="D483" s="73"/>
      <c r="E483" s="73"/>
      <c r="F483" s="73"/>
      <c r="G483" s="73"/>
      <c r="H483" s="73"/>
      <c r="J483" s="73"/>
    </row>
    <row r="484" spans="1:10" ht="15.75" customHeight="1">
      <c r="A484" s="73"/>
      <c r="B484" s="73"/>
      <c r="C484" s="73"/>
      <c r="D484" s="73"/>
      <c r="E484" s="73"/>
      <c r="F484" s="73"/>
      <c r="G484" s="73"/>
      <c r="H484" s="73"/>
      <c r="J484" s="73"/>
    </row>
    <row r="485" spans="1:10" ht="15.75" customHeight="1">
      <c r="A485" s="73"/>
      <c r="B485" s="73"/>
      <c r="C485" s="73"/>
      <c r="D485" s="73"/>
      <c r="E485" s="73"/>
      <c r="F485" s="73"/>
      <c r="G485" s="73"/>
      <c r="H485" s="73"/>
      <c r="J485" s="73"/>
    </row>
    <row r="486" spans="1:10" ht="15.75" customHeight="1">
      <c r="A486" s="73"/>
      <c r="B486" s="73"/>
      <c r="C486" s="73"/>
      <c r="D486" s="73"/>
      <c r="E486" s="73"/>
      <c r="F486" s="73"/>
      <c r="G486" s="73"/>
      <c r="H486" s="73"/>
      <c r="J486" s="73"/>
    </row>
    <row r="487" spans="1:10" ht="15.75" customHeight="1">
      <c r="A487" s="73"/>
      <c r="B487" s="73"/>
      <c r="C487" s="73"/>
      <c r="D487" s="73"/>
      <c r="E487" s="73"/>
      <c r="F487" s="73"/>
      <c r="G487" s="73"/>
      <c r="H487" s="73"/>
      <c r="J487" s="73"/>
    </row>
    <row r="488" spans="1:10" ht="15.75" customHeight="1">
      <c r="A488" s="73"/>
      <c r="B488" s="73"/>
      <c r="C488" s="73"/>
      <c r="D488" s="73"/>
      <c r="E488" s="73"/>
      <c r="F488" s="73"/>
      <c r="G488" s="73"/>
      <c r="H488" s="73"/>
      <c r="J488" s="73"/>
    </row>
    <row r="489" spans="1:10" ht="15.75" customHeight="1">
      <c r="A489" s="73"/>
      <c r="B489" s="73"/>
      <c r="C489" s="73"/>
      <c r="D489" s="73"/>
      <c r="E489" s="73"/>
      <c r="F489" s="73"/>
      <c r="G489" s="73"/>
      <c r="H489" s="73"/>
      <c r="J489" s="73"/>
    </row>
    <row r="490" spans="1:10" ht="15.75" customHeight="1">
      <c r="A490" s="73"/>
      <c r="B490" s="73"/>
      <c r="C490" s="73"/>
      <c r="D490" s="73"/>
      <c r="E490" s="73"/>
      <c r="F490" s="73"/>
      <c r="G490" s="73"/>
      <c r="H490" s="73"/>
      <c r="J490" s="73"/>
    </row>
    <row r="491" spans="1:10" ht="15.75" customHeight="1">
      <c r="A491" s="73"/>
      <c r="B491" s="73"/>
      <c r="C491" s="73"/>
      <c r="D491" s="73"/>
      <c r="E491" s="73"/>
      <c r="F491" s="73"/>
      <c r="G491" s="73"/>
      <c r="H491" s="73"/>
      <c r="J491" s="73"/>
    </row>
    <row r="492" spans="1:10" ht="15.75" customHeight="1">
      <c r="A492" s="73"/>
      <c r="B492" s="73"/>
      <c r="C492" s="73"/>
      <c r="D492" s="73"/>
      <c r="E492" s="73"/>
      <c r="F492" s="73"/>
      <c r="G492" s="73"/>
      <c r="H492" s="73"/>
      <c r="J492" s="73"/>
    </row>
    <row r="493" spans="1:10" ht="15.75" customHeight="1">
      <c r="A493" s="73"/>
      <c r="B493" s="73"/>
      <c r="C493" s="73"/>
      <c r="D493" s="73"/>
      <c r="E493" s="73"/>
      <c r="F493" s="73"/>
      <c r="G493" s="73"/>
      <c r="H493" s="73"/>
      <c r="J493" s="73"/>
    </row>
    <row r="494" spans="1:10" ht="15.75" customHeight="1">
      <c r="A494" s="73"/>
      <c r="B494" s="73"/>
      <c r="C494" s="73"/>
      <c r="D494" s="73"/>
      <c r="E494" s="73"/>
      <c r="F494" s="73"/>
      <c r="G494" s="73"/>
      <c r="H494" s="73"/>
      <c r="J494" s="73"/>
    </row>
    <row r="495" spans="1:10" ht="15.75" customHeight="1">
      <c r="A495" s="73"/>
      <c r="B495" s="73"/>
      <c r="C495" s="73"/>
      <c r="D495" s="73"/>
      <c r="E495" s="73"/>
      <c r="F495" s="73"/>
      <c r="G495" s="73"/>
      <c r="H495" s="73"/>
      <c r="J495" s="73"/>
    </row>
    <row r="496" spans="1:10" ht="15.75" customHeight="1">
      <c r="A496" s="73"/>
      <c r="B496" s="73"/>
      <c r="C496" s="73"/>
      <c r="D496" s="73"/>
      <c r="E496" s="73"/>
      <c r="F496" s="73"/>
      <c r="G496" s="73"/>
      <c r="H496" s="73"/>
      <c r="J496" s="73"/>
    </row>
    <row r="497" spans="1:10" ht="15.75" customHeight="1">
      <c r="A497" s="73"/>
      <c r="B497" s="73"/>
      <c r="C497" s="73"/>
      <c r="D497" s="73"/>
      <c r="E497" s="73"/>
      <c r="F497" s="73"/>
      <c r="G497" s="73"/>
      <c r="H497" s="73"/>
      <c r="J497" s="73"/>
    </row>
    <row r="498" spans="1:10" ht="15.75" customHeight="1">
      <c r="A498" s="73"/>
      <c r="B498" s="73"/>
      <c r="C498" s="73"/>
      <c r="D498" s="73"/>
      <c r="E498" s="73"/>
      <c r="F498" s="73"/>
      <c r="G498" s="73"/>
      <c r="H498" s="73"/>
      <c r="J498" s="73"/>
    </row>
    <row r="499" spans="1:10" ht="15.75" customHeight="1">
      <c r="A499" s="73"/>
      <c r="B499" s="73"/>
      <c r="C499" s="73"/>
      <c r="D499" s="73"/>
      <c r="E499" s="73"/>
      <c r="F499" s="73"/>
      <c r="G499" s="73"/>
      <c r="H499" s="73"/>
      <c r="J499" s="73"/>
    </row>
    <row r="500" spans="1:10" ht="15.75" customHeight="1">
      <c r="A500" s="73"/>
      <c r="B500" s="73"/>
      <c r="C500" s="73"/>
      <c r="D500" s="73"/>
      <c r="E500" s="73"/>
      <c r="F500" s="73"/>
      <c r="G500" s="73"/>
      <c r="H500" s="73"/>
      <c r="J500" s="73"/>
    </row>
    <row r="501" spans="1:10" ht="15.75" customHeight="1">
      <c r="A501" s="73"/>
      <c r="B501" s="73"/>
      <c r="C501" s="73"/>
      <c r="D501" s="73"/>
      <c r="E501" s="73"/>
      <c r="F501" s="73"/>
      <c r="G501" s="73"/>
      <c r="H501" s="73"/>
      <c r="J501" s="73"/>
    </row>
    <row r="502" spans="1:10" ht="15.75" customHeight="1">
      <c r="A502" s="73"/>
      <c r="B502" s="73"/>
      <c r="C502" s="73"/>
      <c r="D502" s="73"/>
      <c r="E502" s="73"/>
      <c r="F502" s="73"/>
      <c r="G502" s="73"/>
      <c r="H502" s="73"/>
      <c r="J502" s="73"/>
    </row>
    <row r="503" spans="1:10" ht="15.75" customHeight="1">
      <c r="A503" s="73"/>
      <c r="B503" s="73"/>
      <c r="C503" s="73"/>
      <c r="D503" s="73"/>
      <c r="E503" s="73"/>
      <c r="F503" s="73"/>
      <c r="G503" s="73"/>
      <c r="H503" s="73"/>
      <c r="J503" s="73"/>
    </row>
    <row r="504" spans="1:10" ht="15.75" customHeight="1">
      <c r="A504" s="73"/>
      <c r="B504" s="73"/>
      <c r="C504" s="73"/>
      <c r="D504" s="73"/>
      <c r="E504" s="73"/>
      <c r="F504" s="73"/>
      <c r="G504" s="73"/>
      <c r="H504" s="73"/>
      <c r="J504" s="73"/>
    </row>
    <row r="505" spans="1:10" ht="15.75" customHeight="1">
      <c r="A505" s="73"/>
      <c r="B505" s="73"/>
      <c r="C505" s="73"/>
      <c r="D505" s="73"/>
      <c r="E505" s="73"/>
      <c r="F505" s="73"/>
      <c r="G505" s="73"/>
      <c r="H505" s="73"/>
      <c r="J505" s="73"/>
    </row>
    <row r="506" spans="1:10" ht="15.75" customHeight="1">
      <c r="A506" s="73"/>
      <c r="B506" s="73"/>
      <c r="C506" s="73"/>
      <c r="D506" s="73"/>
      <c r="E506" s="73"/>
      <c r="F506" s="73"/>
      <c r="G506" s="73"/>
      <c r="H506" s="73"/>
      <c r="J506" s="73"/>
    </row>
    <row r="507" spans="1:10" ht="15.75" customHeight="1">
      <c r="A507" s="73"/>
      <c r="B507" s="73"/>
      <c r="C507" s="73"/>
      <c r="D507" s="73"/>
      <c r="E507" s="73"/>
      <c r="F507" s="73"/>
      <c r="G507" s="73"/>
      <c r="H507" s="73"/>
      <c r="J507" s="73"/>
    </row>
    <row r="508" spans="1:10" ht="15.75" customHeight="1">
      <c r="A508" s="73"/>
      <c r="B508" s="73"/>
      <c r="C508" s="73"/>
      <c r="D508" s="73"/>
      <c r="E508" s="73"/>
      <c r="F508" s="73"/>
      <c r="G508" s="73"/>
      <c r="H508" s="73"/>
      <c r="J508" s="73"/>
    </row>
    <row r="509" spans="1:10" ht="15.75" customHeight="1">
      <c r="A509" s="73"/>
      <c r="B509" s="73"/>
      <c r="C509" s="73"/>
      <c r="D509" s="73"/>
      <c r="E509" s="73"/>
      <c r="F509" s="73"/>
      <c r="G509" s="73"/>
      <c r="H509" s="73"/>
      <c r="J509" s="73"/>
    </row>
    <row r="510" spans="1:10" ht="15.75" customHeight="1">
      <c r="A510" s="73"/>
      <c r="B510" s="73"/>
      <c r="C510" s="73"/>
      <c r="D510" s="73"/>
      <c r="E510" s="73"/>
      <c r="F510" s="73"/>
      <c r="G510" s="73"/>
      <c r="H510" s="73"/>
      <c r="J510" s="73"/>
    </row>
    <row r="511" spans="1:10" ht="15.75" customHeight="1">
      <c r="A511" s="73"/>
      <c r="B511" s="73"/>
      <c r="C511" s="73"/>
      <c r="D511" s="73"/>
      <c r="E511" s="73"/>
      <c r="F511" s="73"/>
      <c r="G511" s="73"/>
      <c r="H511" s="73"/>
      <c r="J511" s="73"/>
    </row>
    <row r="512" spans="1:10" ht="15.75" customHeight="1">
      <c r="A512" s="73"/>
      <c r="B512" s="73"/>
      <c r="C512" s="73"/>
      <c r="D512" s="73"/>
      <c r="E512" s="73"/>
      <c r="F512" s="73"/>
      <c r="G512" s="73"/>
      <c r="H512" s="73"/>
      <c r="J512" s="73"/>
    </row>
    <row r="513" spans="1:10" ht="15.75" customHeight="1">
      <c r="A513" s="73"/>
      <c r="B513" s="73"/>
      <c r="C513" s="73"/>
      <c r="D513" s="73"/>
      <c r="E513" s="73"/>
      <c r="F513" s="73"/>
      <c r="G513" s="73"/>
      <c r="H513" s="73"/>
      <c r="J513" s="73"/>
    </row>
    <row r="514" spans="1:10" ht="15.75" customHeight="1">
      <c r="A514" s="73"/>
      <c r="B514" s="73"/>
      <c r="C514" s="73"/>
      <c r="D514" s="73"/>
      <c r="E514" s="73"/>
      <c r="F514" s="73"/>
      <c r="G514" s="73"/>
      <c r="H514" s="73"/>
      <c r="J514" s="73"/>
    </row>
    <row r="515" spans="1:10" ht="15.75" customHeight="1">
      <c r="A515" s="73"/>
      <c r="B515" s="73"/>
      <c r="C515" s="73"/>
      <c r="D515" s="73"/>
      <c r="E515" s="73"/>
      <c r="F515" s="73"/>
      <c r="G515" s="73"/>
      <c r="H515" s="73"/>
      <c r="J515" s="73"/>
    </row>
    <row r="516" spans="1:10" ht="15.75" customHeight="1">
      <c r="A516" s="73"/>
      <c r="B516" s="73"/>
      <c r="C516" s="73"/>
      <c r="D516" s="73"/>
      <c r="E516" s="73"/>
      <c r="F516" s="73"/>
      <c r="G516" s="73"/>
      <c r="H516" s="73"/>
      <c r="J516" s="73"/>
    </row>
    <row r="517" spans="1:10" ht="15.75" customHeight="1">
      <c r="A517" s="73"/>
      <c r="B517" s="73"/>
      <c r="C517" s="73"/>
      <c r="D517" s="73"/>
      <c r="E517" s="73"/>
      <c r="F517" s="73"/>
      <c r="G517" s="73"/>
      <c r="H517" s="73"/>
      <c r="J517" s="73"/>
    </row>
    <row r="518" spans="1:10" ht="15.75" customHeight="1">
      <c r="A518" s="73"/>
      <c r="B518" s="73"/>
      <c r="C518" s="73"/>
      <c r="D518" s="73"/>
      <c r="E518" s="73"/>
      <c r="F518" s="73"/>
      <c r="G518" s="73"/>
      <c r="H518" s="73"/>
      <c r="J518" s="73"/>
    </row>
    <row r="519" spans="1:10" ht="15.75" customHeight="1">
      <c r="A519" s="73"/>
      <c r="B519" s="73"/>
      <c r="C519" s="73"/>
      <c r="D519" s="73"/>
      <c r="E519" s="73"/>
      <c r="F519" s="73"/>
      <c r="G519" s="73"/>
      <c r="H519" s="73"/>
      <c r="J519" s="73"/>
    </row>
    <row r="520" spans="1:10" ht="15.75" customHeight="1">
      <c r="A520" s="73"/>
      <c r="B520" s="73"/>
      <c r="C520" s="73"/>
      <c r="D520" s="73"/>
      <c r="E520" s="73"/>
      <c r="F520" s="73"/>
      <c r="G520" s="73"/>
      <c r="H520" s="73"/>
      <c r="J520" s="73"/>
    </row>
    <row r="521" spans="1:10" ht="15.75" customHeight="1">
      <c r="A521" s="73"/>
      <c r="B521" s="73"/>
      <c r="C521" s="73"/>
      <c r="D521" s="73"/>
      <c r="E521" s="73"/>
      <c r="F521" s="73"/>
      <c r="G521" s="73"/>
      <c r="H521" s="73"/>
      <c r="J521" s="73"/>
    </row>
    <row r="522" spans="1:10" ht="15.75" customHeight="1">
      <c r="A522" s="73"/>
      <c r="B522" s="73"/>
      <c r="C522" s="73"/>
      <c r="D522" s="73"/>
      <c r="E522" s="73"/>
      <c r="F522" s="73"/>
      <c r="G522" s="73"/>
      <c r="H522" s="73"/>
      <c r="J522" s="73"/>
    </row>
    <row r="523" spans="1:10" ht="15.75" customHeight="1">
      <c r="A523" s="73"/>
      <c r="B523" s="73"/>
      <c r="C523" s="73"/>
      <c r="D523" s="73"/>
      <c r="E523" s="73"/>
      <c r="F523" s="73"/>
      <c r="G523" s="73"/>
      <c r="H523" s="73"/>
      <c r="J523" s="73"/>
    </row>
    <row r="524" spans="1:10" ht="15.75" customHeight="1">
      <c r="A524" s="73"/>
      <c r="B524" s="73"/>
      <c r="C524" s="73"/>
      <c r="D524" s="73"/>
      <c r="E524" s="73"/>
      <c r="F524" s="73"/>
      <c r="G524" s="73"/>
      <c r="H524" s="73"/>
      <c r="J524" s="73"/>
    </row>
    <row r="525" spans="1:10" ht="15.75" customHeight="1">
      <c r="A525" s="73"/>
      <c r="B525" s="73"/>
      <c r="C525" s="73"/>
      <c r="D525" s="73"/>
      <c r="E525" s="73"/>
      <c r="F525" s="73"/>
      <c r="G525" s="73"/>
      <c r="H525" s="73"/>
      <c r="J525" s="73"/>
    </row>
    <row r="526" spans="1:10" ht="15.75" customHeight="1">
      <c r="A526" s="73"/>
      <c r="B526" s="73"/>
      <c r="C526" s="73"/>
      <c r="D526" s="73"/>
      <c r="E526" s="73"/>
      <c r="F526" s="73"/>
      <c r="G526" s="73"/>
      <c r="H526" s="73"/>
      <c r="J526" s="73"/>
    </row>
    <row r="527" spans="1:10" ht="15.75" customHeight="1">
      <c r="A527" s="73"/>
      <c r="B527" s="73"/>
      <c r="C527" s="73"/>
      <c r="D527" s="73"/>
      <c r="E527" s="73"/>
      <c r="F527" s="73"/>
      <c r="G527" s="73"/>
      <c r="H527" s="73"/>
      <c r="J527" s="73"/>
    </row>
    <row r="528" spans="1:10" ht="15.75" customHeight="1">
      <c r="A528" s="73"/>
      <c r="B528" s="73"/>
      <c r="C528" s="73"/>
      <c r="D528" s="73"/>
      <c r="E528" s="73"/>
      <c r="F528" s="73"/>
      <c r="G528" s="73"/>
      <c r="H528" s="73"/>
      <c r="J528" s="73"/>
    </row>
    <row r="529" spans="1:10" ht="15.75" customHeight="1">
      <c r="A529" s="73"/>
      <c r="B529" s="73"/>
      <c r="C529" s="73"/>
      <c r="D529" s="73"/>
      <c r="E529" s="73"/>
      <c r="F529" s="73"/>
      <c r="G529" s="73"/>
      <c r="H529" s="73"/>
      <c r="J529" s="73"/>
    </row>
    <row r="530" spans="1:10" ht="15.75" customHeight="1">
      <c r="A530" s="73"/>
      <c r="B530" s="73"/>
      <c r="C530" s="73"/>
      <c r="D530" s="73"/>
      <c r="E530" s="73"/>
      <c r="F530" s="73"/>
      <c r="G530" s="73"/>
      <c r="H530" s="73"/>
      <c r="J530" s="73"/>
    </row>
    <row r="531" spans="1:10" ht="15.75" customHeight="1">
      <c r="A531" s="73"/>
      <c r="B531" s="73"/>
      <c r="C531" s="73"/>
      <c r="D531" s="73"/>
      <c r="E531" s="73"/>
      <c r="F531" s="73"/>
      <c r="G531" s="73"/>
      <c r="H531" s="73"/>
      <c r="J531" s="73"/>
    </row>
    <row r="532" spans="1:10" ht="15.75" customHeight="1">
      <c r="A532" s="73"/>
      <c r="B532" s="73"/>
      <c r="C532" s="73"/>
      <c r="D532" s="73"/>
      <c r="E532" s="73"/>
      <c r="F532" s="73"/>
      <c r="G532" s="73"/>
      <c r="H532" s="73"/>
      <c r="J532" s="73"/>
    </row>
    <row r="533" spans="1:10" ht="15.75" customHeight="1">
      <c r="A533" s="73"/>
      <c r="B533" s="73"/>
      <c r="C533" s="73"/>
      <c r="D533" s="73"/>
      <c r="E533" s="73"/>
      <c r="F533" s="73"/>
      <c r="G533" s="73"/>
      <c r="H533" s="73"/>
      <c r="J533" s="73"/>
    </row>
    <row r="534" spans="1:10" ht="15.75" customHeight="1">
      <c r="A534" s="73"/>
      <c r="B534" s="73"/>
      <c r="C534" s="73"/>
      <c r="D534" s="73"/>
      <c r="E534" s="73"/>
      <c r="F534" s="73"/>
      <c r="G534" s="73"/>
      <c r="H534" s="73"/>
      <c r="J534" s="73"/>
    </row>
    <row r="535" spans="1:10" ht="15.75" customHeight="1">
      <c r="A535" s="73"/>
      <c r="B535" s="73"/>
      <c r="C535" s="73"/>
      <c r="D535" s="73"/>
      <c r="E535" s="73"/>
      <c r="F535" s="73"/>
      <c r="G535" s="73"/>
      <c r="H535" s="73"/>
      <c r="J535" s="73"/>
    </row>
    <row r="536" spans="1:10" ht="15.75" customHeight="1">
      <c r="A536" s="73"/>
      <c r="B536" s="73"/>
      <c r="C536" s="73"/>
      <c r="D536" s="73"/>
      <c r="E536" s="73"/>
      <c r="F536" s="73"/>
      <c r="G536" s="73"/>
      <c r="H536" s="73"/>
      <c r="J536" s="73"/>
    </row>
    <row r="537" spans="1:10" ht="15.75" customHeight="1">
      <c r="A537" s="73"/>
      <c r="B537" s="73"/>
      <c r="C537" s="73"/>
      <c r="D537" s="73"/>
      <c r="E537" s="73"/>
      <c r="F537" s="73"/>
      <c r="G537" s="73"/>
      <c r="H537" s="73"/>
      <c r="J537" s="73"/>
    </row>
    <row r="538" spans="1:10" ht="15.75" customHeight="1">
      <c r="A538" s="73"/>
      <c r="B538" s="73"/>
      <c r="C538" s="73"/>
      <c r="D538" s="73"/>
      <c r="E538" s="73"/>
      <c r="F538" s="73"/>
      <c r="G538" s="73"/>
      <c r="H538" s="73"/>
      <c r="J538" s="73"/>
    </row>
    <row r="539" spans="1:10" ht="15.75" customHeight="1">
      <c r="A539" s="73"/>
      <c r="B539" s="73"/>
      <c r="C539" s="73"/>
      <c r="D539" s="73"/>
      <c r="E539" s="73"/>
      <c r="F539" s="73"/>
      <c r="G539" s="73"/>
      <c r="H539" s="73"/>
      <c r="J539" s="73"/>
    </row>
    <row r="540" spans="1:10" ht="15.75" customHeight="1">
      <c r="A540" s="73"/>
      <c r="B540" s="73"/>
      <c r="C540" s="73"/>
      <c r="D540" s="73"/>
      <c r="E540" s="73"/>
      <c r="F540" s="73"/>
      <c r="G540" s="73"/>
      <c r="H540" s="73"/>
      <c r="J540" s="73"/>
    </row>
    <row r="541" spans="1:10" ht="15.75" customHeight="1">
      <c r="A541" s="73"/>
      <c r="B541" s="73"/>
      <c r="C541" s="73"/>
      <c r="D541" s="73"/>
      <c r="E541" s="73"/>
      <c r="F541" s="73"/>
      <c r="G541" s="73"/>
      <c r="H541" s="73"/>
      <c r="J541" s="73"/>
    </row>
    <row r="542" spans="1:10" ht="15.75" customHeight="1">
      <c r="A542" s="73"/>
      <c r="B542" s="73"/>
      <c r="C542" s="73"/>
      <c r="D542" s="73"/>
      <c r="E542" s="73"/>
      <c r="F542" s="73"/>
      <c r="G542" s="73"/>
      <c r="H542" s="73"/>
      <c r="J542" s="73"/>
    </row>
    <row r="543" spans="1:10" ht="15.75" customHeight="1">
      <c r="A543" s="73"/>
      <c r="B543" s="73"/>
      <c r="C543" s="73"/>
      <c r="D543" s="73"/>
      <c r="E543" s="73"/>
      <c r="F543" s="73"/>
      <c r="G543" s="73"/>
      <c r="H543" s="73"/>
      <c r="J543" s="73"/>
    </row>
    <row r="544" spans="1:10" ht="15.75" customHeight="1">
      <c r="A544" s="73"/>
      <c r="B544" s="73"/>
      <c r="C544" s="73"/>
      <c r="D544" s="73"/>
      <c r="E544" s="73"/>
      <c r="F544" s="73"/>
      <c r="G544" s="73"/>
      <c r="H544" s="73"/>
      <c r="J544" s="73"/>
    </row>
    <row r="545" spans="1:10" ht="15.75" customHeight="1">
      <c r="A545" s="73"/>
      <c r="B545" s="73"/>
      <c r="C545" s="73"/>
      <c r="D545" s="73"/>
      <c r="E545" s="73"/>
      <c r="F545" s="73"/>
      <c r="G545" s="73"/>
      <c r="H545" s="73"/>
      <c r="J545" s="73"/>
    </row>
    <row r="546" spans="1:10" ht="15.75" customHeight="1">
      <c r="A546" s="73"/>
      <c r="B546" s="73"/>
      <c r="C546" s="73"/>
      <c r="D546" s="73"/>
      <c r="E546" s="73"/>
      <c r="F546" s="73"/>
      <c r="G546" s="73"/>
      <c r="H546" s="73"/>
      <c r="J546" s="73"/>
    </row>
    <row r="547" spans="1:10" ht="15.75" customHeight="1">
      <c r="A547" s="73"/>
      <c r="B547" s="73"/>
      <c r="C547" s="73"/>
      <c r="D547" s="73"/>
      <c r="E547" s="73"/>
      <c r="F547" s="73"/>
      <c r="G547" s="73"/>
      <c r="H547" s="73"/>
      <c r="J547" s="73"/>
    </row>
    <row r="548" spans="1:10" ht="15.75" customHeight="1">
      <c r="A548" s="73"/>
      <c r="B548" s="73"/>
      <c r="C548" s="73"/>
      <c r="D548" s="73"/>
      <c r="E548" s="73"/>
      <c r="F548" s="73"/>
      <c r="G548" s="73"/>
      <c r="H548" s="73"/>
      <c r="J548" s="73"/>
    </row>
    <row r="549" spans="1:10" ht="15.75" customHeight="1">
      <c r="A549" s="73"/>
      <c r="B549" s="73"/>
      <c r="C549" s="73"/>
      <c r="D549" s="73"/>
      <c r="E549" s="73"/>
      <c r="F549" s="73"/>
      <c r="G549" s="73"/>
      <c r="H549" s="73"/>
      <c r="J549" s="73"/>
    </row>
    <row r="550" spans="1:10" ht="15.75" customHeight="1">
      <c r="A550" s="73"/>
      <c r="B550" s="73"/>
      <c r="C550" s="73"/>
      <c r="D550" s="73"/>
      <c r="E550" s="73"/>
      <c r="F550" s="73"/>
      <c r="G550" s="73"/>
      <c r="H550" s="73"/>
      <c r="J550" s="73"/>
    </row>
    <row r="551" spans="1:10" ht="15.75" customHeight="1">
      <c r="A551" s="73"/>
      <c r="B551" s="73"/>
      <c r="C551" s="73"/>
      <c r="D551" s="73"/>
      <c r="E551" s="73"/>
      <c r="F551" s="73"/>
      <c r="G551" s="73"/>
      <c r="H551" s="73"/>
      <c r="J551" s="73"/>
    </row>
    <row r="552" spans="1:10" ht="15.75" customHeight="1">
      <c r="A552" s="73"/>
      <c r="B552" s="73"/>
      <c r="C552" s="73"/>
      <c r="D552" s="73"/>
      <c r="E552" s="73"/>
      <c r="F552" s="73"/>
      <c r="G552" s="73"/>
      <c r="H552" s="73"/>
      <c r="J552" s="73"/>
    </row>
    <row r="553" spans="1:10" ht="15.75" customHeight="1">
      <c r="A553" s="73"/>
      <c r="B553" s="73"/>
      <c r="C553" s="73"/>
      <c r="D553" s="73"/>
      <c r="E553" s="73"/>
      <c r="F553" s="73"/>
      <c r="G553" s="73"/>
      <c r="H553" s="73"/>
      <c r="J553" s="73"/>
    </row>
    <row r="554" spans="1:10" ht="15.75" customHeight="1">
      <c r="A554" s="73"/>
      <c r="B554" s="73"/>
      <c r="C554" s="73"/>
      <c r="D554" s="73"/>
      <c r="E554" s="73"/>
      <c r="F554" s="73"/>
      <c r="G554" s="73"/>
      <c r="H554" s="73"/>
      <c r="J554" s="73"/>
    </row>
    <row r="555" spans="1:10" ht="15.75" customHeight="1">
      <c r="A555" s="73"/>
      <c r="B555" s="73"/>
      <c r="C555" s="73"/>
      <c r="D555" s="73"/>
      <c r="E555" s="73"/>
      <c r="F555" s="73"/>
      <c r="G555" s="73"/>
      <c r="H555" s="73"/>
      <c r="J555" s="73"/>
    </row>
    <row r="556" spans="1:10" ht="15.75" customHeight="1">
      <c r="A556" s="73"/>
      <c r="B556" s="73"/>
      <c r="C556" s="73"/>
      <c r="D556" s="73"/>
      <c r="E556" s="73"/>
      <c r="F556" s="73"/>
      <c r="G556" s="73"/>
      <c r="H556" s="73"/>
      <c r="J556" s="73"/>
    </row>
    <row r="557" spans="1:10" ht="15.75" customHeight="1">
      <c r="A557" s="73"/>
      <c r="B557" s="73"/>
      <c r="C557" s="73"/>
      <c r="D557" s="73"/>
      <c r="E557" s="73"/>
      <c r="F557" s="73"/>
      <c r="G557" s="73"/>
      <c r="H557" s="73"/>
      <c r="J557" s="73"/>
    </row>
    <row r="558" spans="1:10" ht="15.75" customHeight="1">
      <c r="A558" s="73"/>
      <c r="B558" s="73"/>
      <c r="C558" s="73"/>
      <c r="D558" s="73"/>
      <c r="E558" s="73"/>
      <c r="F558" s="73"/>
      <c r="G558" s="73"/>
      <c r="H558" s="73"/>
      <c r="J558" s="73"/>
    </row>
    <row r="559" spans="1:10" ht="15.75" customHeight="1">
      <c r="A559" s="73"/>
      <c r="B559" s="73"/>
      <c r="C559" s="73"/>
      <c r="D559" s="73"/>
      <c r="E559" s="73"/>
      <c r="F559" s="73"/>
      <c r="G559" s="73"/>
      <c r="H559" s="73"/>
      <c r="J559" s="73"/>
    </row>
    <row r="560" spans="1:10" ht="15.75" customHeight="1">
      <c r="A560" s="73"/>
      <c r="B560" s="73"/>
      <c r="C560" s="73"/>
      <c r="D560" s="73"/>
      <c r="E560" s="73"/>
      <c r="F560" s="73"/>
      <c r="G560" s="73"/>
      <c r="H560" s="73"/>
      <c r="J560" s="73"/>
    </row>
    <row r="561" spans="1:10" ht="15.75" customHeight="1">
      <c r="A561" s="73"/>
      <c r="B561" s="73"/>
      <c r="C561" s="73"/>
      <c r="D561" s="73"/>
      <c r="E561" s="73"/>
      <c r="F561" s="73"/>
      <c r="G561" s="73"/>
      <c r="H561" s="73"/>
      <c r="J561" s="73"/>
    </row>
    <row r="562" spans="1:10" ht="15.75" customHeight="1">
      <c r="A562" s="73"/>
      <c r="B562" s="73"/>
      <c r="C562" s="73"/>
      <c r="D562" s="73"/>
      <c r="E562" s="73"/>
      <c r="F562" s="73"/>
      <c r="G562" s="73"/>
      <c r="H562" s="73"/>
      <c r="J562" s="73"/>
    </row>
    <row r="563" spans="1:10" ht="15.75" customHeight="1">
      <c r="A563" s="73"/>
      <c r="B563" s="73"/>
      <c r="C563" s="73"/>
      <c r="D563" s="73"/>
      <c r="E563" s="73"/>
      <c r="F563" s="73"/>
      <c r="G563" s="73"/>
      <c r="H563" s="73"/>
      <c r="J563" s="73"/>
    </row>
    <row r="564" spans="1:10" ht="15.75" customHeight="1">
      <c r="A564" s="73"/>
      <c r="B564" s="73"/>
      <c r="C564" s="73"/>
      <c r="D564" s="73"/>
      <c r="E564" s="73"/>
      <c r="F564" s="73"/>
      <c r="G564" s="73"/>
      <c r="H564" s="73"/>
      <c r="J564" s="73"/>
    </row>
    <row r="565" spans="1:10" ht="15.75" customHeight="1">
      <c r="A565" s="73"/>
      <c r="B565" s="73"/>
      <c r="C565" s="73"/>
      <c r="D565" s="73"/>
      <c r="E565" s="73"/>
      <c r="F565" s="73"/>
      <c r="G565" s="73"/>
      <c r="H565" s="73"/>
      <c r="J565" s="73"/>
    </row>
    <row r="566" spans="1:10" ht="15.75" customHeight="1">
      <c r="A566" s="73"/>
      <c r="B566" s="73"/>
      <c r="C566" s="73"/>
      <c r="D566" s="73"/>
      <c r="E566" s="73"/>
      <c r="F566" s="73"/>
      <c r="G566" s="73"/>
      <c r="H566" s="73"/>
      <c r="J566" s="73"/>
    </row>
    <row r="567" spans="1:10" ht="15.75" customHeight="1">
      <c r="A567" s="73"/>
      <c r="B567" s="73"/>
      <c r="C567" s="73"/>
      <c r="D567" s="73"/>
      <c r="E567" s="73"/>
      <c r="F567" s="73"/>
      <c r="G567" s="73"/>
      <c r="H567" s="73"/>
      <c r="J567" s="73"/>
    </row>
    <row r="568" spans="1:10" ht="15.75" customHeight="1">
      <c r="A568" s="73"/>
      <c r="B568" s="73"/>
      <c r="C568" s="73"/>
      <c r="D568" s="73"/>
      <c r="E568" s="73"/>
      <c r="F568" s="73"/>
      <c r="G568" s="73"/>
      <c r="H568" s="73"/>
      <c r="J568" s="73"/>
    </row>
    <row r="569" spans="1:10" ht="15.75" customHeight="1">
      <c r="A569" s="73"/>
      <c r="B569" s="73"/>
      <c r="C569" s="73"/>
      <c r="D569" s="73"/>
      <c r="E569" s="73"/>
      <c r="F569" s="73"/>
      <c r="G569" s="73"/>
      <c r="H569" s="73"/>
      <c r="J569" s="73"/>
    </row>
    <row r="570" spans="1:10" ht="15.75" customHeight="1">
      <c r="A570" s="73"/>
      <c r="B570" s="73"/>
      <c r="C570" s="73"/>
      <c r="D570" s="73"/>
      <c r="E570" s="73"/>
      <c r="F570" s="73"/>
      <c r="G570" s="73"/>
      <c r="H570" s="73"/>
      <c r="J570" s="73"/>
    </row>
    <row r="571" spans="1:10" ht="15.75" customHeight="1">
      <c r="A571" s="73"/>
      <c r="B571" s="73"/>
      <c r="C571" s="73"/>
      <c r="D571" s="73"/>
      <c r="E571" s="73"/>
      <c r="F571" s="73"/>
      <c r="G571" s="73"/>
      <c r="H571" s="73"/>
      <c r="J571" s="73"/>
    </row>
    <row r="572" spans="1:10" ht="15.75" customHeight="1">
      <c r="A572" s="73"/>
      <c r="B572" s="73"/>
      <c r="C572" s="73"/>
      <c r="D572" s="73"/>
      <c r="E572" s="73"/>
      <c r="F572" s="73"/>
      <c r="G572" s="73"/>
      <c r="H572" s="73"/>
      <c r="J572" s="73"/>
    </row>
    <row r="573" spans="1:10" ht="15.75" customHeight="1">
      <c r="A573" s="73"/>
      <c r="B573" s="73"/>
      <c r="C573" s="73"/>
      <c r="D573" s="73"/>
      <c r="E573" s="73"/>
      <c r="F573" s="73"/>
      <c r="G573" s="73"/>
      <c r="H573" s="73"/>
      <c r="J573" s="73"/>
    </row>
    <row r="574" spans="1:10" ht="15.75" customHeight="1">
      <c r="A574" s="73"/>
      <c r="B574" s="73"/>
      <c r="C574" s="73"/>
      <c r="D574" s="73"/>
      <c r="E574" s="73"/>
      <c r="F574" s="73"/>
      <c r="G574" s="73"/>
      <c r="H574" s="73"/>
      <c r="J574" s="73"/>
    </row>
    <row r="575" spans="1:10" ht="15.75" customHeight="1">
      <c r="A575" s="73"/>
      <c r="B575" s="73"/>
      <c r="C575" s="73"/>
      <c r="D575" s="73"/>
      <c r="E575" s="73"/>
      <c r="F575" s="73"/>
      <c r="G575" s="73"/>
      <c r="H575" s="73"/>
      <c r="J575" s="73"/>
    </row>
    <row r="576" spans="1:10" ht="15.75" customHeight="1">
      <c r="A576" s="73"/>
      <c r="B576" s="73"/>
      <c r="C576" s="73"/>
      <c r="D576" s="73"/>
      <c r="E576" s="73"/>
      <c r="F576" s="73"/>
      <c r="G576" s="73"/>
      <c r="H576" s="73"/>
      <c r="J576" s="73"/>
    </row>
    <row r="577" spans="1:10" ht="15.75" customHeight="1">
      <c r="A577" s="73"/>
      <c r="B577" s="73"/>
      <c r="C577" s="73"/>
      <c r="D577" s="73"/>
      <c r="E577" s="73"/>
      <c r="F577" s="73"/>
      <c r="G577" s="73"/>
      <c r="H577" s="73"/>
      <c r="J577" s="73"/>
    </row>
    <row r="578" spans="1:10" ht="15.75" customHeight="1">
      <c r="A578" s="73"/>
      <c r="B578" s="73"/>
      <c r="C578" s="73"/>
      <c r="D578" s="73"/>
      <c r="E578" s="73"/>
      <c r="F578" s="73"/>
      <c r="G578" s="73"/>
      <c r="H578" s="73"/>
      <c r="J578" s="73"/>
    </row>
    <row r="579" spans="1:10" ht="15.75" customHeight="1">
      <c r="A579" s="73"/>
      <c r="B579" s="73"/>
      <c r="C579" s="73"/>
      <c r="D579" s="73"/>
      <c r="E579" s="73"/>
      <c r="F579" s="73"/>
      <c r="G579" s="73"/>
      <c r="H579" s="73"/>
      <c r="J579" s="73"/>
    </row>
    <row r="580" spans="1:10" ht="15.75" customHeight="1">
      <c r="A580" s="73"/>
      <c r="B580" s="73"/>
      <c r="C580" s="73"/>
      <c r="D580" s="73"/>
      <c r="E580" s="73"/>
      <c r="F580" s="73"/>
      <c r="G580" s="73"/>
      <c r="H580" s="73"/>
      <c r="J580" s="73"/>
    </row>
    <row r="581" spans="1:10" ht="15.75" customHeight="1">
      <c r="A581" s="73"/>
      <c r="B581" s="73"/>
      <c r="C581" s="73"/>
      <c r="D581" s="73"/>
      <c r="E581" s="73"/>
      <c r="F581" s="73"/>
      <c r="G581" s="73"/>
      <c r="H581" s="73"/>
      <c r="J581" s="73"/>
    </row>
    <row r="582" spans="1:10" ht="15.75" customHeight="1">
      <c r="A582" s="73"/>
      <c r="B582" s="73"/>
      <c r="C582" s="73"/>
      <c r="D582" s="73"/>
      <c r="E582" s="73"/>
      <c r="F582" s="73"/>
      <c r="G582" s="73"/>
      <c r="H582" s="73"/>
      <c r="J582" s="73"/>
    </row>
    <row r="583" spans="1:10" ht="15.75" customHeight="1">
      <c r="A583" s="73"/>
      <c r="B583" s="73"/>
      <c r="C583" s="73"/>
      <c r="D583" s="73"/>
      <c r="E583" s="73"/>
      <c r="F583" s="73"/>
      <c r="G583" s="73"/>
      <c r="H583" s="73"/>
      <c r="J583" s="73"/>
    </row>
    <row r="584" spans="1:10" ht="15.75" customHeight="1">
      <c r="A584" s="73"/>
      <c r="B584" s="73"/>
      <c r="C584" s="73"/>
      <c r="D584" s="73"/>
      <c r="E584" s="73"/>
      <c r="F584" s="73"/>
      <c r="G584" s="73"/>
      <c r="H584" s="73"/>
      <c r="J584" s="73"/>
    </row>
    <row r="585" spans="1:10" ht="15.75" customHeight="1">
      <c r="A585" s="73"/>
      <c r="B585" s="73"/>
      <c r="C585" s="73"/>
      <c r="D585" s="73"/>
      <c r="E585" s="73"/>
      <c r="F585" s="73"/>
      <c r="G585" s="73"/>
      <c r="H585" s="73"/>
      <c r="J585" s="73"/>
    </row>
    <row r="586" spans="1:10" ht="15.75" customHeight="1">
      <c r="A586" s="73"/>
      <c r="B586" s="73"/>
      <c r="C586" s="73"/>
      <c r="D586" s="73"/>
      <c r="E586" s="73"/>
      <c r="F586" s="73"/>
      <c r="G586" s="73"/>
      <c r="H586" s="73"/>
      <c r="J586" s="73"/>
    </row>
    <row r="587" spans="1:10" ht="15.75" customHeight="1">
      <c r="A587" s="73"/>
      <c r="B587" s="73"/>
      <c r="C587" s="73"/>
      <c r="D587" s="73"/>
      <c r="E587" s="73"/>
      <c r="F587" s="73"/>
      <c r="G587" s="73"/>
      <c r="H587" s="73"/>
      <c r="J587" s="73"/>
    </row>
    <row r="588" spans="1:10" ht="15.75" customHeight="1">
      <c r="A588" s="73"/>
      <c r="B588" s="73"/>
      <c r="C588" s="73"/>
      <c r="D588" s="73"/>
      <c r="E588" s="73"/>
      <c r="F588" s="73"/>
      <c r="G588" s="73"/>
      <c r="H588" s="73"/>
      <c r="J588" s="73"/>
    </row>
    <row r="589" spans="1:10" ht="15.75" customHeight="1">
      <c r="A589" s="73"/>
      <c r="B589" s="73"/>
      <c r="C589" s="73"/>
      <c r="D589" s="73"/>
      <c r="E589" s="73"/>
      <c r="F589" s="73"/>
      <c r="G589" s="73"/>
      <c r="H589" s="73"/>
      <c r="J589" s="73"/>
    </row>
    <row r="590" spans="1:10" ht="15.75" customHeight="1">
      <c r="A590" s="73"/>
      <c r="B590" s="73"/>
      <c r="C590" s="73"/>
      <c r="D590" s="73"/>
      <c r="E590" s="73"/>
      <c r="F590" s="73"/>
      <c r="G590" s="73"/>
      <c r="H590" s="73"/>
      <c r="J590" s="73"/>
    </row>
    <row r="591" spans="1:10" ht="15.75" customHeight="1">
      <c r="A591" s="73"/>
      <c r="B591" s="73"/>
      <c r="C591" s="73"/>
      <c r="D591" s="73"/>
      <c r="E591" s="73"/>
      <c r="F591" s="73"/>
      <c r="G591" s="73"/>
      <c r="H591" s="73"/>
      <c r="J591" s="73"/>
    </row>
    <row r="592" spans="1:10" ht="15.75" customHeight="1">
      <c r="A592" s="73"/>
      <c r="B592" s="73"/>
      <c r="C592" s="73"/>
      <c r="D592" s="73"/>
      <c r="E592" s="73"/>
      <c r="F592" s="73"/>
      <c r="G592" s="73"/>
      <c r="H592" s="73"/>
      <c r="J592" s="73"/>
    </row>
    <row r="593" spans="1:10" ht="15.75" customHeight="1">
      <c r="A593" s="73"/>
      <c r="B593" s="73"/>
      <c r="C593" s="73"/>
      <c r="D593" s="73"/>
      <c r="E593" s="73"/>
      <c r="F593" s="73"/>
      <c r="G593" s="73"/>
      <c r="H593" s="73"/>
      <c r="J593" s="73"/>
    </row>
    <row r="594" spans="1:10" ht="15.75" customHeight="1">
      <c r="A594" s="73"/>
      <c r="B594" s="73"/>
      <c r="C594" s="73"/>
      <c r="D594" s="73"/>
      <c r="E594" s="73"/>
      <c r="F594" s="73"/>
      <c r="G594" s="73"/>
      <c r="H594" s="73"/>
      <c r="J594" s="73"/>
    </row>
    <row r="595" spans="1:10" ht="15.75" customHeight="1">
      <c r="A595" s="73"/>
      <c r="B595" s="73"/>
      <c r="C595" s="73"/>
      <c r="D595" s="73"/>
      <c r="E595" s="73"/>
      <c r="F595" s="73"/>
      <c r="G595" s="73"/>
      <c r="H595" s="73"/>
      <c r="J595" s="73"/>
    </row>
    <row r="596" spans="1:10" ht="15.75" customHeight="1">
      <c r="A596" s="73"/>
      <c r="B596" s="73"/>
      <c r="C596" s="73"/>
      <c r="D596" s="73"/>
      <c r="E596" s="73"/>
      <c r="F596" s="73"/>
      <c r="G596" s="73"/>
      <c r="H596" s="73"/>
      <c r="J596" s="73"/>
    </row>
    <row r="597" spans="1:10" ht="15.75" customHeight="1">
      <c r="A597" s="73"/>
      <c r="B597" s="73"/>
      <c r="C597" s="73"/>
      <c r="D597" s="73"/>
      <c r="E597" s="73"/>
      <c r="F597" s="73"/>
      <c r="G597" s="73"/>
      <c r="H597" s="73"/>
      <c r="J597" s="73"/>
    </row>
    <row r="598" spans="1:10" ht="15.75" customHeight="1">
      <c r="A598" s="73"/>
      <c r="B598" s="73"/>
      <c r="C598" s="73"/>
      <c r="D598" s="73"/>
      <c r="E598" s="73"/>
      <c r="F598" s="73"/>
      <c r="G598" s="73"/>
      <c r="H598" s="73"/>
      <c r="J598" s="73"/>
    </row>
    <row r="599" spans="1:10" ht="15.75" customHeight="1">
      <c r="A599" s="73"/>
      <c r="B599" s="73"/>
      <c r="C599" s="73"/>
      <c r="D599" s="73"/>
      <c r="E599" s="73"/>
      <c r="F599" s="73"/>
      <c r="G599" s="73"/>
      <c r="H599" s="73"/>
      <c r="J599" s="73"/>
    </row>
    <row r="600" spans="1:10" ht="15.75" customHeight="1">
      <c r="A600" s="73"/>
      <c r="B600" s="73"/>
      <c r="C600" s="73"/>
      <c r="D600" s="73"/>
      <c r="E600" s="73"/>
      <c r="F600" s="73"/>
      <c r="G600" s="73"/>
      <c r="H600" s="73"/>
      <c r="J600" s="73"/>
    </row>
    <row r="601" spans="1:10" ht="15.75" customHeight="1">
      <c r="A601" s="73"/>
      <c r="B601" s="73"/>
      <c r="C601" s="73"/>
      <c r="D601" s="73"/>
      <c r="E601" s="73"/>
      <c r="F601" s="73"/>
      <c r="G601" s="73"/>
      <c r="H601" s="73"/>
      <c r="J601" s="73"/>
    </row>
    <row r="602" spans="1:10" ht="15.75" customHeight="1">
      <c r="A602" s="73"/>
      <c r="B602" s="73"/>
      <c r="C602" s="73"/>
      <c r="D602" s="73"/>
      <c r="E602" s="73"/>
      <c r="F602" s="73"/>
      <c r="G602" s="73"/>
      <c r="H602" s="73"/>
      <c r="J602" s="73"/>
    </row>
    <row r="603" spans="1:10" ht="15.75" customHeight="1">
      <c r="A603" s="73"/>
      <c r="B603" s="73"/>
      <c r="C603" s="73"/>
      <c r="D603" s="73"/>
      <c r="E603" s="73"/>
      <c r="F603" s="73"/>
      <c r="G603" s="73"/>
      <c r="H603" s="73"/>
      <c r="J603" s="73"/>
    </row>
    <row r="604" spans="1:10" ht="15.75" customHeight="1">
      <c r="A604" s="73"/>
      <c r="B604" s="73"/>
      <c r="C604" s="73"/>
      <c r="D604" s="73"/>
      <c r="E604" s="73"/>
      <c r="F604" s="73"/>
      <c r="G604" s="73"/>
      <c r="H604" s="73"/>
      <c r="J604" s="73"/>
    </row>
    <row r="605" spans="1:10" ht="15.75" customHeight="1">
      <c r="A605" s="73"/>
      <c r="B605" s="73"/>
      <c r="C605" s="73"/>
      <c r="D605" s="73"/>
      <c r="E605" s="73"/>
      <c r="F605" s="73"/>
      <c r="G605" s="73"/>
      <c r="H605" s="73"/>
      <c r="J605" s="73"/>
    </row>
    <row r="606" spans="1:10" ht="15.75" customHeight="1">
      <c r="A606" s="73"/>
      <c r="B606" s="73"/>
      <c r="C606" s="73"/>
      <c r="D606" s="73"/>
      <c r="E606" s="73"/>
      <c r="F606" s="73"/>
      <c r="G606" s="73"/>
      <c r="H606" s="73"/>
      <c r="J606" s="73"/>
    </row>
    <row r="607" spans="1:10" ht="15.75" customHeight="1">
      <c r="A607" s="73"/>
      <c r="B607" s="73"/>
      <c r="C607" s="73"/>
      <c r="D607" s="73"/>
      <c r="E607" s="73"/>
      <c r="F607" s="73"/>
      <c r="G607" s="73"/>
      <c r="H607" s="73"/>
      <c r="J607" s="73"/>
    </row>
    <row r="608" spans="1:10" ht="15.75" customHeight="1">
      <c r="A608" s="73"/>
      <c r="B608" s="73"/>
      <c r="C608" s="73"/>
      <c r="D608" s="73"/>
      <c r="E608" s="73"/>
      <c r="F608" s="73"/>
      <c r="G608" s="73"/>
      <c r="H608" s="73"/>
      <c r="J608" s="73"/>
    </row>
    <row r="609" spans="1:10" ht="15.75" customHeight="1">
      <c r="A609" s="73"/>
      <c r="B609" s="73"/>
      <c r="C609" s="73"/>
      <c r="D609" s="73"/>
      <c r="E609" s="73"/>
      <c r="F609" s="73"/>
      <c r="G609" s="73"/>
      <c r="H609" s="73"/>
      <c r="J609" s="73"/>
    </row>
    <row r="610" spans="1:10" ht="15.75" customHeight="1">
      <c r="A610" s="73"/>
      <c r="B610" s="73"/>
      <c r="C610" s="73"/>
      <c r="D610" s="73"/>
      <c r="E610" s="73"/>
      <c r="F610" s="73"/>
      <c r="G610" s="73"/>
      <c r="H610" s="73"/>
      <c r="J610" s="73"/>
    </row>
    <row r="611" spans="1:10" ht="15.75" customHeight="1">
      <c r="A611" s="73"/>
      <c r="B611" s="73"/>
      <c r="C611" s="73"/>
      <c r="D611" s="73"/>
      <c r="E611" s="73"/>
      <c r="F611" s="73"/>
      <c r="G611" s="73"/>
      <c r="H611" s="73"/>
      <c r="J611" s="73"/>
    </row>
    <row r="612" spans="1:10" ht="15.75" customHeight="1">
      <c r="A612" s="73"/>
      <c r="B612" s="73"/>
      <c r="C612" s="73"/>
      <c r="D612" s="73"/>
      <c r="E612" s="73"/>
      <c r="F612" s="73"/>
      <c r="G612" s="73"/>
      <c r="H612" s="73"/>
      <c r="J612" s="73"/>
    </row>
    <row r="613" spans="1:10" ht="15.75" customHeight="1">
      <c r="A613" s="73"/>
      <c r="B613" s="73"/>
      <c r="C613" s="73"/>
      <c r="D613" s="73"/>
      <c r="E613" s="73"/>
      <c r="F613" s="73"/>
      <c r="G613" s="73"/>
      <c r="H613" s="73"/>
      <c r="J613" s="73"/>
    </row>
    <row r="614" spans="1:10" ht="15.75" customHeight="1">
      <c r="A614" s="73"/>
      <c r="B614" s="73"/>
      <c r="C614" s="73"/>
      <c r="D614" s="73"/>
      <c r="E614" s="73"/>
      <c r="F614" s="73"/>
      <c r="G614" s="73"/>
      <c r="H614" s="73"/>
      <c r="J614" s="73"/>
    </row>
    <row r="615" spans="1:10" ht="15.75" customHeight="1">
      <c r="A615" s="73"/>
      <c r="B615" s="73"/>
      <c r="C615" s="73"/>
      <c r="D615" s="73"/>
      <c r="E615" s="73"/>
      <c r="F615" s="73"/>
      <c r="G615" s="73"/>
      <c r="H615" s="73"/>
      <c r="J615" s="73"/>
    </row>
    <row r="616" spans="1:10" ht="15.75" customHeight="1">
      <c r="A616" s="73"/>
      <c r="B616" s="73"/>
      <c r="C616" s="73"/>
      <c r="D616" s="73"/>
      <c r="E616" s="73"/>
      <c r="F616" s="73"/>
      <c r="G616" s="73"/>
      <c r="H616" s="73"/>
      <c r="J616" s="73"/>
    </row>
    <row r="617" spans="1:10" ht="15.75" customHeight="1">
      <c r="A617" s="73"/>
      <c r="B617" s="73"/>
      <c r="C617" s="73"/>
      <c r="D617" s="73"/>
      <c r="E617" s="73"/>
      <c r="F617" s="73"/>
      <c r="G617" s="73"/>
      <c r="H617" s="73"/>
      <c r="J617" s="73"/>
    </row>
    <row r="618" spans="1:10" ht="15.75" customHeight="1">
      <c r="A618" s="73"/>
      <c r="B618" s="73"/>
      <c r="C618" s="73"/>
      <c r="D618" s="73"/>
      <c r="E618" s="73"/>
      <c r="F618" s="73"/>
      <c r="G618" s="73"/>
      <c r="H618" s="73"/>
      <c r="J618" s="73"/>
    </row>
    <row r="619" spans="1:10" ht="15.75" customHeight="1">
      <c r="A619" s="73"/>
      <c r="B619" s="73"/>
      <c r="C619" s="73"/>
      <c r="D619" s="73"/>
      <c r="E619" s="73"/>
      <c r="F619" s="73"/>
      <c r="G619" s="73"/>
      <c r="H619" s="73"/>
      <c r="J619" s="73"/>
    </row>
    <row r="620" spans="1:10" ht="15.75" customHeight="1">
      <c r="A620" s="73"/>
      <c r="B620" s="73"/>
      <c r="C620" s="73"/>
      <c r="D620" s="73"/>
      <c r="E620" s="73"/>
      <c r="F620" s="73"/>
      <c r="G620" s="73"/>
      <c r="H620" s="73"/>
      <c r="J620" s="73"/>
    </row>
    <row r="621" spans="1:10" ht="15.75" customHeight="1">
      <c r="A621" s="73"/>
      <c r="B621" s="73"/>
      <c r="C621" s="73"/>
      <c r="D621" s="73"/>
      <c r="E621" s="73"/>
      <c r="F621" s="73"/>
      <c r="G621" s="73"/>
      <c r="H621" s="73"/>
      <c r="J621" s="73"/>
    </row>
    <row r="622" spans="1:10" ht="15.75" customHeight="1">
      <c r="A622" s="73"/>
      <c r="B622" s="73"/>
      <c r="C622" s="73"/>
      <c r="D622" s="73"/>
      <c r="E622" s="73"/>
      <c r="F622" s="73"/>
      <c r="G622" s="73"/>
      <c r="H622" s="73"/>
      <c r="J622" s="73"/>
    </row>
    <row r="623" spans="1:10" ht="15.75" customHeight="1">
      <c r="A623" s="73"/>
      <c r="B623" s="73"/>
      <c r="C623" s="73"/>
      <c r="D623" s="73"/>
      <c r="E623" s="73"/>
      <c r="F623" s="73"/>
      <c r="G623" s="73"/>
      <c r="H623" s="73"/>
      <c r="J623" s="73"/>
    </row>
    <row r="624" spans="1:10" ht="15.75" customHeight="1">
      <c r="A624" s="73"/>
      <c r="B624" s="73"/>
      <c r="C624" s="73"/>
      <c r="D624" s="73"/>
      <c r="E624" s="73"/>
      <c r="F624" s="73"/>
      <c r="G624" s="73"/>
      <c r="H624" s="73"/>
      <c r="J624" s="73"/>
    </row>
    <row r="625" spans="1:10" ht="15.75" customHeight="1">
      <c r="A625" s="73"/>
      <c r="B625" s="73"/>
      <c r="C625" s="73"/>
      <c r="D625" s="73"/>
      <c r="E625" s="73"/>
      <c r="F625" s="73"/>
      <c r="G625" s="73"/>
      <c r="H625" s="73"/>
      <c r="J625" s="73"/>
    </row>
    <row r="626" spans="1:10" ht="15.75" customHeight="1">
      <c r="A626" s="73"/>
      <c r="B626" s="73"/>
      <c r="C626" s="73"/>
      <c r="D626" s="73"/>
      <c r="E626" s="73"/>
      <c r="F626" s="73"/>
      <c r="G626" s="73"/>
      <c r="H626" s="73"/>
      <c r="J626" s="73"/>
    </row>
    <row r="627" spans="1:10" ht="15.75" customHeight="1">
      <c r="A627" s="73"/>
      <c r="B627" s="73"/>
      <c r="C627" s="73"/>
      <c r="D627" s="73"/>
      <c r="E627" s="73"/>
      <c r="F627" s="73"/>
      <c r="G627" s="73"/>
      <c r="H627" s="73"/>
      <c r="J627" s="73"/>
    </row>
    <row r="628" spans="1:10" ht="15.75" customHeight="1">
      <c r="A628" s="73"/>
      <c r="B628" s="73"/>
      <c r="C628" s="73"/>
      <c r="D628" s="73"/>
      <c r="E628" s="73"/>
      <c r="F628" s="73"/>
      <c r="G628" s="73"/>
      <c r="H628" s="73"/>
      <c r="J628" s="73"/>
    </row>
    <row r="629" spans="1:10" ht="15.75" customHeight="1">
      <c r="A629" s="73"/>
      <c r="B629" s="73"/>
      <c r="C629" s="73"/>
      <c r="D629" s="73"/>
      <c r="E629" s="73"/>
      <c r="F629" s="73"/>
      <c r="G629" s="73"/>
      <c r="H629" s="73"/>
      <c r="J629" s="73"/>
    </row>
    <row r="630" spans="1:10" ht="15.75" customHeight="1">
      <c r="A630" s="73"/>
      <c r="B630" s="73"/>
      <c r="C630" s="73"/>
      <c r="D630" s="73"/>
      <c r="E630" s="73"/>
      <c r="F630" s="73"/>
      <c r="G630" s="73"/>
      <c r="H630" s="73"/>
      <c r="J630" s="73"/>
    </row>
    <row r="631" spans="1:10" ht="15.75" customHeight="1">
      <c r="A631" s="73"/>
      <c r="B631" s="73"/>
      <c r="C631" s="73"/>
      <c r="D631" s="73"/>
      <c r="E631" s="73"/>
      <c r="F631" s="73"/>
      <c r="G631" s="73"/>
      <c r="H631" s="73"/>
      <c r="J631" s="73"/>
    </row>
    <row r="632" spans="1:10" ht="15.75" customHeight="1">
      <c r="A632" s="73"/>
      <c r="B632" s="73"/>
      <c r="C632" s="73"/>
      <c r="D632" s="73"/>
      <c r="E632" s="73"/>
      <c r="F632" s="73"/>
      <c r="G632" s="73"/>
      <c r="H632" s="73"/>
      <c r="J632" s="73"/>
    </row>
    <row r="633" spans="1:10" ht="15.75" customHeight="1">
      <c r="A633" s="73"/>
      <c r="B633" s="73"/>
      <c r="C633" s="73"/>
      <c r="D633" s="73"/>
      <c r="E633" s="73"/>
      <c r="F633" s="73"/>
      <c r="G633" s="73"/>
      <c r="H633" s="73"/>
      <c r="J633" s="73"/>
    </row>
    <row r="634" spans="1:10" ht="15.75" customHeight="1">
      <c r="A634" s="73"/>
      <c r="B634" s="73"/>
      <c r="C634" s="73"/>
      <c r="D634" s="73"/>
      <c r="E634" s="73"/>
      <c r="F634" s="73"/>
      <c r="G634" s="73"/>
      <c r="H634" s="73"/>
      <c r="J634" s="73"/>
    </row>
    <row r="635" spans="1:10" ht="15.75" customHeight="1">
      <c r="A635" s="73"/>
      <c r="B635" s="73"/>
      <c r="C635" s="73"/>
      <c r="D635" s="73"/>
      <c r="E635" s="73"/>
      <c r="F635" s="73"/>
      <c r="G635" s="73"/>
      <c r="H635" s="73"/>
      <c r="J635" s="73"/>
    </row>
    <row r="636" spans="1:10" ht="15.75" customHeight="1">
      <c r="A636" s="73"/>
      <c r="B636" s="73"/>
      <c r="C636" s="73"/>
      <c r="D636" s="73"/>
      <c r="E636" s="73"/>
      <c r="F636" s="73"/>
      <c r="G636" s="73"/>
      <c r="H636" s="73"/>
      <c r="J636" s="73"/>
    </row>
    <row r="637" spans="1:10" ht="15.75" customHeight="1">
      <c r="A637" s="73"/>
      <c r="B637" s="73"/>
      <c r="C637" s="73"/>
      <c r="D637" s="73"/>
      <c r="E637" s="73"/>
      <c r="F637" s="73"/>
      <c r="G637" s="73"/>
      <c r="H637" s="73"/>
      <c r="J637" s="73"/>
    </row>
    <row r="638" spans="1:10" ht="15.75" customHeight="1">
      <c r="A638" s="73"/>
      <c r="B638" s="73"/>
      <c r="C638" s="73"/>
      <c r="D638" s="73"/>
      <c r="E638" s="73"/>
      <c r="F638" s="73"/>
      <c r="G638" s="73"/>
      <c r="H638" s="73"/>
      <c r="J638" s="73"/>
    </row>
    <row r="639" spans="1:10" ht="15.75" customHeight="1">
      <c r="A639" s="73"/>
      <c r="B639" s="73"/>
      <c r="C639" s="73"/>
      <c r="D639" s="73"/>
      <c r="E639" s="73"/>
      <c r="F639" s="73"/>
      <c r="G639" s="73"/>
      <c r="H639" s="73"/>
      <c r="J639" s="73"/>
    </row>
    <row r="640" spans="1:10" ht="15.75" customHeight="1">
      <c r="A640" s="73"/>
      <c r="B640" s="73"/>
      <c r="C640" s="73"/>
      <c r="D640" s="73"/>
      <c r="E640" s="73"/>
      <c r="F640" s="73"/>
      <c r="G640" s="73"/>
      <c r="H640" s="73"/>
      <c r="J640" s="73"/>
    </row>
    <row r="641" spans="1:10" ht="15.75" customHeight="1">
      <c r="A641" s="73"/>
      <c r="B641" s="73"/>
      <c r="C641" s="73"/>
      <c r="D641" s="73"/>
      <c r="E641" s="73"/>
      <c r="F641" s="73"/>
      <c r="G641" s="73"/>
      <c r="H641" s="73"/>
      <c r="J641" s="73"/>
    </row>
    <row r="642" spans="1:10" ht="15.75" customHeight="1">
      <c r="A642" s="73"/>
      <c r="B642" s="73"/>
      <c r="C642" s="73"/>
      <c r="D642" s="73"/>
      <c r="E642" s="73"/>
      <c r="F642" s="73"/>
      <c r="G642" s="73"/>
      <c r="H642" s="73"/>
      <c r="J642" s="73"/>
    </row>
    <row r="643" spans="1:10" ht="15.75" customHeight="1">
      <c r="A643" s="73"/>
      <c r="B643" s="73"/>
      <c r="C643" s="73"/>
      <c r="D643" s="73"/>
      <c r="E643" s="73"/>
      <c r="F643" s="73"/>
      <c r="G643" s="73"/>
      <c r="H643" s="73"/>
      <c r="J643" s="73"/>
    </row>
    <row r="644" spans="1:10" ht="15.75" customHeight="1">
      <c r="A644" s="73"/>
      <c r="B644" s="73"/>
      <c r="C644" s="73"/>
      <c r="D644" s="73"/>
      <c r="E644" s="73"/>
      <c r="F644" s="73"/>
      <c r="G644" s="73"/>
      <c r="H644" s="73"/>
      <c r="J644" s="73"/>
    </row>
    <row r="645" spans="1:10" ht="15.75" customHeight="1">
      <c r="A645" s="73"/>
      <c r="B645" s="73"/>
      <c r="C645" s="73"/>
      <c r="D645" s="73"/>
      <c r="E645" s="73"/>
      <c r="F645" s="73"/>
      <c r="G645" s="73"/>
      <c r="H645" s="73"/>
      <c r="J645" s="73"/>
    </row>
    <row r="646" spans="1:10" ht="15.75" customHeight="1">
      <c r="A646" s="73"/>
      <c r="B646" s="73"/>
      <c r="C646" s="73"/>
      <c r="D646" s="73"/>
      <c r="E646" s="73"/>
      <c r="F646" s="73"/>
      <c r="G646" s="73"/>
      <c r="H646" s="73"/>
      <c r="J646" s="73"/>
    </row>
    <row r="647" spans="1:10" ht="15.75" customHeight="1">
      <c r="A647" s="73"/>
      <c r="B647" s="73"/>
      <c r="C647" s="73"/>
      <c r="D647" s="73"/>
      <c r="E647" s="73"/>
      <c r="F647" s="73"/>
      <c r="G647" s="73"/>
      <c r="H647" s="73"/>
      <c r="J647" s="73"/>
    </row>
    <row r="648" spans="1:10" ht="15.75" customHeight="1">
      <c r="A648" s="73"/>
      <c r="B648" s="73"/>
      <c r="C648" s="73"/>
      <c r="D648" s="73"/>
      <c r="E648" s="73"/>
      <c r="F648" s="73"/>
      <c r="G648" s="73"/>
      <c r="H648" s="73"/>
      <c r="J648" s="73"/>
    </row>
    <row r="649" spans="1:10" ht="15.75" customHeight="1">
      <c r="A649" s="73"/>
      <c r="B649" s="73"/>
      <c r="C649" s="73"/>
      <c r="D649" s="73"/>
      <c r="E649" s="73"/>
      <c r="F649" s="73"/>
      <c r="G649" s="73"/>
      <c r="H649" s="73"/>
      <c r="J649" s="73"/>
    </row>
    <row r="650" spans="1:10" ht="15.75" customHeight="1">
      <c r="A650" s="73"/>
      <c r="B650" s="73"/>
      <c r="C650" s="73"/>
      <c r="D650" s="73"/>
      <c r="E650" s="73"/>
      <c r="F650" s="73"/>
      <c r="G650" s="73"/>
      <c r="H650" s="73"/>
      <c r="J650" s="73"/>
    </row>
    <row r="651" spans="1:10" ht="15.75" customHeight="1">
      <c r="A651" s="73"/>
      <c r="B651" s="73"/>
      <c r="C651" s="73"/>
      <c r="D651" s="73"/>
      <c r="E651" s="73"/>
      <c r="F651" s="73"/>
      <c r="G651" s="73"/>
      <c r="H651" s="73"/>
      <c r="J651" s="73"/>
    </row>
    <row r="652" spans="1:10" ht="15.75" customHeight="1">
      <c r="A652" s="73"/>
      <c r="B652" s="73"/>
      <c r="C652" s="73"/>
      <c r="D652" s="73"/>
      <c r="E652" s="73"/>
      <c r="F652" s="73"/>
      <c r="G652" s="73"/>
      <c r="H652" s="73"/>
      <c r="J652" s="73"/>
    </row>
    <row r="653" spans="1:10" ht="15.75" customHeight="1">
      <c r="A653" s="73"/>
      <c r="B653" s="73"/>
      <c r="C653" s="73"/>
      <c r="D653" s="73"/>
      <c r="E653" s="73"/>
      <c r="F653" s="73"/>
      <c r="G653" s="73"/>
      <c r="H653" s="73"/>
      <c r="J653" s="73"/>
    </row>
    <row r="654" spans="1:10" ht="15.75" customHeight="1">
      <c r="A654" s="73"/>
      <c r="B654" s="73"/>
      <c r="C654" s="73"/>
      <c r="D654" s="73"/>
      <c r="E654" s="73"/>
      <c r="F654" s="73"/>
      <c r="G654" s="73"/>
      <c r="H654" s="73"/>
      <c r="J654" s="73"/>
    </row>
    <row r="655" spans="1:10" ht="15.75" customHeight="1">
      <c r="A655" s="73"/>
      <c r="B655" s="73"/>
      <c r="C655" s="73"/>
      <c r="D655" s="73"/>
      <c r="E655" s="73"/>
      <c r="F655" s="73"/>
      <c r="G655" s="73"/>
      <c r="H655" s="73"/>
      <c r="J655" s="73"/>
    </row>
    <row r="656" spans="1:10" ht="15.75" customHeight="1">
      <c r="A656" s="73"/>
      <c r="B656" s="73"/>
      <c r="C656" s="73"/>
      <c r="D656" s="73"/>
      <c r="E656" s="73"/>
      <c r="F656" s="73"/>
      <c r="G656" s="73"/>
      <c r="H656" s="73"/>
      <c r="J656" s="73"/>
    </row>
    <row r="657" spans="1:10" ht="15.75" customHeight="1">
      <c r="A657" s="73"/>
      <c r="B657" s="73"/>
      <c r="C657" s="73"/>
      <c r="D657" s="73"/>
      <c r="E657" s="73"/>
      <c r="F657" s="73"/>
      <c r="G657" s="73"/>
      <c r="H657" s="73"/>
      <c r="J657" s="73"/>
    </row>
    <row r="658" spans="1:10" ht="15.75" customHeight="1">
      <c r="A658" s="73"/>
      <c r="B658" s="73"/>
      <c r="C658" s="73"/>
      <c r="D658" s="73"/>
      <c r="E658" s="73"/>
      <c r="F658" s="73"/>
      <c r="G658" s="73"/>
      <c r="H658" s="73"/>
      <c r="J658" s="73"/>
    </row>
    <row r="659" spans="1:10" ht="15.75" customHeight="1">
      <c r="A659" s="73"/>
      <c r="B659" s="73"/>
      <c r="C659" s="73"/>
      <c r="D659" s="73"/>
      <c r="E659" s="73"/>
      <c r="F659" s="73"/>
      <c r="G659" s="73"/>
      <c r="H659" s="73"/>
      <c r="J659" s="73"/>
    </row>
    <row r="660" spans="1:10" ht="15.75" customHeight="1">
      <c r="A660" s="73"/>
      <c r="B660" s="73"/>
      <c r="C660" s="73"/>
      <c r="D660" s="73"/>
      <c r="E660" s="73"/>
      <c r="F660" s="73"/>
      <c r="G660" s="73"/>
      <c r="H660" s="73"/>
      <c r="J660" s="73"/>
    </row>
    <row r="661" spans="1:10" ht="15.75" customHeight="1">
      <c r="A661" s="73"/>
      <c r="B661" s="73"/>
      <c r="C661" s="73"/>
      <c r="D661" s="73"/>
      <c r="E661" s="73"/>
      <c r="F661" s="73"/>
      <c r="G661" s="73"/>
      <c r="H661" s="73"/>
      <c r="J661" s="73"/>
    </row>
    <row r="662" spans="1:10" ht="15.75" customHeight="1">
      <c r="A662" s="73"/>
      <c r="B662" s="73"/>
      <c r="C662" s="73"/>
      <c r="D662" s="73"/>
      <c r="E662" s="73"/>
      <c r="F662" s="73"/>
      <c r="G662" s="73"/>
      <c r="H662" s="73"/>
      <c r="J662" s="73"/>
    </row>
    <row r="663" spans="1:10" ht="15.75" customHeight="1">
      <c r="A663" s="73"/>
      <c r="B663" s="73"/>
      <c r="C663" s="73"/>
      <c r="D663" s="73"/>
      <c r="E663" s="73"/>
      <c r="F663" s="73"/>
      <c r="G663" s="73"/>
      <c r="H663" s="73"/>
      <c r="J663" s="73"/>
    </row>
    <row r="664" spans="1:10" ht="15.75" customHeight="1">
      <c r="A664" s="73"/>
      <c r="B664" s="73"/>
      <c r="C664" s="73"/>
      <c r="D664" s="73"/>
      <c r="E664" s="73"/>
      <c r="F664" s="73"/>
      <c r="G664" s="73"/>
      <c r="H664" s="73"/>
      <c r="J664" s="73"/>
    </row>
    <row r="665" spans="1:10" ht="15.75" customHeight="1">
      <c r="A665" s="73"/>
      <c r="B665" s="73"/>
      <c r="C665" s="73"/>
      <c r="D665" s="73"/>
      <c r="E665" s="73"/>
      <c r="F665" s="73"/>
      <c r="G665" s="73"/>
      <c r="H665" s="73"/>
      <c r="J665" s="73"/>
    </row>
    <row r="666" spans="1:10" ht="15.75" customHeight="1">
      <c r="A666" s="73"/>
      <c r="B666" s="73"/>
      <c r="C666" s="73"/>
      <c r="D666" s="73"/>
      <c r="E666" s="73"/>
      <c r="F666" s="73"/>
      <c r="G666" s="73"/>
      <c r="H666" s="73"/>
      <c r="J666" s="73"/>
    </row>
    <row r="667" spans="1:10" ht="15.75" customHeight="1">
      <c r="A667" s="73"/>
      <c r="B667" s="73"/>
      <c r="C667" s="73"/>
      <c r="D667" s="73"/>
      <c r="E667" s="73"/>
      <c r="F667" s="73"/>
      <c r="G667" s="73"/>
      <c r="H667" s="73"/>
      <c r="J667" s="73"/>
    </row>
    <row r="668" spans="1:10" ht="15.75" customHeight="1">
      <c r="A668" s="73"/>
      <c r="B668" s="73"/>
      <c r="C668" s="73"/>
      <c r="D668" s="73"/>
      <c r="E668" s="73"/>
      <c r="F668" s="73"/>
      <c r="G668" s="73"/>
      <c r="H668" s="73"/>
      <c r="J668" s="73"/>
    </row>
    <row r="669" spans="1:10" ht="15.75" customHeight="1">
      <c r="A669" s="73"/>
      <c r="B669" s="73"/>
      <c r="C669" s="73"/>
      <c r="D669" s="73"/>
      <c r="E669" s="73"/>
      <c r="F669" s="73"/>
      <c r="G669" s="73"/>
      <c r="H669" s="73"/>
      <c r="J669" s="73"/>
    </row>
    <row r="670" spans="1:10" ht="15.75" customHeight="1">
      <c r="A670" s="73"/>
      <c r="B670" s="73"/>
      <c r="C670" s="73"/>
      <c r="D670" s="73"/>
      <c r="E670" s="73"/>
      <c r="F670" s="73"/>
      <c r="G670" s="73"/>
      <c r="H670" s="73"/>
      <c r="J670" s="73"/>
    </row>
    <row r="671" spans="1:10" ht="15.75" customHeight="1">
      <c r="A671" s="73"/>
      <c r="B671" s="73"/>
      <c r="C671" s="73"/>
      <c r="D671" s="73"/>
      <c r="E671" s="73"/>
      <c r="F671" s="73"/>
      <c r="G671" s="73"/>
      <c r="H671" s="73"/>
      <c r="J671" s="73"/>
    </row>
    <row r="672" spans="1:10" ht="15.75" customHeight="1">
      <c r="A672" s="73"/>
      <c r="B672" s="73"/>
      <c r="C672" s="73"/>
      <c r="D672" s="73"/>
      <c r="E672" s="73"/>
      <c r="F672" s="73"/>
      <c r="G672" s="73"/>
      <c r="H672" s="73"/>
      <c r="J672" s="73"/>
    </row>
    <row r="673" spans="1:10" ht="15.75" customHeight="1">
      <c r="A673" s="73"/>
      <c r="B673" s="73"/>
      <c r="C673" s="73"/>
      <c r="D673" s="73"/>
      <c r="E673" s="73"/>
      <c r="F673" s="73"/>
      <c r="G673" s="73"/>
      <c r="H673" s="73"/>
      <c r="J673" s="73"/>
    </row>
    <row r="674" spans="1:10" ht="15.75" customHeight="1">
      <c r="A674" s="73"/>
      <c r="B674" s="73"/>
      <c r="C674" s="73"/>
      <c r="D674" s="73"/>
      <c r="E674" s="73"/>
      <c r="F674" s="73"/>
      <c r="G674" s="73"/>
      <c r="H674" s="73"/>
      <c r="J674" s="73"/>
    </row>
    <row r="675" spans="1:10" ht="15.75" customHeight="1">
      <c r="A675" s="73"/>
      <c r="B675" s="73"/>
      <c r="C675" s="73"/>
      <c r="D675" s="73"/>
      <c r="E675" s="73"/>
      <c r="F675" s="73"/>
      <c r="G675" s="73"/>
      <c r="H675" s="73"/>
      <c r="J675" s="73"/>
    </row>
    <row r="676" spans="1:10" ht="15.75" customHeight="1">
      <c r="A676" s="73"/>
      <c r="B676" s="73"/>
      <c r="C676" s="73"/>
      <c r="D676" s="73"/>
      <c r="E676" s="73"/>
      <c r="F676" s="73"/>
      <c r="G676" s="73"/>
      <c r="H676" s="73"/>
      <c r="J676" s="73"/>
    </row>
    <row r="677" spans="1:10" ht="15.75" customHeight="1">
      <c r="A677" s="73"/>
      <c r="B677" s="73"/>
      <c r="C677" s="73"/>
      <c r="D677" s="73"/>
      <c r="E677" s="73"/>
      <c r="F677" s="73"/>
      <c r="G677" s="73"/>
      <c r="H677" s="73"/>
      <c r="J677" s="73"/>
    </row>
    <row r="678" spans="1:10" ht="15.75" customHeight="1">
      <c r="A678" s="73"/>
      <c r="B678" s="73"/>
      <c r="C678" s="73"/>
      <c r="D678" s="73"/>
      <c r="E678" s="73"/>
      <c r="F678" s="73"/>
      <c r="G678" s="73"/>
      <c r="H678" s="73"/>
      <c r="J678" s="73"/>
    </row>
    <row r="679" spans="1:10" ht="15.75" customHeight="1">
      <c r="A679" s="73"/>
      <c r="B679" s="73"/>
      <c r="C679" s="73"/>
      <c r="D679" s="73"/>
      <c r="E679" s="73"/>
      <c r="F679" s="73"/>
      <c r="G679" s="73"/>
      <c r="H679" s="73"/>
      <c r="J679" s="73"/>
    </row>
    <row r="680" spans="1:10" ht="15.75" customHeight="1">
      <c r="A680" s="73"/>
      <c r="B680" s="73"/>
      <c r="C680" s="73"/>
      <c r="D680" s="73"/>
      <c r="E680" s="73"/>
      <c r="F680" s="73"/>
      <c r="G680" s="73"/>
      <c r="H680" s="73"/>
      <c r="J680" s="73"/>
    </row>
    <row r="681" spans="1:10" ht="15.75" customHeight="1">
      <c r="A681" s="73"/>
      <c r="B681" s="73"/>
      <c r="C681" s="73"/>
      <c r="D681" s="73"/>
      <c r="E681" s="73"/>
      <c r="F681" s="73"/>
      <c r="G681" s="73"/>
      <c r="H681" s="73"/>
      <c r="J681" s="73"/>
    </row>
    <row r="682" spans="1:10" ht="15.75" customHeight="1">
      <c r="A682" s="73"/>
      <c r="B682" s="73"/>
      <c r="C682" s="73"/>
      <c r="D682" s="73"/>
      <c r="E682" s="73"/>
      <c r="F682" s="73"/>
      <c r="G682" s="73"/>
      <c r="H682" s="73"/>
      <c r="J682" s="73"/>
    </row>
    <row r="683" spans="1:10" ht="15.75" customHeight="1">
      <c r="A683" s="73"/>
      <c r="B683" s="73"/>
      <c r="C683" s="73"/>
      <c r="D683" s="73"/>
      <c r="E683" s="73"/>
      <c r="F683" s="73"/>
      <c r="G683" s="73"/>
      <c r="H683" s="73"/>
      <c r="J683" s="73"/>
    </row>
    <row r="684" spans="1:10" ht="15.75" customHeight="1">
      <c r="A684" s="73"/>
      <c r="B684" s="73"/>
      <c r="C684" s="73"/>
      <c r="D684" s="73"/>
      <c r="E684" s="73"/>
      <c r="F684" s="73"/>
      <c r="G684" s="73"/>
      <c r="H684" s="73"/>
      <c r="J684" s="73"/>
    </row>
    <row r="685" spans="1:10" ht="15.75" customHeight="1">
      <c r="A685" s="73"/>
      <c r="B685" s="73"/>
      <c r="C685" s="73"/>
      <c r="D685" s="73"/>
      <c r="E685" s="73"/>
      <c r="F685" s="73"/>
      <c r="G685" s="73"/>
      <c r="H685" s="73"/>
      <c r="J685" s="73"/>
    </row>
    <row r="686" spans="1:10" ht="15.75" customHeight="1">
      <c r="A686" s="73"/>
      <c r="B686" s="73"/>
      <c r="C686" s="73"/>
      <c r="D686" s="73"/>
      <c r="E686" s="73"/>
      <c r="F686" s="73"/>
      <c r="G686" s="73"/>
      <c r="H686" s="73"/>
      <c r="J686" s="73"/>
    </row>
    <row r="687" spans="1:10" ht="15.75" customHeight="1">
      <c r="A687" s="73"/>
      <c r="B687" s="73"/>
      <c r="C687" s="73"/>
      <c r="D687" s="73"/>
      <c r="E687" s="73"/>
      <c r="F687" s="73"/>
      <c r="G687" s="73"/>
      <c r="H687" s="73"/>
      <c r="J687" s="73"/>
    </row>
    <row r="688" spans="1:10" ht="15.75" customHeight="1">
      <c r="A688" s="73"/>
      <c r="B688" s="73"/>
      <c r="C688" s="73"/>
      <c r="D688" s="73"/>
      <c r="E688" s="73"/>
      <c r="F688" s="73"/>
      <c r="G688" s="73"/>
      <c r="H688" s="73"/>
      <c r="J688" s="73"/>
    </row>
    <row r="689" spans="1:10" ht="15.75" customHeight="1">
      <c r="A689" s="73"/>
      <c r="B689" s="73"/>
      <c r="C689" s="73"/>
      <c r="D689" s="73"/>
      <c r="E689" s="73"/>
      <c r="F689" s="73"/>
      <c r="G689" s="73"/>
      <c r="H689" s="73"/>
      <c r="J689" s="73"/>
    </row>
    <row r="690" spans="1:10" ht="15.75" customHeight="1">
      <c r="A690" s="73"/>
      <c r="B690" s="73"/>
      <c r="C690" s="73"/>
      <c r="D690" s="73"/>
      <c r="E690" s="73"/>
      <c r="F690" s="73"/>
      <c r="G690" s="73"/>
      <c r="H690" s="73"/>
      <c r="J690" s="73"/>
    </row>
    <row r="691" spans="1:10" ht="15.75" customHeight="1">
      <c r="A691" s="73"/>
      <c r="B691" s="73"/>
      <c r="C691" s="73"/>
      <c r="D691" s="73"/>
      <c r="E691" s="73"/>
      <c r="F691" s="73"/>
      <c r="G691" s="73"/>
      <c r="H691" s="73"/>
      <c r="J691" s="73"/>
    </row>
    <row r="692" spans="1:10" ht="15.75" customHeight="1">
      <c r="A692" s="73"/>
      <c r="B692" s="73"/>
      <c r="C692" s="73"/>
      <c r="D692" s="73"/>
      <c r="E692" s="73"/>
      <c r="F692" s="73"/>
      <c r="G692" s="73"/>
      <c r="H692" s="73"/>
      <c r="J692" s="73"/>
    </row>
    <row r="693" spans="1:10" ht="15.75" customHeight="1">
      <c r="A693" s="73"/>
      <c r="B693" s="73"/>
      <c r="C693" s="73"/>
      <c r="D693" s="73"/>
      <c r="E693" s="73"/>
      <c r="F693" s="73"/>
      <c r="G693" s="73"/>
      <c r="H693" s="73"/>
      <c r="J693" s="73"/>
    </row>
    <row r="694" spans="1:10" ht="15.75" customHeight="1">
      <c r="A694" s="73"/>
      <c r="B694" s="73"/>
      <c r="C694" s="73"/>
      <c r="D694" s="73"/>
      <c r="E694" s="73"/>
      <c r="F694" s="73"/>
      <c r="G694" s="73"/>
      <c r="H694" s="73"/>
      <c r="J694" s="73"/>
    </row>
    <row r="695" spans="1:10" ht="15.75" customHeight="1">
      <c r="A695" s="73"/>
      <c r="B695" s="73"/>
      <c r="C695" s="73"/>
      <c r="D695" s="73"/>
      <c r="E695" s="73"/>
      <c r="F695" s="73"/>
      <c r="G695" s="73"/>
      <c r="H695" s="73"/>
      <c r="J695" s="73"/>
    </row>
    <row r="696" spans="1:10" ht="15.75" customHeight="1">
      <c r="A696" s="73"/>
      <c r="B696" s="73"/>
      <c r="C696" s="73"/>
      <c r="D696" s="73"/>
      <c r="E696" s="73"/>
      <c r="F696" s="73"/>
      <c r="G696" s="73"/>
      <c r="H696" s="73"/>
      <c r="J696" s="73"/>
    </row>
    <row r="697" spans="1:10" ht="15.75" customHeight="1">
      <c r="A697" s="73"/>
      <c r="B697" s="73"/>
      <c r="C697" s="73"/>
      <c r="D697" s="73"/>
      <c r="E697" s="73"/>
      <c r="F697" s="73"/>
      <c r="G697" s="73"/>
      <c r="H697" s="73"/>
      <c r="J697" s="73"/>
    </row>
    <row r="698" spans="1:10" ht="15.75" customHeight="1">
      <c r="A698" s="73"/>
      <c r="B698" s="73"/>
      <c r="C698" s="73"/>
      <c r="D698" s="73"/>
      <c r="E698" s="73"/>
      <c r="F698" s="73"/>
      <c r="G698" s="73"/>
      <c r="H698" s="73"/>
      <c r="J698" s="73"/>
    </row>
    <row r="699" spans="1:10" ht="15.75" customHeight="1">
      <c r="A699" s="73"/>
      <c r="B699" s="73"/>
      <c r="C699" s="73"/>
      <c r="D699" s="73"/>
      <c r="E699" s="73"/>
      <c r="F699" s="73"/>
      <c r="G699" s="73"/>
      <c r="H699" s="73"/>
      <c r="J699" s="73"/>
    </row>
    <row r="700" spans="1:10" ht="15.75" customHeight="1">
      <c r="A700" s="73"/>
      <c r="B700" s="73"/>
      <c r="C700" s="73"/>
      <c r="D700" s="73"/>
      <c r="E700" s="73"/>
      <c r="F700" s="73"/>
      <c r="G700" s="73"/>
      <c r="H700" s="73"/>
      <c r="J700" s="73"/>
    </row>
    <row r="701" spans="1:10" ht="15.75" customHeight="1">
      <c r="A701" s="73"/>
      <c r="B701" s="73"/>
      <c r="C701" s="73"/>
      <c r="D701" s="73"/>
      <c r="E701" s="73"/>
      <c r="F701" s="73"/>
      <c r="G701" s="73"/>
      <c r="H701" s="73"/>
      <c r="J701" s="73"/>
    </row>
    <row r="702" spans="1:10" ht="15.75" customHeight="1">
      <c r="A702" s="73"/>
      <c r="B702" s="73"/>
      <c r="C702" s="73"/>
      <c r="D702" s="73"/>
      <c r="E702" s="73"/>
      <c r="F702" s="73"/>
      <c r="G702" s="73"/>
      <c r="H702" s="73"/>
      <c r="J702" s="73"/>
    </row>
    <row r="703" spans="1:10" ht="15.75" customHeight="1">
      <c r="A703" s="73"/>
      <c r="B703" s="73"/>
      <c r="C703" s="73"/>
      <c r="D703" s="73"/>
      <c r="E703" s="73"/>
      <c r="F703" s="73"/>
      <c r="G703" s="73"/>
      <c r="H703" s="73"/>
      <c r="J703" s="73"/>
    </row>
    <row r="704" spans="1:10" ht="15.75" customHeight="1">
      <c r="A704" s="73"/>
      <c r="B704" s="73"/>
      <c r="C704" s="73"/>
      <c r="D704" s="73"/>
      <c r="E704" s="73"/>
      <c r="F704" s="73"/>
      <c r="G704" s="73"/>
      <c r="H704" s="73"/>
      <c r="J704" s="73"/>
    </row>
    <row r="705" spans="1:10" ht="15.75" customHeight="1">
      <c r="A705" s="73"/>
      <c r="B705" s="73"/>
      <c r="C705" s="73"/>
      <c r="D705" s="73"/>
      <c r="E705" s="73"/>
      <c r="F705" s="73"/>
      <c r="G705" s="73"/>
      <c r="H705" s="73"/>
      <c r="J705" s="73"/>
    </row>
    <row r="706" spans="1:10" ht="15.75" customHeight="1">
      <c r="A706" s="73"/>
      <c r="B706" s="73"/>
      <c r="C706" s="73"/>
      <c r="D706" s="73"/>
      <c r="E706" s="73"/>
      <c r="F706" s="73"/>
      <c r="G706" s="73"/>
      <c r="H706" s="73"/>
      <c r="J706" s="73"/>
    </row>
    <row r="707" spans="1:10" ht="15.75" customHeight="1">
      <c r="A707" s="73"/>
      <c r="B707" s="73"/>
      <c r="C707" s="73"/>
      <c r="D707" s="73"/>
      <c r="E707" s="73"/>
      <c r="F707" s="73"/>
      <c r="G707" s="73"/>
      <c r="H707" s="73"/>
      <c r="J707" s="73"/>
    </row>
    <row r="708" spans="1:10" ht="15.75" customHeight="1">
      <c r="A708" s="73"/>
      <c r="B708" s="73"/>
      <c r="C708" s="73"/>
      <c r="D708" s="73"/>
      <c r="E708" s="73"/>
      <c r="F708" s="73"/>
      <c r="G708" s="73"/>
      <c r="H708" s="73"/>
      <c r="J708" s="73"/>
    </row>
    <row r="709" spans="1:10" ht="15.75" customHeight="1">
      <c r="A709" s="73"/>
      <c r="B709" s="73"/>
      <c r="C709" s="73"/>
      <c r="D709" s="73"/>
      <c r="E709" s="73"/>
      <c r="F709" s="73"/>
      <c r="G709" s="73"/>
      <c r="H709" s="73"/>
      <c r="J709" s="73"/>
    </row>
    <row r="710" spans="1:10" ht="15.75" customHeight="1">
      <c r="A710" s="73"/>
      <c r="B710" s="73"/>
      <c r="C710" s="73"/>
      <c r="D710" s="73"/>
      <c r="E710" s="73"/>
      <c r="F710" s="73"/>
      <c r="G710" s="73"/>
      <c r="H710" s="73"/>
      <c r="J710" s="73"/>
    </row>
    <row r="711" spans="1:10" ht="15.75" customHeight="1">
      <c r="A711" s="73"/>
      <c r="B711" s="73"/>
      <c r="C711" s="73"/>
      <c r="D711" s="73"/>
      <c r="E711" s="73"/>
      <c r="F711" s="73"/>
      <c r="G711" s="73"/>
      <c r="H711" s="73"/>
      <c r="J711" s="73"/>
    </row>
    <row r="712" spans="1:10" ht="15.75" customHeight="1">
      <c r="A712" s="73"/>
      <c r="B712" s="73"/>
      <c r="C712" s="73"/>
      <c r="D712" s="73"/>
      <c r="E712" s="73"/>
      <c r="F712" s="73"/>
      <c r="G712" s="73"/>
      <c r="H712" s="73"/>
      <c r="J712" s="73"/>
    </row>
    <row r="713" spans="1:10" ht="15.75" customHeight="1">
      <c r="A713" s="73"/>
      <c r="B713" s="73"/>
      <c r="C713" s="73"/>
      <c r="D713" s="73"/>
      <c r="E713" s="73"/>
      <c r="F713" s="73"/>
      <c r="G713" s="73"/>
      <c r="H713" s="73"/>
      <c r="J713" s="73"/>
    </row>
    <row r="714" spans="1:10" ht="15.75" customHeight="1">
      <c r="A714" s="73"/>
      <c r="B714" s="73"/>
      <c r="C714" s="73"/>
      <c r="D714" s="73"/>
      <c r="E714" s="73"/>
      <c r="F714" s="73"/>
      <c r="G714" s="73"/>
      <c r="H714" s="73"/>
      <c r="J714" s="73"/>
    </row>
    <row r="715" spans="1:10" ht="15.75" customHeight="1">
      <c r="A715" s="73"/>
      <c r="B715" s="73"/>
      <c r="C715" s="73"/>
      <c r="D715" s="73"/>
      <c r="E715" s="73"/>
      <c r="F715" s="73"/>
      <c r="G715" s="73"/>
      <c r="H715" s="73"/>
      <c r="J715" s="73"/>
    </row>
    <row r="716" spans="1:10" ht="15.75" customHeight="1">
      <c r="A716" s="73"/>
      <c r="B716" s="73"/>
      <c r="C716" s="73"/>
      <c r="D716" s="73"/>
      <c r="E716" s="73"/>
      <c r="F716" s="73"/>
      <c r="G716" s="73"/>
      <c r="H716" s="73"/>
      <c r="J716" s="73"/>
    </row>
    <row r="717" spans="1:10" ht="15.75" customHeight="1">
      <c r="A717" s="73"/>
      <c r="B717" s="73"/>
      <c r="C717" s="73"/>
      <c r="D717" s="73"/>
      <c r="E717" s="73"/>
      <c r="F717" s="73"/>
      <c r="G717" s="73"/>
      <c r="H717" s="73"/>
      <c r="J717" s="73"/>
    </row>
    <row r="718" spans="1:10" ht="15.75" customHeight="1">
      <c r="A718" s="73"/>
      <c r="B718" s="73"/>
      <c r="C718" s="73"/>
      <c r="D718" s="73"/>
      <c r="E718" s="73"/>
      <c r="F718" s="73"/>
      <c r="G718" s="73"/>
      <c r="H718" s="73"/>
      <c r="J718" s="73"/>
    </row>
    <row r="719" spans="1:10" ht="15.75" customHeight="1">
      <c r="A719" s="73"/>
      <c r="B719" s="73"/>
      <c r="C719" s="73"/>
      <c r="D719" s="73"/>
      <c r="E719" s="73"/>
      <c r="F719" s="73"/>
      <c r="G719" s="73"/>
      <c r="H719" s="73"/>
      <c r="J719" s="73"/>
    </row>
    <row r="720" spans="1:10" ht="15.75" customHeight="1">
      <c r="A720" s="73"/>
      <c r="B720" s="73"/>
      <c r="C720" s="73"/>
      <c r="D720" s="73"/>
      <c r="E720" s="73"/>
      <c r="F720" s="73"/>
      <c r="G720" s="73"/>
      <c r="H720" s="73"/>
      <c r="J720" s="73"/>
    </row>
    <row r="721" spans="1:10" ht="15.75" customHeight="1">
      <c r="A721" s="73"/>
      <c r="B721" s="73"/>
      <c r="C721" s="73"/>
      <c r="D721" s="73"/>
      <c r="E721" s="73"/>
      <c r="F721" s="73"/>
      <c r="G721" s="73"/>
      <c r="H721" s="73"/>
      <c r="J721" s="73"/>
    </row>
    <row r="722" spans="1:10" ht="15.75" customHeight="1">
      <c r="A722" s="73"/>
      <c r="B722" s="73"/>
      <c r="C722" s="73"/>
      <c r="D722" s="73"/>
      <c r="E722" s="73"/>
      <c r="F722" s="73"/>
      <c r="G722" s="73"/>
      <c r="H722" s="73"/>
      <c r="J722" s="73"/>
    </row>
    <row r="723" spans="1:10" ht="15.75" customHeight="1">
      <c r="A723" s="73"/>
      <c r="B723" s="73"/>
      <c r="C723" s="73"/>
      <c r="D723" s="73"/>
      <c r="E723" s="73"/>
      <c r="F723" s="73"/>
      <c r="G723" s="73"/>
      <c r="H723" s="73"/>
      <c r="J723" s="73"/>
    </row>
    <row r="724" spans="1:10" ht="15.75" customHeight="1">
      <c r="A724" s="73"/>
      <c r="B724" s="73"/>
      <c r="C724" s="73"/>
      <c r="D724" s="73"/>
      <c r="E724" s="73"/>
      <c r="F724" s="73"/>
      <c r="G724" s="73"/>
      <c r="H724" s="73"/>
      <c r="J724" s="73"/>
    </row>
    <row r="725" spans="1:10" ht="15.75" customHeight="1">
      <c r="A725" s="73"/>
      <c r="B725" s="73"/>
      <c r="C725" s="73"/>
      <c r="D725" s="73"/>
      <c r="E725" s="73"/>
      <c r="F725" s="73"/>
      <c r="G725" s="73"/>
      <c r="H725" s="73"/>
      <c r="J725" s="73"/>
    </row>
    <row r="726" spans="1:10" ht="15.75" customHeight="1">
      <c r="A726" s="73"/>
      <c r="B726" s="73"/>
      <c r="C726" s="73"/>
      <c r="D726" s="73"/>
      <c r="E726" s="73"/>
      <c r="F726" s="73"/>
      <c r="G726" s="73"/>
      <c r="H726" s="73"/>
      <c r="J726" s="73"/>
    </row>
    <row r="727" spans="1:10" ht="15.75" customHeight="1">
      <c r="A727" s="73"/>
      <c r="B727" s="73"/>
      <c r="C727" s="73"/>
      <c r="D727" s="73"/>
      <c r="E727" s="73"/>
      <c r="F727" s="73"/>
      <c r="G727" s="73"/>
      <c r="H727" s="73"/>
      <c r="J727" s="73"/>
    </row>
    <row r="728" spans="1:10" ht="15.75" customHeight="1">
      <c r="A728" s="73"/>
      <c r="B728" s="73"/>
      <c r="C728" s="73"/>
      <c r="D728" s="73"/>
      <c r="E728" s="73"/>
      <c r="F728" s="73"/>
      <c r="G728" s="73"/>
      <c r="H728" s="73"/>
      <c r="J728" s="73"/>
    </row>
    <row r="729" spans="1:10" ht="15.75" customHeight="1">
      <c r="A729" s="73"/>
      <c r="B729" s="73"/>
      <c r="C729" s="73"/>
      <c r="D729" s="73"/>
      <c r="E729" s="73"/>
      <c r="F729" s="73"/>
      <c r="G729" s="73"/>
      <c r="H729" s="73"/>
      <c r="J729" s="73"/>
    </row>
    <row r="730" spans="1:10" ht="15.75" customHeight="1">
      <c r="A730" s="73"/>
      <c r="B730" s="73"/>
      <c r="C730" s="73"/>
      <c r="D730" s="73"/>
      <c r="E730" s="73"/>
      <c r="F730" s="73"/>
      <c r="G730" s="73"/>
      <c r="H730" s="73"/>
      <c r="J730" s="73"/>
    </row>
    <row r="731" spans="1:10" ht="15.75" customHeight="1">
      <c r="A731" s="73"/>
      <c r="B731" s="73"/>
      <c r="C731" s="73"/>
      <c r="D731" s="73"/>
      <c r="E731" s="73"/>
      <c r="F731" s="73"/>
      <c r="G731" s="73"/>
      <c r="H731" s="73"/>
      <c r="J731" s="73"/>
    </row>
    <row r="732" spans="1:10" ht="15.75" customHeight="1">
      <c r="A732" s="73"/>
      <c r="B732" s="73"/>
      <c r="C732" s="73"/>
      <c r="D732" s="73"/>
      <c r="E732" s="73"/>
      <c r="F732" s="73"/>
      <c r="G732" s="73"/>
      <c r="H732" s="73"/>
      <c r="J732" s="73"/>
    </row>
    <row r="733" spans="1:10" ht="15.75" customHeight="1">
      <c r="A733" s="73"/>
      <c r="B733" s="73"/>
      <c r="C733" s="73"/>
      <c r="D733" s="73"/>
      <c r="E733" s="73"/>
      <c r="F733" s="73"/>
      <c r="G733" s="73"/>
      <c r="H733" s="73"/>
      <c r="J733" s="73"/>
    </row>
    <row r="734" spans="1:10" ht="15.75" customHeight="1">
      <c r="A734" s="73"/>
      <c r="B734" s="73"/>
      <c r="C734" s="73"/>
      <c r="D734" s="73"/>
      <c r="E734" s="73"/>
      <c r="F734" s="73"/>
      <c r="G734" s="73"/>
      <c r="H734" s="73"/>
      <c r="J734" s="73"/>
    </row>
    <row r="735" spans="1:10" ht="15.75" customHeight="1">
      <c r="A735" s="73"/>
      <c r="B735" s="73"/>
      <c r="C735" s="73"/>
      <c r="D735" s="73"/>
      <c r="E735" s="73"/>
      <c r="F735" s="73"/>
      <c r="G735" s="73"/>
      <c r="H735" s="73"/>
      <c r="J735" s="73"/>
    </row>
    <row r="736" spans="1:10" ht="15.75" customHeight="1">
      <c r="A736" s="73"/>
      <c r="B736" s="73"/>
      <c r="C736" s="73"/>
      <c r="D736" s="73"/>
      <c r="E736" s="73"/>
      <c r="F736" s="73"/>
      <c r="G736" s="73"/>
      <c r="H736" s="73"/>
      <c r="J736" s="73"/>
    </row>
    <row r="737" spans="1:10" ht="15.75" customHeight="1">
      <c r="A737" s="73"/>
      <c r="B737" s="73"/>
      <c r="C737" s="73"/>
      <c r="D737" s="73"/>
      <c r="E737" s="73"/>
      <c r="F737" s="73"/>
      <c r="G737" s="73"/>
      <c r="H737" s="73"/>
      <c r="J737" s="73"/>
    </row>
    <row r="738" spans="1:10" ht="15.75" customHeight="1">
      <c r="A738" s="73"/>
      <c r="B738" s="73"/>
      <c r="C738" s="73"/>
      <c r="D738" s="73"/>
      <c r="E738" s="73"/>
      <c r="F738" s="73"/>
      <c r="G738" s="73"/>
      <c r="H738" s="73"/>
      <c r="J738" s="73"/>
    </row>
    <row r="739" spans="1:10" ht="15.75" customHeight="1">
      <c r="A739" s="73"/>
      <c r="B739" s="73"/>
      <c r="C739" s="73"/>
      <c r="D739" s="73"/>
      <c r="E739" s="73"/>
      <c r="F739" s="73"/>
      <c r="G739" s="73"/>
      <c r="H739" s="73"/>
      <c r="J739" s="73"/>
    </row>
    <row r="740" spans="1:10" ht="15.75" customHeight="1">
      <c r="A740" s="73"/>
      <c r="B740" s="73"/>
      <c r="C740" s="73"/>
      <c r="D740" s="73"/>
      <c r="E740" s="73"/>
      <c r="F740" s="73"/>
      <c r="G740" s="73"/>
      <c r="H740" s="73"/>
      <c r="J740" s="73"/>
    </row>
    <row r="741" spans="1:10" ht="15.75" customHeight="1">
      <c r="A741" s="73"/>
      <c r="B741" s="73"/>
      <c r="C741" s="73"/>
      <c r="D741" s="73"/>
      <c r="E741" s="73"/>
      <c r="F741" s="73"/>
      <c r="G741" s="73"/>
      <c r="H741" s="73"/>
      <c r="J741" s="73"/>
    </row>
    <row r="742" spans="1:10" ht="15.75" customHeight="1">
      <c r="A742" s="73"/>
      <c r="B742" s="73"/>
      <c r="C742" s="73"/>
      <c r="D742" s="73"/>
      <c r="E742" s="73"/>
      <c r="F742" s="73"/>
      <c r="G742" s="73"/>
      <c r="H742" s="73"/>
      <c r="J742" s="73"/>
    </row>
    <row r="743" spans="1:10" ht="15.75" customHeight="1">
      <c r="A743" s="73"/>
      <c r="B743" s="73"/>
      <c r="C743" s="73"/>
      <c r="D743" s="73"/>
      <c r="E743" s="73"/>
      <c r="F743" s="73"/>
      <c r="G743" s="73"/>
      <c r="H743" s="73"/>
      <c r="J743" s="73"/>
    </row>
    <row r="744" spans="1:10" ht="15.75" customHeight="1">
      <c r="A744" s="73"/>
      <c r="B744" s="73"/>
      <c r="C744" s="73"/>
      <c r="D744" s="73"/>
      <c r="E744" s="73"/>
      <c r="F744" s="73"/>
      <c r="G744" s="73"/>
      <c r="H744" s="73"/>
      <c r="J744" s="73"/>
    </row>
    <row r="745" spans="1:10" ht="15.75" customHeight="1">
      <c r="A745" s="73"/>
      <c r="B745" s="73"/>
      <c r="C745" s="73"/>
      <c r="D745" s="73"/>
      <c r="E745" s="73"/>
      <c r="F745" s="73"/>
      <c r="G745" s="73"/>
      <c r="H745" s="73"/>
      <c r="J745" s="73"/>
    </row>
    <row r="746" spans="1:10" ht="15.75" customHeight="1">
      <c r="A746" s="73"/>
      <c r="B746" s="73"/>
      <c r="C746" s="73"/>
      <c r="D746" s="73"/>
      <c r="E746" s="73"/>
      <c r="F746" s="73"/>
      <c r="G746" s="73"/>
      <c r="H746" s="73"/>
      <c r="J746" s="73"/>
    </row>
    <row r="747" spans="1:10" ht="15.75" customHeight="1">
      <c r="A747" s="73"/>
      <c r="B747" s="73"/>
      <c r="C747" s="73"/>
      <c r="D747" s="73"/>
      <c r="E747" s="73"/>
      <c r="F747" s="73"/>
      <c r="G747" s="73"/>
      <c r="H747" s="73"/>
      <c r="J747" s="73"/>
    </row>
    <row r="748" spans="1:10" ht="15.75" customHeight="1">
      <c r="A748" s="73"/>
      <c r="B748" s="73"/>
      <c r="C748" s="73"/>
      <c r="D748" s="73"/>
      <c r="E748" s="73"/>
      <c r="F748" s="73"/>
      <c r="G748" s="73"/>
      <c r="H748" s="73"/>
      <c r="J748" s="73"/>
    </row>
    <row r="749" spans="1:10" ht="15.75" customHeight="1">
      <c r="A749" s="73"/>
      <c r="B749" s="73"/>
      <c r="C749" s="73"/>
      <c r="D749" s="73"/>
      <c r="E749" s="73"/>
      <c r="F749" s="73"/>
      <c r="G749" s="73"/>
      <c r="H749" s="73"/>
      <c r="J749" s="73"/>
    </row>
    <row r="750" spans="1:10" ht="15.75" customHeight="1">
      <c r="A750" s="73"/>
      <c r="B750" s="73"/>
      <c r="C750" s="73"/>
      <c r="D750" s="73"/>
      <c r="E750" s="73"/>
      <c r="F750" s="73"/>
      <c r="G750" s="73"/>
      <c r="H750" s="73"/>
      <c r="J750" s="73"/>
    </row>
    <row r="751" spans="1:10" ht="15.75" customHeight="1">
      <c r="A751" s="73"/>
      <c r="B751" s="73"/>
      <c r="C751" s="73"/>
      <c r="D751" s="73"/>
      <c r="E751" s="73"/>
      <c r="F751" s="73"/>
      <c r="G751" s="73"/>
      <c r="H751" s="73"/>
      <c r="J751" s="73"/>
    </row>
    <row r="752" spans="1:10" ht="15.75" customHeight="1">
      <c r="A752" s="73"/>
      <c r="B752" s="73"/>
      <c r="C752" s="73"/>
      <c r="D752" s="73"/>
      <c r="E752" s="73"/>
      <c r="F752" s="73"/>
      <c r="G752" s="73"/>
      <c r="H752" s="73"/>
      <c r="J752" s="73"/>
    </row>
    <row r="753" spans="1:10" ht="15.75" customHeight="1">
      <c r="A753" s="73"/>
      <c r="B753" s="73"/>
      <c r="C753" s="73"/>
      <c r="D753" s="73"/>
      <c r="E753" s="73"/>
      <c r="F753" s="73"/>
      <c r="G753" s="73"/>
      <c r="H753" s="73"/>
      <c r="J753" s="73"/>
    </row>
    <row r="754" spans="1:10" ht="15.75" customHeight="1">
      <c r="A754" s="73"/>
      <c r="B754" s="73"/>
      <c r="C754" s="73"/>
      <c r="D754" s="73"/>
      <c r="E754" s="73"/>
      <c r="F754" s="73"/>
      <c r="G754" s="73"/>
      <c r="H754" s="73"/>
      <c r="J754" s="73"/>
    </row>
    <row r="755" spans="1:10" ht="15.75" customHeight="1">
      <c r="A755" s="73"/>
      <c r="B755" s="73"/>
      <c r="C755" s="73"/>
      <c r="D755" s="73"/>
      <c r="E755" s="73"/>
      <c r="F755" s="73"/>
      <c r="G755" s="73"/>
      <c r="H755" s="73"/>
      <c r="J755" s="73"/>
    </row>
    <row r="756" spans="1:10" ht="15.75" customHeight="1">
      <c r="A756" s="73"/>
      <c r="B756" s="73"/>
      <c r="C756" s="73"/>
      <c r="D756" s="73"/>
      <c r="E756" s="73"/>
      <c r="F756" s="73"/>
      <c r="G756" s="73"/>
      <c r="H756" s="73"/>
      <c r="J756" s="73"/>
    </row>
    <row r="757" spans="1:10" ht="15.75" customHeight="1">
      <c r="A757" s="73"/>
      <c r="B757" s="73"/>
      <c r="C757" s="73"/>
      <c r="D757" s="73"/>
      <c r="E757" s="73"/>
      <c r="F757" s="73"/>
      <c r="G757" s="73"/>
      <c r="H757" s="73"/>
      <c r="J757" s="73"/>
    </row>
    <row r="758" spans="1:10" ht="15.75" customHeight="1">
      <c r="A758" s="73"/>
      <c r="B758" s="73"/>
      <c r="C758" s="73"/>
      <c r="D758" s="73"/>
      <c r="E758" s="73"/>
      <c r="F758" s="73"/>
      <c r="G758" s="73"/>
      <c r="H758" s="73"/>
      <c r="J758" s="73"/>
    </row>
    <row r="759" spans="1:10" ht="15.75" customHeight="1">
      <c r="A759" s="73"/>
      <c r="B759" s="73"/>
      <c r="C759" s="73"/>
      <c r="D759" s="73"/>
      <c r="E759" s="73"/>
      <c r="F759" s="73"/>
      <c r="G759" s="73"/>
      <c r="H759" s="73"/>
      <c r="J759" s="73"/>
    </row>
    <row r="760" spans="1:10" ht="15.75" customHeight="1">
      <c r="A760" s="73"/>
      <c r="B760" s="73"/>
      <c r="C760" s="73"/>
      <c r="D760" s="73"/>
      <c r="E760" s="73"/>
      <c r="F760" s="73"/>
      <c r="G760" s="73"/>
      <c r="H760" s="73"/>
      <c r="J760" s="73"/>
    </row>
    <row r="761" spans="1:10" ht="15.75" customHeight="1">
      <c r="A761" s="73"/>
      <c r="B761" s="73"/>
      <c r="C761" s="73"/>
      <c r="D761" s="73"/>
      <c r="E761" s="73"/>
      <c r="F761" s="73"/>
      <c r="G761" s="73"/>
      <c r="H761" s="73"/>
      <c r="J761" s="73"/>
    </row>
    <row r="762" spans="1:10" ht="15.75" customHeight="1">
      <c r="A762" s="73"/>
      <c r="B762" s="73"/>
      <c r="C762" s="73"/>
      <c r="D762" s="73"/>
      <c r="E762" s="73"/>
      <c r="F762" s="73"/>
      <c r="G762" s="73"/>
      <c r="H762" s="73"/>
      <c r="J762" s="73"/>
    </row>
    <row r="763" spans="1:10" ht="15.75" customHeight="1">
      <c r="A763" s="73"/>
      <c r="B763" s="73"/>
      <c r="C763" s="73"/>
      <c r="D763" s="73"/>
      <c r="E763" s="73"/>
      <c r="F763" s="73"/>
      <c r="G763" s="73"/>
      <c r="H763" s="73"/>
      <c r="J763" s="73"/>
    </row>
    <row r="764" spans="1:10" ht="15.75" customHeight="1">
      <c r="A764" s="73"/>
      <c r="B764" s="73"/>
      <c r="C764" s="73"/>
      <c r="D764" s="73"/>
      <c r="E764" s="73"/>
      <c r="F764" s="73"/>
      <c r="G764" s="73"/>
      <c r="H764" s="73"/>
      <c r="J764" s="73"/>
    </row>
    <row r="765" spans="1:10" ht="15.75" customHeight="1">
      <c r="A765" s="73"/>
      <c r="B765" s="73"/>
      <c r="C765" s="73"/>
      <c r="D765" s="73"/>
      <c r="E765" s="73"/>
      <c r="F765" s="73"/>
      <c r="G765" s="73"/>
      <c r="H765" s="73"/>
      <c r="J765" s="73"/>
    </row>
    <row r="766" spans="1:10" ht="15.75" customHeight="1">
      <c r="A766" s="73"/>
      <c r="B766" s="73"/>
      <c r="C766" s="73"/>
      <c r="D766" s="73"/>
      <c r="E766" s="73"/>
      <c r="F766" s="73"/>
      <c r="G766" s="73"/>
      <c r="H766" s="73"/>
      <c r="J766" s="73"/>
    </row>
    <row r="767" spans="1:10" ht="15.75" customHeight="1">
      <c r="A767" s="73"/>
      <c r="B767" s="73"/>
      <c r="C767" s="73"/>
      <c r="D767" s="73"/>
      <c r="E767" s="73"/>
      <c r="F767" s="73"/>
      <c r="G767" s="73"/>
      <c r="H767" s="73"/>
      <c r="J767" s="73"/>
    </row>
    <row r="768" spans="1:10" ht="15.75" customHeight="1">
      <c r="A768" s="73"/>
      <c r="B768" s="73"/>
      <c r="C768" s="73"/>
      <c r="D768" s="73"/>
      <c r="E768" s="73"/>
      <c r="F768" s="73"/>
      <c r="G768" s="73"/>
      <c r="H768" s="73"/>
      <c r="J768" s="73"/>
    </row>
    <row r="769" spans="1:10" ht="15.75" customHeight="1">
      <c r="A769" s="73"/>
      <c r="B769" s="73"/>
      <c r="C769" s="73"/>
      <c r="D769" s="73"/>
      <c r="E769" s="73"/>
      <c r="F769" s="73"/>
      <c r="G769" s="73"/>
      <c r="H769" s="73"/>
      <c r="J769" s="73"/>
    </row>
    <row r="770" spans="1:10" ht="15.75" customHeight="1">
      <c r="A770" s="73"/>
      <c r="B770" s="73"/>
      <c r="C770" s="73"/>
      <c r="D770" s="73"/>
      <c r="E770" s="73"/>
      <c r="F770" s="73"/>
      <c r="G770" s="73"/>
      <c r="H770" s="73"/>
      <c r="J770" s="73"/>
    </row>
    <row r="771" spans="1:10" ht="15.75" customHeight="1">
      <c r="A771" s="73"/>
      <c r="B771" s="73"/>
      <c r="C771" s="73"/>
      <c r="D771" s="73"/>
      <c r="E771" s="73"/>
      <c r="F771" s="73"/>
      <c r="G771" s="73"/>
      <c r="H771" s="73"/>
      <c r="J771" s="73"/>
    </row>
    <row r="772" spans="1:10" ht="15.75" customHeight="1">
      <c r="A772" s="73"/>
      <c r="B772" s="73"/>
      <c r="C772" s="73"/>
      <c r="D772" s="73"/>
      <c r="E772" s="73"/>
      <c r="F772" s="73"/>
      <c r="G772" s="73"/>
      <c r="H772" s="73"/>
      <c r="J772" s="73"/>
    </row>
    <row r="773" spans="1:10" ht="15.75" customHeight="1">
      <c r="A773" s="73"/>
      <c r="B773" s="73"/>
      <c r="C773" s="73"/>
      <c r="D773" s="73"/>
      <c r="E773" s="73"/>
      <c r="F773" s="73"/>
      <c r="G773" s="73"/>
      <c r="H773" s="73"/>
      <c r="J773" s="73"/>
    </row>
    <row r="774" spans="1:10" ht="15.75" customHeight="1">
      <c r="A774" s="73"/>
      <c r="B774" s="73"/>
      <c r="C774" s="73"/>
      <c r="D774" s="73"/>
      <c r="E774" s="73"/>
      <c r="F774" s="73"/>
      <c r="G774" s="73"/>
      <c r="H774" s="73"/>
      <c r="J774" s="73"/>
    </row>
    <row r="775" spans="1:10" ht="15.75" customHeight="1">
      <c r="A775" s="73"/>
      <c r="B775" s="73"/>
      <c r="C775" s="73"/>
      <c r="D775" s="73"/>
      <c r="E775" s="73"/>
      <c r="F775" s="73"/>
      <c r="G775" s="73"/>
      <c r="H775" s="73"/>
      <c r="J775" s="73"/>
    </row>
    <row r="776" spans="1:10" ht="15.75" customHeight="1">
      <c r="A776" s="73"/>
      <c r="B776" s="73"/>
      <c r="C776" s="73"/>
      <c r="D776" s="73"/>
      <c r="E776" s="73"/>
      <c r="F776" s="73"/>
      <c r="G776" s="73"/>
      <c r="H776" s="73"/>
      <c r="J776" s="73"/>
    </row>
    <row r="777" spans="1:10" ht="15.75" customHeight="1">
      <c r="A777" s="73"/>
      <c r="B777" s="73"/>
      <c r="C777" s="73"/>
      <c r="D777" s="73"/>
      <c r="E777" s="73"/>
      <c r="F777" s="73"/>
      <c r="G777" s="73"/>
      <c r="H777" s="73"/>
      <c r="J777" s="73"/>
    </row>
    <row r="778" spans="1:10" ht="15.75" customHeight="1">
      <c r="A778" s="73"/>
      <c r="B778" s="73"/>
      <c r="C778" s="73"/>
      <c r="D778" s="73"/>
      <c r="E778" s="73"/>
      <c r="F778" s="73"/>
      <c r="G778" s="73"/>
      <c r="H778" s="73"/>
      <c r="J778" s="73"/>
    </row>
    <row r="779" spans="1:10" ht="15.75" customHeight="1">
      <c r="A779" s="73"/>
      <c r="B779" s="73"/>
      <c r="C779" s="73"/>
      <c r="D779" s="73"/>
      <c r="E779" s="73"/>
      <c r="F779" s="73"/>
      <c r="G779" s="73"/>
      <c r="H779" s="73"/>
      <c r="J779" s="73"/>
    </row>
    <row r="780" spans="1:10" ht="15.75" customHeight="1">
      <c r="A780" s="73"/>
      <c r="B780" s="73"/>
      <c r="C780" s="73"/>
      <c r="D780" s="73"/>
      <c r="E780" s="73"/>
      <c r="F780" s="73"/>
      <c r="G780" s="73"/>
      <c r="H780" s="73"/>
      <c r="J780" s="73"/>
    </row>
    <row r="781" spans="1:10" ht="15.75" customHeight="1">
      <c r="A781" s="73"/>
      <c r="B781" s="73"/>
      <c r="C781" s="73"/>
      <c r="D781" s="73"/>
      <c r="E781" s="73"/>
      <c r="F781" s="73"/>
      <c r="G781" s="73"/>
      <c r="H781" s="73"/>
      <c r="J781" s="73"/>
    </row>
    <row r="782" spans="1:10" ht="15.75" customHeight="1">
      <c r="A782" s="73"/>
      <c r="B782" s="73"/>
      <c r="C782" s="73"/>
      <c r="D782" s="73"/>
      <c r="E782" s="73"/>
      <c r="F782" s="73"/>
      <c r="G782" s="73"/>
      <c r="H782" s="73"/>
      <c r="J782" s="73"/>
    </row>
    <row r="783" spans="1:10" ht="15.75" customHeight="1">
      <c r="A783" s="73"/>
      <c r="B783" s="73"/>
      <c r="C783" s="73"/>
      <c r="D783" s="73"/>
      <c r="E783" s="73"/>
      <c r="F783" s="73"/>
      <c r="G783" s="73"/>
      <c r="H783" s="73"/>
      <c r="J783" s="73"/>
    </row>
    <row r="784" spans="1:10" ht="15.75" customHeight="1">
      <c r="A784" s="73"/>
      <c r="B784" s="73"/>
      <c r="C784" s="73"/>
      <c r="D784" s="73"/>
      <c r="E784" s="73"/>
      <c r="F784" s="73"/>
      <c r="G784" s="73"/>
      <c r="H784" s="73"/>
      <c r="J784" s="73"/>
    </row>
    <row r="785" spans="1:10" ht="15.75" customHeight="1">
      <c r="A785" s="73"/>
      <c r="B785" s="73"/>
      <c r="C785" s="73"/>
      <c r="D785" s="73"/>
      <c r="E785" s="73"/>
      <c r="F785" s="73"/>
      <c r="G785" s="73"/>
      <c r="H785" s="73"/>
      <c r="J785" s="73"/>
    </row>
    <row r="786" spans="1:10" ht="15.75" customHeight="1">
      <c r="A786" s="73"/>
      <c r="B786" s="73"/>
      <c r="C786" s="73"/>
      <c r="D786" s="73"/>
      <c r="E786" s="73"/>
      <c r="F786" s="73"/>
      <c r="G786" s="73"/>
      <c r="H786" s="73"/>
      <c r="J786" s="73"/>
    </row>
    <row r="787" spans="1:10" ht="15.75" customHeight="1">
      <c r="A787" s="73"/>
      <c r="B787" s="73"/>
      <c r="C787" s="73"/>
      <c r="D787" s="73"/>
      <c r="E787" s="73"/>
      <c r="F787" s="73"/>
      <c r="G787" s="73"/>
      <c r="H787" s="73"/>
      <c r="J787" s="73"/>
    </row>
    <row r="788" spans="1:10" ht="15.75" customHeight="1">
      <c r="A788" s="73"/>
      <c r="B788" s="73"/>
      <c r="C788" s="73"/>
      <c r="D788" s="73"/>
      <c r="E788" s="73"/>
      <c r="F788" s="73"/>
      <c r="G788" s="73"/>
      <c r="H788" s="73"/>
      <c r="J788" s="73"/>
    </row>
    <row r="789" spans="1:10" ht="15.75" customHeight="1">
      <c r="A789" s="73"/>
      <c r="B789" s="73"/>
      <c r="C789" s="73"/>
      <c r="D789" s="73"/>
      <c r="E789" s="73"/>
      <c r="F789" s="73"/>
      <c r="G789" s="73"/>
      <c r="H789" s="73"/>
      <c r="J789" s="73"/>
    </row>
    <row r="790" spans="1:10" ht="15.75" customHeight="1">
      <c r="A790" s="73"/>
      <c r="B790" s="73"/>
      <c r="C790" s="73"/>
      <c r="D790" s="73"/>
      <c r="E790" s="73"/>
      <c r="F790" s="73"/>
      <c r="G790" s="73"/>
      <c r="H790" s="73"/>
      <c r="J790" s="73"/>
    </row>
    <row r="791" spans="1:10" ht="15.75" customHeight="1">
      <c r="A791" s="73"/>
      <c r="B791" s="73"/>
      <c r="C791" s="73"/>
      <c r="D791" s="73"/>
      <c r="E791" s="73"/>
      <c r="F791" s="73"/>
      <c r="G791" s="73"/>
      <c r="H791" s="73"/>
      <c r="J791" s="73"/>
    </row>
    <row r="792" spans="1:10" ht="15.75" customHeight="1">
      <c r="A792" s="73"/>
      <c r="B792" s="73"/>
      <c r="C792" s="73"/>
      <c r="D792" s="73"/>
      <c r="E792" s="73"/>
      <c r="F792" s="73"/>
      <c r="G792" s="73"/>
      <c r="H792" s="73"/>
      <c r="J792" s="73"/>
    </row>
    <row r="793" spans="1:10" ht="15.75" customHeight="1">
      <c r="A793" s="73"/>
      <c r="B793" s="73"/>
      <c r="C793" s="73"/>
      <c r="D793" s="73"/>
      <c r="E793" s="73"/>
      <c r="F793" s="73"/>
      <c r="G793" s="73"/>
      <c r="H793" s="73"/>
      <c r="J793" s="73"/>
    </row>
    <row r="794" spans="1:10" ht="15.75" customHeight="1">
      <c r="A794" s="73"/>
      <c r="B794" s="73"/>
      <c r="C794" s="73"/>
      <c r="D794" s="73"/>
      <c r="E794" s="73"/>
      <c r="F794" s="73"/>
      <c r="G794" s="73"/>
      <c r="H794" s="73"/>
      <c r="J794" s="73"/>
    </row>
    <row r="795" spans="1:10" ht="15.75" customHeight="1">
      <c r="A795" s="73"/>
      <c r="B795" s="73"/>
      <c r="C795" s="73"/>
      <c r="D795" s="73"/>
      <c r="E795" s="73"/>
      <c r="F795" s="73"/>
      <c r="G795" s="73"/>
      <c r="H795" s="73"/>
      <c r="J795" s="73"/>
    </row>
    <row r="796" spans="1:10" ht="15.75" customHeight="1">
      <c r="A796" s="73"/>
      <c r="B796" s="73"/>
      <c r="C796" s="73"/>
      <c r="D796" s="73"/>
      <c r="E796" s="73"/>
      <c r="F796" s="73"/>
      <c r="G796" s="73"/>
      <c r="H796" s="73"/>
      <c r="J796" s="73"/>
    </row>
    <row r="797" spans="1:10" ht="15.75" customHeight="1">
      <c r="A797" s="73"/>
      <c r="B797" s="73"/>
      <c r="C797" s="73"/>
      <c r="D797" s="73"/>
      <c r="E797" s="73"/>
      <c r="F797" s="73"/>
      <c r="G797" s="73"/>
      <c r="H797" s="73"/>
      <c r="J797" s="73"/>
    </row>
    <row r="798" spans="1:10" ht="15.75" customHeight="1">
      <c r="A798" s="73"/>
      <c r="B798" s="73"/>
      <c r="C798" s="73"/>
      <c r="D798" s="73"/>
      <c r="E798" s="73"/>
      <c r="F798" s="73"/>
      <c r="G798" s="73"/>
      <c r="H798" s="73"/>
      <c r="J798" s="73"/>
    </row>
    <row r="799" spans="1:10" ht="15.75" customHeight="1">
      <c r="A799" s="73"/>
      <c r="B799" s="73"/>
      <c r="C799" s="73"/>
      <c r="D799" s="73"/>
      <c r="E799" s="73"/>
      <c r="F799" s="73"/>
      <c r="G799" s="73"/>
      <c r="H799" s="73"/>
      <c r="J799" s="73"/>
    </row>
    <row r="800" spans="1:10" ht="15.75" customHeight="1">
      <c r="A800" s="73"/>
      <c r="B800" s="73"/>
      <c r="C800" s="73"/>
      <c r="D800" s="73"/>
      <c r="E800" s="73"/>
      <c r="F800" s="73"/>
      <c r="G800" s="73"/>
      <c r="H800" s="73"/>
      <c r="J800" s="73"/>
    </row>
    <row r="801" spans="1:10" ht="15.75" customHeight="1">
      <c r="A801" s="73"/>
      <c r="B801" s="73"/>
      <c r="C801" s="73"/>
      <c r="D801" s="73"/>
      <c r="E801" s="73"/>
      <c r="F801" s="73"/>
      <c r="G801" s="73"/>
      <c r="H801" s="73"/>
      <c r="J801" s="73"/>
    </row>
    <row r="802" spans="1:10" ht="15.75" customHeight="1">
      <c r="A802" s="73"/>
      <c r="B802" s="73"/>
      <c r="C802" s="73"/>
      <c r="D802" s="73"/>
      <c r="E802" s="73"/>
      <c r="F802" s="73"/>
      <c r="G802" s="73"/>
      <c r="H802" s="73"/>
      <c r="J802" s="73"/>
    </row>
    <row r="803" spans="1:10" ht="15.75" customHeight="1">
      <c r="A803" s="73"/>
      <c r="B803" s="73"/>
      <c r="C803" s="73"/>
      <c r="D803" s="73"/>
      <c r="E803" s="73"/>
      <c r="F803" s="73"/>
      <c r="G803" s="73"/>
      <c r="H803" s="73"/>
      <c r="J803" s="73"/>
    </row>
    <row r="804" spans="1:10" ht="15.75" customHeight="1">
      <c r="A804" s="73"/>
      <c r="B804" s="73"/>
      <c r="C804" s="73"/>
      <c r="D804" s="73"/>
      <c r="E804" s="73"/>
      <c r="F804" s="73"/>
      <c r="G804" s="73"/>
      <c r="H804" s="73"/>
      <c r="J804" s="73"/>
    </row>
    <row r="805" spans="1:10" ht="15.75" customHeight="1">
      <c r="A805" s="73"/>
      <c r="B805" s="73"/>
      <c r="C805" s="73"/>
      <c r="D805" s="73"/>
      <c r="E805" s="73"/>
      <c r="F805" s="73"/>
      <c r="G805" s="73"/>
      <c r="H805" s="73"/>
      <c r="J805" s="73"/>
    </row>
    <row r="806" spans="1:10" ht="15.75" customHeight="1">
      <c r="A806" s="73"/>
      <c r="B806" s="73"/>
      <c r="C806" s="73"/>
      <c r="D806" s="73"/>
      <c r="E806" s="73"/>
      <c r="F806" s="73"/>
      <c r="G806" s="73"/>
      <c r="H806" s="73"/>
      <c r="J806" s="73"/>
    </row>
    <row r="807" spans="1:10" ht="15.75" customHeight="1">
      <c r="A807" s="73"/>
      <c r="B807" s="73"/>
      <c r="C807" s="73"/>
      <c r="D807" s="73"/>
      <c r="E807" s="73"/>
      <c r="F807" s="73"/>
      <c r="G807" s="73"/>
      <c r="H807" s="73"/>
      <c r="J807" s="73"/>
    </row>
    <row r="808" spans="1:10" ht="15.75" customHeight="1">
      <c r="A808" s="73"/>
      <c r="B808" s="73"/>
      <c r="C808" s="73"/>
      <c r="D808" s="73"/>
      <c r="E808" s="73"/>
      <c r="F808" s="73"/>
      <c r="G808" s="73"/>
      <c r="H808" s="73"/>
      <c r="J808" s="73"/>
    </row>
    <row r="809" spans="1:10" ht="15.75" customHeight="1">
      <c r="A809" s="73"/>
      <c r="B809" s="73"/>
      <c r="C809" s="73"/>
      <c r="D809" s="73"/>
      <c r="E809" s="73"/>
      <c r="F809" s="73"/>
      <c r="G809" s="73"/>
      <c r="H809" s="73"/>
      <c r="J809" s="73"/>
    </row>
    <row r="810" spans="1:10" ht="15.75" customHeight="1">
      <c r="A810" s="73"/>
      <c r="B810" s="73"/>
      <c r="C810" s="73"/>
      <c r="D810" s="73"/>
      <c r="E810" s="73"/>
      <c r="F810" s="73"/>
      <c r="G810" s="73"/>
      <c r="H810" s="73"/>
      <c r="J810" s="73"/>
    </row>
    <row r="811" spans="1:10" ht="15.75" customHeight="1">
      <c r="A811" s="73"/>
      <c r="B811" s="73"/>
      <c r="C811" s="73"/>
      <c r="D811" s="73"/>
      <c r="E811" s="73"/>
      <c r="F811" s="73"/>
      <c r="G811" s="73"/>
      <c r="H811" s="73"/>
      <c r="J811" s="73"/>
    </row>
    <row r="812" spans="1:10" ht="15.75" customHeight="1">
      <c r="A812" s="73"/>
      <c r="B812" s="73"/>
      <c r="C812" s="73"/>
      <c r="D812" s="73"/>
      <c r="E812" s="73"/>
      <c r="F812" s="73"/>
      <c r="G812" s="73"/>
      <c r="H812" s="73"/>
      <c r="J812" s="73"/>
    </row>
    <row r="813" spans="1:10" ht="15.75" customHeight="1">
      <c r="A813" s="73"/>
      <c r="B813" s="73"/>
      <c r="C813" s="73"/>
      <c r="D813" s="73"/>
      <c r="E813" s="73"/>
      <c r="F813" s="73"/>
      <c r="G813" s="73"/>
      <c r="H813" s="73"/>
      <c r="J813" s="73"/>
    </row>
    <row r="814" spans="1:10" ht="15.75" customHeight="1">
      <c r="A814" s="73"/>
      <c r="B814" s="73"/>
      <c r="C814" s="73"/>
      <c r="D814" s="73"/>
      <c r="E814" s="73"/>
      <c r="F814" s="73"/>
      <c r="G814" s="73"/>
      <c r="H814" s="73"/>
      <c r="J814" s="73"/>
    </row>
    <row r="815" spans="1:10" ht="15.75" customHeight="1">
      <c r="A815" s="73"/>
      <c r="B815" s="73"/>
      <c r="C815" s="73"/>
      <c r="D815" s="73"/>
      <c r="E815" s="73"/>
      <c r="F815" s="73"/>
      <c r="G815" s="73"/>
      <c r="H815" s="73"/>
      <c r="J815" s="73"/>
    </row>
    <row r="816" spans="1:10" ht="15.75" customHeight="1">
      <c r="A816" s="73"/>
      <c r="B816" s="73"/>
      <c r="C816" s="73"/>
      <c r="D816" s="73"/>
      <c r="E816" s="73"/>
      <c r="F816" s="73"/>
      <c r="G816" s="73"/>
      <c r="H816" s="73"/>
      <c r="J816" s="73"/>
    </row>
    <row r="817" spans="1:10" ht="15.75" customHeight="1">
      <c r="A817" s="73"/>
      <c r="B817" s="73"/>
      <c r="C817" s="73"/>
      <c r="D817" s="73"/>
      <c r="E817" s="73"/>
      <c r="F817" s="73"/>
      <c r="G817" s="73"/>
      <c r="H817" s="73"/>
      <c r="J817" s="73"/>
    </row>
    <row r="818" spans="1:10" ht="15.75" customHeight="1">
      <c r="A818" s="73"/>
      <c r="B818" s="73"/>
      <c r="C818" s="73"/>
      <c r="D818" s="73"/>
      <c r="E818" s="73"/>
      <c r="F818" s="73"/>
      <c r="G818" s="73"/>
      <c r="H818" s="73"/>
      <c r="J818" s="73"/>
    </row>
    <row r="819" spans="1:10" ht="15.75" customHeight="1">
      <c r="A819" s="73"/>
      <c r="B819" s="73"/>
      <c r="C819" s="73"/>
      <c r="D819" s="73"/>
      <c r="E819" s="73"/>
      <c r="F819" s="73"/>
      <c r="G819" s="73"/>
      <c r="H819" s="73"/>
      <c r="J819" s="73"/>
    </row>
    <row r="820" spans="1:10" ht="15.75" customHeight="1">
      <c r="A820" s="73"/>
      <c r="B820" s="73"/>
      <c r="C820" s="73"/>
      <c r="D820" s="73"/>
      <c r="E820" s="73"/>
      <c r="F820" s="73"/>
      <c r="G820" s="73"/>
      <c r="H820" s="73"/>
      <c r="J820" s="73"/>
    </row>
    <row r="821" spans="1:10" ht="15.75" customHeight="1">
      <c r="A821" s="73"/>
      <c r="B821" s="73"/>
      <c r="C821" s="73"/>
      <c r="D821" s="73"/>
      <c r="E821" s="73"/>
      <c r="F821" s="73"/>
      <c r="G821" s="73"/>
      <c r="H821" s="73"/>
      <c r="J821" s="73"/>
    </row>
    <row r="822" spans="1:10" ht="15.75" customHeight="1">
      <c r="A822" s="73"/>
      <c r="B822" s="73"/>
      <c r="C822" s="73"/>
      <c r="D822" s="73"/>
      <c r="E822" s="73"/>
      <c r="F822" s="73"/>
      <c r="G822" s="73"/>
      <c r="H822" s="73"/>
      <c r="J822" s="73"/>
    </row>
    <row r="823" spans="1:10" ht="15.75" customHeight="1">
      <c r="A823" s="73"/>
      <c r="B823" s="73"/>
      <c r="C823" s="73"/>
      <c r="D823" s="73"/>
      <c r="E823" s="73"/>
      <c r="F823" s="73"/>
      <c r="G823" s="73"/>
      <c r="H823" s="73"/>
      <c r="J823" s="73"/>
    </row>
    <row r="824" spans="1:10" ht="15.75" customHeight="1">
      <c r="A824" s="73"/>
      <c r="B824" s="73"/>
      <c r="C824" s="73"/>
      <c r="D824" s="73"/>
      <c r="E824" s="73"/>
      <c r="F824" s="73"/>
      <c r="G824" s="73"/>
      <c r="H824" s="73"/>
      <c r="J824" s="73"/>
    </row>
    <row r="825" spans="1:10" ht="15.75" customHeight="1">
      <c r="A825" s="73"/>
      <c r="B825" s="73"/>
      <c r="C825" s="73"/>
      <c r="D825" s="73"/>
      <c r="E825" s="73"/>
      <c r="F825" s="73"/>
      <c r="G825" s="73"/>
      <c r="H825" s="73"/>
      <c r="J825" s="73"/>
    </row>
    <row r="826" spans="1:10" ht="15.75" customHeight="1">
      <c r="A826" s="73"/>
      <c r="B826" s="73"/>
      <c r="C826" s="73"/>
      <c r="D826" s="73"/>
      <c r="E826" s="73"/>
      <c r="F826" s="73"/>
      <c r="G826" s="73"/>
      <c r="H826" s="73"/>
      <c r="J826" s="73"/>
    </row>
    <row r="827" spans="1:10" ht="15.75" customHeight="1">
      <c r="A827" s="73"/>
      <c r="B827" s="73"/>
      <c r="C827" s="73"/>
      <c r="D827" s="73"/>
      <c r="E827" s="73"/>
      <c r="F827" s="73"/>
      <c r="G827" s="73"/>
      <c r="H827" s="73"/>
      <c r="J827" s="73"/>
    </row>
    <row r="828" spans="1:10" ht="15.75" customHeight="1">
      <c r="A828" s="73"/>
      <c r="B828" s="73"/>
      <c r="C828" s="73"/>
      <c r="D828" s="73"/>
      <c r="E828" s="73"/>
      <c r="F828" s="73"/>
      <c r="G828" s="73"/>
      <c r="H828" s="73"/>
      <c r="J828" s="73"/>
    </row>
    <row r="829" spans="1:10" ht="15.75" customHeight="1">
      <c r="A829" s="73"/>
      <c r="B829" s="73"/>
      <c r="C829" s="73"/>
      <c r="D829" s="73"/>
      <c r="E829" s="73"/>
      <c r="F829" s="73"/>
      <c r="G829" s="73"/>
      <c r="H829" s="73"/>
      <c r="J829" s="73"/>
    </row>
    <row r="830" spans="1:10" ht="15.75" customHeight="1">
      <c r="A830" s="73"/>
      <c r="B830" s="73"/>
      <c r="C830" s="73"/>
      <c r="D830" s="73"/>
      <c r="E830" s="73"/>
      <c r="F830" s="73"/>
      <c r="G830" s="73"/>
      <c r="H830" s="73"/>
      <c r="J830" s="73"/>
    </row>
    <row r="831" spans="1:10" ht="15.75" customHeight="1">
      <c r="A831" s="73"/>
      <c r="B831" s="73"/>
      <c r="C831" s="73"/>
      <c r="D831" s="73"/>
      <c r="E831" s="73"/>
      <c r="F831" s="73"/>
      <c r="G831" s="73"/>
      <c r="H831" s="73"/>
      <c r="J831" s="73"/>
    </row>
    <row r="832" spans="1:10" ht="15.75" customHeight="1">
      <c r="A832" s="73"/>
      <c r="B832" s="73"/>
      <c r="C832" s="73"/>
      <c r="D832" s="73"/>
      <c r="E832" s="73"/>
      <c r="F832" s="73"/>
      <c r="G832" s="73"/>
      <c r="H832" s="73"/>
      <c r="J832" s="73"/>
    </row>
    <row r="833" spans="1:10" ht="15.75" customHeight="1">
      <c r="A833" s="73"/>
      <c r="B833" s="73"/>
      <c r="C833" s="73"/>
      <c r="D833" s="73"/>
      <c r="E833" s="73"/>
      <c r="F833" s="73"/>
      <c r="G833" s="73"/>
      <c r="H833" s="73"/>
      <c r="J833" s="73"/>
    </row>
    <row r="834" spans="1:10" ht="15.75" customHeight="1">
      <c r="A834" s="73"/>
      <c r="B834" s="73"/>
      <c r="C834" s="73"/>
      <c r="D834" s="73"/>
      <c r="E834" s="73"/>
      <c r="F834" s="73"/>
      <c r="G834" s="73"/>
      <c r="H834" s="73"/>
      <c r="J834" s="73"/>
    </row>
    <row r="835" spans="1:10" ht="15.75" customHeight="1">
      <c r="A835" s="73"/>
      <c r="B835" s="73"/>
      <c r="C835" s="73"/>
      <c r="D835" s="73"/>
      <c r="E835" s="73"/>
      <c r="F835" s="73"/>
      <c r="G835" s="73"/>
      <c r="H835" s="73"/>
      <c r="J835" s="73"/>
    </row>
    <row r="836" spans="1:10" ht="15.75" customHeight="1">
      <c r="A836" s="73"/>
      <c r="B836" s="73"/>
      <c r="C836" s="73"/>
      <c r="D836" s="73"/>
      <c r="E836" s="73"/>
      <c r="F836" s="73"/>
      <c r="G836" s="73"/>
      <c r="H836" s="73"/>
      <c r="J836" s="73"/>
    </row>
    <row r="837" spans="1:10" ht="15.75" customHeight="1">
      <c r="A837" s="73"/>
      <c r="B837" s="73"/>
      <c r="C837" s="73"/>
      <c r="D837" s="73"/>
      <c r="E837" s="73"/>
      <c r="F837" s="73"/>
      <c r="G837" s="73"/>
      <c r="H837" s="73"/>
      <c r="J837" s="73"/>
    </row>
    <row r="838" spans="1:10" ht="15.75" customHeight="1">
      <c r="A838" s="73"/>
      <c r="B838" s="73"/>
      <c r="C838" s="73"/>
      <c r="D838" s="73"/>
      <c r="E838" s="73"/>
      <c r="F838" s="73"/>
      <c r="G838" s="73"/>
      <c r="H838" s="73"/>
      <c r="J838" s="73"/>
    </row>
    <row r="839" spans="1:10" ht="15.75" customHeight="1">
      <c r="A839" s="73"/>
      <c r="B839" s="73"/>
      <c r="C839" s="73"/>
      <c r="D839" s="73"/>
      <c r="E839" s="73"/>
      <c r="F839" s="73"/>
      <c r="G839" s="73"/>
      <c r="H839" s="73"/>
      <c r="J839" s="73"/>
    </row>
    <row r="840" spans="1:10" ht="15.75" customHeight="1">
      <c r="A840" s="73"/>
      <c r="B840" s="73"/>
      <c r="C840" s="73"/>
      <c r="D840" s="73"/>
      <c r="E840" s="73"/>
      <c r="F840" s="73"/>
      <c r="G840" s="73"/>
      <c r="H840" s="73"/>
      <c r="J840" s="73"/>
    </row>
    <row r="841" spans="1:10" ht="15.75" customHeight="1">
      <c r="A841" s="73"/>
      <c r="B841" s="73"/>
      <c r="C841" s="73"/>
      <c r="D841" s="73"/>
      <c r="E841" s="73"/>
      <c r="F841" s="73"/>
      <c r="G841" s="73"/>
      <c r="H841" s="73"/>
      <c r="J841" s="73"/>
    </row>
    <row r="842" spans="1:10" ht="15.75" customHeight="1">
      <c r="A842" s="73"/>
      <c r="B842" s="73"/>
      <c r="C842" s="73"/>
      <c r="D842" s="73"/>
      <c r="E842" s="73"/>
      <c r="F842" s="73"/>
      <c r="G842" s="73"/>
      <c r="H842" s="73"/>
      <c r="J842" s="73"/>
    </row>
    <row r="843" spans="1:10" ht="15.75" customHeight="1">
      <c r="A843" s="73"/>
      <c r="B843" s="73"/>
      <c r="C843" s="73"/>
      <c r="D843" s="73"/>
      <c r="E843" s="73"/>
      <c r="F843" s="73"/>
      <c r="G843" s="73"/>
      <c r="H843" s="73"/>
      <c r="J843" s="73"/>
    </row>
    <row r="844" spans="1:10" ht="15.75" customHeight="1">
      <c r="A844" s="73"/>
      <c r="B844" s="73"/>
      <c r="C844" s="73"/>
      <c r="D844" s="73"/>
      <c r="E844" s="73"/>
      <c r="F844" s="73"/>
      <c r="G844" s="73"/>
      <c r="H844" s="73"/>
      <c r="J844" s="73"/>
    </row>
    <row r="845" spans="1:10" ht="15.75" customHeight="1">
      <c r="A845" s="73"/>
      <c r="B845" s="73"/>
      <c r="C845" s="73"/>
      <c r="D845" s="73"/>
      <c r="E845" s="73"/>
      <c r="F845" s="73"/>
      <c r="G845" s="73"/>
      <c r="H845" s="73"/>
      <c r="J845" s="73"/>
    </row>
    <row r="846" spans="1:10" ht="15.75" customHeight="1">
      <c r="A846" s="73"/>
      <c r="B846" s="73"/>
      <c r="C846" s="73"/>
      <c r="D846" s="73"/>
      <c r="E846" s="73"/>
      <c r="F846" s="73"/>
      <c r="G846" s="73"/>
      <c r="H846" s="73"/>
      <c r="J846" s="73"/>
    </row>
    <row r="847" spans="1:10" ht="15.75" customHeight="1">
      <c r="A847" s="73"/>
      <c r="B847" s="73"/>
      <c r="C847" s="73"/>
      <c r="D847" s="73"/>
      <c r="E847" s="73"/>
      <c r="F847" s="73"/>
      <c r="G847" s="73"/>
      <c r="H847" s="73"/>
      <c r="J847" s="73"/>
    </row>
    <row r="848" spans="1:10" ht="15.75" customHeight="1">
      <c r="A848" s="73"/>
      <c r="B848" s="73"/>
      <c r="C848" s="73"/>
      <c r="D848" s="73"/>
      <c r="E848" s="73"/>
      <c r="F848" s="73"/>
      <c r="G848" s="73"/>
      <c r="H848" s="73"/>
      <c r="J848" s="73"/>
    </row>
    <row r="849" spans="1:10" ht="15.75" customHeight="1">
      <c r="A849" s="73"/>
      <c r="B849" s="73"/>
      <c r="C849" s="73"/>
      <c r="D849" s="73"/>
      <c r="E849" s="73"/>
      <c r="F849" s="73"/>
      <c r="G849" s="73"/>
      <c r="H849" s="73"/>
      <c r="J849" s="73"/>
    </row>
    <row r="850" spans="1:10" ht="15.75" customHeight="1">
      <c r="A850" s="73"/>
      <c r="B850" s="73"/>
      <c r="C850" s="73"/>
      <c r="D850" s="73"/>
      <c r="E850" s="73"/>
      <c r="F850" s="73"/>
      <c r="G850" s="73"/>
      <c r="H850" s="73"/>
      <c r="J850" s="73"/>
    </row>
    <row r="851" spans="1:10" ht="15.75" customHeight="1">
      <c r="A851" s="73"/>
      <c r="B851" s="73"/>
      <c r="C851" s="73"/>
      <c r="D851" s="73"/>
      <c r="E851" s="73"/>
      <c r="F851" s="73"/>
      <c r="G851" s="73"/>
      <c r="H851" s="73"/>
      <c r="J851" s="73"/>
    </row>
    <row r="852" spans="1:10" ht="15.75" customHeight="1">
      <c r="A852" s="73"/>
      <c r="B852" s="73"/>
      <c r="C852" s="73"/>
      <c r="D852" s="73"/>
      <c r="E852" s="73"/>
      <c r="F852" s="73"/>
      <c r="G852" s="73"/>
      <c r="H852" s="73"/>
      <c r="J852" s="73"/>
    </row>
    <row r="853" spans="1:10" ht="15.75" customHeight="1">
      <c r="A853" s="73"/>
      <c r="B853" s="73"/>
      <c r="C853" s="73"/>
      <c r="D853" s="73"/>
      <c r="E853" s="73"/>
      <c r="F853" s="73"/>
      <c r="G853" s="73"/>
      <c r="H853" s="73"/>
      <c r="J853" s="73"/>
    </row>
    <row r="854" spans="1:10" ht="15.75" customHeight="1">
      <c r="A854" s="73"/>
      <c r="B854" s="73"/>
      <c r="C854" s="73"/>
      <c r="D854" s="73"/>
      <c r="E854" s="73"/>
      <c r="F854" s="73"/>
      <c r="G854" s="73"/>
      <c r="H854" s="73"/>
      <c r="J854" s="73"/>
    </row>
    <row r="855" spans="1:10" ht="15.75" customHeight="1">
      <c r="A855" s="73"/>
      <c r="B855" s="73"/>
      <c r="C855" s="73"/>
      <c r="D855" s="73"/>
      <c r="E855" s="73"/>
      <c r="F855" s="73"/>
      <c r="G855" s="73"/>
      <c r="H855" s="73"/>
      <c r="J855" s="73"/>
    </row>
    <row r="856" spans="1:10" ht="15.75" customHeight="1">
      <c r="A856" s="73"/>
      <c r="B856" s="73"/>
      <c r="C856" s="73"/>
      <c r="D856" s="73"/>
      <c r="E856" s="73"/>
      <c r="F856" s="73"/>
      <c r="G856" s="73"/>
      <c r="H856" s="73"/>
      <c r="J856" s="73"/>
    </row>
    <row r="857" spans="1:10" ht="15.75" customHeight="1">
      <c r="A857" s="73"/>
      <c r="B857" s="73"/>
      <c r="C857" s="73"/>
      <c r="D857" s="73"/>
      <c r="E857" s="73"/>
      <c r="F857" s="73"/>
      <c r="G857" s="73"/>
      <c r="H857" s="73"/>
      <c r="J857" s="73"/>
    </row>
    <row r="858" spans="1:10" ht="15.75" customHeight="1">
      <c r="A858" s="73"/>
      <c r="B858" s="73"/>
      <c r="C858" s="73"/>
      <c r="D858" s="73"/>
      <c r="E858" s="73"/>
      <c r="F858" s="73"/>
      <c r="G858" s="73"/>
      <c r="H858" s="73"/>
      <c r="J858" s="73"/>
    </row>
    <row r="859" spans="1:10" ht="15.75" customHeight="1">
      <c r="A859" s="73"/>
      <c r="B859" s="73"/>
      <c r="C859" s="73"/>
      <c r="D859" s="73"/>
      <c r="E859" s="73"/>
      <c r="F859" s="73"/>
      <c r="G859" s="73"/>
      <c r="H859" s="73"/>
      <c r="J859" s="73"/>
    </row>
    <row r="860" spans="1:10" ht="15.75" customHeight="1">
      <c r="A860" s="73"/>
      <c r="B860" s="73"/>
      <c r="C860" s="73"/>
      <c r="D860" s="73"/>
      <c r="E860" s="73"/>
      <c r="F860" s="73"/>
      <c r="G860" s="73"/>
      <c r="H860" s="73"/>
      <c r="J860" s="73"/>
    </row>
    <row r="861" spans="1:10" ht="15.75" customHeight="1">
      <c r="A861" s="73"/>
      <c r="B861" s="73"/>
      <c r="C861" s="73"/>
      <c r="D861" s="73"/>
      <c r="E861" s="73"/>
      <c r="F861" s="73"/>
      <c r="G861" s="73"/>
      <c r="H861" s="73"/>
      <c r="J861" s="73"/>
    </row>
    <row r="862" spans="1:10" ht="15.75" customHeight="1">
      <c r="A862" s="73"/>
      <c r="B862" s="73"/>
      <c r="C862" s="73"/>
      <c r="D862" s="73"/>
      <c r="E862" s="73"/>
      <c r="F862" s="73"/>
      <c r="G862" s="73"/>
      <c r="H862" s="73"/>
      <c r="J862" s="73"/>
    </row>
    <row r="863" spans="1:10" ht="15.75" customHeight="1">
      <c r="A863" s="73"/>
      <c r="B863" s="73"/>
      <c r="C863" s="73"/>
      <c r="D863" s="73"/>
      <c r="E863" s="73"/>
      <c r="F863" s="73"/>
      <c r="G863" s="73"/>
      <c r="H863" s="73"/>
      <c r="J863" s="73"/>
    </row>
    <row r="864" spans="1:10" ht="15.75" customHeight="1">
      <c r="A864" s="73"/>
      <c r="B864" s="73"/>
      <c r="C864" s="73"/>
      <c r="D864" s="73"/>
      <c r="E864" s="73"/>
      <c r="F864" s="73"/>
      <c r="G864" s="73"/>
      <c r="H864" s="73"/>
      <c r="J864" s="73"/>
    </row>
    <row r="865" spans="1:10" ht="15.75" customHeight="1">
      <c r="A865" s="73"/>
      <c r="B865" s="73"/>
      <c r="C865" s="73"/>
      <c r="D865" s="73"/>
      <c r="E865" s="73"/>
      <c r="F865" s="73"/>
      <c r="G865" s="73"/>
      <c r="H865" s="73"/>
      <c r="J865" s="73"/>
    </row>
    <row r="866" spans="1:10" ht="15.75" customHeight="1">
      <c r="A866" s="73"/>
      <c r="B866" s="73"/>
      <c r="C866" s="73"/>
      <c r="D866" s="73"/>
      <c r="E866" s="73"/>
      <c r="F866" s="73"/>
      <c r="G866" s="73"/>
      <c r="H866" s="73"/>
      <c r="J866" s="73"/>
    </row>
    <row r="867" spans="1:10" ht="15.75" customHeight="1">
      <c r="A867" s="73"/>
      <c r="B867" s="73"/>
      <c r="C867" s="73"/>
      <c r="D867" s="73"/>
      <c r="E867" s="73"/>
      <c r="F867" s="73"/>
      <c r="G867" s="73"/>
      <c r="H867" s="73"/>
      <c r="J867" s="73"/>
    </row>
    <row r="868" spans="1:10" ht="15.75" customHeight="1">
      <c r="A868" s="73"/>
      <c r="B868" s="73"/>
      <c r="C868" s="73"/>
      <c r="D868" s="73"/>
      <c r="E868" s="73"/>
      <c r="F868" s="73"/>
      <c r="G868" s="73"/>
      <c r="H868" s="73"/>
      <c r="J868" s="73"/>
    </row>
    <row r="869" spans="1:10" ht="15.75" customHeight="1">
      <c r="A869" s="73"/>
      <c r="B869" s="73"/>
      <c r="C869" s="73"/>
      <c r="D869" s="73"/>
      <c r="E869" s="73"/>
      <c r="F869" s="73"/>
      <c r="G869" s="73"/>
      <c r="H869" s="73"/>
      <c r="J869" s="73"/>
    </row>
    <row r="870" spans="1:10" ht="15.75" customHeight="1">
      <c r="A870" s="73"/>
      <c r="B870" s="73"/>
      <c r="C870" s="73"/>
      <c r="D870" s="73"/>
      <c r="E870" s="73"/>
      <c r="F870" s="73"/>
      <c r="G870" s="73"/>
      <c r="H870" s="73"/>
      <c r="J870" s="73"/>
    </row>
    <row r="871" spans="1:10" ht="15.75" customHeight="1">
      <c r="A871" s="73"/>
      <c r="B871" s="73"/>
      <c r="C871" s="73"/>
      <c r="D871" s="73"/>
      <c r="E871" s="73"/>
      <c r="F871" s="73"/>
      <c r="G871" s="73"/>
      <c r="H871" s="73"/>
      <c r="J871" s="73"/>
    </row>
    <row r="872" spans="1:10" ht="15.75" customHeight="1">
      <c r="A872" s="73"/>
      <c r="B872" s="73"/>
      <c r="C872" s="73"/>
      <c r="D872" s="73"/>
      <c r="E872" s="73"/>
      <c r="F872" s="73"/>
      <c r="G872" s="73"/>
      <c r="H872" s="73"/>
      <c r="J872" s="73"/>
    </row>
    <row r="873" spans="1:10" ht="15.75" customHeight="1">
      <c r="A873" s="73"/>
      <c r="B873" s="73"/>
      <c r="C873" s="73"/>
      <c r="D873" s="73"/>
      <c r="E873" s="73"/>
      <c r="F873" s="73"/>
      <c r="G873" s="73"/>
      <c r="H873" s="73"/>
      <c r="J873" s="73"/>
    </row>
    <row r="874" spans="1:10" ht="15.75" customHeight="1">
      <c r="A874" s="73"/>
      <c r="B874" s="73"/>
      <c r="C874" s="73"/>
      <c r="D874" s="73"/>
      <c r="E874" s="73"/>
      <c r="F874" s="73"/>
      <c r="G874" s="73"/>
      <c r="H874" s="73"/>
      <c r="J874" s="73"/>
    </row>
    <row r="875" spans="1:10" ht="15.75" customHeight="1">
      <c r="A875" s="73"/>
      <c r="B875" s="73"/>
      <c r="C875" s="73"/>
      <c r="D875" s="73"/>
      <c r="E875" s="73"/>
      <c r="F875" s="73"/>
      <c r="G875" s="73"/>
      <c r="H875" s="73"/>
      <c r="J875" s="73"/>
    </row>
    <row r="876" spans="1:10" ht="15.75" customHeight="1">
      <c r="A876" s="73"/>
      <c r="B876" s="73"/>
      <c r="C876" s="73"/>
      <c r="D876" s="73"/>
      <c r="E876" s="73"/>
      <c r="F876" s="73"/>
      <c r="G876" s="73"/>
      <c r="H876" s="73"/>
      <c r="J876" s="73"/>
    </row>
    <row r="877" spans="1:10" ht="15.75" customHeight="1">
      <c r="A877" s="73"/>
      <c r="B877" s="73"/>
      <c r="C877" s="73"/>
      <c r="D877" s="73"/>
      <c r="E877" s="73"/>
      <c r="F877" s="73"/>
      <c r="G877" s="73"/>
      <c r="H877" s="73"/>
      <c r="J877" s="73"/>
    </row>
    <row r="878" spans="1:10" ht="15.75" customHeight="1">
      <c r="A878" s="73"/>
      <c r="B878" s="73"/>
      <c r="C878" s="73"/>
      <c r="D878" s="73"/>
      <c r="E878" s="73"/>
      <c r="F878" s="73"/>
      <c r="G878" s="73"/>
      <c r="H878" s="73"/>
      <c r="J878" s="73"/>
    </row>
    <row r="879" spans="1:10" ht="15.75" customHeight="1">
      <c r="A879" s="73"/>
      <c r="B879" s="73"/>
      <c r="C879" s="73"/>
      <c r="D879" s="73"/>
      <c r="E879" s="73"/>
      <c r="F879" s="73"/>
      <c r="G879" s="73"/>
      <c r="H879" s="73"/>
      <c r="J879" s="73"/>
    </row>
    <row r="880" spans="1:10" ht="15.75" customHeight="1">
      <c r="A880" s="73"/>
      <c r="B880" s="73"/>
      <c r="C880" s="73"/>
      <c r="D880" s="73"/>
      <c r="E880" s="73"/>
      <c r="F880" s="73"/>
      <c r="G880" s="73"/>
      <c r="H880" s="73"/>
      <c r="J880" s="73"/>
    </row>
    <row r="881" spans="1:10" ht="15.75" customHeight="1">
      <c r="A881" s="73"/>
      <c r="B881" s="73"/>
      <c r="C881" s="73"/>
      <c r="D881" s="73"/>
      <c r="E881" s="73"/>
      <c r="F881" s="73"/>
      <c r="G881" s="73"/>
      <c r="H881" s="73"/>
      <c r="J881" s="73"/>
    </row>
    <row r="882" spans="1:10" ht="15.75" customHeight="1">
      <c r="A882" s="73"/>
      <c r="B882" s="73"/>
      <c r="C882" s="73"/>
      <c r="D882" s="73"/>
      <c r="E882" s="73"/>
      <c r="F882" s="73"/>
      <c r="G882" s="73"/>
      <c r="H882" s="73"/>
      <c r="J882" s="73"/>
    </row>
    <row r="883" spans="1:10" ht="15.75" customHeight="1">
      <c r="A883" s="73"/>
      <c r="B883" s="73"/>
      <c r="C883" s="73"/>
      <c r="D883" s="73"/>
      <c r="E883" s="73"/>
      <c r="F883" s="73"/>
      <c r="G883" s="73"/>
      <c r="H883" s="73"/>
      <c r="J883" s="73"/>
    </row>
    <row r="884" spans="1:10" ht="15.75" customHeight="1">
      <c r="A884" s="73"/>
      <c r="B884" s="73"/>
      <c r="C884" s="73"/>
      <c r="D884" s="73"/>
      <c r="E884" s="73"/>
      <c r="F884" s="73"/>
      <c r="G884" s="73"/>
      <c r="H884" s="73"/>
      <c r="J884" s="73"/>
    </row>
    <row r="885" spans="1:10" ht="15.75" customHeight="1">
      <c r="A885" s="73"/>
      <c r="B885" s="73"/>
      <c r="C885" s="73"/>
      <c r="D885" s="73"/>
      <c r="E885" s="73"/>
      <c r="F885" s="73"/>
      <c r="G885" s="73"/>
      <c r="H885" s="73"/>
      <c r="J885" s="73"/>
    </row>
    <row r="886" spans="1:10" ht="15.75" customHeight="1">
      <c r="A886" s="73"/>
      <c r="B886" s="73"/>
      <c r="C886" s="73"/>
      <c r="D886" s="73"/>
      <c r="E886" s="73"/>
      <c r="F886" s="73"/>
      <c r="G886" s="73"/>
      <c r="H886" s="73"/>
      <c r="J886" s="73"/>
    </row>
    <row r="887" spans="1:10" ht="15.75" customHeight="1">
      <c r="A887" s="73"/>
      <c r="B887" s="73"/>
      <c r="C887" s="73"/>
      <c r="D887" s="73"/>
      <c r="E887" s="73"/>
      <c r="F887" s="73"/>
      <c r="G887" s="73"/>
      <c r="H887" s="73"/>
      <c r="J887" s="73"/>
    </row>
    <row r="888" spans="1:10" ht="15.75" customHeight="1">
      <c r="A888" s="73"/>
      <c r="B888" s="73"/>
      <c r="C888" s="73"/>
      <c r="D888" s="73"/>
      <c r="E888" s="73"/>
      <c r="F888" s="73"/>
      <c r="G888" s="73"/>
      <c r="H888" s="73"/>
      <c r="J888" s="73"/>
    </row>
    <row r="889" spans="1:10" ht="15.75" customHeight="1">
      <c r="A889" s="73"/>
      <c r="B889" s="73"/>
      <c r="C889" s="73"/>
      <c r="D889" s="73"/>
      <c r="E889" s="73"/>
      <c r="F889" s="73"/>
      <c r="G889" s="73"/>
      <c r="H889" s="73"/>
      <c r="J889" s="73"/>
    </row>
    <row r="890" spans="1:10" ht="15.75" customHeight="1">
      <c r="A890" s="73"/>
      <c r="B890" s="73"/>
      <c r="C890" s="73"/>
      <c r="D890" s="73"/>
      <c r="E890" s="73"/>
      <c r="F890" s="73"/>
      <c r="G890" s="73"/>
      <c r="H890" s="73"/>
      <c r="J890" s="73"/>
    </row>
    <row r="891" spans="1:10" ht="15.75" customHeight="1">
      <c r="A891" s="73"/>
      <c r="B891" s="73"/>
      <c r="C891" s="73"/>
      <c r="D891" s="73"/>
      <c r="E891" s="73"/>
      <c r="F891" s="73"/>
      <c r="G891" s="73"/>
      <c r="H891" s="73"/>
      <c r="J891" s="73"/>
    </row>
    <row r="892" spans="1:10" ht="15.75" customHeight="1">
      <c r="A892" s="73"/>
      <c r="B892" s="73"/>
      <c r="C892" s="73"/>
      <c r="D892" s="73"/>
      <c r="E892" s="73"/>
      <c r="F892" s="73"/>
      <c r="G892" s="73"/>
      <c r="H892" s="73"/>
      <c r="J892" s="73"/>
    </row>
    <row r="893" spans="1:10" ht="15.75" customHeight="1">
      <c r="A893" s="73"/>
      <c r="B893" s="73"/>
      <c r="C893" s="73"/>
      <c r="D893" s="73"/>
      <c r="E893" s="73"/>
      <c r="F893" s="73"/>
      <c r="G893" s="73"/>
      <c r="H893" s="73"/>
      <c r="J893" s="73"/>
    </row>
    <row r="894" spans="1:10" ht="15.75" customHeight="1">
      <c r="A894" s="73"/>
      <c r="B894" s="73"/>
      <c r="C894" s="73"/>
      <c r="D894" s="73"/>
      <c r="E894" s="73"/>
      <c r="F894" s="73"/>
      <c r="G894" s="73"/>
      <c r="H894" s="73"/>
      <c r="J894" s="73"/>
    </row>
    <row r="895" spans="1:10" ht="15.75" customHeight="1">
      <c r="A895" s="73"/>
      <c r="B895" s="73"/>
      <c r="C895" s="73"/>
      <c r="D895" s="73"/>
      <c r="E895" s="73"/>
      <c r="F895" s="73"/>
      <c r="G895" s="73"/>
      <c r="H895" s="73"/>
      <c r="J895" s="73"/>
    </row>
    <row r="896" spans="1:10" ht="15.75" customHeight="1">
      <c r="A896" s="73"/>
      <c r="B896" s="73"/>
      <c r="C896" s="73"/>
      <c r="D896" s="73"/>
      <c r="E896" s="73"/>
      <c r="F896" s="73"/>
      <c r="G896" s="73"/>
      <c r="H896" s="73"/>
      <c r="J896" s="73"/>
    </row>
    <row r="897" spans="1:10" ht="15.75" customHeight="1">
      <c r="A897" s="73"/>
      <c r="B897" s="73"/>
      <c r="C897" s="73"/>
      <c r="D897" s="73"/>
      <c r="E897" s="73"/>
      <c r="F897" s="73"/>
      <c r="G897" s="73"/>
      <c r="H897" s="73"/>
      <c r="J897" s="73"/>
    </row>
    <row r="898" spans="1:10" ht="15.75" customHeight="1">
      <c r="A898" s="73"/>
      <c r="B898" s="73"/>
      <c r="C898" s="73"/>
      <c r="D898" s="73"/>
      <c r="E898" s="73"/>
      <c r="F898" s="73"/>
      <c r="G898" s="73"/>
      <c r="H898" s="73"/>
      <c r="J898" s="73"/>
    </row>
    <row r="899" spans="1:10" ht="15.75" customHeight="1">
      <c r="A899" s="73"/>
      <c r="B899" s="73"/>
      <c r="C899" s="73"/>
      <c r="D899" s="73"/>
      <c r="E899" s="73"/>
      <c r="F899" s="73"/>
      <c r="G899" s="73"/>
      <c r="H899" s="73"/>
      <c r="J899" s="73"/>
    </row>
    <row r="900" spans="1:10" ht="15.75" customHeight="1">
      <c r="A900" s="73"/>
      <c r="B900" s="73"/>
      <c r="C900" s="73"/>
      <c r="D900" s="73"/>
      <c r="E900" s="73"/>
      <c r="F900" s="73"/>
      <c r="G900" s="73"/>
      <c r="H900" s="73"/>
      <c r="J900" s="73"/>
    </row>
    <row r="901" spans="1:10" ht="15.75" customHeight="1">
      <c r="A901" s="73"/>
      <c r="B901" s="73"/>
      <c r="C901" s="73"/>
      <c r="D901" s="73"/>
      <c r="E901" s="73"/>
      <c r="F901" s="73"/>
      <c r="G901" s="73"/>
      <c r="H901" s="73"/>
      <c r="J901" s="73"/>
    </row>
    <row r="902" spans="1:10" ht="15.75" customHeight="1">
      <c r="A902" s="73"/>
      <c r="B902" s="73"/>
      <c r="C902" s="73"/>
      <c r="D902" s="73"/>
      <c r="E902" s="73"/>
      <c r="F902" s="73"/>
      <c r="G902" s="73"/>
      <c r="H902" s="73"/>
      <c r="J902" s="73"/>
    </row>
    <row r="903" spans="1:10" ht="15.75" customHeight="1">
      <c r="A903" s="73"/>
      <c r="B903" s="73"/>
      <c r="C903" s="73"/>
      <c r="D903" s="73"/>
      <c r="E903" s="73"/>
      <c r="F903" s="73"/>
      <c r="G903" s="73"/>
      <c r="H903" s="73"/>
      <c r="J903" s="73"/>
    </row>
    <row r="904" spans="1:10" ht="15.75" customHeight="1">
      <c r="A904" s="73"/>
      <c r="B904" s="73"/>
      <c r="C904" s="73"/>
      <c r="D904" s="73"/>
      <c r="E904" s="73"/>
      <c r="F904" s="73"/>
      <c r="G904" s="73"/>
      <c r="H904" s="73"/>
      <c r="J904" s="73"/>
    </row>
    <row r="905" spans="1:10" ht="15.75" customHeight="1">
      <c r="A905" s="73"/>
      <c r="B905" s="73"/>
      <c r="C905" s="73"/>
      <c r="D905" s="73"/>
      <c r="E905" s="73"/>
      <c r="F905" s="73"/>
      <c r="G905" s="73"/>
      <c r="H905" s="73"/>
      <c r="J905" s="73"/>
    </row>
    <row r="906" spans="1:10" ht="15.75" customHeight="1">
      <c r="A906" s="73"/>
      <c r="B906" s="73"/>
      <c r="C906" s="73"/>
      <c r="D906" s="73"/>
      <c r="E906" s="73"/>
      <c r="F906" s="73"/>
      <c r="G906" s="73"/>
      <c r="H906" s="73"/>
      <c r="J906" s="73"/>
    </row>
    <row r="907" spans="1:10" ht="15.75" customHeight="1">
      <c r="A907" s="73"/>
      <c r="B907" s="73"/>
      <c r="C907" s="73"/>
      <c r="D907" s="73"/>
      <c r="E907" s="73"/>
      <c r="F907" s="73"/>
      <c r="G907" s="73"/>
      <c r="H907" s="73"/>
      <c r="J907" s="73"/>
    </row>
    <row r="908" spans="1:10" ht="15.75" customHeight="1">
      <c r="A908" s="73"/>
      <c r="B908" s="73"/>
      <c r="C908" s="73"/>
      <c r="D908" s="73"/>
      <c r="E908" s="73"/>
      <c r="F908" s="73"/>
      <c r="G908" s="73"/>
      <c r="H908" s="73"/>
      <c r="J908" s="73"/>
    </row>
    <row r="909" spans="1:10" ht="15.75" customHeight="1">
      <c r="A909" s="73"/>
      <c r="B909" s="73"/>
      <c r="C909" s="73"/>
      <c r="D909" s="73"/>
      <c r="E909" s="73"/>
      <c r="F909" s="73"/>
      <c r="G909" s="73"/>
      <c r="H909" s="73"/>
      <c r="J909" s="73"/>
    </row>
    <row r="910" spans="1:10" ht="15.75" customHeight="1">
      <c r="A910" s="73"/>
      <c r="B910" s="73"/>
      <c r="C910" s="73"/>
      <c r="D910" s="73"/>
      <c r="E910" s="73"/>
      <c r="F910" s="73"/>
      <c r="G910" s="73"/>
      <c r="H910" s="73"/>
      <c r="J910" s="73"/>
    </row>
    <row r="911" spans="1:10" ht="15.75" customHeight="1">
      <c r="A911" s="73"/>
      <c r="B911" s="73"/>
      <c r="C911" s="73"/>
      <c r="D911" s="73"/>
      <c r="E911" s="73"/>
      <c r="F911" s="73"/>
      <c r="G911" s="73"/>
      <c r="H911" s="73"/>
      <c r="J911" s="73"/>
    </row>
    <row r="912" spans="1:10" ht="15.75" customHeight="1">
      <c r="A912" s="73"/>
      <c r="B912" s="73"/>
      <c r="C912" s="73"/>
      <c r="D912" s="73"/>
      <c r="E912" s="73"/>
      <c r="F912" s="73"/>
      <c r="G912" s="73"/>
      <c r="H912" s="73"/>
      <c r="J912" s="73"/>
    </row>
    <row r="913" spans="1:10" ht="15.75" customHeight="1">
      <c r="A913" s="73"/>
      <c r="B913" s="73"/>
      <c r="C913" s="73"/>
      <c r="D913" s="73"/>
      <c r="E913" s="73"/>
      <c r="F913" s="73"/>
      <c r="G913" s="73"/>
      <c r="H913" s="73"/>
      <c r="J913" s="73"/>
    </row>
    <row r="914" spans="1:10" ht="15.75" customHeight="1">
      <c r="A914" s="73"/>
      <c r="B914" s="73"/>
      <c r="C914" s="73"/>
      <c r="D914" s="73"/>
      <c r="E914" s="73"/>
      <c r="F914" s="73"/>
      <c r="G914" s="73"/>
      <c r="H914" s="73"/>
      <c r="J914" s="73"/>
    </row>
    <row r="915" spans="1:10" ht="15.75" customHeight="1">
      <c r="A915" s="73"/>
      <c r="B915" s="73"/>
      <c r="C915" s="73"/>
      <c r="D915" s="73"/>
      <c r="E915" s="73"/>
      <c r="F915" s="73"/>
      <c r="G915" s="73"/>
      <c r="H915" s="73"/>
      <c r="J915" s="73"/>
    </row>
    <row r="916" spans="1:10" ht="15.75" customHeight="1">
      <c r="A916" s="73"/>
      <c r="B916" s="73"/>
      <c r="C916" s="73"/>
      <c r="D916" s="73"/>
      <c r="E916" s="73"/>
      <c r="F916" s="73"/>
      <c r="G916" s="73"/>
      <c r="H916" s="73"/>
      <c r="J916" s="73"/>
    </row>
    <row r="917" spans="1:10" ht="15.75" customHeight="1">
      <c r="A917" s="73"/>
      <c r="B917" s="73"/>
      <c r="C917" s="73"/>
      <c r="D917" s="73"/>
      <c r="E917" s="73"/>
      <c r="F917" s="73"/>
      <c r="G917" s="73"/>
      <c r="H917" s="73"/>
      <c r="J917" s="73"/>
    </row>
    <row r="918" spans="1:10" ht="15.75" customHeight="1">
      <c r="A918" s="73"/>
      <c r="B918" s="73"/>
      <c r="C918" s="73"/>
      <c r="D918" s="73"/>
      <c r="E918" s="73"/>
      <c r="F918" s="73"/>
      <c r="G918" s="73"/>
      <c r="H918" s="73"/>
      <c r="J918" s="73"/>
    </row>
    <row r="919" spans="1:10" ht="15.75" customHeight="1">
      <c r="A919" s="73"/>
      <c r="B919" s="73"/>
      <c r="C919" s="73"/>
      <c r="D919" s="73"/>
      <c r="E919" s="73"/>
      <c r="F919" s="73"/>
      <c r="G919" s="73"/>
      <c r="H919" s="73"/>
      <c r="J919" s="73"/>
    </row>
    <row r="920" spans="1:10" ht="15.75" customHeight="1">
      <c r="A920" s="73"/>
      <c r="B920" s="73"/>
      <c r="C920" s="73"/>
      <c r="D920" s="73"/>
      <c r="E920" s="73"/>
      <c r="F920" s="73"/>
      <c r="G920" s="73"/>
      <c r="H920" s="73"/>
      <c r="J920" s="73"/>
    </row>
    <row r="921" spans="1:10" ht="15.75" customHeight="1">
      <c r="A921" s="73"/>
      <c r="B921" s="73"/>
      <c r="C921" s="73"/>
      <c r="D921" s="73"/>
      <c r="E921" s="73"/>
      <c r="F921" s="73"/>
      <c r="G921" s="73"/>
      <c r="H921" s="73"/>
      <c r="J921" s="73"/>
    </row>
    <row r="922" spans="1:10" ht="15.75" customHeight="1">
      <c r="A922" s="73"/>
      <c r="B922" s="73"/>
      <c r="C922" s="73"/>
      <c r="D922" s="73"/>
      <c r="E922" s="73"/>
      <c r="F922" s="73"/>
      <c r="G922" s="73"/>
      <c r="H922" s="73"/>
      <c r="J922" s="73"/>
    </row>
    <row r="923" spans="1:10" ht="15.75" customHeight="1">
      <c r="A923" s="73"/>
      <c r="B923" s="73"/>
      <c r="C923" s="73"/>
      <c r="D923" s="73"/>
      <c r="E923" s="73"/>
      <c r="F923" s="73"/>
      <c r="G923" s="73"/>
      <c r="H923" s="73"/>
      <c r="J923" s="73"/>
    </row>
    <row r="924" spans="1:10" ht="15.75" customHeight="1">
      <c r="A924" s="73"/>
      <c r="B924" s="73"/>
      <c r="C924" s="73"/>
      <c r="D924" s="73"/>
      <c r="E924" s="73"/>
      <c r="F924" s="73"/>
      <c r="G924" s="73"/>
      <c r="H924" s="73"/>
      <c r="J924" s="73"/>
    </row>
    <row r="925" spans="1:10" ht="15.75" customHeight="1">
      <c r="A925" s="73"/>
      <c r="B925" s="73"/>
      <c r="C925" s="73"/>
      <c r="D925" s="73"/>
      <c r="E925" s="73"/>
      <c r="F925" s="73"/>
      <c r="G925" s="73"/>
      <c r="H925" s="73"/>
      <c r="J925" s="73"/>
    </row>
    <row r="926" spans="1:10" ht="15.75" customHeight="1">
      <c r="A926" s="73"/>
      <c r="B926" s="73"/>
      <c r="C926" s="73"/>
      <c r="D926" s="73"/>
      <c r="E926" s="73"/>
      <c r="F926" s="73"/>
      <c r="G926" s="73"/>
      <c r="H926" s="73"/>
      <c r="J926" s="73"/>
    </row>
    <row r="927" spans="1:10" ht="15.75" customHeight="1">
      <c r="A927" s="73"/>
      <c r="B927" s="73"/>
      <c r="C927" s="73"/>
      <c r="D927" s="73"/>
      <c r="E927" s="73"/>
      <c r="F927" s="73"/>
      <c r="G927" s="73"/>
      <c r="H927" s="73"/>
      <c r="J927" s="73"/>
    </row>
    <row r="928" spans="1:10" ht="15.75" customHeight="1">
      <c r="A928" s="73"/>
      <c r="B928" s="73"/>
      <c r="C928" s="73"/>
      <c r="D928" s="73"/>
      <c r="E928" s="73"/>
      <c r="F928" s="73"/>
      <c r="G928" s="73"/>
      <c r="H928" s="73"/>
      <c r="J928" s="73"/>
    </row>
    <row r="929" spans="1:10" ht="15.75" customHeight="1">
      <c r="A929" s="73"/>
      <c r="B929" s="73"/>
      <c r="C929" s="73"/>
      <c r="D929" s="73"/>
      <c r="E929" s="73"/>
      <c r="F929" s="73"/>
      <c r="G929" s="73"/>
      <c r="H929" s="73"/>
      <c r="J929" s="73"/>
    </row>
    <row r="930" spans="1:10" ht="15.75" customHeight="1">
      <c r="A930" s="73"/>
      <c r="B930" s="73"/>
      <c r="C930" s="73"/>
      <c r="D930" s="73"/>
      <c r="E930" s="73"/>
      <c r="F930" s="73"/>
      <c r="G930" s="73"/>
      <c r="H930" s="73"/>
      <c r="J930" s="73"/>
    </row>
    <row r="931" spans="1:10" ht="15.75" customHeight="1">
      <c r="A931" s="73"/>
      <c r="B931" s="73"/>
      <c r="C931" s="73"/>
      <c r="D931" s="73"/>
      <c r="E931" s="73"/>
      <c r="F931" s="73"/>
      <c r="G931" s="73"/>
      <c r="H931" s="73"/>
      <c r="J931" s="73"/>
    </row>
    <row r="932" spans="1:10" ht="15.75" customHeight="1">
      <c r="A932" s="73"/>
      <c r="B932" s="73"/>
      <c r="C932" s="73"/>
      <c r="D932" s="73"/>
      <c r="E932" s="73"/>
      <c r="F932" s="73"/>
      <c r="G932" s="73"/>
      <c r="H932" s="73"/>
      <c r="J932" s="73"/>
    </row>
    <row r="933" spans="1:10" ht="15.75" customHeight="1">
      <c r="A933" s="73"/>
      <c r="B933" s="73"/>
      <c r="C933" s="73"/>
      <c r="D933" s="73"/>
      <c r="E933" s="73"/>
      <c r="F933" s="73"/>
      <c r="G933" s="73"/>
      <c r="H933" s="73"/>
      <c r="J933" s="73"/>
    </row>
    <row r="934" spans="1:10" ht="15.75" customHeight="1">
      <c r="A934" s="73"/>
      <c r="B934" s="73"/>
      <c r="C934" s="73"/>
      <c r="D934" s="73"/>
      <c r="E934" s="73"/>
      <c r="F934" s="73"/>
      <c r="G934" s="73"/>
      <c r="H934" s="73"/>
      <c r="J934" s="73"/>
    </row>
    <row r="935" spans="1:10" ht="15.75" customHeight="1">
      <c r="A935" s="73"/>
      <c r="B935" s="73"/>
      <c r="C935" s="73"/>
      <c r="D935" s="73"/>
      <c r="E935" s="73"/>
      <c r="F935" s="73"/>
      <c r="G935" s="73"/>
      <c r="H935" s="73"/>
      <c r="J935" s="73"/>
    </row>
    <row r="936" spans="1:10" ht="15.75" customHeight="1">
      <c r="A936" s="73"/>
      <c r="B936" s="73"/>
      <c r="C936" s="73"/>
      <c r="D936" s="73"/>
      <c r="E936" s="73"/>
      <c r="F936" s="73"/>
      <c r="G936" s="73"/>
      <c r="H936" s="73"/>
      <c r="J936" s="73"/>
    </row>
    <row r="937" spans="1:10" ht="15.75" customHeight="1">
      <c r="A937" s="73"/>
      <c r="B937" s="73"/>
      <c r="C937" s="73"/>
      <c r="D937" s="73"/>
      <c r="E937" s="73"/>
      <c r="F937" s="73"/>
      <c r="G937" s="73"/>
      <c r="H937" s="73"/>
      <c r="J937" s="73"/>
    </row>
    <row r="938" spans="1:10" ht="15.75" customHeight="1">
      <c r="A938" s="73"/>
      <c r="B938" s="73"/>
      <c r="C938" s="73"/>
      <c r="D938" s="73"/>
      <c r="E938" s="73"/>
      <c r="F938" s="73"/>
      <c r="G938" s="73"/>
      <c r="H938" s="73"/>
      <c r="J938" s="73"/>
    </row>
    <row r="939" spans="1:10" ht="15.75" customHeight="1">
      <c r="A939" s="73"/>
      <c r="B939" s="73"/>
      <c r="C939" s="73"/>
      <c r="D939" s="73"/>
      <c r="E939" s="73"/>
      <c r="F939" s="73"/>
      <c r="G939" s="73"/>
      <c r="H939" s="73"/>
      <c r="J939" s="73"/>
    </row>
    <row r="940" spans="1:10" ht="15.75" customHeight="1">
      <c r="A940" s="73"/>
      <c r="B940" s="73"/>
      <c r="C940" s="73"/>
      <c r="D940" s="73"/>
      <c r="E940" s="73"/>
      <c r="F940" s="73"/>
      <c r="G940" s="73"/>
      <c r="H940" s="73"/>
      <c r="J940" s="73"/>
    </row>
    <row r="941" spans="1:10" ht="15.75" customHeight="1">
      <c r="A941" s="73"/>
      <c r="B941" s="73"/>
      <c r="C941" s="73"/>
      <c r="D941" s="73"/>
      <c r="E941" s="73"/>
      <c r="F941" s="73"/>
      <c r="G941" s="73"/>
      <c r="H941" s="73"/>
      <c r="J941" s="73"/>
    </row>
    <row r="942" spans="1:10" ht="15.75" customHeight="1">
      <c r="A942" s="73"/>
      <c r="B942" s="73"/>
      <c r="C942" s="73"/>
      <c r="D942" s="73"/>
      <c r="E942" s="73"/>
      <c r="F942" s="73"/>
      <c r="G942" s="73"/>
      <c r="H942" s="73"/>
      <c r="J942" s="73"/>
    </row>
    <row r="943" spans="1:10" ht="15.75" customHeight="1">
      <c r="A943" s="73"/>
      <c r="B943" s="73"/>
      <c r="C943" s="73"/>
      <c r="D943" s="73"/>
      <c r="E943" s="73"/>
      <c r="F943" s="73"/>
      <c r="G943" s="73"/>
      <c r="H943" s="73"/>
      <c r="J943" s="73"/>
    </row>
    <row r="944" spans="1:10" ht="15.75" customHeight="1">
      <c r="A944" s="73"/>
      <c r="B944" s="73"/>
      <c r="C944" s="73"/>
      <c r="D944" s="73"/>
      <c r="E944" s="73"/>
      <c r="F944" s="73"/>
      <c r="G944" s="73"/>
      <c r="H944" s="73"/>
      <c r="J944" s="73"/>
    </row>
    <row r="945" spans="1:10" ht="15.75" customHeight="1">
      <c r="A945" s="73"/>
      <c r="B945" s="73"/>
      <c r="C945" s="73"/>
      <c r="D945" s="73"/>
      <c r="E945" s="73"/>
      <c r="F945" s="73"/>
      <c r="G945" s="73"/>
      <c r="H945" s="73"/>
      <c r="J945" s="73"/>
    </row>
    <row r="946" spans="1:10" ht="15.75" customHeight="1">
      <c r="A946" s="73"/>
      <c r="B946" s="73"/>
      <c r="C946" s="73"/>
      <c r="D946" s="73"/>
      <c r="E946" s="73"/>
      <c r="F946" s="73"/>
      <c r="G946" s="73"/>
      <c r="H946" s="73"/>
      <c r="J946" s="73"/>
    </row>
    <row r="947" spans="1:10" ht="15.75" customHeight="1">
      <c r="A947" s="73"/>
      <c r="B947" s="73"/>
      <c r="C947" s="73"/>
      <c r="D947" s="73"/>
      <c r="E947" s="73"/>
      <c r="F947" s="73"/>
      <c r="G947" s="73"/>
      <c r="H947" s="73"/>
      <c r="J947" s="73"/>
    </row>
    <row r="948" spans="1:10" ht="15.75" customHeight="1">
      <c r="A948" s="73"/>
      <c r="B948" s="73"/>
      <c r="C948" s="73"/>
      <c r="D948" s="73"/>
      <c r="E948" s="73"/>
      <c r="F948" s="73"/>
      <c r="G948" s="73"/>
      <c r="H948" s="73"/>
      <c r="J948" s="73"/>
    </row>
    <row r="949" spans="1:10" ht="15.75" customHeight="1">
      <c r="A949" s="73"/>
      <c r="B949" s="73"/>
      <c r="C949" s="73"/>
      <c r="D949" s="73"/>
      <c r="E949" s="73"/>
      <c r="F949" s="73"/>
      <c r="G949" s="73"/>
      <c r="H949" s="73"/>
      <c r="J949" s="73"/>
    </row>
    <row r="950" spans="1:10" ht="15.75" customHeight="1">
      <c r="A950" s="73"/>
      <c r="B950" s="73"/>
      <c r="C950" s="73"/>
      <c r="D950" s="73"/>
      <c r="E950" s="73"/>
      <c r="F950" s="73"/>
      <c r="G950" s="73"/>
      <c r="H950" s="73"/>
      <c r="J950" s="73"/>
    </row>
    <row r="951" spans="1:10" ht="15.75" customHeight="1">
      <c r="A951" s="73"/>
      <c r="B951" s="73"/>
      <c r="C951" s="73"/>
      <c r="D951" s="73"/>
      <c r="E951" s="73"/>
      <c r="F951" s="73"/>
      <c r="G951" s="73"/>
      <c r="H951" s="73"/>
      <c r="J951" s="73"/>
    </row>
    <row r="952" spans="1:10" ht="15.75" customHeight="1">
      <c r="A952" s="73"/>
      <c r="B952" s="73"/>
      <c r="C952" s="73"/>
      <c r="D952" s="73"/>
      <c r="E952" s="73"/>
      <c r="F952" s="73"/>
      <c r="G952" s="73"/>
      <c r="H952" s="73"/>
      <c r="J952" s="73"/>
    </row>
    <row r="953" spans="1:10" ht="15.75" customHeight="1">
      <c r="A953" s="73"/>
      <c r="B953" s="73"/>
      <c r="C953" s="73"/>
      <c r="D953" s="73"/>
      <c r="E953" s="73"/>
      <c r="F953" s="73"/>
      <c r="G953" s="73"/>
      <c r="H953" s="73"/>
      <c r="J953" s="73"/>
    </row>
    <row r="954" spans="1:10" ht="15.75" customHeight="1">
      <c r="A954" s="73"/>
      <c r="B954" s="73"/>
      <c r="C954" s="73"/>
      <c r="D954" s="73"/>
      <c r="E954" s="73"/>
      <c r="F954" s="73"/>
      <c r="G954" s="73"/>
      <c r="H954" s="73"/>
      <c r="J954" s="73"/>
    </row>
    <row r="955" spans="1:10" ht="15.75" customHeight="1">
      <c r="A955" s="73"/>
      <c r="B955" s="73"/>
      <c r="C955" s="73"/>
      <c r="D955" s="73"/>
      <c r="E955" s="73"/>
      <c r="F955" s="73"/>
      <c r="G955" s="73"/>
      <c r="H955" s="73"/>
      <c r="J955" s="73"/>
    </row>
    <row r="956" spans="1:10" ht="15.75" customHeight="1">
      <c r="A956" s="73"/>
      <c r="B956" s="73"/>
      <c r="C956" s="73"/>
      <c r="D956" s="73"/>
      <c r="E956" s="73"/>
      <c r="F956" s="73"/>
      <c r="G956" s="73"/>
      <c r="H956" s="73"/>
      <c r="J956" s="73"/>
    </row>
    <row r="957" spans="1:10" ht="15.75" customHeight="1">
      <c r="A957" s="73"/>
      <c r="B957" s="73"/>
      <c r="C957" s="73"/>
      <c r="D957" s="73"/>
      <c r="E957" s="73"/>
      <c r="F957" s="73"/>
      <c r="G957" s="73"/>
      <c r="H957" s="73"/>
      <c r="J957" s="73"/>
    </row>
    <row r="958" spans="1:10" ht="15.75" customHeight="1">
      <c r="A958" s="73"/>
      <c r="B958" s="73"/>
      <c r="C958" s="73"/>
      <c r="D958" s="73"/>
      <c r="E958" s="73"/>
      <c r="F958" s="73"/>
      <c r="G958" s="73"/>
      <c r="H958" s="73"/>
      <c r="J958" s="73"/>
    </row>
    <row r="959" spans="1:10" ht="15.75" customHeight="1">
      <c r="A959" s="73"/>
      <c r="B959" s="73"/>
      <c r="C959" s="73"/>
      <c r="D959" s="73"/>
      <c r="E959" s="73"/>
      <c r="F959" s="73"/>
      <c r="G959" s="73"/>
      <c r="H959" s="73"/>
      <c r="J959" s="73"/>
    </row>
    <row r="960" spans="1:10" ht="15.75" customHeight="1">
      <c r="A960" s="73"/>
      <c r="B960" s="73"/>
      <c r="C960" s="73"/>
      <c r="D960" s="73"/>
      <c r="E960" s="73"/>
      <c r="F960" s="73"/>
      <c r="G960" s="73"/>
      <c r="H960" s="73"/>
      <c r="J960" s="73"/>
    </row>
    <row r="961" spans="1:10" ht="15.75" customHeight="1">
      <c r="A961" s="73"/>
      <c r="B961" s="73"/>
      <c r="C961" s="73"/>
      <c r="D961" s="73"/>
      <c r="E961" s="73"/>
      <c r="F961" s="73"/>
      <c r="G961" s="73"/>
      <c r="H961" s="73"/>
      <c r="J961" s="73"/>
    </row>
    <row r="962" spans="1:10" ht="15.75" customHeight="1">
      <c r="A962" s="73"/>
      <c r="B962" s="73"/>
      <c r="C962" s="73"/>
      <c r="D962" s="73"/>
      <c r="E962" s="73"/>
      <c r="F962" s="73"/>
      <c r="G962" s="73"/>
      <c r="H962" s="73"/>
      <c r="J962" s="73"/>
    </row>
    <row r="963" spans="1:10" ht="15.75" customHeight="1">
      <c r="A963" s="73"/>
      <c r="B963" s="73"/>
      <c r="C963" s="73"/>
      <c r="D963" s="73"/>
      <c r="E963" s="73"/>
      <c r="F963" s="73"/>
      <c r="G963" s="73"/>
      <c r="H963" s="73"/>
      <c r="J963" s="73"/>
    </row>
    <row r="964" spans="1:10" ht="15.75" customHeight="1">
      <c r="A964" s="73"/>
      <c r="B964" s="73"/>
      <c r="C964" s="73"/>
      <c r="D964" s="73"/>
      <c r="E964" s="73"/>
      <c r="F964" s="73"/>
      <c r="G964" s="73"/>
      <c r="H964" s="73"/>
      <c r="J964" s="73"/>
    </row>
    <row r="965" spans="1:10" ht="15.75" customHeight="1">
      <c r="A965" s="73"/>
      <c r="B965" s="73"/>
      <c r="C965" s="73"/>
      <c r="D965" s="73"/>
      <c r="E965" s="73"/>
      <c r="F965" s="73"/>
      <c r="G965" s="73"/>
      <c r="H965" s="73"/>
      <c r="J965" s="73"/>
    </row>
    <row r="966" spans="1:10" ht="15.75" customHeight="1">
      <c r="A966" s="73"/>
      <c r="B966" s="73"/>
      <c r="C966" s="73"/>
      <c r="D966" s="73"/>
      <c r="E966" s="73"/>
      <c r="F966" s="73"/>
      <c r="G966" s="73"/>
      <c r="H966" s="73"/>
      <c r="J966" s="73"/>
    </row>
    <row r="967" spans="1:10" ht="15.75" customHeight="1">
      <c r="A967" s="73"/>
      <c r="B967" s="73"/>
      <c r="C967" s="73"/>
      <c r="D967" s="73"/>
      <c r="E967" s="73"/>
      <c r="F967" s="73"/>
      <c r="G967" s="73"/>
      <c r="H967" s="73"/>
      <c r="J967" s="73"/>
    </row>
    <row r="968" spans="1:10" ht="15.75" customHeight="1">
      <c r="A968" s="73"/>
      <c r="B968" s="73"/>
      <c r="C968" s="73"/>
      <c r="D968" s="73"/>
      <c r="E968" s="73"/>
      <c r="F968" s="73"/>
      <c r="G968" s="73"/>
      <c r="H968" s="73"/>
      <c r="J968" s="73"/>
    </row>
    <row r="969" spans="1:10" ht="15.75" customHeight="1">
      <c r="A969" s="73"/>
      <c r="B969" s="73"/>
      <c r="C969" s="73"/>
      <c r="D969" s="73"/>
      <c r="E969" s="73"/>
      <c r="F969" s="73"/>
      <c r="G969" s="73"/>
      <c r="H969" s="73"/>
      <c r="J969" s="73"/>
    </row>
    <row r="970" spans="1:10" ht="15.75" customHeight="1">
      <c r="A970" s="73"/>
      <c r="B970" s="73"/>
      <c r="C970" s="73"/>
      <c r="D970" s="73"/>
      <c r="E970" s="73"/>
      <c r="F970" s="73"/>
      <c r="G970" s="73"/>
      <c r="H970" s="73"/>
      <c r="J970" s="73"/>
    </row>
    <row r="971" spans="1:10" ht="15.75" customHeight="1">
      <c r="A971" s="73"/>
      <c r="B971" s="73"/>
      <c r="C971" s="73"/>
      <c r="D971" s="73"/>
      <c r="E971" s="73"/>
      <c r="F971" s="73"/>
      <c r="G971" s="73"/>
      <c r="H971" s="73"/>
      <c r="J971" s="73"/>
    </row>
    <row r="972" spans="1:10" ht="15.75" customHeight="1">
      <c r="A972" s="73"/>
      <c r="B972" s="73"/>
      <c r="C972" s="73"/>
      <c r="D972" s="73"/>
      <c r="E972" s="73"/>
      <c r="F972" s="73"/>
      <c r="G972" s="73"/>
      <c r="H972" s="73"/>
      <c r="J972" s="73"/>
    </row>
    <row r="973" spans="1:10" ht="15.75" customHeight="1">
      <c r="A973" s="73"/>
      <c r="B973" s="73"/>
      <c r="C973" s="73"/>
      <c r="D973" s="73"/>
      <c r="E973" s="73"/>
      <c r="F973" s="73"/>
      <c r="G973" s="73"/>
      <c r="H973" s="73"/>
      <c r="J973" s="73"/>
    </row>
    <row r="974" spans="1:10" ht="15.75" customHeight="1">
      <c r="A974" s="73"/>
      <c r="B974" s="73"/>
      <c r="C974" s="73"/>
      <c r="D974" s="73"/>
      <c r="E974" s="73"/>
      <c r="F974" s="73"/>
      <c r="G974" s="73"/>
      <c r="H974" s="73"/>
      <c r="J974" s="73"/>
    </row>
    <row r="975" spans="1:10" ht="15.75" customHeight="1">
      <c r="A975" s="73"/>
      <c r="B975" s="73"/>
      <c r="C975" s="73"/>
      <c r="D975" s="73"/>
      <c r="E975" s="73"/>
      <c r="F975" s="73"/>
      <c r="G975" s="73"/>
      <c r="H975" s="73"/>
      <c r="J975" s="73"/>
    </row>
    <row r="976" spans="1:10" ht="15.75" customHeight="1">
      <c r="A976" s="73"/>
      <c r="B976" s="73"/>
      <c r="C976" s="73"/>
      <c r="D976" s="73"/>
      <c r="E976" s="73"/>
      <c r="F976" s="73"/>
      <c r="G976" s="73"/>
      <c r="H976" s="73"/>
      <c r="J976" s="73"/>
    </row>
    <row r="977" spans="1:10" ht="15.75" customHeight="1">
      <c r="A977" s="73"/>
      <c r="B977" s="73"/>
      <c r="C977" s="73"/>
      <c r="D977" s="73"/>
      <c r="E977" s="73"/>
      <c r="F977" s="73"/>
      <c r="G977" s="73"/>
      <c r="H977" s="73"/>
      <c r="J977" s="73"/>
    </row>
    <row r="978" spans="1:10" ht="15.75" customHeight="1">
      <c r="A978" s="73"/>
      <c r="B978" s="73"/>
      <c r="C978" s="73"/>
      <c r="D978" s="73"/>
      <c r="E978" s="73"/>
      <c r="F978" s="73"/>
      <c r="G978" s="73"/>
      <c r="H978" s="73"/>
      <c r="J978" s="73"/>
    </row>
    <row r="979" spans="1:10" ht="15.75" customHeight="1">
      <c r="A979" s="73"/>
      <c r="B979" s="73"/>
      <c r="C979" s="73"/>
      <c r="D979" s="73"/>
      <c r="E979" s="73"/>
      <c r="F979" s="73"/>
      <c r="G979" s="73"/>
      <c r="H979" s="73"/>
      <c r="J979" s="73"/>
    </row>
    <row r="980" spans="1:10" ht="15.75" customHeight="1">
      <c r="A980" s="73"/>
      <c r="B980" s="73"/>
      <c r="C980" s="73"/>
      <c r="D980" s="73"/>
      <c r="E980" s="73"/>
      <c r="F980" s="73"/>
      <c r="G980" s="73"/>
      <c r="H980" s="73"/>
      <c r="J980" s="73"/>
    </row>
    <row r="981" spans="1:10" ht="15.75" customHeight="1">
      <c r="A981" s="73"/>
      <c r="B981" s="73"/>
      <c r="C981" s="73"/>
      <c r="D981" s="73"/>
      <c r="E981" s="73"/>
      <c r="F981" s="73"/>
      <c r="G981" s="73"/>
      <c r="H981" s="73"/>
      <c r="J981" s="73"/>
    </row>
    <row r="982" spans="1:10" ht="15.75" customHeight="1">
      <c r="A982" s="73"/>
      <c r="B982" s="73"/>
      <c r="C982" s="73"/>
      <c r="D982" s="73"/>
      <c r="E982" s="73"/>
      <c r="F982" s="73"/>
      <c r="G982" s="73"/>
      <c r="H982" s="73"/>
      <c r="J982" s="73"/>
    </row>
    <row r="983" spans="1:10" ht="15.75" customHeight="1">
      <c r="A983" s="73"/>
      <c r="B983" s="73"/>
      <c r="C983" s="73"/>
      <c r="D983" s="73"/>
      <c r="E983" s="73"/>
      <c r="F983" s="73"/>
      <c r="G983" s="73"/>
      <c r="H983" s="73"/>
      <c r="J983" s="73"/>
    </row>
    <row r="984" spans="1:10" ht="15.75" customHeight="1">
      <c r="A984" s="73"/>
      <c r="B984" s="73"/>
      <c r="C984" s="73"/>
      <c r="D984" s="73"/>
      <c r="E984" s="73"/>
      <c r="F984" s="73"/>
      <c r="G984" s="73"/>
      <c r="H984" s="73"/>
      <c r="J984" s="73"/>
    </row>
    <row r="985" spans="1:10" ht="15.75" customHeight="1">
      <c r="A985" s="73"/>
      <c r="B985" s="73"/>
      <c r="C985" s="73"/>
      <c r="D985" s="73"/>
      <c r="E985" s="73"/>
      <c r="F985" s="73"/>
      <c r="G985" s="73"/>
      <c r="H985" s="73"/>
      <c r="J985" s="73"/>
    </row>
    <row r="986" spans="1:10" ht="15.75" customHeight="1">
      <c r="A986" s="73"/>
      <c r="B986" s="73"/>
      <c r="C986" s="73"/>
      <c r="D986" s="73"/>
      <c r="E986" s="73"/>
      <c r="F986" s="73"/>
      <c r="G986" s="73"/>
      <c r="H986" s="73"/>
      <c r="J986" s="73"/>
    </row>
    <row r="987" spans="1:10" ht="15.75" customHeight="1">
      <c r="A987" s="73"/>
      <c r="B987" s="73"/>
      <c r="C987" s="73"/>
      <c r="D987" s="73"/>
      <c r="E987" s="73"/>
      <c r="F987" s="73"/>
      <c r="G987" s="73"/>
      <c r="H987" s="73"/>
      <c r="J987" s="73"/>
    </row>
    <row r="988" spans="1:10" ht="15.75" customHeight="1">
      <c r="A988" s="73"/>
      <c r="B988" s="73"/>
      <c r="C988" s="73"/>
      <c r="D988" s="73"/>
      <c r="E988" s="73"/>
      <c r="F988" s="73"/>
      <c r="G988" s="73"/>
      <c r="H988" s="73"/>
      <c r="J988" s="73"/>
    </row>
    <row r="989" spans="1:10" ht="15.75" customHeight="1">
      <c r="A989" s="73"/>
      <c r="B989" s="73"/>
      <c r="C989" s="73"/>
      <c r="D989" s="73"/>
      <c r="E989" s="73"/>
      <c r="F989" s="73"/>
      <c r="G989" s="73"/>
      <c r="H989" s="73"/>
      <c r="J989" s="73"/>
    </row>
    <row r="990" spans="1:10" ht="15.75" customHeight="1">
      <c r="A990" s="73"/>
      <c r="B990" s="73"/>
      <c r="C990" s="73"/>
      <c r="D990" s="73"/>
      <c r="E990" s="73"/>
      <c r="F990" s="73"/>
      <c r="G990" s="73"/>
      <c r="H990" s="73"/>
      <c r="J990" s="73"/>
    </row>
    <row r="991" spans="1:10" ht="15.75" customHeight="1">
      <c r="A991" s="73"/>
      <c r="B991" s="73"/>
      <c r="C991" s="73"/>
      <c r="D991" s="73"/>
      <c r="E991" s="73"/>
      <c r="F991" s="73"/>
      <c r="G991" s="73"/>
      <c r="H991" s="73"/>
      <c r="J991" s="73"/>
    </row>
    <row r="992" spans="1:10" ht="15.75" customHeight="1">
      <c r="A992" s="73"/>
      <c r="B992" s="73"/>
      <c r="C992" s="73"/>
      <c r="D992" s="73"/>
      <c r="E992" s="73"/>
      <c r="F992" s="73"/>
      <c r="G992" s="73"/>
      <c r="H992" s="73"/>
      <c r="J992" s="73"/>
    </row>
    <row r="993" spans="1:10" ht="15.75" customHeight="1">
      <c r="A993" s="73"/>
      <c r="B993" s="73"/>
      <c r="C993" s="73"/>
      <c r="D993" s="73"/>
      <c r="E993" s="73"/>
      <c r="F993" s="73"/>
      <c r="G993" s="73"/>
      <c r="H993" s="73"/>
      <c r="J993" s="73"/>
    </row>
    <row r="994" spans="1:10" ht="15.75" customHeight="1">
      <c r="A994" s="73"/>
      <c r="B994" s="73"/>
      <c r="C994" s="73"/>
      <c r="D994" s="73"/>
      <c r="E994" s="73"/>
      <c r="F994" s="73"/>
      <c r="G994" s="73"/>
      <c r="H994" s="73"/>
      <c r="J994" s="73"/>
    </row>
    <row r="995" spans="1:10" ht="15.75" customHeight="1">
      <c r="A995" s="73"/>
      <c r="B995" s="73"/>
      <c r="C995" s="73"/>
      <c r="D995" s="73"/>
      <c r="E995" s="73"/>
      <c r="F995" s="73"/>
      <c r="G995" s="73"/>
      <c r="H995" s="73"/>
      <c r="J995" s="73"/>
    </row>
    <row r="996" spans="1:10" ht="15.75" customHeight="1">
      <c r="A996" s="73"/>
      <c r="B996" s="73"/>
      <c r="C996" s="73"/>
      <c r="D996" s="73"/>
      <c r="E996" s="73"/>
      <c r="F996" s="73"/>
      <c r="G996" s="73"/>
      <c r="H996" s="73"/>
      <c r="J996" s="73"/>
    </row>
    <row r="997" spans="1:10" ht="15.75" customHeight="1">
      <c r="A997" s="73"/>
      <c r="B997" s="73"/>
      <c r="C997" s="73"/>
      <c r="D997" s="73"/>
      <c r="E997" s="73"/>
      <c r="F997" s="73"/>
      <c r="G997" s="73"/>
      <c r="H997" s="73"/>
      <c r="J997" s="73"/>
    </row>
    <row r="998" spans="1:10" ht="15.75" customHeight="1">
      <c r="A998" s="73"/>
      <c r="B998" s="73"/>
      <c r="C998" s="73"/>
      <c r="D998" s="73"/>
      <c r="E998" s="73"/>
      <c r="F998" s="73"/>
      <c r="G998" s="73"/>
      <c r="H998" s="73"/>
      <c r="J998" s="73"/>
    </row>
    <row r="999" spans="1:10" ht="15.75" customHeight="1">
      <c r="A999" s="73"/>
      <c r="B999" s="73"/>
      <c r="C999" s="73"/>
      <c r="D999" s="73"/>
      <c r="E999" s="73"/>
      <c r="F999" s="73"/>
      <c r="G999" s="73"/>
      <c r="H999" s="73"/>
      <c r="J999" s="73"/>
    </row>
    <row r="1000" spans="1:10" ht="15.75" customHeight="1">
      <c r="A1000" s="73"/>
      <c r="B1000" s="73"/>
      <c r="C1000" s="73"/>
      <c r="D1000" s="73"/>
      <c r="E1000" s="73"/>
      <c r="F1000" s="73"/>
      <c r="G1000" s="73"/>
      <c r="H1000" s="73"/>
      <c r="J1000" s="73"/>
    </row>
  </sheetData>
  <mergeCells count="26">
    <mergeCell ref="A42:J46"/>
    <mergeCell ref="D3:D4"/>
    <mergeCell ref="E3:E4"/>
    <mergeCell ref="A5:A8"/>
    <mergeCell ref="A9:A11"/>
    <mergeCell ref="A12:A15"/>
    <mergeCell ref="A16:A21"/>
    <mergeCell ref="A22:A27"/>
    <mergeCell ref="I28:I32"/>
    <mergeCell ref="I39:I41"/>
    <mergeCell ref="A1:B2"/>
    <mergeCell ref="C1:C2"/>
    <mergeCell ref="D1:D2"/>
    <mergeCell ref="E1:E2"/>
    <mergeCell ref="F1:J2"/>
    <mergeCell ref="A3:B3"/>
    <mergeCell ref="C3:C4"/>
    <mergeCell ref="J3:J4"/>
    <mergeCell ref="A28:A32"/>
    <mergeCell ref="A33:A38"/>
    <mergeCell ref="A39:A41"/>
    <mergeCell ref="F3:F4"/>
    <mergeCell ref="I3:I4"/>
    <mergeCell ref="I5:I15"/>
    <mergeCell ref="I16:I21"/>
    <mergeCell ref="I22:I27"/>
  </mergeCells>
  <phoneticPr fontId="30" type="noConversion"/>
  <pageMargins left="0.25" right="0.25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31.42578125" customWidth="1"/>
    <col min="2" max="2" width="141.140625" customWidth="1"/>
    <col min="3" max="3" width="41.7109375" customWidth="1"/>
    <col min="4" max="4" width="26.42578125" customWidth="1"/>
    <col min="5" max="5" width="21.5703125" customWidth="1"/>
    <col min="6" max="7" width="12.42578125" customWidth="1"/>
    <col min="8" max="8" width="21.140625" customWidth="1"/>
    <col min="9" max="9" width="21.5703125" customWidth="1"/>
    <col min="11" max="11" width="35.5703125" customWidth="1"/>
  </cols>
  <sheetData>
    <row r="1" spans="1:27" ht="16.5" customHeight="1">
      <c r="A1" s="625" t="s">
        <v>397</v>
      </c>
      <c r="B1" s="611"/>
      <c r="C1" s="683" t="s">
        <v>353</v>
      </c>
      <c r="D1" s="683" t="s">
        <v>398</v>
      </c>
      <c r="E1" s="691" t="s">
        <v>228</v>
      </c>
      <c r="F1" s="611"/>
      <c r="G1" s="611"/>
      <c r="H1" s="611"/>
      <c r="I1" s="6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>
      <c r="A2" s="608"/>
      <c r="B2" s="613"/>
      <c r="C2" s="606"/>
      <c r="D2" s="606"/>
      <c r="E2" s="630"/>
      <c r="F2" s="631"/>
      <c r="G2" s="631"/>
      <c r="H2" s="631"/>
      <c r="I2" s="6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>
      <c r="A3" s="699"/>
      <c r="B3" s="700"/>
      <c r="C3" s="678" t="s">
        <v>230</v>
      </c>
      <c r="D3" s="688" t="s">
        <v>231</v>
      </c>
      <c r="E3" s="678" t="s">
        <v>232</v>
      </c>
      <c r="F3" s="3" t="s">
        <v>4</v>
      </c>
      <c r="G3" s="4" t="s">
        <v>5</v>
      </c>
      <c r="H3" s="679" t="s">
        <v>6</v>
      </c>
      <c r="I3" s="678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>
      <c r="A4" s="263" t="s">
        <v>8</v>
      </c>
      <c r="B4" s="264" t="s">
        <v>9</v>
      </c>
      <c r="C4" s="606"/>
      <c r="D4" s="601"/>
      <c r="E4" s="636"/>
      <c r="F4" s="213" t="s">
        <v>10</v>
      </c>
      <c r="G4" s="213" t="s">
        <v>11</v>
      </c>
      <c r="H4" s="618"/>
      <c r="I4" s="60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customHeight="1">
      <c r="A5" s="701" t="s">
        <v>399</v>
      </c>
      <c r="B5" s="96" t="s">
        <v>400</v>
      </c>
      <c r="C5" s="265"/>
      <c r="D5" s="265">
        <v>220000</v>
      </c>
      <c r="E5" s="156" t="e">
        <f t="shared" ref="E5:E11" si="0">1-D5/#REF!</f>
        <v>#REF!</v>
      </c>
      <c r="F5" s="266"/>
      <c r="G5" s="266"/>
      <c r="H5" s="267"/>
      <c r="I5" s="18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>
      <c r="A6" s="605"/>
      <c r="B6" s="90" t="s">
        <v>401</v>
      </c>
      <c r="C6" s="157"/>
      <c r="D6" s="157">
        <v>1000000</v>
      </c>
      <c r="E6" s="156" t="e">
        <f t="shared" si="0"/>
        <v>#REF!</v>
      </c>
      <c r="F6" s="696"/>
      <c r="G6" s="696"/>
      <c r="H6" s="696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>
      <c r="A7" s="605"/>
      <c r="B7" s="90" t="s">
        <v>402</v>
      </c>
      <c r="C7" s="157"/>
      <c r="D7" s="157">
        <v>2000000</v>
      </c>
      <c r="E7" s="156" t="e">
        <f t="shared" si="0"/>
        <v>#REF!</v>
      </c>
      <c r="F7" s="697"/>
      <c r="G7" s="697"/>
      <c r="H7" s="697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>
      <c r="A8" s="605"/>
      <c r="B8" s="90" t="s">
        <v>403</v>
      </c>
      <c r="C8" s="157"/>
      <c r="D8" s="157">
        <v>3000000</v>
      </c>
      <c r="E8" s="156" t="e">
        <f t="shared" si="0"/>
        <v>#REF!</v>
      </c>
      <c r="F8" s="697"/>
      <c r="G8" s="697"/>
      <c r="H8" s="697"/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>
      <c r="A9" s="606"/>
      <c r="B9" s="94" t="s">
        <v>404</v>
      </c>
      <c r="C9" s="159"/>
      <c r="D9" s="159">
        <v>4000000</v>
      </c>
      <c r="E9" s="160" t="e">
        <f t="shared" si="0"/>
        <v>#REF!</v>
      </c>
      <c r="F9" s="698"/>
      <c r="G9" s="698"/>
      <c r="H9" s="698"/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>
      <c r="A10" s="702" t="s">
        <v>405</v>
      </c>
      <c r="B10" s="268" t="s">
        <v>406</v>
      </c>
      <c r="C10" s="269">
        <v>137000</v>
      </c>
      <c r="D10" s="270">
        <v>69000</v>
      </c>
      <c r="E10" s="156" t="e">
        <f t="shared" si="0"/>
        <v>#REF!</v>
      </c>
      <c r="F10" s="271"/>
      <c r="G10" s="272"/>
      <c r="H10" s="693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>
      <c r="A11" s="654"/>
      <c r="B11" s="61" t="s">
        <v>407</v>
      </c>
      <c r="C11" s="129">
        <f>D11*2-1000</f>
        <v>137000</v>
      </c>
      <c r="D11" s="132">
        <v>69000</v>
      </c>
      <c r="E11" s="156" t="e">
        <f t="shared" si="0"/>
        <v>#REF!</v>
      </c>
      <c r="F11" s="271"/>
      <c r="G11" s="272"/>
      <c r="H11" s="603"/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>
      <c r="A12" s="654"/>
      <c r="B12" s="273" t="s">
        <v>408</v>
      </c>
      <c r="C12" s="269">
        <v>297000</v>
      </c>
      <c r="D12" s="270">
        <v>149000</v>
      </c>
      <c r="E12" s="156"/>
      <c r="F12" s="274"/>
      <c r="G12" s="275"/>
      <c r="H12" s="603"/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>
      <c r="A13" s="654"/>
      <c r="B13" s="88" t="s">
        <v>409</v>
      </c>
      <c r="C13" s="129">
        <f>D13*2-1000</f>
        <v>297000</v>
      </c>
      <c r="D13" s="132">
        <v>149000</v>
      </c>
      <c r="E13" s="156" t="e">
        <f>1-D13/#REF!</f>
        <v>#REF!</v>
      </c>
      <c r="F13" s="274"/>
      <c r="G13" s="275"/>
      <c r="H13" s="603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>
      <c r="A14" s="654"/>
      <c r="B14" s="273" t="s">
        <v>410</v>
      </c>
      <c r="C14" s="269">
        <v>355000</v>
      </c>
      <c r="D14" s="270">
        <v>178000</v>
      </c>
      <c r="E14" s="156"/>
      <c r="F14" s="274"/>
      <c r="G14" s="276"/>
      <c r="H14" s="603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>
      <c r="A15" s="654"/>
      <c r="B15" s="88" t="s">
        <v>411</v>
      </c>
      <c r="C15" s="129">
        <f t="shared" ref="C15:C16" si="1">D15*2-1000</f>
        <v>477000</v>
      </c>
      <c r="D15" s="132">
        <v>239000</v>
      </c>
      <c r="E15" s="156" t="e">
        <f t="shared" ref="E15:E16" si="2">1-D15/#REF!</f>
        <v>#REF!</v>
      </c>
      <c r="F15" s="277"/>
      <c r="G15" s="278"/>
      <c r="H15" s="603"/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>
      <c r="A16" s="654"/>
      <c r="B16" s="279" t="s">
        <v>412</v>
      </c>
      <c r="C16" s="129">
        <f t="shared" si="1"/>
        <v>457000</v>
      </c>
      <c r="D16" s="132">
        <v>229000</v>
      </c>
      <c r="E16" s="156" t="e">
        <f t="shared" si="2"/>
        <v>#REF!</v>
      </c>
      <c r="F16" s="277"/>
      <c r="G16" s="278"/>
      <c r="H16" s="603"/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>
      <c r="A17" s="655"/>
      <c r="B17" s="280" t="s">
        <v>413</v>
      </c>
      <c r="C17" s="281">
        <v>799000</v>
      </c>
      <c r="D17" s="281">
        <v>400000</v>
      </c>
      <c r="E17" s="156"/>
      <c r="F17" s="282"/>
      <c r="G17" s="283"/>
      <c r="H17" s="621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>
      <c r="A18" s="653" t="s">
        <v>414</v>
      </c>
      <c r="B18" s="284" t="s">
        <v>415</v>
      </c>
      <c r="C18" s="270">
        <v>397000</v>
      </c>
      <c r="D18" s="285">
        <v>199000</v>
      </c>
      <c r="E18" s="286"/>
      <c r="F18" s="287"/>
      <c r="G18" s="288"/>
      <c r="H18" s="693"/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>
      <c r="A19" s="654"/>
      <c r="B19" s="88" t="s">
        <v>416</v>
      </c>
      <c r="C19" s="129">
        <f>D19*2-1000</f>
        <v>397000</v>
      </c>
      <c r="D19" s="289">
        <v>199000</v>
      </c>
      <c r="E19" s="156" t="e">
        <f>1-(D19/#REF!)</f>
        <v>#REF!</v>
      </c>
      <c r="F19" s="290"/>
      <c r="G19" s="272"/>
      <c r="H19" s="603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>
      <c r="A20" s="654"/>
      <c r="B20" s="273" t="s">
        <v>46</v>
      </c>
      <c r="C20" s="269">
        <v>397000</v>
      </c>
      <c r="D20" s="291">
        <v>199000</v>
      </c>
      <c r="E20" s="156"/>
      <c r="F20" s="274"/>
      <c r="G20" s="276"/>
      <c r="H20" s="603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>
      <c r="A21" s="654"/>
      <c r="B21" s="88" t="s">
        <v>417</v>
      </c>
      <c r="C21" s="129">
        <v>557000</v>
      </c>
      <c r="D21" s="289">
        <v>279000</v>
      </c>
      <c r="E21" s="156" t="e">
        <f t="shared" ref="E21:E23" si="3">1-D21/#REF!</f>
        <v>#REF!</v>
      </c>
      <c r="F21" s="274"/>
      <c r="G21" s="276"/>
      <c r="H21" s="603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>
      <c r="A22" s="654"/>
      <c r="B22" s="279" t="s">
        <v>418</v>
      </c>
      <c r="C22" s="129">
        <f>D22*2-1000</f>
        <v>1197000</v>
      </c>
      <c r="D22" s="132">
        <v>599000</v>
      </c>
      <c r="E22" s="156" t="e">
        <f t="shared" si="3"/>
        <v>#REF!</v>
      </c>
      <c r="F22" s="274"/>
      <c r="G22" s="276"/>
      <c r="H22" s="603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>
      <c r="A23" s="654"/>
      <c r="B23" s="61" t="s">
        <v>419</v>
      </c>
      <c r="C23" s="129">
        <v>677000</v>
      </c>
      <c r="D23" s="132">
        <v>329000</v>
      </c>
      <c r="E23" s="156" t="e">
        <f t="shared" si="3"/>
        <v>#REF!</v>
      </c>
      <c r="F23" s="292"/>
      <c r="G23" s="276"/>
      <c r="H23" s="603"/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>
      <c r="A24" s="654"/>
      <c r="B24" s="268" t="s">
        <v>420</v>
      </c>
      <c r="C24" s="269">
        <v>1137000</v>
      </c>
      <c r="D24" s="270">
        <v>569000</v>
      </c>
      <c r="E24" s="156"/>
      <c r="F24" s="293"/>
      <c r="G24" s="278"/>
      <c r="H24" s="603"/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>
      <c r="A25" s="655"/>
      <c r="B25" s="294" t="s">
        <v>421</v>
      </c>
      <c r="C25" s="129">
        <f>D25*2-1000</f>
        <v>597000</v>
      </c>
      <c r="D25" s="289">
        <v>299000</v>
      </c>
      <c r="E25" s="160" t="e">
        <f t="shared" ref="E25:E26" si="4">1-D25/#REF!</f>
        <v>#REF!</v>
      </c>
      <c r="F25" s="282"/>
      <c r="G25" s="283"/>
      <c r="H25" s="621"/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>
      <c r="A26" s="653" t="s">
        <v>422</v>
      </c>
      <c r="B26" s="42" t="s">
        <v>423</v>
      </c>
      <c r="C26" s="154">
        <v>257000</v>
      </c>
      <c r="D26" s="295">
        <v>149000</v>
      </c>
      <c r="E26" s="156" t="e">
        <f t="shared" si="4"/>
        <v>#REF!</v>
      </c>
      <c r="F26" s="287"/>
      <c r="G26" s="288"/>
      <c r="H26" s="692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>
      <c r="A27" s="654"/>
      <c r="B27" s="273" t="s">
        <v>424</v>
      </c>
      <c r="C27" s="270">
        <v>297000</v>
      </c>
      <c r="D27" s="296">
        <v>149000</v>
      </c>
      <c r="E27" s="156"/>
      <c r="F27" s="274"/>
      <c r="G27" s="276"/>
      <c r="H27" s="603"/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>
      <c r="A28" s="654"/>
      <c r="B28" s="88" t="s">
        <v>425</v>
      </c>
      <c r="C28" s="132">
        <f t="shared" ref="C28:C30" si="5">D28*2-1000</f>
        <v>537000</v>
      </c>
      <c r="D28" s="130">
        <v>269000</v>
      </c>
      <c r="E28" s="156" t="e">
        <f>1-D28/#REF!</f>
        <v>#REF!</v>
      </c>
      <c r="F28" s="274"/>
      <c r="G28" s="276"/>
      <c r="H28" s="603"/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>
      <c r="A29" s="654"/>
      <c r="B29" s="88" t="s">
        <v>426</v>
      </c>
      <c r="C29" s="132">
        <f t="shared" si="5"/>
        <v>237000</v>
      </c>
      <c r="D29" s="130">
        <v>119000</v>
      </c>
      <c r="E29" s="156"/>
      <c r="F29" s="274"/>
      <c r="G29" s="276"/>
      <c r="H29" s="603"/>
      <c r="I29" s="1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>
      <c r="A30" s="654"/>
      <c r="B30" s="88" t="s">
        <v>427</v>
      </c>
      <c r="C30" s="132">
        <f t="shared" si="5"/>
        <v>437000</v>
      </c>
      <c r="D30" s="130">
        <v>219000</v>
      </c>
      <c r="E30" s="156" t="e">
        <f>1-D30/#REF!</f>
        <v>#REF!</v>
      </c>
      <c r="F30" s="277"/>
      <c r="G30" s="278"/>
      <c r="H30" s="603"/>
      <c r="I30" s="1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>
      <c r="A31" s="654"/>
      <c r="B31" s="273" t="s">
        <v>428</v>
      </c>
      <c r="C31" s="270">
        <v>417000</v>
      </c>
      <c r="D31" s="296">
        <v>209000</v>
      </c>
      <c r="E31" s="156"/>
      <c r="F31" s="293"/>
      <c r="G31" s="278"/>
      <c r="H31" s="603"/>
      <c r="I31" s="1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>
      <c r="A32" s="654"/>
      <c r="B32" s="88" t="s">
        <v>429</v>
      </c>
      <c r="C32" s="132">
        <v>417000</v>
      </c>
      <c r="D32" s="130">
        <v>209000</v>
      </c>
      <c r="E32" s="156" t="e">
        <f>1-D32/#REF!</f>
        <v>#REF!</v>
      </c>
      <c r="F32" s="293"/>
      <c r="G32" s="278"/>
      <c r="H32" s="603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>
      <c r="A33" s="654"/>
      <c r="B33" s="273" t="s">
        <v>430</v>
      </c>
      <c r="C33" s="270">
        <v>757000</v>
      </c>
      <c r="D33" s="296">
        <v>379000</v>
      </c>
      <c r="E33" s="156"/>
      <c r="F33" s="277"/>
      <c r="G33" s="278"/>
      <c r="H33" s="603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>
      <c r="A34" s="654"/>
      <c r="B34" s="279" t="s">
        <v>431</v>
      </c>
      <c r="C34" s="132">
        <f>D34*2-1000</f>
        <v>337000</v>
      </c>
      <c r="D34" s="130">
        <v>169000</v>
      </c>
      <c r="E34" s="156" t="e">
        <f>1-D34/#REF!</f>
        <v>#REF!</v>
      </c>
      <c r="F34" s="277"/>
      <c r="G34" s="278"/>
      <c r="H34" s="603"/>
      <c r="I34" s="1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>
      <c r="A35" s="654"/>
      <c r="B35" s="273" t="s">
        <v>432</v>
      </c>
      <c r="C35" s="270">
        <v>757000</v>
      </c>
      <c r="D35" s="296">
        <v>379000</v>
      </c>
      <c r="E35" s="156"/>
      <c r="F35" s="277"/>
      <c r="G35" s="297"/>
      <c r="H35" s="603"/>
      <c r="I35" s="1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>
      <c r="A36" s="654"/>
      <c r="B36" s="88" t="s">
        <v>433</v>
      </c>
      <c r="C36" s="132">
        <v>757000</v>
      </c>
      <c r="D36" s="130">
        <v>379000</v>
      </c>
      <c r="E36" s="156" t="e">
        <f>1-D36/#REF!</f>
        <v>#REF!</v>
      </c>
      <c r="F36" s="277"/>
      <c r="G36" s="297"/>
      <c r="H36" s="603"/>
      <c r="I36" s="1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>
      <c r="A37" s="654"/>
      <c r="B37" s="273" t="s">
        <v>434</v>
      </c>
      <c r="C37" s="270">
        <v>777000</v>
      </c>
      <c r="D37" s="296">
        <v>389000</v>
      </c>
      <c r="E37" s="156"/>
      <c r="F37" s="277"/>
      <c r="G37" s="297"/>
      <c r="H37" s="603"/>
      <c r="I37" s="1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>
      <c r="A38" s="618"/>
      <c r="B38" s="298" t="s">
        <v>47</v>
      </c>
      <c r="C38" s="132">
        <f>D38*2-1000</f>
        <v>437000</v>
      </c>
      <c r="D38" s="130">
        <v>219000</v>
      </c>
      <c r="E38" s="156" t="e">
        <f t="shared" ref="E38:E39" si="6">1-D38/#REF!</f>
        <v>#REF!</v>
      </c>
      <c r="F38" s="277"/>
      <c r="G38" s="278"/>
      <c r="H38" s="601"/>
      <c r="I38" s="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>
      <c r="A39" s="609" t="s">
        <v>435</v>
      </c>
      <c r="B39" s="42" t="s">
        <v>436</v>
      </c>
      <c r="C39" s="295">
        <v>49000</v>
      </c>
      <c r="D39" s="295">
        <v>25000</v>
      </c>
      <c r="E39" s="155" t="e">
        <f t="shared" si="6"/>
        <v>#REF!</v>
      </c>
      <c r="F39" s="287"/>
      <c r="G39" s="299"/>
      <c r="H39" s="300"/>
      <c r="I39" s="1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>
      <c r="A40" s="608"/>
      <c r="B40" s="45" t="s">
        <v>437</v>
      </c>
      <c r="C40" s="67">
        <v>97000</v>
      </c>
      <c r="D40" s="68">
        <v>49000</v>
      </c>
      <c r="E40" s="156"/>
      <c r="F40" s="274"/>
      <c r="G40" s="301"/>
      <c r="H40" s="302"/>
      <c r="I40" s="1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>
      <c r="A41" s="608"/>
      <c r="B41" s="45" t="s">
        <v>438</v>
      </c>
      <c r="C41" s="130">
        <v>97000</v>
      </c>
      <c r="D41" s="130">
        <v>49000</v>
      </c>
      <c r="E41" s="156" t="e">
        <f t="shared" ref="E41:E44" si="7">1-D41/#REF!</f>
        <v>#REF!</v>
      </c>
      <c r="F41" s="274"/>
      <c r="G41" s="301"/>
      <c r="H41" s="302"/>
      <c r="I41" s="1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>
      <c r="A42" s="608"/>
      <c r="B42" s="45" t="s">
        <v>439</v>
      </c>
      <c r="C42" s="130">
        <v>217000</v>
      </c>
      <c r="D42" s="130">
        <v>109000</v>
      </c>
      <c r="E42" s="156" t="e">
        <f t="shared" si="7"/>
        <v>#REF!</v>
      </c>
      <c r="F42" s="274"/>
      <c r="G42" s="301"/>
      <c r="H42" s="302"/>
      <c r="I42" s="1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>
      <c r="A43" s="608"/>
      <c r="B43" s="45" t="s">
        <v>440</v>
      </c>
      <c r="C43" s="130">
        <f>D43*2-1000</f>
        <v>699000</v>
      </c>
      <c r="D43" s="130">
        <v>350000</v>
      </c>
      <c r="E43" s="156" t="e">
        <f t="shared" si="7"/>
        <v>#REF!</v>
      </c>
      <c r="F43" s="277"/>
      <c r="G43" s="303"/>
      <c r="H43" s="302"/>
      <c r="I43" s="1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>
      <c r="A44" s="610"/>
      <c r="B44" s="51" t="s">
        <v>441</v>
      </c>
      <c r="C44" s="130">
        <v>397000</v>
      </c>
      <c r="D44" s="130">
        <v>199000</v>
      </c>
      <c r="E44" s="156" t="e">
        <f t="shared" si="7"/>
        <v>#REF!</v>
      </c>
      <c r="F44" s="282"/>
      <c r="G44" s="304"/>
      <c r="H44" s="305"/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>
      <c r="A45" s="609" t="s">
        <v>442</v>
      </c>
      <c r="B45" s="306" t="s">
        <v>64</v>
      </c>
      <c r="C45" s="307">
        <v>177000</v>
      </c>
      <c r="D45" s="308">
        <v>89000</v>
      </c>
      <c r="E45" s="155"/>
      <c r="F45" s="309"/>
      <c r="G45" s="310"/>
      <c r="H45" s="693"/>
      <c r="I45" s="11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>
      <c r="A46" s="608"/>
      <c r="B46" s="311" t="s">
        <v>34</v>
      </c>
      <c r="C46" s="67">
        <f>D46*2-1000</f>
        <v>177000</v>
      </c>
      <c r="D46" s="100">
        <v>89000</v>
      </c>
      <c r="E46" s="156" t="e">
        <f t="shared" ref="E46:E48" si="8">1-D46/#REF!</f>
        <v>#REF!</v>
      </c>
      <c r="F46" s="312"/>
      <c r="G46" s="313"/>
      <c r="H46" s="603"/>
      <c r="I46" s="11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>
      <c r="A47" s="608"/>
      <c r="B47" s="90" t="s">
        <v>36</v>
      </c>
      <c r="C47" s="67">
        <v>197000</v>
      </c>
      <c r="D47" s="100">
        <v>99000</v>
      </c>
      <c r="E47" s="156" t="e">
        <f t="shared" si="8"/>
        <v>#REF!</v>
      </c>
      <c r="F47" s="314"/>
      <c r="G47" s="315"/>
      <c r="H47" s="603"/>
      <c r="I47" s="11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>
      <c r="A48" s="608"/>
      <c r="B48" s="90" t="s">
        <v>443</v>
      </c>
      <c r="C48" s="67">
        <f>D48*2-1000</f>
        <v>177000</v>
      </c>
      <c r="D48" s="100">
        <v>89000</v>
      </c>
      <c r="E48" s="156" t="e">
        <f t="shared" si="8"/>
        <v>#REF!</v>
      </c>
      <c r="F48" s="316"/>
      <c r="G48" s="317"/>
      <c r="H48" s="603"/>
      <c r="I48" s="11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>
      <c r="A49" s="610"/>
      <c r="B49" s="318" t="s">
        <v>444</v>
      </c>
      <c r="C49" s="319">
        <v>197000</v>
      </c>
      <c r="D49" s="320">
        <v>99000</v>
      </c>
      <c r="E49" s="156"/>
      <c r="F49" s="321"/>
      <c r="G49" s="283"/>
      <c r="H49" s="621"/>
      <c r="I49" s="3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>
      <c r="A50" s="604" t="s">
        <v>445</v>
      </c>
      <c r="B50" s="37" t="s">
        <v>446</v>
      </c>
      <c r="C50" s="129">
        <v>1379000</v>
      </c>
      <c r="D50" s="322">
        <v>690000</v>
      </c>
      <c r="E50" s="155"/>
      <c r="F50" s="323"/>
      <c r="G50" s="288"/>
      <c r="H50" s="694"/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>
      <c r="A51" s="605"/>
      <c r="B51" s="37" t="s">
        <v>447</v>
      </c>
      <c r="C51" s="129">
        <v>1779000</v>
      </c>
      <c r="D51" s="322">
        <v>890000</v>
      </c>
      <c r="E51" s="156"/>
      <c r="F51" s="324"/>
      <c r="G51" s="276"/>
      <c r="H51" s="603"/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>
      <c r="A52" s="605"/>
      <c r="B52" s="37" t="s">
        <v>448</v>
      </c>
      <c r="C52" s="129">
        <v>2379000</v>
      </c>
      <c r="D52" s="322">
        <v>1190000</v>
      </c>
      <c r="E52" s="156"/>
      <c r="F52" s="324"/>
      <c r="G52" s="276"/>
      <c r="H52" s="603"/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>
      <c r="A53" s="605"/>
      <c r="B53" s="37" t="s">
        <v>449</v>
      </c>
      <c r="C53" s="129">
        <v>2979000</v>
      </c>
      <c r="D53" s="322">
        <v>1490000</v>
      </c>
      <c r="E53" s="156"/>
      <c r="F53" s="324"/>
      <c r="G53" s="276"/>
      <c r="H53" s="603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>
      <c r="A54" s="605"/>
      <c r="B54" s="37" t="s">
        <v>450</v>
      </c>
      <c r="C54" s="129">
        <v>199000</v>
      </c>
      <c r="D54" s="322">
        <v>100000</v>
      </c>
      <c r="E54" s="156"/>
      <c r="F54" s="324"/>
      <c r="G54" s="276"/>
      <c r="H54" s="603"/>
      <c r="I54" s="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>
      <c r="A55" s="605"/>
      <c r="B55" s="37" t="s">
        <v>451</v>
      </c>
      <c r="C55" s="129">
        <v>299000</v>
      </c>
      <c r="D55" s="322">
        <v>150000</v>
      </c>
      <c r="E55" s="156"/>
      <c r="F55" s="324"/>
      <c r="G55" s="276"/>
      <c r="H55" s="603"/>
      <c r="I55" s="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>
      <c r="A56" s="605"/>
      <c r="B56" s="37" t="s">
        <v>452</v>
      </c>
      <c r="C56" s="129">
        <v>399000</v>
      </c>
      <c r="D56" s="322">
        <v>200000</v>
      </c>
      <c r="E56" s="156"/>
      <c r="F56" s="324"/>
      <c r="G56" s="276"/>
      <c r="H56" s="603"/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>
      <c r="A57" s="605"/>
      <c r="B57" s="37" t="s">
        <v>453</v>
      </c>
      <c r="C57" s="129">
        <v>359000</v>
      </c>
      <c r="D57" s="322">
        <v>180000</v>
      </c>
      <c r="E57" s="156"/>
      <c r="F57" s="324"/>
      <c r="G57" s="276"/>
      <c r="H57" s="603"/>
      <c r="I57" s="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>
      <c r="A58" s="605"/>
      <c r="B58" s="37" t="s">
        <v>454</v>
      </c>
      <c r="C58" s="129">
        <v>399000</v>
      </c>
      <c r="D58" s="322">
        <v>200000</v>
      </c>
      <c r="E58" s="156"/>
      <c r="F58" s="324"/>
      <c r="G58" s="276"/>
      <c r="H58" s="603"/>
      <c r="I58" s="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>
      <c r="A59" s="606"/>
      <c r="B59" s="325" t="s">
        <v>455</v>
      </c>
      <c r="C59" s="129">
        <v>799000</v>
      </c>
      <c r="D59" s="322">
        <v>400000</v>
      </c>
      <c r="E59" s="156"/>
      <c r="F59" s="326"/>
      <c r="G59" s="283"/>
      <c r="H59" s="601"/>
      <c r="I59" s="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624" t="s">
        <v>456</v>
      </c>
      <c r="B60" s="327" t="s">
        <v>457</v>
      </c>
      <c r="C60" s="328">
        <v>2779000</v>
      </c>
      <c r="D60" s="329">
        <v>1390000</v>
      </c>
      <c r="E60" s="155"/>
      <c r="F60" s="330"/>
      <c r="G60" s="331"/>
      <c r="H60" s="695"/>
      <c r="I60" s="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>
      <c r="A61" s="605"/>
      <c r="B61" s="332" t="s">
        <v>458</v>
      </c>
      <c r="C61" s="333">
        <v>4799000</v>
      </c>
      <c r="D61" s="334">
        <v>2400000</v>
      </c>
      <c r="E61" s="156"/>
      <c r="F61" s="330"/>
      <c r="G61" s="276"/>
      <c r="H61" s="605"/>
      <c r="I61" s="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>
      <c r="A62" s="606"/>
      <c r="B62" s="335" t="s">
        <v>459</v>
      </c>
      <c r="C62" s="336">
        <v>7979000</v>
      </c>
      <c r="D62" s="71">
        <v>3990000</v>
      </c>
      <c r="E62" s="160"/>
      <c r="F62" s="337"/>
      <c r="G62" s="338"/>
      <c r="H62" s="606"/>
      <c r="I62" s="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>
      <c r="A63" s="609" t="s">
        <v>460</v>
      </c>
      <c r="B63" s="611"/>
      <c r="C63" s="611"/>
      <c r="D63" s="611"/>
      <c r="E63" s="611"/>
      <c r="F63" s="611"/>
      <c r="G63" s="611"/>
      <c r="H63" s="611"/>
      <c r="I63" s="61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>
      <c r="A64" s="608"/>
      <c r="B64" s="613"/>
      <c r="C64" s="613"/>
      <c r="D64" s="613"/>
      <c r="E64" s="613"/>
      <c r="F64" s="613"/>
      <c r="G64" s="613"/>
      <c r="H64" s="613"/>
      <c r="I64" s="61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>
      <c r="A65" s="608"/>
      <c r="B65" s="613"/>
      <c r="C65" s="613"/>
      <c r="D65" s="613"/>
      <c r="E65" s="613"/>
      <c r="F65" s="613"/>
      <c r="G65" s="613"/>
      <c r="H65" s="613"/>
      <c r="I65" s="61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>
      <c r="A66" s="608"/>
      <c r="B66" s="613"/>
      <c r="C66" s="613"/>
      <c r="D66" s="613"/>
      <c r="E66" s="613"/>
      <c r="F66" s="613"/>
      <c r="G66" s="613"/>
      <c r="H66" s="613"/>
      <c r="I66" s="61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>
      <c r="A67" s="610"/>
      <c r="B67" s="615"/>
      <c r="C67" s="615"/>
      <c r="D67" s="615"/>
      <c r="E67" s="615"/>
      <c r="F67" s="615"/>
      <c r="G67" s="615"/>
      <c r="H67" s="615"/>
      <c r="I67" s="61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>
      <c r="A68" s="1"/>
      <c r="B68" s="339"/>
      <c r="C68" s="1"/>
      <c r="D68" s="1"/>
      <c r="E68" s="1"/>
      <c r="F68" s="176"/>
      <c r="G68" s="176"/>
      <c r="H68" s="17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>
      <c r="A69" s="1"/>
      <c r="B69" s="339"/>
      <c r="C69" s="1"/>
      <c r="D69" s="1"/>
      <c r="E69" s="1"/>
      <c r="F69" s="176"/>
      <c r="G69" s="176"/>
      <c r="H69" s="17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>
      <c r="A70" s="1"/>
      <c r="B70" s="339"/>
      <c r="C70" s="1"/>
      <c r="D70" s="1"/>
      <c r="E70" s="1"/>
      <c r="F70" s="176"/>
      <c r="G70" s="176"/>
      <c r="H70" s="17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>
      <c r="A71" s="1"/>
      <c r="B71" s="339"/>
      <c r="C71" s="1"/>
      <c r="D71" s="1"/>
      <c r="E71" s="1"/>
      <c r="F71" s="176"/>
      <c r="G71" s="176"/>
      <c r="H71" s="17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>
      <c r="A72" s="1"/>
      <c r="B72" s="339"/>
      <c r="C72" s="1"/>
      <c r="D72" s="1"/>
      <c r="E72" s="1"/>
      <c r="F72" s="176"/>
      <c r="G72" s="176"/>
      <c r="H72" s="17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>
      <c r="A73" s="1"/>
      <c r="B73" s="339"/>
      <c r="C73" s="1"/>
      <c r="D73" s="1"/>
      <c r="E73" s="1"/>
      <c r="F73" s="176"/>
      <c r="G73" s="176"/>
      <c r="H73" s="17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>
      <c r="A74" s="1"/>
      <c r="B74" s="339"/>
      <c r="C74" s="1"/>
      <c r="D74" s="1"/>
      <c r="E74" s="1"/>
      <c r="F74" s="176"/>
      <c r="G74" s="176"/>
      <c r="H74" s="17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>
      <c r="A75" s="1"/>
      <c r="B75" s="339"/>
      <c r="C75" s="1"/>
      <c r="D75" s="1"/>
      <c r="E75" s="1"/>
      <c r="F75" s="176"/>
      <c r="G75" s="176"/>
      <c r="H75" s="17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>
      <c r="A76" s="1"/>
      <c r="B76" s="339"/>
      <c r="C76" s="1"/>
      <c r="D76" s="1"/>
      <c r="E76" s="1"/>
      <c r="F76" s="176"/>
      <c r="G76" s="176"/>
      <c r="H76" s="17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>
      <c r="A77" s="1"/>
      <c r="B77" s="339"/>
      <c r="C77" s="1"/>
      <c r="D77" s="1"/>
      <c r="E77" s="1"/>
      <c r="F77" s="176"/>
      <c r="G77" s="176"/>
      <c r="H77" s="17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>
      <c r="A78" s="1"/>
      <c r="B78" s="339"/>
      <c r="C78" s="1"/>
      <c r="D78" s="1"/>
      <c r="E78" s="1"/>
      <c r="F78" s="176"/>
      <c r="G78" s="176"/>
      <c r="H78" s="17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>
      <c r="A79" s="1"/>
      <c r="B79" s="339"/>
      <c r="C79" s="1"/>
      <c r="D79" s="1"/>
      <c r="E79" s="1"/>
      <c r="F79" s="176"/>
      <c r="G79" s="176"/>
      <c r="H79" s="17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>
      <c r="A80" s="1"/>
      <c r="B80" s="339"/>
      <c r="C80" s="1"/>
      <c r="D80" s="1"/>
      <c r="E80" s="1"/>
      <c r="F80" s="176"/>
      <c r="G80" s="176"/>
      <c r="H80" s="17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>
      <c r="A81" s="1"/>
      <c r="B81" s="339"/>
      <c r="C81" s="1"/>
      <c r="D81" s="1"/>
      <c r="E81" s="1"/>
      <c r="F81" s="176"/>
      <c r="G81" s="176"/>
      <c r="H81" s="17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>
      <c r="A82" s="1"/>
      <c r="B82" s="339"/>
      <c r="C82" s="1"/>
      <c r="D82" s="1"/>
      <c r="E82" s="1"/>
      <c r="F82" s="176"/>
      <c r="G82" s="176"/>
      <c r="H82" s="17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>
      <c r="A83" s="1"/>
      <c r="B83" s="339"/>
      <c r="C83" s="1"/>
      <c r="D83" s="1"/>
      <c r="E83" s="1"/>
      <c r="F83" s="176"/>
      <c r="G83" s="176"/>
      <c r="H83" s="17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>
      <c r="A84" s="1"/>
      <c r="B84" s="339"/>
      <c r="C84" s="1"/>
      <c r="D84" s="1"/>
      <c r="E84" s="1"/>
      <c r="F84" s="176"/>
      <c r="G84" s="176"/>
      <c r="H84" s="17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>
      <c r="A85" s="1"/>
      <c r="B85" s="339"/>
      <c r="C85" s="1"/>
      <c r="D85" s="1"/>
      <c r="E85" s="1"/>
      <c r="F85" s="176"/>
      <c r="G85" s="176"/>
      <c r="H85" s="17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>
      <c r="A86" s="1"/>
      <c r="B86" s="339"/>
      <c r="C86" s="1"/>
      <c r="D86" s="1"/>
      <c r="E86" s="1"/>
      <c r="F86" s="176"/>
      <c r="G86" s="176"/>
      <c r="H86" s="17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>
      <c r="A87" s="1"/>
      <c r="B87" s="339"/>
      <c r="C87" s="1"/>
      <c r="D87" s="1"/>
      <c r="E87" s="1"/>
      <c r="F87" s="176"/>
      <c r="G87" s="176"/>
      <c r="H87" s="17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>
      <c r="A88" s="1"/>
      <c r="B88" s="339"/>
      <c r="C88" s="1"/>
      <c r="D88" s="1"/>
      <c r="E88" s="1"/>
      <c r="F88" s="176"/>
      <c r="G88" s="176"/>
      <c r="H88" s="17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>
      <c r="A89" s="1"/>
      <c r="B89" s="339"/>
      <c r="C89" s="1"/>
      <c r="D89" s="1"/>
      <c r="E89" s="1"/>
      <c r="F89" s="176"/>
      <c r="G89" s="176"/>
      <c r="H89" s="17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>
      <c r="A90" s="1"/>
      <c r="B90" s="339"/>
      <c r="C90" s="1"/>
      <c r="D90" s="1"/>
      <c r="E90" s="1"/>
      <c r="F90" s="176"/>
      <c r="G90" s="176"/>
      <c r="H90" s="17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>
      <c r="A91" s="1"/>
      <c r="B91" s="339"/>
      <c r="C91" s="1"/>
      <c r="D91" s="1"/>
      <c r="E91" s="1"/>
      <c r="F91" s="176"/>
      <c r="G91" s="176"/>
      <c r="H91" s="17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>
      <c r="A92" s="1"/>
      <c r="B92" s="339"/>
      <c r="C92" s="1"/>
      <c r="D92" s="1"/>
      <c r="E92" s="1"/>
      <c r="F92" s="176"/>
      <c r="G92" s="176"/>
      <c r="H92" s="17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>
      <c r="A93" s="1"/>
      <c r="B93" s="339"/>
      <c r="C93" s="1"/>
      <c r="D93" s="1"/>
      <c r="E93" s="1"/>
      <c r="F93" s="176"/>
      <c r="G93" s="176"/>
      <c r="H93" s="17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>
      <c r="A94" s="1"/>
      <c r="B94" s="339"/>
      <c r="C94" s="1"/>
      <c r="D94" s="1"/>
      <c r="E94" s="1"/>
      <c r="F94" s="176"/>
      <c r="G94" s="176"/>
      <c r="H94" s="17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>
      <c r="A95" s="1"/>
      <c r="B95" s="339"/>
      <c r="C95" s="1"/>
      <c r="D95" s="1"/>
      <c r="E95" s="1"/>
      <c r="F95" s="176"/>
      <c r="G95" s="176"/>
      <c r="H95" s="17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>
      <c r="A96" s="1"/>
      <c r="B96" s="339"/>
      <c r="C96" s="1"/>
      <c r="D96" s="1"/>
      <c r="E96" s="1"/>
      <c r="F96" s="176"/>
      <c r="G96" s="176"/>
      <c r="H96" s="17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>
      <c r="A97" s="1"/>
      <c r="B97" s="339"/>
      <c r="C97" s="1"/>
      <c r="D97" s="1"/>
      <c r="E97" s="1"/>
      <c r="F97" s="176"/>
      <c r="G97" s="176"/>
      <c r="H97" s="17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>
      <c r="A98" s="1"/>
      <c r="B98" s="339"/>
      <c r="C98" s="1"/>
      <c r="D98" s="1"/>
      <c r="E98" s="1"/>
      <c r="F98" s="176"/>
      <c r="G98" s="176"/>
      <c r="H98" s="17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>
      <c r="A99" s="1"/>
      <c r="B99" s="339"/>
      <c r="C99" s="1"/>
      <c r="D99" s="1"/>
      <c r="E99" s="1"/>
      <c r="F99" s="176"/>
      <c r="G99" s="176"/>
      <c r="H99" s="17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>
      <c r="A100" s="1"/>
      <c r="B100" s="339"/>
      <c r="C100" s="1"/>
      <c r="D100" s="1"/>
      <c r="E100" s="1"/>
      <c r="F100" s="176"/>
      <c r="G100" s="176"/>
      <c r="H100" s="17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>
      <c r="A101" s="1"/>
      <c r="B101" s="339"/>
      <c r="C101" s="1"/>
      <c r="D101" s="1"/>
      <c r="E101" s="1"/>
      <c r="F101" s="176"/>
      <c r="G101" s="176"/>
      <c r="H101" s="17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>
      <c r="A102" s="1"/>
      <c r="B102" s="339"/>
      <c r="C102" s="1"/>
      <c r="D102" s="1"/>
      <c r="E102" s="1"/>
      <c r="F102" s="176"/>
      <c r="G102" s="176"/>
      <c r="H102" s="17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339"/>
      <c r="C103" s="1"/>
      <c r="D103" s="1"/>
      <c r="E103" s="1"/>
      <c r="F103" s="176"/>
      <c r="G103" s="176"/>
      <c r="H103" s="17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>
      <c r="A104" s="1"/>
      <c r="B104" s="339"/>
      <c r="C104" s="1"/>
      <c r="D104" s="1"/>
      <c r="E104" s="1"/>
      <c r="F104" s="176"/>
      <c r="G104" s="176"/>
      <c r="H104" s="17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>
      <c r="A105" s="1"/>
      <c r="B105" s="339"/>
      <c r="C105" s="1"/>
      <c r="D105" s="1"/>
      <c r="E105" s="1"/>
      <c r="F105" s="176"/>
      <c r="G105" s="176"/>
      <c r="H105" s="17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>
      <c r="A106" s="1"/>
      <c r="B106" s="339"/>
      <c r="C106" s="1"/>
      <c r="D106" s="1"/>
      <c r="E106" s="1"/>
      <c r="F106" s="176"/>
      <c r="G106" s="176"/>
      <c r="H106" s="17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>
      <c r="A107" s="1"/>
      <c r="B107" s="339"/>
      <c r="C107" s="1"/>
      <c r="D107" s="1"/>
      <c r="E107" s="1"/>
      <c r="F107" s="176"/>
      <c r="G107" s="176"/>
      <c r="H107" s="17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>
      <c r="A108" s="1"/>
      <c r="B108" s="339"/>
      <c r="C108" s="1"/>
      <c r="D108" s="1"/>
      <c r="E108" s="1"/>
      <c r="F108" s="176"/>
      <c r="G108" s="176"/>
      <c r="H108" s="17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>
      <c r="A109" s="1"/>
      <c r="B109" s="339"/>
      <c r="C109" s="1"/>
      <c r="D109" s="1"/>
      <c r="E109" s="1"/>
      <c r="F109" s="176"/>
      <c r="G109" s="176"/>
      <c r="H109" s="17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>
      <c r="A110" s="1"/>
      <c r="B110" s="339"/>
      <c r="C110" s="1"/>
      <c r="D110" s="1"/>
      <c r="E110" s="1"/>
      <c r="F110" s="176"/>
      <c r="G110" s="176"/>
      <c r="H110" s="17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>
      <c r="A111" s="1"/>
      <c r="B111" s="339"/>
      <c r="C111" s="1"/>
      <c r="D111" s="1"/>
      <c r="E111" s="1"/>
      <c r="F111" s="176"/>
      <c r="G111" s="176"/>
      <c r="H111" s="17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>
      <c r="A112" s="1"/>
      <c r="B112" s="339"/>
      <c r="C112" s="1"/>
      <c r="D112" s="1"/>
      <c r="E112" s="1"/>
      <c r="F112" s="176"/>
      <c r="G112" s="176"/>
      <c r="H112" s="17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>
      <c r="A113" s="1"/>
      <c r="B113" s="339"/>
      <c r="C113" s="1"/>
      <c r="D113" s="1"/>
      <c r="E113" s="1"/>
      <c r="F113" s="176"/>
      <c r="G113" s="176"/>
      <c r="H113" s="17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>
      <c r="A114" s="1"/>
      <c r="B114" s="339"/>
      <c r="C114" s="1"/>
      <c r="D114" s="1"/>
      <c r="E114" s="1"/>
      <c r="F114" s="176"/>
      <c r="G114" s="176"/>
      <c r="H114" s="17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>
      <c r="A115" s="1"/>
      <c r="B115" s="339"/>
      <c r="C115" s="1"/>
      <c r="D115" s="1"/>
      <c r="E115" s="1"/>
      <c r="F115" s="176"/>
      <c r="G115" s="176"/>
      <c r="H115" s="17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>
      <c r="A116" s="1"/>
      <c r="B116" s="339"/>
      <c r="C116" s="1"/>
      <c r="D116" s="1"/>
      <c r="E116" s="1"/>
      <c r="F116" s="176"/>
      <c r="G116" s="176"/>
      <c r="H116" s="17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>
      <c r="A117" s="1"/>
      <c r="B117" s="339"/>
      <c r="C117" s="1"/>
      <c r="D117" s="1"/>
      <c r="E117" s="1"/>
      <c r="F117" s="176"/>
      <c r="G117" s="176"/>
      <c r="H117" s="17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>
      <c r="A118" s="1"/>
      <c r="B118" s="339"/>
      <c r="C118" s="1"/>
      <c r="D118" s="1"/>
      <c r="E118" s="1"/>
      <c r="F118" s="176"/>
      <c r="G118" s="176"/>
      <c r="H118" s="17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>
      <c r="A119" s="1"/>
      <c r="B119" s="339"/>
      <c r="C119" s="1"/>
      <c r="D119" s="1"/>
      <c r="E119" s="1"/>
      <c r="F119" s="176"/>
      <c r="G119" s="176"/>
      <c r="H119" s="17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>
      <c r="A120" s="1"/>
      <c r="B120" s="339"/>
      <c r="C120" s="1"/>
      <c r="D120" s="1"/>
      <c r="E120" s="1"/>
      <c r="F120" s="176"/>
      <c r="G120" s="176"/>
      <c r="H120" s="17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>
      <c r="A121" s="1"/>
      <c r="B121" s="339"/>
      <c r="C121" s="1"/>
      <c r="D121" s="1"/>
      <c r="E121" s="1"/>
      <c r="F121" s="176"/>
      <c r="G121" s="176"/>
      <c r="H121" s="17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>
      <c r="A122" s="1"/>
      <c r="B122" s="339"/>
      <c r="C122" s="1"/>
      <c r="D122" s="1"/>
      <c r="E122" s="1"/>
      <c r="F122" s="176"/>
      <c r="G122" s="176"/>
      <c r="H122" s="17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>
      <c r="A123" s="1"/>
      <c r="B123" s="339"/>
      <c r="C123" s="1"/>
      <c r="D123" s="1"/>
      <c r="E123" s="1"/>
      <c r="F123" s="176"/>
      <c r="G123" s="176"/>
      <c r="H123" s="17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>
      <c r="A124" s="1"/>
      <c r="B124" s="339"/>
      <c r="C124" s="1"/>
      <c r="D124" s="1"/>
      <c r="E124" s="1"/>
      <c r="F124" s="176"/>
      <c r="G124" s="176"/>
      <c r="H124" s="17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>
      <c r="A125" s="1"/>
      <c r="B125" s="339"/>
      <c r="C125" s="1"/>
      <c r="D125" s="1"/>
      <c r="E125" s="1"/>
      <c r="F125" s="176"/>
      <c r="G125" s="176"/>
      <c r="H125" s="17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>
      <c r="A126" s="1"/>
      <c r="B126" s="339"/>
      <c r="C126" s="1"/>
      <c r="D126" s="1"/>
      <c r="E126" s="1"/>
      <c r="F126" s="176"/>
      <c r="G126" s="176"/>
      <c r="H126" s="17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>
      <c r="A127" s="1"/>
      <c r="B127" s="339"/>
      <c r="C127" s="1"/>
      <c r="D127" s="1"/>
      <c r="E127" s="1"/>
      <c r="F127" s="176"/>
      <c r="G127" s="176"/>
      <c r="H127" s="17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>
      <c r="A128" s="1"/>
      <c r="B128" s="339"/>
      <c r="C128" s="1"/>
      <c r="D128" s="1"/>
      <c r="E128" s="1"/>
      <c r="F128" s="176"/>
      <c r="G128" s="176"/>
      <c r="H128" s="17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>
      <c r="A129" s="1"/>
      <c r="B129" s="339"/>
      <c r="C129" s="1"/>
      <c r="D129" s="1"/>
      <c r="E129" s="1"/>
      <c r="F129" s="176"/>
      <c r="G129" s="176"/>
      <c r="H129" s="17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>
      <c r="A130" s="1"/>
      <c r="B130" s="339"/>
      <c r="C130" s="1"/>
      <c r="D130" s="1"/>
      <c r="E130" s="1"/>
      <c r="F130" s="176"/>
      <c r="G130" s="176"/>
      <c r="H130" s="17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>
      <c r="A131" s="1"/>
      <c r="B131" s="339"/>
      <c r="C131" s="1"/>
      <c r="D131" s="1"/>
      <c r="E131" s="1"/>
      <c r="F131" s="176"/>
      <c r="G131" s="176"/>
      <c r="H131" s="17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>
      <c r="A132" s="1"/>
      <c r="B132" s="339"/>
      <c r="C132" s="1"/>
      <c r="D132" s="1"/>
      <c r="E132" s="1"/>
      <c r="F132" s="176"/>
      <c r="G132" s="176"/>
      <c r="H132" s="17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>
      <c r="A133" s="1"/>
      <c r="B133" s="339"/>
      <c r="C133" s="1"/>
      <c r="D133" s="1"/>
      <c r="E133" s="1"/>
      <c r="F133" s="176"/>
      <c r="G133" s="176"/>
      <c r="H133" s="17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>
      <c r="A134" s="1"/>
      <c r="B134" s="339"/>
      <c r="C134" s="1"/>
      <c r="D134" s="1"/>
      <c r="E134" s="1"/>
      <c r="F134" s="176"/>
      <c r="G134" s="176"/>
      <c r="H134" s="17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>
      <c r="A135" s="1"/>
      <c r="B135" s="339"/>
      <c r="C135" s="1"/>
      <c r="D135" s="1"/>
      <c r="E135" s="1"/>
      <c r="F135" s="176"/>
      <c r="G135" s="176"/>
      <c r="H135" s="17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>
      <c r="A136" s="1"/>
      <c r="B136" s="339"/>
      <c r="C136" s="1"/>
      <c r="D136" s="1"/>
      <c r="E136" s="1"/>
      <c r="F136" s="176"/>
      <c r="G136" s="176"/>
      <c r="H136" s="17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>
      <c r="A137" s="1"/>
      <c r="B137" s="339"/>
      <c r="C137" s="1"/>
      <c r="D137" s="1"/>
      <c r="E137" s="1"/>
      <c r="F137" s="176"/>
      <c r="G137" s="176"/>
      <c r="H137" s="17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>
      <c r="A138" s="1"/>
      <c r="B138" s="339"/>
      <c r="C138" s="1"/>
      <c r="D138" s="1"/>
      <c r="E138" s="1"/>
      <c r="F138" s="176"/>
      <c r="G138" s="176"/>
      <c r="H138" s="17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>
      <c r="A139" s="1"/>
      <c r="B139" s="339"/>
      <c r="C139" s="1"/>
      <c r="D139" s="1"/>
      <c r="E139" s="1"/>
      <c r="F139" s="176"/>
      <c r="G139" s="176"/>
      <c r="H139" s="17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>
      <c r="A140" s="1"/>
      <c r="B140" s="339"/>
      <c r="C140" s="1"/>
      <c r="D140" s="1"/>
      <c r="E140" s="1"/>
      <c r="F140" s="176"/>
      <c r="G140" s="176"/>
      <c r="H140" s="17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>
      <c r="A141" s="1"/>
      <c r="B141" s="339"/>
      <c r="C141" s="1"/>
      <c r="D141" s="1"/>
      <c r="E141" s="1"/>
      <c r="F141" s="176"/>
      <c r="G141" s="176"/>
      <c r="H141" s="17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>
      <c r="A142" s="1"/>
      <c r="B142" s="339"/>
      <c r="C142" s="1"/>
      <c r="D142" s="1"/>
      <c r="E142" s="1"/>
      <c r="F142" s="176"/>
      <c r="G142" s="176"/>
      <c r="H142" s="17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>
      <c r="A143" s="1"/>
      <c r="B143" s="339"/>
      <c r="C143" s="1"/>
      <c r="D143" s="1"/>
      <c r="E143" s="1"/>
      <c r="F143" s="176"/>
      <c r="G143" s="176"/>
      <c r="H143" s="17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>
      <c r="A144" s="1"/>
      <c r="B144" s="339"/>
      <c r="C144" s="1"/>
      <c r="D144" s="1"/>
      <c r="E144" s="1"/>
      <c r="F144" s="176"/>
      <c r="G144" s="176"/>
      <c r="H144" s="17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>
      <c r="A145" s="1"/>
      <c r="B145" s="339"/>
      <c r="C145" s="1"/>
      <c r="D145" s="1"/>
      <c r="E145" s="1"/>
      <c r="F145" s="176"/>
      <c r="G145" s="176"/>
      <c r="H145" s="17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>
      <c r="A146" s="1"/>
      <c r="B146" s="339"/>
      <c r="C146" s="1"/>
      <c r="D146" s="1"/>
      <c r="E146" s="1"/>
      <c r="F146" s="176"/>
      <c r="G146" s="176"/>
      <c r="H146" s="17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>
      <c r="A147" s="1"/>
      <c r="B147" s="339"/>
      <c r="C147" s="1"/>
      <c r="D147" s="1"/>
      <c r="E147" s="1"/>
      <c r="F147" s="176"/>
      <c r="G147" s="176"/>
      <c r="H147" s="17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>
      <c r="A148" s="1"/>
      <c r="B148" s="339"/>
      <c r="C148" s="1"/>
      <c r="D148" s="1"/>
      <c r="E148" s="1"/>
      <c r="F148" s="176"/>
      <c r="G148" s="176"/>
      <c r="H148" s="17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>
      <c r="A149" s="1"/>
      <c r="B149" s="339"/>
      <c r="C149" s="1"/>
      <c r="D149" s="1"/>
      <c r="E149" s="1"/>
      <c r="F149" s="176"/>
      <c r="G149" s="176"/>
      <c r="H149" s="17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>
      <c r="A150" s="1"/>
      <c r="B150" s="339"/>
      <c r="C150" s="1"/>
      <c r="D150" s="1"/>
      <c r="E150" s="1"/>
      <c r="F150" s="176"/>
      <c r="G150" s="176"/>
      <c r="H150" s="17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>
      <c r="A151" s="1"/>
      <c r="B151" s="339"/>
      <c r="C151" s="1"/>
      <c r="D151" s="1"/>
      <c r="E151" s="1"/>
      <c r="F151" s="176"/>
      <c r="G151" s="176"/>
      <c r="H151" s="17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>
      <c r="A152" s="1"/>
      <c r="B152" s="339"/>
      <c r="C152" s="1"/>
      <c r="D152" s="1"/>
      <c r="E152" s="1"/>
      <c r="F152" s="176"/>
      <c r="G152" s="176"/>
      <c r="H152" s="17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>
      <c r="A153" s="1"/>
      <c r="B153" s="339"/>
      <c r="C153" s="1"/>
      <c r="D153" s="1"/>
      <c r="E153" s="1"/>
      <c r="F153" s="176"/>
      <c r="G153" s="176"/>
      <c r="H153" s="17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>
      <c r="A154" s="1"/>
      <c r="B154" s="339"/>
      <c r="C154" s="1"/>
      <c r="D154" s="1"/>
      <c r="E154" s="1"/>
      <c r="F154" s="176"/>
      <c r="G154" s="176"/>
      <c r="H154" s="17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>
      <c r="A155" s="1"/>
      <c r="B155" s="339"/>
      <c r="C155" s="1"/>
      <c r="D155" s="1"/>
      <c r="E155" s="1"/>
      <c r="F155" s="176"/>
      <c r="G155" s="176"/>
      <c r="H155" s="17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>
      <c r="A156" s="1"/>
      <c r="B156" s="339"/>
      <c r="C156" s="1"/>
      <c r="D156" s="1"/>
      <c r="E156" s="1"/>
      <c r="F156" s="176"/>
      <c r="G156" s="176"/>
      <c r="H156" s="17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>
      <c r="A157" s="1"/>
      <c r="B157" s="339"/>
      <c r="C157" s="1"/>
      <c r="D157" s="1"/>
      <c r="E157" s="1"/>
      <c r="F157" s="176"/>
      <c r="G157" s="176"/>
      <c r="H157" s="17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>
      <c r="A158" s="1"/>
      <c r="B158" s="339"/>
      <c r="C158" s="1"/>
      <c r="D158" s="1"/>
      <c r="E158" s="1"/>
      <c r="F158" s="176"/>
      <c r="G158" s="176"/>
      <c r="H158" s="17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>
      <c r="A159" s="1"/>
      <c r="B159" s="339"/>
      <c r="C159" s="1"/>
      <c r="D159" s="1"/>
      <c r="E159" s="1"/>
      <c r="F159" s="176"/>
      <c r="G159" s="176"/>
      <c r="H159" s="17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>
      <c r="A160" s="1"/>
      <c r="B160" s="339"/>
      <c r="C160" s="1"/>
      <c r="D160" s="1"/>
      <c r="E160" s="1"/>
      <c r="F160" s="176"/>
      <c r="G160" s="176"/>
      <c r="H160" s="17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>
      <c r="A161" s="1"/>
      <c r="B161" s="339"/>
      <c r="C161" s="1"/>
      <c r="D161" s="1"/>
      <c r="E161" s="1"/>
      <c r="F161" s="176"/>
      <c r="G161" s="176"/>
      <c r="H161" s="17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>
      <c r="A162" s="1"/>
      <c r="B162" s="339"/>
      <c r="C162" s="1"/>
      <c r="D162" s="1"/>
      <c r="E162" s="1"/>
      <c r="F162" s="176"/>
      <c r="G162" s="176"/>
      <c r="H162" s="17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>
      <c r="A163" s="1"/>
      <c r="B163" s="339"/>
      <c r="C163" s="1"/>
      <c r="D163" s="1"/>
      <c r="E163" s="1"/>
      <c r="F163" s="176"/>
      <c r="G163" s="176"/>
      <c r="H163" s="17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>
      <c r="A164" s="1"/>
      <c r="B164" s="339"/>
      <c r="C164" s="1"/>
      <c r="D164" s="1"/>
      <c r="E164" s="1"/>
      <c r="F164" s="176"/>
      <c r="G164" s="176"/>
      <c r="H164" s="17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>
      <c r="A165" s="1"/>
      <c r="B165" s="339"/>
      <c r="C165" s="1"/>
      <c r="D165" s="1"/>
      <c r="E165" s="1"/>
      <c r="F165" s="176"/>
      <c r="G165" s="176"/>
      <c r="H165" s="17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>
      <c r="A166" s="1"/>
      <c r="B166" s="339"/>
      <c r="C166" s="1"/>
      <c r="D166" s="1"/>
      <c r="E166" s="1"/>
      <c r="F166" s="176"/>
      <c r="G166" s="176"/>
      <c r="H166" s="17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>
      <c r="A167" s="1"/>
      <c r="B167" s="339"/>
      <c r="C167" s="1"/>
      <c r="D167" s="1"/>
      <c r="E167" s="1"/>
      <c r="F167" s="176"/>
      <c r="G167" s="176"/>
      <c r="H167" s="17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>
      <c r="A168" s="1"/>
      <c r="B168" s="339"/>
      <c r="C168" s="1"/>
      <c r="D168" s="1"/>
      <c r="E168" s="1"/>
      <c r="F168" s="176"/>
      <c r="G168" s="176"/>
      <c r="H168" s="17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>
      <c r="A169" s="1"/>
      <c r="B169" s="339"/>
      <c r="C169" s="1"/>
      <c r="D169" s="1"/>
      <c r="E169" s="1"/>
      <c r="F169" s="176"/>
      <c r="G169" s="176"/>
      <c r="H169" s="17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>
      <c r="A170" s="1"/>
      <c r="B170" s="339"/>
      <c r="C170" s="1"/>
      <c r="D170" s="1"/>
      <c r="E170" s="1"/>
      <c r="F170" s="176"/>
      <c r="G170" s="176"/>
      <c r="H170" s="17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>
      <c r="A171" s="1"/>
      <c r="B171" s="339"/>
      <c r="C171" s="1"/>
      <c r="D171" s="1"/>
      <c r="E171" s="1"/>
      <c r="F171" s="176"/>
      <c r="G171" s="176"/>
      <c r="H171" s="17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>
      <c r="A172" s="1"/>
      <c r="B172" s="339"/>
      <c r="C172" s="1"/>
      <c r="D172" s="1"/>
      <c r="E172" s="1"/>
      <c r="F172" s="176"/>
      <c r="G172" s="176"/>
      <c r="H172" s="17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>
      <c r="A173" s="1"/>
      <c r="B173" s="339"/>
      <c r="C173" s="1"/>
      <c r="D173" s="1"/>
      <c r="E173" s="1"/>
      <c r="F173" s="176"/>
      <c r="G173" s="176"/>
      <c r="H173" s="17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>
      <c r="A174" s="1"/>
      <c r="B174" s="339"/>
      <c r="C174" s="1"/>
      <c r="D174" s="1"/>
      <c r="E174" s="1"/>
      <c r="F174" s="176"/>
      <c r="G174" s="176"/>
      <c r="H174" s="17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>
      <c r="A175" s="1"/>
      <c r="B175" s="339"/>
      <c r="C175" s="1"/>
      <c r="D175" s="1"/>
      <c r="E175" s="1"/>
      <c r="F175" s="176"/>
      <c r="G175" s="176"/>
      <c r="H175" s="17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>
      <c r="A176" s="1"/>
      <c r="B176" s="339"/>
      <c r="C176" s="1"/>
      <c r="D176" s="1"/>
      <c r="E176" s="1"/>
      <c r="F176" s="176"/>
      <c r="G176" s="176"/>
      <c r="H176" s="17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>
      <c r="A177" s="1"/>
      <c r="B177" s="339"/>
      <c r="C177" s="1"/>
      <c r="D177" s="1"/>
      <c r="E177" s="1"/>
      <c r="F177" s="176"/>
      <c r="G177" s="176"/>
      <c r="H177" s="17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>
      <c r="A178" s="1"/>
      <c r="B178" s="339"/>
      <c r="C178" s="1"/>
      <c r="D178" s="1"/>
      <c r="E178" s="1"/>
      <c r="F178" s="176"/>
      <c r="G178" s="176"/>
      <c r="H178" s="17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>
      <c r="A179" s="1"/>
      <c r="B179" s="339"/>
      <c r="C179" s="1"/>
      <c r="D179" s="1"/>
      <c r="E179" s="1"/>
      <c r="F179" s="176"/>
      <c r="G179" s="176"/>
      <c r="H179" s="17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>
      <c r="A180" s="1"/>
      <c r="B180" s="339"/>
      <c r="C180" s="1"/>
      <c r="D180" s="1"/>
      <c r="E180" s="1"/>
      <c r="F180" s="176"/>
      <c r="G180" s="176"/>
      <c r="H180" s="17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>
      <c r="A181" s="1"/>
      <c r="B181" s="339"/>
      <c r="C181" s="1"/>
      <c r="D181" s="1"/>
      <c r="E181" s="1"/>
      <c r="F181" s="176"/>
      <c r="G181" s="176"/>
      <c r="H181" s="17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>
      <c r="A182" s="1"/>
      <c r="B182" s="339"/>
      <c r="C182" s="1"/>
      <c r="D182" s="1"/>
      <c r="E182" s="1"/>
      <c r="F182" s="176"/>
      <c r="G182" s="176"/>
      <c r="H182" s="17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>
      <c r="A183" s="1"/>
      <c r="B183" s="339"/>
      <c r="C183" s="1"/>
      <c r="D183" s="1"/>
      <c r="E183" s="1"/>
      <c r="F183" s="176"/>
      <c r="G183" s="176"/>
      <c r="H183" s="17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>
      <c r="A184" s="1"/>
      <c r="B184" s="339"/>
      <c r="C184" s="1"/>
      <c r="D184" s="1"/>
      <c r="E184" s="1"/>
      <c r="F184" s="176"/>
      <c r="G184" s="176"/>
      <c r="H184" s="17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>
      <c r="A185" s="1"/>
      <c r="B185" s="339"/>
      <c r="C185" s="1"/>
      <c r="D185" s="1"/>
      <c r="E185" s="1"/>
      <c r="F185" s="176"/>
      <c r="G185" s="176"/>
      <c r="H185" s="17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>
      <c r="A186" s="1"/>
      <c r="B186" s="339"/>
      <c r="C186" s="1"/>
      <c r="D186" s="1"/>
      <c r="E186" s="1"/>
      <c r="F186" s="176"/>
      <c r="G186" s="176"/>
      <c r="H186" s="17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>
      <c r="A187" s="1"/>
      <c r="B187" s="339"/>
      <c r="C187" s="1"/>
      <c r="D187" s="1"/>
      <c r="E187" s="1"/>
      <c r="F187" s="176"/>
      <c r="G187" s="176"/>
      <c r="H187" s="17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>
      <c r="A188" s="1"/>
      <c r="B188" s="339"/>
      <c r="C188" s="1"/>
      <c r="D188" s="1"/>
      <c r="E188" s="1"/>
      <c r="F188" s="176"/>
      <c r="G188" s="176"/>
      <c r="H188" s="17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>
      <c r="A189" s="1"/>
      <c r="B189" s="339"/>
      <c r="C189" s="1"/>
      <c r="D189" s="1"/>
      <c r="E189" s="1"/>
      <c r="F189" s="176"/>
      <c r="G189" s="176"/>
      <c r="H189" s="17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>
      <c r="A190" s="1"/>
      <c r="B190" s="339"/>
      <c r="C190" s="1"/>
      <c r="D190" s="1"/>
      <c r="E190" s="1"/>
      <c r="F190" s="176"/>
      <c r="G190" s="176"/>
      <c r="H190" s="17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>
      <c r="A191" s="1"/>
      <c r="B191" s="339"/>
      <c r="C191" s="1"/>
      <c r="D191" s="1"/>
      <c r="E191" s="1"/>
      <c r="F191" s="176"/>
      <c r="G191" s="176"/>
      <c r="H191" s="17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>
      <c r="A192" s="1"/>
      <c r="B192" s="339"/>
      <c r="C192" s="1"/>
      <c r="D192" s="1"/>
      <c r="E192" s="1"/>
      <c r="F192" s="176"/>
      <c r="G192" s="176"/>
      <c r="H192" s="17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>
      <c r="A193" s="1"/>
      <c r="B193" s="339"/>
      <c r="C193" s="1"/>
      <c r="D193" s="1"/>
      <c r="E193" s="1"/>
      <c r="F193" s="176"/>
      <c r="G193" s="176"/>
      <c r="H193" s="17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>
      <c r="A194" s="1"/>
      <c r="B194" s="339"/>
      <c r="C194" s="1"/>
      <c r="D194" s="1"/>
      <c r="E194" s="1"/>
      <c r="F194" s="176"/>
      <c r="G194" s="176"/>
      <c r="H194" s="17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>
      <c r="A195" s="1"/>
      <c r="B195" s="339"/>
      <c r="C195" s="1"/>
      <c r="D195" s="1"/>
      <c r="E195" s="1"/>
      <c r="F195" s="176"/>
      <c r="G195" s="176"/>
      <c r="H195" s="17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>
      <c r="A196" s="1"/>
      <c r="B196" s="339"/>
      <c r="C196" s="1"/>
      <c r="D196" s="1"/>
      <c r="E196" s="1"/>
      <c r="F196" s="176"/>
      <c r="G196" s="176"/>
      <c r="H196" s="17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>
      <c r="A197" s="1"/>
      <c r="B197" s="339"/>
      <c r="C197" s="1"/>
      <c r="D197" s="1"/>
      <c r="E197" s="1"/>
      <c r="F197" s="176"/>
      <c r="G197" s="176"/>
      <c r="H197" s="17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>
      <c r="A198" s="1"/>
      <c r="B198" s="339"/>
      <c r="C198" s="1"/>
      <c r="D198" s="1"/>
      <c r="E198" s="1"/>
      <c r="F198" s="176"/>
      <c r="G198" s="176"/>
      <c r="H198" s="17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>
      <c r="A199" s="1"/>
      <c r="B199" s="339"/>
      <c r="C199" s="1"/>
      <c r="D199" s="1"/>
      <c r="E199" s="1"/>
      <c r="F199" s="176"/>
      <c r="G199" s="176"/>
      <c r="H199" s="17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>
      <c r="A200" s="1"/>
      <c r="B200" s="339"/>
      <c r="C200" s="1"/>
      <c r="D200" s="1"/>
      <c r="E200" s="1"/>
      <c r="F200" s="176"/>
      <c r="G200" s="176"/>
      <c r="H200" s="17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>
      <c r="A201" s="1"/>
      <c r="B201" s="339"/>
      <c r="C201" s="1"/>
      <c r="D201" s="1"/>
      <c r="E201" s="1"/>
      <c r="F201" s="176"/>
      <c r="G201" s="176"/>
      <c r="H201" s="17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>
      <c r="A202" s="1"/>
      <c r="B202" s="339"/>
      <c r="C202" s="1"/>
      <c r="D202" s="1"/>
      <c r="E202" s="1"/>
      <c r="F202" s="176"/>
      <c r="G202" s="176"/>
      <c r="H202" s="17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>
      <c r="A203" s="1"/>
      <c r="B203" s="339"/>
      <c r="C203" s="1"/>
      <c r="D203" s="1"/>
      <c r="E203" s="1"/>
      <c r="F203" s="176"/>
      <c r="G203" s="176"/>
      <c r="H203" s="17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>
      <c r="A204" s="1"/>
      <c r="B204" s="339"/>
      <c r="C204" s="1"/>
      <c r="D204" s="1"/>
      <c r="E204" s="1"/>
      <c r="F204" s="176"/>
      <c r="G204" s="176"/>
      <c r="H204" s="17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>
      <c r="A205" s="1"/>
      <c r="B205" s="339"/>
      <c r="C205" s="1"/>
      <c r="D205" s="1"/>
      <c r="E205" s="1"/>
      <c r="F205" s="176"/>
      <c r="G205" s="176"/>
      <c r="H205" s="17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>
      <c r="A206" s="1"/>
      <c r="B206" s="339"/>
      <c r="C206" s="1"/>
      <c r="D206" s="1"/>
      <c r="E206" s="1"/>
      <c r="F206" s="176"/>
      <c r="G206" s="176"/>
      <c r="H206" s="17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>
      <c r="A207" s="1"/>
      <c r="B207" s="339"/>
      <c r="C207" s="1"/>
      <c r="D207" s="1"/>
      <c r="E207" s="1"/>
      <c r="F207" s="176"/>
      <c r="G207" s="176"/>
      <c r="H207" s="17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>
      <c r="A208" s="1"/>
      <c r="B208" s="339"/>
      <c r="C208" s="1"/>
      <c r="D208" s="1"/>
      <c r="E208" s="1"/>
      <c r="F208" s="176"/>
      <c r="G208" s="176"/>
      <c r="H208" s="17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>
      <c r="A209" s="1"/>
      <c r="B209" s="339"/>
      <c r="C209" s="1"/>
      <c r="D209" s="1"/>
      <c r="E209" s="1"/>
      <c r="F209" s="176"/>
      <c r="G209" s="176"/>
      <c r="H209" s="17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>
      <c r="A210" s="1"/>
      <c r="B210" s="339"/>
      <c r="C210" s="1"/>
      <c r="D210" s="1"/>
      <c r="E210" s="1"/>
      <c r="F210" s="176"/>
      <c r="G210" s="176"/>
      <c r="H210" s="17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>
      <c r="A211" s="1"/>
      <c r="B211" s="339"/>
      <c r="C211" s="1"/>
      <c r="D211" s="1"/>
      <c r="E211" s="1"/>
      <c r="F211" s="176"/>
      <c r="G211" s="176"/>
      <c r="H211" s="17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>
      <c r="A212" s="1"/>
      <c r="B212" s="339"/>
      <c r="C212" s="1"/>
      <c r="D212" s="1"/>
      <c r="E212" s="1"/>
      <c r="F212" s="176"/>
      <c r="G212" s="176"/>
      <c r="H212" s="17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>
      <c r="A213" s="1"/>
      <c r="B213" s="339"/>
      <c r="C213" s="1"/>
      <c r="D213" s="1"/>
      <c r="E213" s="1"/>
      <c r="F213" s="176"/>
      <c r="G213" s="176"/>
      <c r="H213" s="17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>
      <c r="A214" s="1"/>
      <c r="B214" s="339"/>
      <c r="C214" s="1"/>
      <c r="D214" s="1"/>
      <c r="E214" s="1"/>
      <c r="F214" s="176"/>
      <c r="G214" s="176"/>
      <c r="H214" s="17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>
      <c r="A215" s="1"/>
      <c r="B215" s="339"/>
      <c r="C215" s="1"/>
      <c r="D215" s="1"/>
      <c r="E215" s="1"/>
      <c r="F215" s="176"/>
      <c r="G215" s="176"/>
      <c r="H215" s="17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339"/>
      <c r="C216" s="1"/>
      <c r="D216" s="1"/>
      <c r="E216" s="1"/>
      <c r="F216" s="176"/>
      <c r="G216" s="176"/>
      <c r="H216" s="17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339"/>
      <c r="C217" s="1"/>
      <c r="D217" s="1"/>
      <c r="E217" s="1"/>
      <c r="F217" s="176"/>
      <c r="G217" s="176"/>
      <c r="H217" s="17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339"/>
      <c r="C218" s="1"/>
      <c r="D218" s="1"/>
      <c r="E218" s="1"/>
      <c r="F218" s="176"/>
      <c r="G218" s="176"/>
      <c r="H218" s="17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339"/>
      <c r="C219" s="1"/>
      <c r="D219" s="1"/>
      <c r="E219" s="1"/>
      <c r="F219" s="176"/>
      <c r="G219" s="176"/>
      <c r="H219" s="17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339"/>
      <c r="C220" s="1"/>
      <c r="D220" s="1"/>
      <c r="E220" s="1"/>
      <c r="F220" s="176"/>
      <c r="G220" s="176"/>
      <c r="H220" s="17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339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339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339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339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339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339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339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K264" s="73"/>
    </row>
    <row r="265" spans="1:27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K265" s="73"/>
    </row>
    <row r="266" spans="1:27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K266" s="73"/>
    </row>
    <row r="267" spans="1:2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K267" s="73"/>
    </row>
    <row r="268" spans="1:27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K268" s="73"/>
    </row>
    <row r="269" spans="1:27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K269" s="73"/>
    </row>
    <row r="270" spans="1:27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K270" s="73"/>
    </row>
    <row r="271" spans="1:27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K271" s="73"/>
    </row>
    <row r="272" spans="1:27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K272" s="73"/>
    </row>
    <row r="273" spans="1:11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K273" s="73"/>
    </row>
    <row r="274" spans="1:11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K274" s="73"/>
    </row>
    <row r="275" spans="1:11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K275" s="73"/>
    </row>
    <row r="276" spans="1:11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K276" s="73"/>
    </row>
    <row r="277" spans="1:11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K277" s="73"/>
    </row>
    <row r="278" spans="1:11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K278" s="73"/>
    </row>
    <row r="279" spans="1:11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K279" s="73"/>
    </row>
    <row r="280" spans="1:11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K280" s="73"/>
    </row>
    <row r="281" spans="1:1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K281" s="73"/>
    </row>
    <row r="282" spans="1:11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K282" s="73"/>
    </row>
    <row r="283" spans="1:11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K283" s="73"/>
    </row>
    <row r="284" spans="1:11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K284" s="73"/>
    </row>
    <row r="285" spans="1:11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K285" s="73"/>
    </row>
    <row r="286" spans="1:11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K286" s="73"/>
    </row>
    <row r="287" spans="1:11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K287" s="73"/>
    </row>
    <row r="288" spans="1:11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K288" s="73"/>
    </row>
    <row r="289" spans="1:11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K289" s="73"/>
    </row>
    <row r="290" spans="1:11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K290" s="73"/>
    </row>
    <row r="291" spans="1:1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K291" s="73"/>
    </row>
    <row r="292" spans="1:11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K292" s="73"/>
    </row>
    <row r="293" spans="1:11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K293" s="73"/>
    </row>
    <row r="294" spans="1:11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K294" s="73"/>
    </row>
    <row r="295" spans="1:11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K295" s="73"/>
    </row>
    <row r="296" spans="1:11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K296" s="73"/>
    </row>
    <row r="297" spans="1:11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K297" s="73"/>
    </row>
    <row r="298" spans="1:11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K298" s="73"/>
    </row>
    <row r="299" spans="1:11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K299" s="73"/>
    </row>
    <row r="300" spans="1:11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K300" s="73"/>
    </row>
    <row r="301" spans="1:1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K301" s="73"/>
    </row>
    <row r="302" spans="1:11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K302" s="73"/>
    </row>
    <row r="303" spans="1:11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K303" s="73"/>
    </row>
    <row r="304" spans="1:11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K304" s="73"/>
    </row>
    <row r="305" spans="1:11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K305" s="73"/>
    </row>
    <row r="306" spans="1:11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K306" s="73"/>
    </row>
    <row r="307" spans="1:11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K307" s="73"/>
    </row>
    <row r="308" spans="1:11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K308" s="73"/>
    </row>
    <row r="309" spans="1:11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K309" s="73"/>
    </row>
    <row r="310" spans="1:11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K310" s="73"/>
    </row>
    <row r="311" spans="1: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K311" s="73"/>
    </row>
    <row r="312" spans="1:11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K312" s="73"/>
    </row>
    <row r="313" spans="1:11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K313" s="73"/>
    </row>
    <row r="314" spans="1:11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K314" s="73"/>
    </row>
    <row r="315" spans="1:11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K315" s="73"/>
    </row>
    <row r="316" spans="1:11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K316" s="73"/>
    </row>
    <row r="317" spans="1:11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K317" s="73"/>
    </row>
    <row r="318" spans="1:11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K318" s="73"/>
    </row>
    <row r="319" spans="1:11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K319" s="73"/>
    </row>
    <row r="320" spans="1:11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K320" s="73"/>
    </row>
    <row r="321" spans="1:1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K321" s="73"/>
    </row>
    <row r="322" spans="1:11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K322" s="73"/>
    </row>
    <row r="323" spans="1:11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K323" s="73"/>
    </row>
    <row r="324" spans="1:11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K324" s="73"/>
    </row>
    <row r="325" spans="1:11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K325" s="73"/>
    </row>
    <row r="326" spans="1:11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K326" s="73"/>
    </row>
    <row r="327" spans="1:11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K327" s="73"/>
    </row>
    <row r="328" spans="1:11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K328" s="73"/>
    </row>
    <row r="329" spans="1:11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K329" s="73"/>
    </row>
    <row r="330" spans="1:11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K330" s="73"/>
    </row>
    <row r="331" spans="1:1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K331" s="73"/>
    </row>
    <row r="332" spans="1:11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K332" s="73"/>
    </row>
    <row r="333" spans="1:11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K333" s="73"/>
    </row>
    <row r="334" spans="1:11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K334" s="73"/>
    </row>
    <row r="335" spans="1:11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K335" s="73"/>
    </row>
    <row r="336" spans="1:11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K336" s="73"/>
    </row>
    <row r="337" spans="1:11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K337" s="73"/>
    </row>
    <row r="338" spans="1:11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K338" s="73"/>
    </row>
    <row r="339" spans="1:11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K339" s="73"/>
    </row>
    <row r="340" spans="1:11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K340" s="73"/>
    </row>
    <row r="341" spans="1:1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K341" s="73"/>
    </row>
    <row r="342" spans="1:11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K342" s="73"/>
    </row>
    <row r="343" spans="1:11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K343" s="73"/>
    </row>
    <row r="344" spans="1:11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K344" s="73"/>
    </row>
    <row r="345" spans="1:11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K345" s="73"/>
    </row>
    <row r="346" spans="1:11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K346" s="73"/>
    </row>
    <row r="347" spans="1:11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K347" s="73"/>
    </row>
    <row r="348" spans="1:11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K348" s="73"/>
    </row>
    <row r="349" spans="1:11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K349" s="73"/>
    </row>
    <row r="350" spans="1:11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K350" s="73"/>
    </row>
    <row r="351" spans="1:1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K351" s="73"/>
    </row>
    <row r="352" spans="1:11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K352" s="73"/>
    </row>
    <row r="353" spans="1:11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K353" s="73"/>
    </row>
    <row r="354" spans="1:11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K354" s="73"/>
    </row>
    <row r="355" spans="1:11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K355" s="73"/>
    </row>
    <row r="356" spans="1:11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K356" s="73"/>
    </row>
    <row r="357" spans="1:11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K357" s="73"/>
    </row>
    <row r="358" spans="1:11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K358" s="73"/>
    </row>
    <row r="359" spans="1:11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K359" s="73"/>
    </row>
    <row r="360" spans="1:11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K360" s="73"/>
    </row>
    <row r="361" spans="1:1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K361" s="73"/>
    </row>
    <row r="362" spans="1:11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K362" s="73"/>
    </row>
    <row r="363" spans="1:11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K363" s="73"/>
    </row>
    <row r="364" spans="1:11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K364" s="73"/>
    </row>
    <row r="365" spans="1:11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K365" s="73"/>
    </row>
    <row r="366" spans="1:11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K366" s="73"/>
    </row>
    <row r="367" spans="1:11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K367" s="73"/>
    </row>
    <row r="368" spans="1:11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K368" s="73"/>
    </row>
    <row r="369" spans="1:11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K369" s="73"/>
    </row>
    <row r="370" spans="1:11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K370" s="73"/>
    </row>
    <row r="371" spans="1:1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K371" s="73"/>
    </row>
    <row r="372" spans="1:11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K372" s="73"/>
    </row>
    <row r="373" spans="1:11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K373" s="73"/>
    </row>
    <row r="374" spans="1:11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K374" s="73"/>
    </row>
    <row r="375" spans="1:11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K375" s="73"/>
    </row>
    <row r="376" spans="1:11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K376" s="73"/>
    </row>
    <row r="377" spans="1:11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K377" s="73"/>
    </row>
    <row r="378" spans="1:11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K378" s="73"/>
    </row>
    <row r="379" spans="1:11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K379" s="73"/>
    </row>
    <row r="380" spans="1:11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K380" s="73"/>
    </row>
    <row r="381" spans="1:1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K381" s="73"/>
    </row>
    <row r="382" spans="1:11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K382" s="73"/>
    </row>
    <row r="383" spans="1:11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K383" s="73"/>
    </row>
    <row r="384" spans="1:11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K384" s="73"/>
    </row>
    <row r="385" spans="1:11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K385" s="73"/>
    </row>
    <row r="386" spans="1:11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K386" s="73"/>
    </row>
    <row r="387" spans="1:11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K387" s="73"/>
    </row>
    <row r="388" spans="1:11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K388" s="73"/>
    </row>
    <row r="389" spans="1:11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K389" s="73"/>
    </row>
    <row r="390" spans="1:11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K390" s="73"/>
    </row>
    <row r="391" spans="1:1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K391" s="73"/>
    </row>
    <row r="392" spans="1:11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K392" s="73"/>
    </row>
    <row r="393" spans="1:11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K393" s="73"/>
    </row>
    <row r="394" spans="1:11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K394" s="73"/>
    </row>
    <row r="395" spans="1:11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K395" s="73"/>
    </row>
    <row r="396" spans="1:11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K396" s="73"/>
    </row>
    <row r="397" spans="1:11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K397" s="73"/>
    </row>
    <row r="398" spans="1:11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K398" s="73"/>
    </row>
    <row r="399" spans="1:11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K399" s="73"/>
    </row>
    <row r="400" spans="1:11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K400" s="73"/>
    </row>
    <row r="401" spans="1:1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K401" s="73"/>
    </row>
    <row r="402" spans="1:11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K402" s="73"/>
    </row>
    <row r="403" spans="1:11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K403" s="73"/>
    </row>
    <row r="404" spans="1:11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K404" s="73"/>
    </row>
    <row r="405" spans="1:11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K405" s="73"/>
    </row>
    <row r="406" spans="1:11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K406" s="73"/>
    </row>
    <row r="407" spans="1:11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K407" s="73"/>
    </row>
    <row r="408" spans="1:11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K408" s="73"/>
    </row>
    <row r="409" spans="1:11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K409" s="73"/>
    </row>
    <row r="410" spans="1:11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K410" s="73"/>
    </row>
    <row r="411" spans="1: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K411" s="73"/>
    </row>
    <row r="412" spans="1:11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K412" s="73"/>
    </row>
    <row r="413" spans="1:11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K413" s="73"/>
    </row>
    <row r="414" spans="1:11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K414" s="73"/>
    </row>
    <row r="415" spans="1:11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K415" s="73"/>
    </row>
    <row r="416" spans="1:11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K416" s="73"/>
    </row>
    <row r="417" spans="1:11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K417" s="73"/>
    </row>
    <row r="418" spans="1:11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K418" s="73"/>
    </row>
    <row r="419" spans="1:11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K419" s="73"/>
    </row>
    <row r="420" spans="1:11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K420" s="73"/>
    </row>
    <row r="421" spans="1:1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K421" s="73"/>
    </row>
    <row r="422" spans="1:11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K422" s="73"/>
    </row>
    <row r="423" spans="1:11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K423" s="73"/>
    </row>
    <row r="424" spans="1:11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K424" s="73"/>
    </row>
    <row r="425" spans="1:11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K425" s="73"/>
    </row>
    <row r="426" spans="1:11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K426" s="73"/>
    </row>
    <row r="427" spans="1:11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K427" s="73"/>
    </row>
    <row r="428" spans="1:11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K428" s="73"/>
    </row>
    <row r="429" spans="1:11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K429" s="73"/>
    </row>
    <row r="430" spans="1:11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K430" s="73"/>
    </row>
    <row r="431" spans="1:1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K431" s="73"/>
    </row>
    <row r="432" spans="1:11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K432" s="73"/>
    </row>
    <row r="433" spans="1:11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K433" s="73"/>
    </row>
    <row r="434" spans="1:11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K434" s="73"/>
    </row>
    <row r="435" spans="1:11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K435" s="73"/>
    </row>
    <row r="436" spans="1:11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K436" s="73"/>
    </row>
    <row r="437" spans="1:11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K437" s="73"/>
    </row>
    <row r="438" spans="1:11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K438" s="73"/>
    </row>
    <row r="439" spans="1:11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K439" s="73"/>
    </row>
    <row r="440" spans="1:11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K440" s="73"/>
    </row>
    <row r="441" spans="1:1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K441" s="73"/>
    </row>
    <row r="442" spans="1:11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K442" s="73"/>
    </row>
    <row r="443" spans="1:11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K443" s="73"/>
    </row>
    <row r="444" spans="1:11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K444" s="73"/>
    </row>
    <row r="445" spans="1:11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K445" s="73"/>
    </row>
    <row r="446" spans="1:11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K446" s="73"/>
    </row>
    <row r="447" spans="1:11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K447" s="73"/>
    </row>
    <row r="448" spans="1:11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K448" s="73"/>
    </row>
    <row r="449" spans="1:11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K449" s="73"/>
    </row>
    <row r="450" spans="1:11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K450" s="73"/>
    </row>
    <row r="451" spans="1:1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K451" s="73"/>
    </row>
    <row r="452" spans="1:11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K452" s="73"/>
    </row>
    <row r="453" spans="1:11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K453" s="73"/>
    </row>
    <row r="454" spans="1:11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K454" s="73"/>
    </row>
    <row r="455" spans="1:11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K455" s="73"/>
    </row>
    <row r="456" spans="1:11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K456" s="73"/>
    </row>
    <row r="457" spans="1:11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K457" s="73"/>
    </row>
    <row r="458" spans="1:11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K458" s="73"/>
    </row>
    <row r="459" spans="1:11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K459" s="73"/>
    </row>
    <row r="460" spans="1:11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K460" s="73"/>
    </row>
    <row r="461" spans="1:1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K461" s="73"/>
    </row>
    <row r="462" spans="1:11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K462" s="73"/>
    </row>
    <row r="463" spans="1:11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K463" s="73"/>
    </row>
    <row r="464" spans="1:11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K464" s="73"/>
    </row>
    <row r="465" spans="1:11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K465" s="73"/>
    </row>
    <row r="466" spans="1:11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K466" s="73"/>
    </row>
    <row r="467" spans="1:11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K467" s="73"/>
    </row>
    <row r="468" spans="1:11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K468" s="73"/>
    </row>
    <row r="469" spans="1:11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K469" s="73"/>
    </row>
    <row r="470" spans="1:11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K470" s="73"/>
    </row>
    <row r="471" spans="1:1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K471" s="73"/>
    </row>
    <row r="472" spans="1:11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K472" s="73"/>
    </row>
    <row r="473" spans="1:11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K473" s="73"/>
    </row>
    <row r="474" spans="1:11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K474" s="73"/>
    </row>
    <row r="475" spans="1:11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K475" s="73"/>
    </row>
    <row r="476" spans="1:11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K476" s="73"/>
    </row>
    <row r="477" spans="1:11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K477" s="73"/>
    </row>
    <row r="478" spans="1:11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K478" s="73"/>
    </row>
    <row r="479" spans="1:11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K479" s="73"/>
    </row>
    <row r="480" spans="1:11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K480" s="73"/>
    </row>
    <row r="481" spans="1:1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K481" s="73"/>
    </row>
    <row r="482" spans="1:11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K482" s="73"/>
    </row>
    <row r="483" spans="1:11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K483" s="73"/>
    </row>
    <row r="484" spans="1:11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K484" s="73"/>
    </row>
    <row r="485" spans="1:11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K485" s="73"/>
    </row>
    <row r="486" spans="1:11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K486" s="73"/>
    </row>
    <row r="487" spans="1:11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K487" s="73"/>
    </row>
    <row r="488" spans="1:11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K488" s="73"/>
    </row>
    <row r="489" spans="1:11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K489" s="73"/>
    </row>
    <row r="490" spans="1:11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K490" s="73"/>
    </row>
    <row r="491" spans="1:1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K491" s="73"/>
    </row>
    <row r="492" spans="1:11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K492" s="73"/>
    </row>
    <row r="493" spans="1:11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K493" s="73"/>
    </row>
    <row r="494" spans="1:11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K494" s="73"/>
    </row>
    <row r="495" spans="1:11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K495" s="73"/>
    </row>
    <row r="496" spans="1:11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K496" s="73"/>
    </row>
    <row r="497" spans="1:11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K497" s="73"/>
    </row>
    <row r="498" spans="1:11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K498" s="73"/>
    </row>
    <row r="499" spans="1:11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K499" s="73"/>
    </row>
    <row r="500" spans="1:11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K500" s="73"/>
    </row>
    <row r="501" spans="1:1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K501" s="73"/>
    </row>
    <row r="502" spans="1:11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K502" s="73"/>
    </row>
    <row r="503" spans="1:11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K503" s="73"/>
    </row>
    <row r="504" spans="1:11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K504" s="73"/>
    </row>
    <row r="505" spans="1:11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K505" s="73"/>
    </row>
    <row r="506" spans="1:11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K506" s="73"/>
    </row>
    <row r="507" spans="1:11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K507" s="73"/>
    </row>
    <row r="508" spans="1:11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K508" s="73"/>
    </row>
    <row r="509" spans="1:11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K509" s="73"/>
    </row>
    <row r="510" spans="1:11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K510" s="73"/>
    </row>
    <row r="511" spans="1: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K511" s="73"/>
    </row>
    <row r="512" spans="1:11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K512" s="73"/>
    </row>
    <row r="513" spans="1:11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K513" s="73"/>
    </row>
    <row r="514" spans="1:11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K514" s="73"/>
    </row>
    <row r="515" spans="1:11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K515" s="73"/>
    </row>
    <row r="516" spans="1:11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K516" s="73"/>
    </row>
    <row r="517" spans="1:11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K517" s="73"/>
    </row>
    <row r="518" spans="1:11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K518" s="73"/>
    </row>
    <row r="519" spans="1:11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K519" s="73"/>
    </row>
    <row r="520" spans="1:11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K520" s="73"/>
    </row>
    <row r="521" spans="1:1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K521" s="73"/>
    </row>
    <row r="522" spans="1:11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K522" s="73"/>
    </row>
    <row r="523" spans="1:11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K523" s="73"/>
    </row>
    <row r="524" spans="1:11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K524" s="73"/>
    </row>
    <row r="525" spans="1:11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K525" s="73"/>
    </row>
    <row r="526" spans="1:11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K526" s="73"/>
    </row>
    <row r="527" spans="1:11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K527" s="73"/>
    </row>
    <row r="528" spans="1:11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K528" s="73"/>
    </row>
    <row r="529" spans="1:11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K529" s="73"/>
    </row>
    <row r="530" spans="1:11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K530" s="73"/>
    </row>
    <row r="531" spans="1:1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K531" s="73"/>
    </row>
    <row r="532" spans="1:11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K532" s="73"/>
    </row>
    <row r="533" spans="1:11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K533" s="73"/>
    </row>
    <row r="534" spans="1:11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K534" s="73"/>
    </row>
    <row r="535" spans="1:11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K535" s="73"/>
    </row>
    <row r="536" spans="1:11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K536" s="73"/>
    </row>
    <row r="537" spans="1:11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K537" s="73"/>
    </row>
    <row r="538" spans="1:11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K538" s="73"/>
    </row>
    <row r="539" spans="1:11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K539" s="73"/>
    </row>
    <row r="540" spans="1:11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K540" s="73"/>
    </row>
    <row r="541" spans="1:1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K541" s="73"/>
    </row>
    <row r="542" spans="1:11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K542" s="73"/>
    </row>
    <row r="543" spans="1:11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K543" s="73"/>
    </row>
    <row r="544" spans="1:11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K544" s="73"/>
    </row>
    <row r="545" spans="1:11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K545" s="73"/>
    </row>
    <row r="546" spans="1:11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K546" s="73"/>
    </row>
    <row r="547" spans="1:11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K547" s="73"/>
    </row>
    <row r="548" spans="1:11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K548" s="73"/>
    </row>
    <row r="549" spans="1:11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K549" s="73"/>
    </row>
    <row r="550" spans="1:11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K550" s="73"/>
    </row>
    <row r="551" spans="1:1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K551" s="73"/>
    </row>
    <row r="552" spans="1:11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K552" s="73"/>
    </row>
    <row r="553" spans="1:11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K553" s="73"/>
    </row>
    <row r="554" spans="1:11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K554" s="73"/>
    </row>
    <row r="555" spans="1:11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K555" s="73"/>
    </row>
    <row r="556" spans="1:11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K556" s="73"/>
    </row>
    <row r="557" spans="1:11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K557" s="73"/>
    </row>
    <row r="558" spans="1:11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K558" s="73"/>
    </row>
    <row r="559" spans="1:11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K559" s="73"/>
    </row>
    <row r="560" spans="1:11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K560" s="73"/>
    </row>
    <row r="561" spans="1:1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K561" s="73"/>
    </row>
    <row r="562" spans="1:11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K562" s="73"/>
    </row>
    <row r="563" spans="1:11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K563" s="73"/>
    </row>
    <row r="564" spans="1:11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K564" s="73"/>
    </row>
    <row r="565" spans="1:11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K565" s="73"/>
    </row>
    <row r="566" spans="1:11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K566" s="73"/>
    </row>
    <row r="567" spans="1:11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K567" s="73"/>
    </row>
    <row r="568" spans="1:11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K568" s="73"/>
    </row>
    <row r="569" spans="1:11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K569" s="73"/>
    </row>
    <row r="570" spans="1:11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K570" s="73"/>
    </row>
    <row r="571" spans="1:1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K571" s="73"/>
    </row>
    <row r="572" spans="1:11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K572" s="73"/>
    </row>
    <row r="573" spans="1:11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K573" s="73"/>
    </row>
    <row r="574" spans="1:11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K574" s="73"/>
    </row>
    <row r="575" spans="1:11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K575" s="73"/>
    </row>
    <row r="576" spans="1:11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K576" s="73"/>
    </row>
    <row r="577" spans="1:11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K577" s="73"/>
    </row>
    <row r="578" spans="1:11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K578" s="73"/>
    </row>
    <row r="579" spans="1:11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K579" s="73"/>
    </row>
    <row r="580" spans="1:11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K580" s="73"/>
    </row>
    <row r="581" spans="1:1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K581" s="73"/>
    </row>
    <row r="582" spans="1:11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K582" s="73"/>
    </row>
    <row r="583" spans="1:11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K583" s="73"/>
    </row>
    <row r="584" spans="1:11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K584" s="73"/>
    </row>
    <row r="585" spans="1:11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K585" s="73"/>
    </row>
    <row r="586" spans="1:11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K586" s="73"/>
    </row>
    <row r="587" spans="1:11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K587" s="73"/>
    </row>
    <row r="588" spans="1:11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K588" s="73"/>
    </row>
    <row r="589" spans="1:11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K589" s="73"/>
    </row>
    <row r="590" spans="1:11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K590" s="73"/>
    </row>
    <row r="591" spans="1:1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K591" s="73"/>
    </row>
    <row r="592" spans="1:11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K592" s="73"/>
    </row>
    <row r="593" spans="1:11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K593" s="73"/>
    </row>
    <row r="594" spans="1:11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K594" s="73"/>
    </row>
    <row r="595" spans="1:11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K595" s="73"/>
    </row>
    <row r="596" spans="1:11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K596" s="73"/>
    </row>
    <row r="597" spans="1:11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K597" s="73"/>
    </row>
    <row r="598" spans="1:11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K598" s="73"/>
    </row>
    <row r="599" spans="1:11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K599" s="73"/>
    </row>
    <row r="600" spans="1:11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K600" s="73"/>
    </row>
    <row r="601" spans="1:1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K601" s="73"/>
    </row>
    <row r="602" spans="1:11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K602" s="73"/>
    </row>
    <row r="603" spans="1:11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K603" s="73"/>
    </row>
    <row r="604" spans="1:11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K604" s="73"/>
    </row>
    <row r="605" spans="1:11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K605" s="73"/>
    </row>
    <row r="606" spans="1:11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K606" s="73"/>
    </row>
    <row r="607" spans="1:11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K607" s="73"/>
    </row>
    <row r="608" spans="1:11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K608" s="73"/>
    </row>
    <row r="609" spans="1:11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K609" s="73"/>
    </row>
    <row r="610" spans="1:11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K610" s="73"/>
    </row>
    <row r="611" spans="1: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K611" s="73"/>
    </row>
    <row r="612" spans="1:11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K612" s="73"/>
    </row>
    <row r="613" spans="1:11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K613" s="73"/>
    </row>
    <row r="614" spans="1:11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K614" s="73"/>
    </row>
    <row r="615" spans="1:11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K615" s="73"/>
    </row>
    <row r="616" spans="1:11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K616" s="73"/>
    </row>
    <row r="617" spans="1:11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K617" s="73"/>
    </row>
    <row r="618" spans="1:11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K618" s="73"/>
    </row>
    <row r="619" spans="1:11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K619" s="73"/>
    </row>
    <row r="620" spans="1:11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K620" s="73"/>
    </row>
    <row r="621" spans="1:1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K621" s="73"/>
    </row>
    <row r="622" spans="1:11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K622" s="73"/>
    </row>
    <row r="623" spans="1:11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K623" s="73"/>
    </row>
    <row r="624" spans="1:11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K624" s="73"/>
    </row>
    <row r="625" spans="1:11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K625" s="73"/>
    </row>
    <row r="626" spans="1:11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K626" s="73"/>
    </row>
    <row r="627" spans="1:11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K627" s="73"/>
    </row>
    <row r="628" spans="1:11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K628" s="73"/>
    </row>
    <row r="629" spans="1:11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K629" s="73"/>
    </row>
    <row r="630" spans="1:11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K630" s="73"/>
    </row>
    <row r="631" spans="1:1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K631" s="73"/>
    </row>
    <row r="632" spans="1:11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K632" s="73"/>
    </row>
    <row r="633" spans="1:11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K633" s="73"/>
    </row>
    <row r="634" spans="1:11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K634" s="73"/>
    </row>
    <row r="635" spans="1:11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K635" s="73"/>
    </row>
    <row r="636" spans="1:11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K636" s="73"/>
    </row>
    <row r="637" spans="1:11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K637" s="73"/>
    </row>
    <row r="638" spans="1:11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K638" s="73"/>
    </row>
    <row r="639" spans="1:11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K639" s="73"/>
    </row>
    <row r="640" spans="1:11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K640" s="73"/>
    </row>
    <row r="641" spans="1:1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K641" s="73"/>
    </row>
    <row r="642" spans="1:11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K642" s="73"/>
    </row>
    <row r="643" spans="1:11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K643" s="73"/>
    </row>
    <row r="644" spans="1:11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K644" s="73"/>
    </row>
    <row r="645" spans="1:11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K645" s="73"/>
    </row>
    <row r="646" spans="1:11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K646" s="73"/>
    </row>
    <row r="647" spans="1:11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K647" s="73"/>
    </row>
    <row r="648" spans="1:11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K648" s="73"/>
    </row>
    <row r="649" spans="1:11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K649" s="73"/>
    </row>
    <row r="650" spans="1:11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K650" s="73"/>
    </row>
    <row r="651" spans="1:1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K651" s="73"/>
    </row>
    <row r="652" spans="1:11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K652" s="73"/>
    </row>
    <row r="653" spans="1:11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K653" s="73"/>
    </row>
    <row r="654" spans="1:11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K654" s="73"/>
    </row>
    <row r="655" spans="1:11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K655" s="73"/>
    </row>
    <row r="656" spans="1:11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K656" s="73"/>
    </row>
    <row r="657" spans="1:11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K657" s="73"/>
    </row>
    <row r="658" spans="1:11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K658" s="73"/>
    </row>
    <row r="659" spans="1:11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K659" s="73"/>
    </row>
    <row r="660" spans="1:11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K660" s="73"/>
    </row>
    <row r="661" spans="1:1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K661" s="73"/>
    </row>
    <row r="662" spans="1:11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K662" s="73"/>
    </row>
    <row r="663" spans="1:11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K663" s="73"/>
    </row>
    <row r="664" spans="1:11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K664" s="73"/>
    </row>
    <row r="665" spans="1:11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K665" s="73"/>
    </row>
    <row r="666" spans="1:11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K666" s="73"/>
    </row>
    <row r="667" spans="1:11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K667" s="73"/>
    </row>
    <row r="668" spans="1:11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K668" s="73"/>
    </row>
    <row r="669" spans="1:11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K669" s="73"/>
    </row>
    <row r="670" spans="1:11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K670" s="73"/>
    </row>
    <row r="671" spans="1:1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K671" s="73"/>
    </row>
    <row r="672" spans="1:11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K672" s="73"/>
    </row>
    <row r="673" spans="1:11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K673" s="73"/>
    </row>
    <row r="674" spans="1:11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K674" s="73"/>
    </row>
    <row r="675" spans="1:11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K675" s="73"/>
    </row>
    <row r="676" spans="1:11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K676" s="73"/>
    </row>
    <row r="677" spans="1:11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K677" s="73"/>
    </row>
    <row r="678" spans="1:11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K678" s="73"/>
    </row>
    <row r="679" spans="1:11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K679" s="73"/>
    </row>
    <row r="680" spans="1:11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K680" s="73"/>
    </row>
    <row r="681" spans="1:1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K681" s="73"/>
    </row>
    <row r="682" spans="1:11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K682" s="73"/>
    </row>
    <row r="683" spans="1:11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K683" s="73"/>
    </row>
    <row r="684" spans="1:11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K684" s="73"/>
    </row>
    <row r="685" spans="1:11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K685" s="73"/>
    </row>
    <row r="686" spans="1:11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K686" s="73"/>
    </row>
    <row r="687" spans="1:11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K687" s="73"/>
    </row>
    <row r="688" spans="1:11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K688" s="73"/>
    </row>
    <row r="689" spans="1:11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K689" s="73"/>
    </row>
    <row r="690" spans="1:11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K690" s="73"/>
    </row>
    <row r="691" spans="1:1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K691" s="73"/>
    </row>
    <row r="692" spans="1:11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K692" s="73"/>
    </row>
    <row r="693" spans="1:11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K693" s="73"/>
    </row>
    <row r="694" spans="1:11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K694" s="73"/>
    </row>
    <row r="695" spans="1:11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K695" s="73"/>
    </row>
    <row r="696" spans="1:11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K696" s="73"/>
    </row>
    <row r="697" spans="1:11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K697" s="73"/>
    </row>
    <row r="698" spans="1:11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K698" s="73"/>
    </row>
    <row r="699" spans="1:11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K699" s="73"/>
    </row>
    <row r="700" spans="1:11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K700" s="73"/>
    </row>
    <row r="701" spans="1:1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K701" s="73"/>
    </row>
    <row r="702" spans="1:11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K702" s="73"/>
    </row>
    <row r="703" spans="1:11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K703" s="73"/>
    </row>
    <row r="704" spans="1:11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K704" s="73"/>
    </row>
    <row r="705" spans="1:11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K705" s="73"/>
    </row>
    <row r="706" spans="1:11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K706" s="73"/>
    </row>
    <row r="707" spans="1:11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K707" s="73"/>
    </row>
    <row r="708" spans="1:11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K708" s="73"/>
    </row>
    <row r="709" spans="1:11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K709" s="73"/>
    </row>
    <row r="710" spans="1:11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K710" s="73"/>
    </row>
    <row r="711" spans="1: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K711" s="73"/>
    </row>
    <row r="712" spans="1:11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K712" s="73"/>
    </row>
    <row r="713" spans="1:11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K713" s="73"/>
    </row>
    <row r="714" spans="1:11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K714" s="73"/>
    </row>
    <row r="715" spans="1:11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K715" s="73"/>
    </row>
    <row r="716" spans="1:11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K716" s="73"/>
    </row>
    <row r="717" spans="1:11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K717" s="73"/>
    </row>
    <row r="718" spans="1:11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K718" s="73"/>
    </row>
    <row r="719" spans="1:11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K719" s="73"/>
    </row>
    <row r="720" spans="1:11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K720" s="73"/>
    </row>
    <row r="721" spans="1:1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K721" s="73"/>
    </row>
    <row r="722" spans="1:11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K722" s="73"/>
    </row>
    <row r="723" spans="1:11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K723" s="73"/>
    </row>
    <row r="724" spans="1:11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K724" s="73"/>
    </row>
    <row r="725" spans="1:11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K725" s="73"/>
    </row>
    <row r="726" spans="1:11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K726" s="73"/>
    </row>
    <row r="727" spans="1:11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K727" s="73"/>
    </row>
    <row r="728" spans="1:11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K728" s="73"/>
    </row>
    <row r="729" spans="1:11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K729" s="73"/>
    </row>
    <row r="730" spans="1:11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K730" s="73"/>
    </row>
    <row r="731" spans="1:1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K731" s="73"/>
    </row>
    <row r="732" spans="1:11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K732" s="73"/>
    </row>
    <row r="733" spans="1:11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K733" s="73"/>
    </row>
    <row r="734" spans="1:11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K734" s="73"/>
    </row>
    <row r="735" spans="1:11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K735" s="73"/>
    </row>
    <row r="736" spans="1:11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K736" s="73"/>
    </row>
    <row r="737" spans="1:11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K737" s="73"/>
    </row>
    <row r="738" spans="1:11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K738" s="73"/>
    </row>
    <row r="739" spans="1:11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K739" s="73"/>
    </row>
    <row r="740" spans="1:11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K740" s="73"/>
    </row>
    <row r="741" spans="1:1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K741" s="73"/>
    </row>
    <row r="742" spans="1:11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K742" s="73"/>
    </row>
    <row r="743" spans="1:11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K743" s="73"/>
    </row>
    <row r="744" spans="1:11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K744" s="73"/>
    </row>
    <row r="745" spans="1:11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K745" s="73"/>
    </row>
    <row r="746" spans="1:11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K746" s="73"/>
    </row>
    <row r="747" spans="1:11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K747" s="73"/>
    </row>
    <row r="748" spans="1:11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K748" s="73"/>
    </row>
    <row r="749" spans="1:11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K749" s="73"/>
    </row>
    <row r="750" spans="1:11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K750" s="73"/>
    </row>
    <row r="751" spans="1:1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K751" s="73"/>
    </row>
    <row r="752" spans="1:11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K752" s="73"/>
    </row>
    <row r="753" spans="1:11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K753" s="73"/>
    </row>
    <row r="754" spans="1:11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K754" s="73"/>
    </row>
    <row r="755" spans="1:11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K755" s="73"/>
    </row>
    <row r="756" spans="1:11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K756" s="73"/>
    </row>
    <row r="757" spans="1:11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K757" s="73"/>
    </row>
    <row r="758" spans="1:11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K758" s="73"/>
    </row>
    <row r="759" spans="1:11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K759" s="73"/>
    </row>
    <row r="760" spans="1:11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K760" s="73"/>
    </row>
    <row r="761" spans="1:1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K761" s="73"/>
    </row>
    <row r="762" spans="1:11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K762" s="73"/>
    </row>
    <row r="763" spans="1:11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K763" s="73"/>
    </row>
    <row r="764" spans="1:11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K764" s="73"/>
    </row>
    <row r="765" spans="1:11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K765" s="73"/>
    </row>
    <row r="766" spans="1:11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K766" s="73"/>
    </row>
    <row r="767" spans="1:11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K767" s="73"/>
    </row>
    <row r="768" spans="1:11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K768" s="73"/>
    </row>
    <row r="769" spans="1:11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K769" s="73"/>
    </row>
    <row r="770" spans="1:11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K770" s="73"/>
    </row>
    <row r="771" spans="1:1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K771" s="73"/>
    </row>
    <row r="772" spans="1:11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K772" s="73"/>
    </row>
    <row r="773" spans="1:11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K773" s="73"/>
    </row>
    <row r="774" spans="1:11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K774" s="73"/>
    </row>
    <row r="775" spans="1:11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K775" s="73"/>
    </row>
    <row r="776" spans="1:11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K776" s="73"/>
    </row>
    <row r="777" spans="1:11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K777" s="73"/>
    </row>
    <row r="778" spans="1:11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K778" s="73"/>
    </row>
    <row r="779" spans="1:11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K779" s="73"/>
    </row>
    <row r="780" spans="1:11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K780" s="73"/>
    </row>
    <row r="781" spans="1:1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K781" s="73"/>
    </row>
    <row r="782" spans="1:11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K782" s="73"/>
    </row>
    <row r="783" spans="1:11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K783" s="73"/>
    </row>
    <row r="784" spans="1:11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K784" s="73"/>
    </row>
    <row r="785" spans="1:11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K785" s="73"/>
    </row>
    <row r="786" spans="1:11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K786" s="73"/>
    </row>
    <row r="787" spans="1:11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K787" s="73"/>
    </row>
    <row r="788" spans="1:11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K788" s="73"/>
    </row>
    <row r="789" spans="1:11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K789" s="73"/>
    </row>
    <row r="790" spans="1:11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K790" s="73"/>
    </row>
    <row r="791" spans="1:1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K791" s="73"/>
    </row>
    <row r="792" spans="1:11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K792" s="73"/>
    </row>
    <row r="793" spans="1:11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K793" s="73"/>
    </row>
    <row r="794" spans="1:11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K794" s="73"/>
    </row>
    <row r="795" spans="1:11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K795" s="73"/>
    </row>
    <row r="796" spans="1:11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K796" s="73"/>
    </row>
    <row r="797" spans="1:11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K797" s="73"/>
    </row>
    <row r="798" spans="1:11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K798" s="73"/>
    </row>
    <row r="799" spans="1:11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K799" s="73"/>
    </row>
    <row r="800" spans="1:11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K800" s="73"/>
    </row>
    <row r="801" spans="1:1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K801" s="73"/>
    </row>
    <row r="802" spans="1:11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K802" s="73"/>
    </row>
    <row r="803" spans="1:11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K803" s="73"/>
    </row>
    <row r="804" spans="1:11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K804" s="73"/>
    </row>
    <row r="805" spans="1:11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K805" s="73"/>
    </row>
    <row r="806" spans="1:11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K806" s="73"/>
    </row>
    <row r="807" spans="1:11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K807" s="73"/>
    </row>
    <row r="808" spans="1:11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K808" s="73"/>
    </row>
    <row r="809" spans="1:11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K809" s="73"/>
    </row>
    <row r="810" spans="1:11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K810" s="73"/>
    </row>
    <row r="811" spans="1: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K811" s="73"/>
    </row>
    <row r="812" spans="1:11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K812" s="73"/>
    </row>
    <row r="813" spans="1:11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K813" s="73"/>
    </row>
    <row r="814" spans="1:11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K814" s="73"/>
    </row>
    <row r="815" spans="1:11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K815" s="73"/>
    </row>
    <row r="816" spans="1:11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K816" s="73"/>
    </row>
    <row r="817" spans="1:11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K817" s="73"/>
    </row>
    <row r="818" spans="1:11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K818" s="73"/>
    </row>
    <row r="819" spans="1:11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K819" s="73"/>
    </row>
    <row r="820" spans="1:11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K820" s="73"/>
    </row>
    <row r="821" spans="1:1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K821" s="73"/>
    </row>
    <row r="822" spans="1:11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K822" s="73"/>
    </row>
    <row r="823" spans="1:11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K823" s="73"/>
    </row>
    <row r="824" spans="1:11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K824" s="73"/>
    </row>
    <row r="825" spans="1:11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K825" s="73"/>
    </row>
    <row r="826" spans="1:11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K826" s="73"/>
    </row>
    <row r="827" spans="1:11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K827" s="73"/>
    </row>
    <row r="828" spans="1:11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K828" s="73"/>
    </row>
    <row r="829" spans="1:11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K829" s="73"/>
    </row>
    <row r="830" spans="1:11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K830" s="73"/>
    </row>
    <row r="831" spans="1:1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K831" s="73"/>
    </row>
    <row r="832" spans="1:11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K832" s="73"/>
    </row>
    <row r="833" spans="1:11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K833" s="73"/>
    </row>
    <row r="834" spans="1:11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K834" s="73"/>
    </row>
    <row r="835" spans="1:11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K835" s="73"/>
    </row>
    <row r="836" spans="1:11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K836" s="73"/>
    </row>
    <row r="837" spans="1:11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K837" s="73"/>
    </row>
    <row r="838" spans="1:11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K838" s="73"/>
    </row>
    <row r="839" spans="1:11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K839" s="73"/>
    </row>
    <row r="840" spans="1:11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K840" s="73"/>
    </row>
    <row r="841" spans="1:1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K841" s="73"/>
    </row>
    <row r="842" spans="1:11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K842" s="73"/>
    </row>
    <row r="843" spans="1:11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K843" s="73"/>
    </row>
    <row r="844" spans="1:11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K844" s="73"/>
    </row>
    <row r="845" spans="1:11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K845" s="73"/>
    </row>
    <row r="846" spans="1:11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K846" s="73"/>
    </row>
    <row r="847" spans="1:11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K847" s="73"/>
    </row>
    <row r="848" spans="1:11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K848" s="73"/>
    </row>
    <row r="849" spans="1:11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K849" s="73"/>
    </row>
    <row r="850" spans="1:11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K850" s="73"/>
    </row>
    <row r="851" spans="1:1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K851" s="73"/>
    </row>
    <row r="852" spans="1:11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K852" s="73"/>
    </row>
    <row r="853" spans="1:11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K853" s="73"/>
    </row>
    <row r="854" spans="1:11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K854" s="73"/>
    </row>
    <row r="855" spans="1:11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K855" s="73"/>
    </row>
    <row r="856" spans="1:11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K856" s="73"/>
    </row>
    <row r="857" spans="1:11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K857" s="73"/>
    </row>
    <row r="858" spans="1:11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K858" s="73"/>
    </row>
    <row r="859" spans="1:11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K859" s="73"/>
    </row>
    <row r="860" spans="1:11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K860" s="73"/>
    </row>
    <row r="861" spans="1:1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K861" s="73"/>
    </row>
    <row r="862" spans="1:11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K862" s="73"/>
    </row>
    <row r="863" spans="1:11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K863" s="73"/>
    </row>
    <row r="864" spans="1:11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K864" s="73"/>
    </row>
    <row r="865" spans="1:11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K865" s="73"/>
    </row>
    <row r="866" spans="1:11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K866" s="73"/>
    </row>
    <row r="867" spans="1:11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K867" s="73"/>
    </row>
    <row r="868" spans="1:11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K868" s="73"/>
    </row>
    <row r="869" spans="1:11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K869" s="73"/>
    </row>
    <row r="870" spans="1:11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K870" s="73"/>
    </row>
    <row r="871" spans="1:1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K871" s="73"/>
    </row>
    <row r="872" spans="1:11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K872" s="73"/>
    </row>
    <row r="873" spans="1:11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K873" s="73"/>
    </row>
    <row r="874" spans="1:11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K874" s="73"/>
    </row>
    <row r="875" spans="1:11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K875" s="73"/>
    </row>
    <row r="876" spans="1:11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K876" s="73"/>
    </row>
    <row r="877" spans="1:11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K877" s="73"/>
    </row>
    <row r="878" spans="1:11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K878" s="73"/>
    </row>
    <row r="879" spans="1:11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K879" s="73"/>
    </row>
    <row r="880" spans="1:11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K880" s="73"/>
    </row>
    <row r="881" spans="1:1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K881" s="73"/>
    </row>
    <row r="882" spans="1:11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K882" s="73"/>
    </row>
    <row r="883" spans="1:11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K883" s="73"/>
    </row>
    <row r="884" spans="1:11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K884" s="73"/>
    </row>
    <row r="885" spans="1:11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K885" s="73"/>
    </row>
    <row r="886" spans="1:11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K886" s="73"/>
    </row>
    <row r="887" spans="1:11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K887" s="73"/>
    </row>
    <row r="888" spans="1:11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K888" s="73"/>
    </row>
    <row r="889" spans="1:11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K889" s="73"/>
    </row>
    <row r="890" spans="1:11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K890" s="73"/>
    </row>
    <row r="891" spans="1:1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K891" s="73"/>
    </row>
    <row r="892" spans="1:11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K892" s="73"/>
    </row>
    <row r="893" spans="1:11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K893" s="73"/>
    </row>
    <row r="894" spans="1:11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K894" s="73"/>
    </row>
    <row r="895" spans="1:11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K895" s="73"/>
    </row>
    <row r="896" spans="1:11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K896" s="73"/>
    </row>
    <row r="897" spans="1:11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K897" s="73"/>
    </row>
    <row r="898" spans="1:11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K898" s="73"/>
    </row>
    <row r="899" spans="1:11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K899" s="73"/>
    </row>
    <row r="900" spans="1:11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K900" s="73"/>
    </row>
    <row r="901" spans="1:1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K901" s="73"/>
    </row>
    <row r="902" spans="1:11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K902" s="73"/>
    </row>
    <row r="903" spans="1:11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K903" s="73"/>
    </row>
    <row r="904" spans="1:11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K904" s="73"/>
    </row>
    <row r="905" spans="1:11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K905" s="73"/>
    </row>
    <row r="906" spans="1:11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K906" s="73"/>
    </row>
    <row r="907" spans="1:11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K907" s="73"/>
    </row>
    <row r="908" spans="1:11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K908" s="73"/>
    </row>
    <row r="909" spans="1:11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K909" s="73"/>
    </row>
    <row r="910" spans="1:11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K910" s="73"/>
    </row>
    <row r="911" spans="1: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K911" s="73"/>
    </row>
    <row r="912" spans="1:11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K912" s="73"/>
    </row>
    <row r="913" spans="1:11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K913" s="73"/>
    </row>
    <row r="914" spans="1:11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K914" s="73"/>
    </row>
    <row r="915" spans="1:11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K915" s="73"/>
    </row>
    <row r="916" spans="1:11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K916" s="73"/>
    </row>
    <row r="917" spans="1:11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K917" s="73"/>
    </row>
    <row r="918" spans="1:11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K918" s="73"/>
    </row>
    <row r="919" spans="1:11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K919" s="73"/>
    </row>
    <row r="920" spans="1:11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K920" s="73"/>
    </row>
    <row r="921" spans="1:1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K921" s="73"/>
    </row>
    <row r="922" spans="1:11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K922" s="73"/>
    </row>
    <row r="923" spans="1:11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K923" s="73"/>
    </row>
    <row r="924" spans="1:11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K924" s="73"/>
    </row>
    <row r="925" spans="1:11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K925" s="73"/>
    </row>
    <row r="926" spans="1:11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K926" s="73"/>
    </row>
    <row r="927" spans="1:11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K927" s="73"/>
    </row>
    <row r="928" spans="1:11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K928" s="73"/>
    </row>
    <row r="929" spans="1:11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K929" s="73"/>
    </row>
    <row r="930" spans="1:11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K930" s="73"/>
    </row>
    <row r="931" spans="1:1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K931" s="73"/>
    </row>
    <row r="932" spans="1:11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K932" s="73"/>
    </row>
    <row r="933" spans="1:11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K933" s="73"/>
    </row>
    <row r="934" spans="1:11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K934" s="73"/>
    </row>
    <row r="935" spans="1:11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K935" s="73"/>
    </row>
    <row r="936" spans="1:11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K936" s="73"/>
    </row>
    <row r="937" spans="1:11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K937" s="73"/>
    </row>
    <row r="938" spans="1:11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K938" s="73"/>
    </row>
    <row r="939" spans="1:11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K939" s="73"/>
    </row>
    <row r="940" spans="1:11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K940" s="73"/>
    </row>
    <row r="941" spans="1:1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K941" s="73"/>
    </row>
    <row r="942" spans="1:11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K942" s="73"/>
    </row>
    <row r="943" spans="1:11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K943" s="73"/>
    </row>
    <row r="944" spans="1:11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K944" s="73"/>
    </row>
    <row r="945" spans="1:11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K945" s="73"/>
    </row>
    <row r="946" spans="1:11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K946" s="73"/>
    </row>
    <row r="947" spans="1:11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K947" s="73"/>
    </row>
    <row r="948" spans="1:11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K948" s="73"/>
    </row>
    <row r="949" spans="1:11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K949" s="73"/>
    </row>
    <row r="950" spans="1:11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K950" s="73"/>
    </row>
    <row r="951" spans="1:1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K951" s="73"/>
    </row>
    <row r="952" spans="1:11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K952" s="73"/>
    </row>
    <row r="953" spans="1:11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K953" s="73"/>
    </row>
    <row r="954" spans="1:11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K954" s="73"/>
    </row>
    <row r="955" spans="1:11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K955" s="73"/>
    </row>
    <row r="956" spans="1:11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K956" s="73"/>
    </row>
    <row r="957" spans="1:11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K957" s="73"/>
    </row>
    <row r="958" spans="1:11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K958" s="73"/>
    </row>
    <row r="959" spans="1:11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K959" s="73"/>
    </row>
    <row r="960" spans="1:11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K960" s="73"/>
    </row>
    <row r="961" spans="1:1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K961" s="73"/>
    </row>
    <row r="962" spans="1:11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K962" s="73"/>
    </row>
    <row r="963" spans="1:11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K963" s="73"/>
    </row>
    <row r="964" spans="1:11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K964" s="73"/>
    </row>
    <row r="965" spans="1:11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K965" s="73"/>
    </row>
    <row r="966" spans="1:11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K966" s="73"/>
    </row>
    <row r="967" spans="1:11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K967" s="73"/>
    </row>
    <row r="968" spans="1:11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K968" s="73"/>
    </row>
    <row r="969" spans="1:11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K969" s="73"/>
    </row>
    <row r="970" spans="1:11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K970" s="73"/>
    </row>
    <row r="971" spans="1:1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K971" s="73"/>
    </row>
    <row r="972" spans="1:11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K972" s="73"/>
    </row>
    <row r="973" spans="1:11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K973" s="73"/>
    </row>
    <row r="974" spans="1:11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K974" s="73"/>
    </row>
    <row r="975" spans="1:11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K975" s="73"/>
    </row>
    <row r="976" spans="1:11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K976" s="73"/>
    </row>
    <row r="977" spans="1:11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K977" s="73"/>
    </row>
    <row r="978" spans="1:11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K978" s="73"/>
    </row>
    <row r="979" spans="1:11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K979" s="73"/>
    </row>
    <row r="980" spans="1:11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K980" s="73"/>
    </row>
    <row r="981" spans="1:1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K981" s="73"/>
    </row>
    <row r="982" spans="1:11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K982" s="73"/>
    </row>
    <row r="983" spans="1:11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K983" s="73"/>
    </row>
    <row r="984" spans="1:11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K984" s="73"/>
    </row>
    <row r="985" spans="1:11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K985" s="73"/>
    </row>
    <row r="986" spans="1:11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K986" s="73"/>
    </row>
    <row r="987" spans="1:11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K987" s="73"/>
    </row>
    <row r="988" spans="1:11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K988" s="73"/>
    </row>
    <row r="989" spans="1:11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K989" s="73"/>
    </row>
    <row r="990" spans="1:11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K990" s="73"/>
    </row>
    <row r="991" spans="1:1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K991" s="73"/>
    </row>
    <row r="992" spans="1:11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K992" s="73"/>
    </row>
    <row r="993" spans="1:11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K993" s="73"/>
    </row>
    <row r="994" spans="1:11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K994" s="73"/>
    </row>
    <row r="995" spans="1:11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K995" s="73"/>
    </row>
    <row r="996" spans="1:11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K996" s="73"/>
    </row>
    <row r="997" spans="1:11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K997" s="73"/>
    </row>
    <row r="998" spans="1:11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K998" s="73"/>
    </row>
    <row r="999" spans="1:11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K999" s="73"/>
    </row>
    <row r="1000" spans="1:11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K1000" s="73"/>
    </row>
  </sheetData>
  <mergeCells count="28">
    <mergeCell ref="A50:A59"/>
    <mergeCell ref="A60:A62"/>
    <mergeCell ref="A63:I67"/>
    <mergeCell ref="A3:B3"/>
    <mergeCell ref="A5:A9"/>
    <mergeCell ref="A10:A17"/>
    <mergeCell ref="A18:A25"/>
    <mergeCell ref="A26:A38"/>
    <mergeCell ref="A39:A44"/>
    <mergeCell ref="A45:A49"/>
    <mergeCell ref="H26:H38"/>
    <mergeCell ref="H45:H49"/>
    <mergeCell ref="H50:H59"/>
    <mergeCell ref="H60:H62"/>
    <mergeCell ref="E3:E4"/>
    <mergeCell ref="H3:H4"/>
    <mergeCell ref="F6:F9"/>
    <mergeCell ref="G6:G9"/>
    <mergeCell ref="H6:H9"/>
    <mergeCell ref="H10:H17"/>
    <mergeCell ref="H18:H25"/>
    <mergeCell ref="A1:B2"/>
    <mergeCell ref="C1:C2"/>
    <mergeCell ref="D1:D2"/>
    <mergeCell ref="E1:I2"/>
    <mergeCell ref="C3:C4"/>
    <mergeCell ref="D3:D4"/>
    <mergeCell ref="I3:I4"/>
  </mergeCells>
  <phoneticPr fontId="30" type="noConversion"/>
  <pageMargins left="0.25" right="0.25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000"/>
  <sheetViews>
    <sheetView workbookViewId="0"/>
  </sheetViews>
  <sheetFormatPr defaultColWidth="14.42578125" defaultRowHeight="15" customHeight="1"/>
  <cols>
    <col min="1" max="1" width="33.140625" customWidth="1"/>
    <col min="2" max="2" width="160.140625" customWidth="1"/>
    <col min="3" max="3" width="16.85546875" customWidth="1"/>
    <col min="4" max="4" width="27.7109375" customWidth="1"/>
    <col min="5" max="5" width="18.28515625" customWidth="1"/>
    <col min="6" max="6" width="34.7109375" customWidth="1"/>
    <col min="7" max="8" width="12.42578125" customWidth="1"/>
    <col min="9" max="9" width="21.140625" customWidth="1"/>
    <col min="10" max="10" width="8.85546875" customWidth="1"/>
    <col min="11" max="11" width="79.5703125" customWidth="1"/>
    <col min="13" max="13" width="35.5703125" customWidth="1"/>
  </cols>
  <sheetData>
    <row r="1" spans="1:29" ht="16.5" customHeight="1">
      <c r="A1" s="625" t="s">
        <v>461</v>
      </c>
      <c r="B1" s="611"/>
      <c r="C1" s="611"/>
      <c r="D1" s="611"/>
      <c r="E1" s="611"/>
      <c r="F1" s="611"/>
      <c r="G1" s="611"/>
      <c r="H1" s="611"/>
      <c r="I1" s="611"/>
      <c r="J1" s="340"/>
      <c r="K1" s="20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>
      <c r="A2" s="610"/>
      <c r="B2" s="615"/>
      <c r="C2" s="615"/>
      <c r="D2" s="615"/>
      <c r="E2" s="615"/>
      <c r="F2" s="615"/>
      <c r="G2" s="615"/>
      <c r="H2" s="615"/>
      <c r="I2" s="615"/>
      <c r="J2" s="1"/>
      <c r="K2" s="10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5" customHeight="1">
      <c r="A3" s="699"/>
      <c r="B3" s="711"/>
      <c r="C3" s="678" t="s">
        <v>462</v>
      </c>
      <c r="D3" s="688" t="s">
        <v>463</v>
      </c>
      <c r="E3" s="688" t="s">
        <v>231</v>
      </c>
      <c r="F3" s="678" t="s">
        <v>464</v>
      </c>
      <c r="G3" s="341" t="s">
        <v>4</v>
      </c>
      <c r="H3" s="341" t="s">
        <v>5</v>
      </c>
      <c r="I3" s="679" t="s">
        <v>6</v>
      </c>
      <c r="J3" s="707" t="s">
        <v>7</v>
      </c>
      <c r="K3" s="6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5" customHeight="1">
      <c r="A4" s="342" t="s">
        <v>8</v>
      </c>
      <c r="B4" s="41" t="s">
        <v>9</v>
      </c>
      <c r="C4" s="636"/>
      <c r="D4" s="601"/>
      <c r="E4" s="601"/>
      <c r="F4" s="636"/>
      <c r="G4" s="213" t="s">
        <v>10</v>
      </c>
      <c r="H4" s="213" t="s">
        <v>11</v>
      </c>
      <c r="I4" s="618"/>
      <c r="J4" s="610"/>
      <c r="K4" s="61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>
      <c r="A5" s="661" t="s">
        <v>465</v>
      </c>
      <c r="B5" s="343" t="s">
        <v>466</v>
      </c>
      <c r="C5" s="344">
        <v>117000</v>
      </c>
      <c r="D5" s="345">
        <v>98000</v>
      </c>
      <c r="E5" s="346">
        <v>69000</v>
      </c>
      <c r="F5" s="347">
        <f t="shared" ref="F5:F21" si="0">1-E5/D5</f>
        <v>0.29591836734693877</v>
      </c>
      <c r="G5" s="348"/>
      <c r="H5" s="349"/>
      <c r="I5" s="712"/>
      <c r="J5" s="708"/>
      <c r="K5" s="6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>
      <c r="A6" s="654"/>
      <c r="B6" s="351" t="s">
        <v>467</v>
      </c>
      <c r="C6" s="352">
        <v>197000</v>
      </c>
      <c r="D6" s="353">
        <v>151800</v>
      </c>
      <c r="E6" s="354">
        <v>99000</v>
      </c>
      <c r="F6" s="347">
        <f t="shared" si="0"/>
        <v>0.34782608695652173</v>
      </c>
      <c r="G6" s="355"/>
      <c r="H6" s="356"/>
      <c r="I6" s="603"/>
      <c r="J6" s="703"/>
      <c r="K6" s="6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6.5" customHeight="1">
      <c r="A7" s="654"/>
      <c r="B7" s="351" t="s">
        <v>468</v>
      </c>
      <c r="C7" s="352">
        <v>337000</v>
      </c>
      <c r="D7" s="353">
        <v>220000</v>
      </c>
      <c r="E7" s="354">
        <v>199000</v>
      </c>
      <c r="F7" s="347">
        <f t="shared" si="0"/>
        <v>9.5454545454545459E-2</v>
      </c>
      <c r="G7" s="357"/>
      <c r="H7" s="358"/>
      <c r="I7" s="603"/>
      <c r="J7" s="703"/>
      <c r="K7" s="61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6.5" customHeight="1">
      <c r="A8" s="655"/>
      <c r="B8" s="351" t="s">
        <v>469</v>
      </c>
      <c r="C8" s="359">
        <v>1377000</v>
      </c>
      <c r="D8" s="360">
        <v>750000</v>
      </c>
      <c r="E8" s="361">
        <v>650000</v>
      </c>
      <c r="F8" s="347">
        <f t="shared" si="0"/>
        <v>0.1333333333333333</v>
      </c>
      <c r="G8" s="362"/>
      <c r="H8" s="363"/>
      <c r="I8" s="621"/>
      <c r="J8" s="703"/>
      <c r="K8" s="6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6.5" customHeight="1">
      <c r="A9" s="661" t="s">
        <v>470</v>
      </c>
      <c r="B9" s="364" t="s">
        <v>471</v>
      </c>
      <c r="C9" s="345">
        <v>157000</v>
      </c>
      <c r="D9" s="345">
        <v>99000</v>
      </c>
      <c r="E9" s="365">
        <v>89000</v>
      </c>
      <c r="F9" s="347">
        <f t="shared" si="0"/>
        <v>0.10101010101010099</v>
      </c>
      <c r="G9" s="366"/>
      <c r="H9" s="349"/>
      <c r="I9" s="643"/>
      <c r="J9" s="703"/>
      <c r="K9" s="61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6.5" customHeight="1">
      <c r="A10" s="654"/>
      <c r="B10" s="367" t="s">
        <v>158</v>
      </c>
      <c r="C10" s="353">
        <v>297000</v>
      </c>
      <c r="D10" s="353">
        <v>177000</v>
      </c>
      <c r="E10" s="368">
        <v>149000</v>
      </c>
      <c r="F10" s="347">
        <f t="shared" si="0"/>
        <v>0.15819209039548021</v>
      </c>
      <c r="G10" s="355"/>
      <c r="H10" s="356"/>
      <c r="I10" s="603"/>
      <c r="J10" s="703"/>
      <c r="K10" s="61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6.5" customHeight="1">
      <c r="A11" s="654"/>
      <c r="B11" s="367" t="s">
        <v>472</v>
      </c>
      <c r="C11" s="353">
        <v>597000</v>
      </c>
      <c r="D11" s="353">
        <v>240000</v>
      </c>
      <c r="E11" s="368">
        <v>199000</v>
      </c>
      <c r="F11" s="347">
        <f t="shared" si="0"/>
        <v>0.17083333333333328</v>
      </c>
      <c r="G11" s="355"/>
      <c r="H11" s="358"/>
      <c r="I11" s="603"/>
      <c r="J11" s="703"/>
      <c r="K11" s="6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.5" customHeight="1">
      <c r="A12" s="654"/>
      <c r="B12" s="369" t="s">
        <v>473</v>
      </c>
      <c r="C12" s="353">
        <v>437000</v>
      </c>
      <c r="D12" s="353">
        <v>319000</v>
      </c>
      <c r="E12" s="353">
        <v>219000</v>
      </c>
      <c r="F12" s="347">
        <f t="shared" si="0"/>
        <v>0.31347962382445138</v>
      </c>
      <c r="G12" s="355"/>
      <c r="H12" s="356"/>
      <c r="I12" s="603"/>
      <c r="J12" s="703"/>
      <c r="K12" s="6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5" customHeight="1">
      <c r="A13" s="655"/>
      <c r="B13" s="370" t="s">
        <v>474</v>
      </c>
      <c r="C13" s="353">
        <v>297000</v>
      </c>
      <c r="D13" s="353">
        <v>508000</v>
      </c>
      <c r="E13" s="368">
        <v>399000</v>
      </c>
      <c r="F13" s="347">
        <f t="shared" si="0"/>
        <v>0.21456692913385822</v>
      </c>
      <c r="G13" s="362"/>
      <c r="H13" s="363"/>
      <c r="I13" s="621"/>
      <c r="J13" s="703" t="s">
        <v>475</v>
      </c>
      <c r="K13" s="61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5" customHeight="1">
      <c r="A14" s="661" t="s">
        <v>476</v>
      </c>
      <c r="B14" s="367" t="s">
        <v>477</v>
      </c>
      <c r="C14" s="345">
        <v>137000</v>
      </c>
      <c r="D14" s="346">
        <v>83000</v>
      </c>
      <c r="E14" s="371">
        <v>69000</v>
      </c>
      <c r="F14" s="347">
        <f t="shared" si="0"/>
        <v>0.16867469879518071</v>
      </c>
      <c r="G14" s="366"/>
      <c r="H14" s="349"/>
      <c r="I14" s="677"/>
      <c r="J14" s="703"/>
      <c r="K14" s="61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5" customHeight="1">
      <c r="A15" s="654"/>
      <c r="B15" s="367" t="s">
        <v>478</v>
      </c>
      <c r="C15" s="353">
        <v>57000</v>
      </c>
      <c r="D15" s="354">
        <v>229000</v>
      </c>
      <c r="E15" s="372">
        <v>189000</v>
      </c>
      <c r="F15" s="347">
        <f t="shared" si="0"/>
        <v>0.1746724890829694</v>
      </c>
      <c r="G15" s="373"/>
      <c r="H15" s="356"/>
      <c r="I15" s="614"/>
      <c r="J15" s="703"/>
      <c r="K15" s="6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5" customHeight="1">
      <c r="A16" s="654"/>
      <c r="B16" s="369" t="s">
        <v>479</v>
      </c>
      <c r="C16" s="353">
        <v>377000</v>
      </c>
      <c r="D16" s="354">
        <v>219000</v>
      </c>
      <c r="E16" s="372">
        <v>189000</v>
      </c>
      <c r="F16" s="347">
        <f t="shared" si="0"/>
        <v>0.13698630136986301</v>
      </c>
      <c r="G16" s="355"/>
      <c r="H16" s="356"/>
      <c r="I16" s="614"/>
      <c r="J16" s="703"/>
      <c r="K16" s="61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5" customHeight="1">
      <c r="A17" s="654"/>
      <c r="B17" s="367" t="s">
        <v>480</v>
      </c>
      <c r="C17" s="353">
        <v>437000</v>
      </c>
      <c r="D17" s="354">
        <v>249000</v>
      </c>
      <c r="E17" s="372">
        <v>219000</v>
      </c>
      <c r="F17" s="347">
        <f t="shared" si="0"/>
        <v>0.12048192771084343</v>
      </c>
      <c r="G17" s="355"/>
      <c r="H17" s="356"/>
      <c r="I17" s="614"/>
      <c r="J17" s="703"/>
      <c r="K17" s="61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5" customHeight="1">
      <c r="A18" s="654"/>
      <c r="B18" s="367" t="s">
        <v>481</v>
      </c>
      <c r="C18" s="353">
        <v>1879000</v>
      </c>
      <c r="D18" s="354">
        <v>439000</v>
      </c>
      <c r="E18" s="372">
        <v>399000</v>
      </c>
      <c r="F18" s="347">
        <f t="shared" si="0"/>
        <v>9.1116173120728949E-2</v>
      </c>
      <c r="G18" s="374"/>
      <c r="H18" s="375"/>
      <c r="I18" s="614"/>
      <c r="J18" s="703"/>
      <c r="K18" s="61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.5" customHeight="1">
      <c r="A19" s="654"/>
      <c r="B19" s="367" t="s">
        <v>482</v>
      </c>
      <c r="C19" s="353">
        <v>1557000</v>
      </c>
      <c r="D19" s="354">
        <v>838000</v>
      </c>
      <c r="E19" s="372">
        <v>749000</v>
      </c>
      <c r="F19" s="347">
        <f t="shared" si="0"/>
        <v>0.10620525059665875</v>
      </c>
      <c r="G19" s="374"/>
      <c r="H19" s="375"/>
      <c r="I19" s="614"/>
      <c r="J19" s="703"/>
      <c r="K19" s="61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6.5" customHeight="1">
      <c r="A20" s="654"/>
      <c r="B20" s="367" t="s">
        <v>483</v>
      </c>
      <c r="C20" s="353">
        <v>1579000</v>
      </c>
      <c r="D20" s="354">
        <v>850000</v>
      </c>
      <c r="E20" s="372">
        <v>790000</v>
      </c>
      <c r="F20" s="347">
        <f t="shared" si="0"/>
        <v>7.0588235294117618E-2</v>
      </c>
      <c r="G20" s="374"/>
      <c r="H20" s="375"/>
      <c r="I20" s="614"/>
      <c r="J20" s="703"/>
      <c r="K20" s="61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6.5" customHeight="1">
      <c r="A21" s="618"/>
      <c r="B21" s="367" t="s">
        <v>484</v>
      </c>
      <c r="C21" s="353">
        <v>2499000</v>
      </c>
      <c r="D21" s="354">
        <v>1400000</v>
      </c>
      <c r="E21" s="372">
        <v>1250000</v>
      </c>
      <c r="F21" s="347">
        <f t="shared" si="0"/>
        <v>0.1071428571428571</v>
      </c>
      <c r="G21" s="376"/>
      <c r="H21" s="375"/>
      <c r="I21" s="614"/>
      <c r="J21" s="703"/>
      <c r="K21" s="6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5" customHeight="1">
      <c r="A22" s="660" t="s">
        <v>485</v>
      </c>
      <c r="B22" s="194" t="s">
        <v>486</v>
      </c>
      <c r="C22" s="344"/>
      <c r="D22" s="344" t="s">
        <v>487</v>
      </c>
      <c r="E22" s="344" t="s">
        <v>488</v>
      </c>
      <c r="F22" s="377"/>
      <c r="G22" s="378"/>
      <c r="H22" s="379"/>
      <c r="I22" s="184"/>
      <c r="J22" s="176"/>
      <c r="K22" s="18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6.5" customHeight="1">
      <c r="A23" s="605"/>
      <c r="B23" s="198" t="s">
        <v>489</v>
      </c>
      <c r="C23" s="352"/>
      <c r="D23" s="380">
        <v>220000</v>
      </c>
      <c r="E23" s="380">
        <v>550000</v>
      </c>
      <c r="F23" s="377"/>
      <c r="G23" s="381"/>
      <c r="H23" s="382"/>
      <c r="I23" s="184"/>
      <c r="J23" s="176"/>
      <c r="K23" s="18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6.5" customHeight="1">
      <c r="A24" s="605"/>
      <c r="B24" s="198" t="s">
        <v>490</v>
      </c>
      <c r="C24" s="352"/>
      <c r="D24" s="380">
        <v>300000</v>
      </c>
      <c r="E24" s="380">
        <v>750000</v>
      </c>
      <c r="F24" s="377"/>
      <c r="G24" s="381"/>
      <c r="H24" s="382"/>
      <c r="I24" s="184"/>
      <c r="J24" s="176"/>
      <c r="K24" s="18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5" customHeight="1">
      <c r="A25" s="605"/>
      <c r="B25" s="198" t="s">
        <v>491</v>
      </c>
      <c r="C25" s="352"/>
      <c r="D25" s="380">
        <v>390000</v>
      </c>
      <c r="E25" s="380">
        <v>950000</v>
      </c>
      <c r="F25" s="377"/>
      <c r="G25" s="381"/>
      <c r="H25" s="382"/>
      <c r="I25" s="184"/>
      <c r="J25" s="176"/>
      <c r="K25" s="18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6.5" customHeight="1">
      <c r="A26" s="605"/>
      <c r="B26" s="173" t="s">
        <v>492</v>
      </c>
      <c r="C26" s="352"/>
      <c r="D26" s="352"/>
      <c r="E26" s="352"/>
      <c r="F26" s="377"/>
      <c r="G26" s="381"/>
      <c r="H26" s="382"/>
      <c r="I26" s="184"/>
      <c r="J26" s="176"/>
      <c r="K26" s="18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6.5" customHeight="1">
      <c r="A27" s="605"/>
      <c r="B27" s="198" t="s">
        <v>493</v>
      </c>
      <c r="C27" s="352"/>
      <c r="D27" s="352"/>
      <c r="E27" s="380">
        <v>800000</v>
      </c>
      <c r="F27" s="377"/>
      <c r="G27" s="381"/>
      <c r="H27" s="382"/>
      <c r="I27" s="184"/>
      <c r="J27" s="176"/>
      <c r="K27" s="18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6.5" customHeight="1">
      <c r="A28" s="605"/>
      <c r="B28" s="198" t="s">
        <v>494</v>
      </c>
      <c r="C28" s="352"/>
      <c r="D28" s="352"/>
      <c r="E28" s="380">
        <v>950000</v>
      </c>
      <c r="F28" s="377"/>
      <c r="G28" s="381"/>
      <c r="H28" s="382"/>
      <c r="I28" s="184"/>
      <c r="J28" s="176"/>
      <c r="K28" s="18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6.5" customHeight="1">
      <c r="A29" s="606"/>
      <c r="B29" s="199" t="s">
        <v>495</v>
      </c>
      <c r="C29" s="359"/>
      <c r="D29" s="359"/>
      <c r="E29" s="383">
        <v>1500000</v>
      </c>
      <c r="F29" s="384"/>
      <c r="G29" s="385"/>
      <c r="H29" s="386"/>
      <c r="I29" s="184"/>
      <c r="J29" s="176"/>
      <c r="K29" s="18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6.5" customHeight="1">
      <c r="A30" s="709" t="s">
        <v>435</v>
      </c>
      <c r="B30" s="387" t="s">
        <v>496</v>
      </c>
      <c r="C30" s="352">
        <v>117000</v>
      </c>
      <c r="D30" s="353">
        <v>79000</v>
      </c>
      <c r="E30" s="388">
        <v>59000</v>
      </c>
      <c r="F30" s="389">
        <f t="shared" ref="F30:F39" si="1">1-E30/D30</f>
        <v>0.25316455696202533</v>
      </c>
      <c r="G30" s="390"/>
      <c r="H30" s="391"/>
      <c r="I30" s="643"/>
      <c r="J30" s="703"/>
      <c r="K30" s="61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6.5" customHeight="1">
      <c r="A31" s="605"/>
      <c r="B31" s="387" t="s">
        <v>497</v>
      </c>
      <c r="C31" s="352">
        <v>217000</v>
      </c>
      <c r="D31" s="353">
        <v>120000</v>
      </c>
      <c r="E31" s="392">
        <v>99000</v>
      </c>
      <c r="F31" s="347">
        <f t="shared" si="1"/>
        <v>0.17500000000000004</v>
      </c>
      <c r="G31" s="393"/>
      <c r="H31" s="394"/>
      <c r="I31" s="603"/>
      <c r="J31" s="703"/>
      <c r="K31" s="6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6.5" customHeight="1">
      <c r="A32" s="605"/>
      <c r="B32" s="387" t="s">
        <v>498</v>
      </c>
      <c r="C32" s="352">
        <v>257000</v>
      </c>
      <c r="D32" s="353">
        <v>173800</v>
      </c>
      <c r="E32" s="388">
        <v>129000</v>
      </c>
      <c r="F32" s="347">
        <f t="shared" si="1"/>
        <v>0.25776754890678943</v>
      </c>
      <c r="G32" s="393"/>
      <c r="H32" s="394"/>
      <c r="I32" s="603"/>
      <c r="J32" s="703"/>
      <c r="K32" s="6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6.5" customHeight="1">
      <c r="A33" s="605"/>
      <c r="B33" s="387" t="s">
        <v>499</v>
      </c>
      <c r="C33" s="352">
        <v>397000</v>
      </c>
      <c r="D33" s="353">
        <v>248600</v>
      </c>
      <c r="E33" s="388">
        <v>199000</v>
      </c>
      <c r="F33" s="347">
        <f t="shared" si="1"/>
        <v>0.19951729686242958</v>
      </c>
      <c r="G33" s="393"/>
      <c r="H33" s="394"/>
      <c r="I33" s="603"/>
      <c r="J33" s="703"/>
      <c r="K33" s="6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6.5" customHeight="1">
      <c r="A34" s="605"/>
      <c r="B34" s="387" t="s">
        <v>500</v>
      </c>
      <c r="C34" s="352">
        <v>597000</v>
      </c>
      <c r="D34" s="353">
        <v>300000</v>
      </c>
      <c r="E34" s="388">
        <v>249000</v>
      </c>
      <c r="F34" s="347">
        <f t="shared" si="1"/>
        <v>0.17000000000000004</v>
      </c>
      <c r="G34" s="393"/>
      <c r="H34" s="394"/>
      <c r="I34" s="603"/>
      <c r="J34" s="703"/>
      <c r="K34" s="6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6.5" customHeight="1">
      <c r="A35" s="605"/>
      <c r="B35" s="387" t="s">
        <v>501</v>
      </c>
      <c r="C35" s="352">
        <v>457000</v>
      </c>
      <c r="D35" s="353">
        <v>371800</v>
      </c>
      <c r="E35" s="388">
        <v>299000</v>
      </c>
      <c r="F35" s="347">
        <f t="shared" si="1"/>
        <v>0.19580419580419584</v>
      </c>
      <c r="G35" s="393"/>
      <c r="H35" s="395"/>
      <c r="I35" s="603"/>
      <c r="J35" s="703"/>
      <c r="K35" s="61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6.5" customHeight="1">
      <c r="A36" s="606"/>
      <c r="B36" s="387" t="s">
        <v>502</v>
      </c>
      <c r="C36" s="352">
        <v>797000</v>
      </c>
      <c r="D36" s="353">
        <v>499000</v>
      </c>
      <c r="E36" s="392">
        <v>399000</v>
      </c>
      <c r="F36" s="347">
        <f t="shared" si="1"/>
        <v>0.20040080160320639</v>
      </c>
      <c r="G36" s="362"/>
      <c r="H36" s="363"/>
      <c r="I36" s="621"/>
      <c r="J36" s="703"/>
      <c r="K36" s="6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6.5" customHeight="1">
      <c r="A37" s="652" t="s">
        <v>503</v>
      </c>
      <c r="B37" s="396" t="s">
        <v>64</v>
      </c>
      <c r="C37" s="214">
        <v>217000</v>
      </c>
      <c r="D37" s="397">
        <v>109000</v>
      </c>
      <c r="E37" s="398">
        <v>79000</v>
      </c>
      <c r="F37" s="347">
        <f t="shared" si="1"/>
        <v>0.27522935779816515</v>
      </c>
      <c r="G37" s="399"/>
      <c r="H37" s="400"/>
      <c r="I37" s="643"/>
      <c r="J37" s="705"/>
      <c r="K37" s="61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6.5" customHeight="1">
      <c r="A38" s="608"/>
      <c r="B38" s="401" t="s">
        <v>504</v>
      </c>
      <c r="C38" s="218">
        <v>297000</v>
      </c>
      <c r="D38" s="402">
        <v>149000</v>
      </c>
      <c r="E38" s="403">
        <v>99000</v>
      </c>
      <c r="F38" s="347">
        <f t="shared" si="1"/>
        <v>0.33557046979865768</v>
      </c>
      <c r="G38" s="393"/>
      <c r="H38" s="394"/>
      <c r="I38" s="603"/>
      <c r="J38" s="705"/>
      <c r="K38" s="61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6.5" customHeight="1">
      <c r="A39" s="610"/>
      <c r="B39" s="404" t="s">
        <v>505</v>
      </c>
      <c r="C39" s="225">
        <v>237000</v>
      </c>
      <c r="D39" s="405">
        <v>119000</v>
      </c>
      <c r="E39" s="406">
        <v>89000</v>
      </c>
      <c r="F39" s="347">
        <f t="shared" si="1"/>
        <v>0.25210084033613445</v>
      </c>
      <c r="G39" s="374"/>
      <c r="H39" s="375"/>
      <c r="I39" s="621"/>
      <c r="J39" s="668"/>
      <c r="K39" s="61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660" t="s">
        <v>506</v>
      </c>
      <c r="B40" s="396" t="s">
        <v>507</v>
      </c>
      <c r="C40" s="218">
        <f t="shared" ref="C40:C47" si="2">E40*2-1000</f>
        <v>1999000</v>
      </c>
      <c r="D40" s="407"/>
      <c r="E40" s="408">
        <v>1000000</v>
      </c>
      <c r="F40" s="347"/>
      <c r="G40" s="409"/>
      <c r="H40" s="410"/>
      <c r="I40" s="643"/>
      <c r="J40" s="704"/>
      <c r="K40" s="61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6.5" customHeight="1">
      <c r="A41" s="605"/>
      <c r="B41" s="401" t="s">
        <v>508</v>
      </c>
      <c r="C41" s="218">
        <f t="shared" si="2"/>
        <v>3599000</v>
      </c>
      <c r="D41" s="411"/>
      <c r="E41" s="392">
        <v>1800000</v>
      </c>
      <c r="F41" s="347"/>
      <c r="G41" s="393"/>
      <c r="H41" s="394"/>
      <c r="I41" s="603"/>
      <c r="J41" s="704"/>
      <c r="K41" s="61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6.5" customHeight="1">
      <c r="A42" s="605"/>
      <c r="B42" s="401" t="s">
        <v>509</v>
      </c>
      <c r="C42" s="218">
        <f t="shared" si="2"/>
        <v>4399000</v>
      </c>
      <c r="D42" s="411"/>
      <c r="E42" s="392">
        <v>2200000</v>
      </c>
      <c r="F42" s="347"/>
      <c r="G42" s="355"/>
      <c r="H42" s="358"/>
      <c r="I42" s="603"/>
      <c r="J42" s="704"/>
      <c r="K42" s="61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6.5" customHeight="1">
      <c r="A43" s="606"/>
      <c r="B43" s="158" t="s">
        <v>510</v>
      </c>
      <c r="C43" s="225">
        <f t="shared" si="2"/>
        <v>4799000</v>
      </c>
      <c r="D43" s="412"/>
      <c r="E43" s="413">
        <v>2400000</v>
      </c>
      <c r="F43" s="347"/>
      <c r="G43" s="414"/>
      <c r="H43" s="415"/>
      <c r="I43" s="621"/>
      <c r="J43" s="704"/>
      <c r="K43" s="61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6.5" customHeight="1">
      <c r="A44" s="660" t="s">
        <v>511</v>
      </c>
      <c r="B44" s="1" t="s">
        <v>446</v>
      </c>
      <c r="C44" s="214">
        <f t="shared" si="2"/>
        <v>1379000</v>
      </c>
      <c r="D44" s="411"/>
      <c r="E44" s="416">
        <v>690000</v>
      </c>
      <c r="F44" s="347"/>
      <c r="G44" s="417"/>
      <c r="H44" s="349"/>
      <c r="I44" s="706"/>
      <c r="J44" s="704"/>
      <c r="K44" s="61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6.5" customHeight="1">
      <c r="A45" s="605"/>
      <c r="B45" s="1" t="s">
        <v>447</v>
      </c>
      <c r="C45" s="218">
        <f t="shared" si="2"/>
        <v>1779000</v>
      </c>
      <c r="D45" s="411"/>
      <c r="E45" s="416">
        <v>890000</v>
      </c>
      <c r="F45" s="347"/>
      <c r="G45" s="418"/>
      <c r="H45" s="356"/>
      <c r="I45" s="603"/>
      <c r="J45" s="704"/>
      <c r="K45" s="61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6.5" customHeight="1">
      <c r="A46" s="605"/>
      <c r="B46" s="1" t="s">
        <v>448</v>
      </c>
      <c r="C46" s="218">
        <f t="shared" si="2"/>
        <v>2379000</v>
      </c>
      <c r="D46" s="411"/>
      <c r="E46" s="416">
        <v>1190000</v>
      </c>
      <c r="F46" s="347"/>
      <c r="G46" s="418"/>
      <c r="H46" s="356"/>
      <c r="I46" s="603"/>
      <c r="J46" s="704"/>
      <c r="K46" s="61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6.5" customHeight="1">
      <c r="A47" s="605"/>
      <c r="B47" s="1" t="s">
        <v>449</v>
      </c>
      <c r="C47" s="218">
        <f t="shared" si="2"/>
        <v>2979000</v>
      </c>
      <c r="D47" s="411"/>
      <c r="E47" s="416">
        <v>1490000</v>
      </c>
      <c r="F47" s="347"/>
      <c r="G47" s="418"/>
      <c r="H47" s="356"/>
      <c r="I47" s="603"/>
      <c r="J47" s="704"/>
      <c r="K47" s="61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6.5" customHeight="1">
      <c r="A48" s="605"/>
      <c r="B48" s="1" t="s">
        <v>450</v>
      </c>
      <c r="C48" s="218">
        <v>199000</v>
      </c>
      <c r="D48" s="411"/>
      <c r="E48" s="416">
        <v>100000</v>
      </c>
      <c r="F48" s="347"/>
      <c r="G48" s="418"/>
      <c r="H48" s="356"/>
      <c r="I48" s="603"/>
      <c r="J48" s="704"/>
      <c r="K48" s="61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6.5" customHeight="1">
      <c r="A49" s="605"/>
      <c r="B49" s="1" t="s">
        <v>451</v>
      </c>
      <c r="C49" s="218">
        <v>299000</v>
      </c>
      <c r="D49" s="411"/>
      <c r="E49" s="416">
        <v>150000</v>
      </c>
      <c r="F49" s="347"/>
      <c r="G49" s="418"/>
      <c r="H49" s="356"/>
      <c r="I49" s="603"/>
      <c r="J49" s="704"/>
      <c r="K49" s="61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6.5" customHeight="1">
      <c r="A50" s="605"/>
      <c r="B50" s="1" t="s">
        <v>452</v>
      </c>
      <c r="C50" s="218">
        <v>399000</v>
      </c>
      <c r="D50" s="411"/>
      <c r="E50" s="416">
        <v>200000</v>
      </c>
      <c r="F50" s="347"/>
      <c r="G50" s="418"/>
      <c r="H50" s="356"/>
      <c r="I50" s="603"/>
      <c r="J50" s="704"/>
      <c r="K50" s="61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6.5" customHeight="1">
      <c r="A51" s="605"/>
      <c r="B51" s="1" t="s">
        <v>453</v>
      </c>
      <c r="C51" s="218">
        <v>359000</v>
      </c>
      <c r="D51" s="411"/>
      <c r="E51" s="416">
        <v>180000</v>
      </c>
      <c r="F51" s="347"/>
      <c r="G51" s="418"/>
      <c r="H51" s="356"/>
      <c r="I51" s="603"/>
      <c r="J51" s="704"/>
      <c r="K51" s="61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6.5" customHeight="1">
      <c r="A52" s="605"/>
      <c r="B52" s="1" t="s">
        <v>454</v>
      </c>
      <c r="C52" s="218">
        <v>399000</v>
      </c>
      <c r="D52" s="411"/>
      <c r="E52" s="416">
        <v>200000</v>
      </c>
      <c r="F52" s="347"/>
      <c r="G52" s="418"/>
      <c r="H52" s="356"/>
      <c r="I52" s="603"/>
      <c r="J52" s="704"/>
      <c r="K52" s="61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6.5" customHeight="1">
      <c r="A53" s="606"/>
      <c r="B53" s="174" t="s">
        <v>455</v>
      </c>
      <c r="C53" s="225">
        <v>799000</v>
      </c>
      <c r="D53" s="411"/>
      <c r="E53" s="416">
        <v>400000</v>
      </c>
      <c r="F53" s="347"/>
      <c r="G53" s="419"/>
      <c r="H53" s="363"/>
      <c r="I53" s="601"/>
      <c r="J53" s="704"/>
      <c r="K53" s="61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710" t="s">
        <v>456</v>
      </c>
      <c r="B54" s="420" t="s">
        <v>457</v>
      </c>
      <c r="C54" s="214">
        <f t="shared" ref="C54:C56" si="3">E54*2-1000</f>
        <v>2779000</v>
      </c>
      <c r="D54" s="397">
        <f>560000+179000+420000+219000+100000</f>
        <v>1478000</v>
      </c>
      <c r="E54" s="421">
        <v>1390000</v>
      </c>
      <c r="F54" s="347">
        <f t="shared" ref="F54:F56" si="4">1-E54/D54</f>
        <v>5.953991880920162E-2</v>
      </c>
      <c r="G54" s="422"/>
      <c r="H54" s="423"/>
      <c r="I54" s="713"/>
      <c r="J54" s="714"/>
      <c r="K54" s="614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</row>
    <row r="55" spans="1:29" ht="16.5" customHeight="1">
      <c r="A55" s="605"/>
      <c r="B55" s="387" t="s">
        <v>458</v>
      </c>
      <c r="C55" s="218">
        <f t="shared" si="3"/>
        <v>4799000</v>
      </c>
      <c r="D55" s="402">
        <f>1800000+600000+100000</f>
        <v>2500000</v>
      </c>
      <c r="E55" s="388">
        <v>2400000</v>
      </c>
      <c r="F55" s="347">
        <f t="shared" si="4"/>
        <v>4.0000000000000036E-2</v>
      </c>
      <c r="G55" s="422"/>
      <c r="H55" s="358"/>
      <c r="I55" s="605"/>
      <c r="J55" s="714"/>
      <c r="K55" s="614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</row>
    <row r="56" spans="1:29" ht="16.5" customHeight="1">
      <c r="A56" s="606"/>
      <c r="B56" s="158" t="s">
        <v>459</v>
      </c>
      <c r="C56" s="225">
        <f t="shared" si="3"/>
        <v>7979000</v>
      </c>
      <c r="D56" s="405">
        <v>4119000</v>
      </c>
      <c r="E56" s="424">
        <v>3990000</v>
      </c>
      <c r="F56" s="425">
        <f t="shared" si="4"/>
        <v>3.1318281136198056E-2</v>
      </c>
      <c r="G56" s="426"/>
      <c r="H56" s="427"/>
      <c r="I56" s="606"/>
      <c r="J56" s="714"/>
      <c r="K56" s="614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</row>
    <row r="57" spans="1:29" ht="16.5" customHeight="1">
      <c r="A57" s="668" t="s">
        <v>512</v>
      </c>
      <c r="B57" s="613"/>
      <c r="C57" s="613"/>
      <c r="D57" s="613"/>
      <c r="E57" s="613"/>
      <c r="F57" s="613"/>
      <c r="G57" s="613"/>
      <c r="H57" s="613"/>
      <c r="I57" s="613"/>
      <c r="J57" s="613"/>
      <c r="K57" s="61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6.5" customHeight="1">
      <c r="A58" s="608"/>
      <c r="B58" s="613"/>
      <c r="C58" s="613"/>
      <c r="D58" s="613"/>
      <c r="E58" s="613"/>
      <c r="F58" s="613"/>
      <c r="G58" s="613"/>
      <c r="H58" s="613"/>
      <c r="I58" s="613"/>
      <c r="J58" s="613"/>
      <c r="K58" s="61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6.5" customHeight="1">
      <c r="A59" s="608"/>
      <c r="B59" s="613"/>
      <c r="C59" s="613"/>
      <c r="D59" s="613"/>
      <c r="E59" s="613"/>
      <c r="F59" s="613"/>
      <c r="G59" s="613"/>
      <c r="H59" s="613"/>
      <c r="I59" s="613"/>
      <c r="J59" s="613"/>
      <c r="K59" s="61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.5" customHeight="1">
      <c r="A60" s="608"/>
      <c r="B60" s="613"/>
      <c r="C60" s="613"/>
      <c r="D60" s="613"/>
      <c r="E60" s="613"/>
      <c r="F60" s="613"/>
      <c r="G60" s="613"/>
      <c r="H60" s="613"/>
      <c r="I60" s="613"/>
      <c r="J60" s="613"/>
      <c r="K60" s="61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6.5" customHeight="1">
      <c r="A61" s="610"/>
      <c r="B61" s="615"/>
      <c r="C61" s="615"/>
      <c r="D61" s="615"/>
      <c r="E61" s="615"/>
      <c r="F61" s="615"/>
      <c r="G61" s="615"/>
      <c r="H61" s="615"/>
      <c r="I61" s="615"/>
      <c r="J61" s="615"/>
      <c r="K61" s="616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6.5" customHeight="1">
      <c r="A62" s="1"/>
      <c r="B62" s="73"/>
      <c r="C62" s="1"/>
      <c r="D62" s="1"/>
      <c r="E62" s="1"/>
      <c r="F62" s="1"/>
      <c r="G62" s="176"/>
      <c r="H62" s="176"/>
      <c r="I62" s="17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6.5" customHeight="1">
      <c r="A63" s="1"/>
      <c r="B63" s="339"/>
      <c r="C63" s="1"/>
      <c r="D63" s="1"/>
      <c r="E63" s="1"/>
      <c r="F63" s="1"/>
      <c r="G63" s="176"/>
      <c r="H63" s="176"/>
      <c r="I63" s="17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6.5" customHeight="1">
      <c r="A64" s="1"/>
      <c r="B64" s="339"/>
      <c r="C64" s="1"/>
      <c r="D64" s="1"/>
      <c r="E64" s="1"/>
      <c r="F64" s="1"/>
      <c r="G64" s="176"/>
      <c r="H64" s="176"/>
      <c r="I64" s="17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.5" customHeight="1">
      <c r="A65" s="1"/>
      <c r="B65" s="339"/>
      <c r="C65" s="1"/>
      <c r="D65" s="1"/>
      <c r="E65" s="1"/>
      <c r="F65" s="1"/>
      <c r="G65" s="176"/>
      <c r="H65" s="176"/>
      <c r="I65" s="17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6.5" customHeight="1">
      <c r="A66" s="1"/>
      <c r="B66" s="339"/>
      <c r="C66" s="1"/>
      <c r="D66" s="1"/>
      <c r="E66" s="1"/>
      <c r="F66" s="1"/>
      <c r="G66" s="176"/>
      <c r="H66" s="176"/>
      <c r="I66" s="17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.5" customHeight="1">
      <c r="A67" s="1"/>
      <c r="B67" s="339"/>
      <c r="C67" s="1"/>
      <c r="D67" s="1"/>
      <c r="E67" s="1"/>
      <c r="F67" s="1"/>
      <c r="G67" s="176"/>
      <c r="H67" s="176"/>
      <c r="I67" s="17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.5" customHeight="1">
      <c r="A68" s="1"/>
      <c r="B68" s="339"/>
      <c r="C68" s="1"/>
      <c r="D68" s="1"/>
      <c r="E68" s="1"/>
      <c r="F68" s="1"/>
      <c r="G68" s="176"/>
      <c r="H68" s="176"/>
      <c r="I68" s="17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6.5" customHeight="1">
      <c r="A69" s="1"/>
      <c r="B69" s="339"/>
      <c r="C69" s="1"/>
      <c r="D69" s="1"/>
      <c r="E69" s="1"/>
      <c r="F69" s="1"/>
      <c r="G69" s="176"/>
      <c r="H69" s="176"/>
      <c r="I69" s="17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6.5" customHeight="1">
      <c r="A70" s="1"/>
      <c r="B70" s="339"/>
      <c r="C70" s="1"/>
      <c r="D70" s="1"/>
      <c r="E70" s="1"/>
      <c r="F70" s="1"/>
      <c r="G70" s="176"/>
      <c r="H70" s="176"/>
      <c r="I70" s="17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.5" customHeight="1">
      <c r="A71" s="1"/>
      <c r="B71" s="339"/>
      <c r="C71" s="1"/>
      <c r="D71" s="1"/>
      <c r="E71" s="1"/>
      <c r="F71" s="1"/>
      <c r="G71" s="176"/>
      <c r="H71" s="176"/>
      <c r="I71" s="17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6.5" customHeight="1">
      <c r="A72" s="1"/>
      <c r="B72" s="339"/>
      <c r="C72" s="1"/>
      <c r="D72" s="1"/>
      <c r="E72" s="1"/>
      <c r="F72" s="1"/>
      <c r="G72" s="176"/>
      <c r="H72" s="176"/>
      <c r="I72" s="17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6.5" customHeight="1">
      <c r="A73" s="1"/>
      <c r="B73" s="339"/>
      <c r="C73" s="1"/>
      <c r="D73" s="1"/>
      <c r="E73" s="1"/>
      <c r="F73" s="1"/>
      <c r="G73" s="176"/>
      <c r="H73" s="176"/>
      <c r="I73" s="17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6.5" customHeight="1">
      <c r="A74" s="1"/>
      <c r="B74" s="339"/>
      <c r="C74" s="1"/>
      <c r="D74" s="1"/>
      <c r="E74" s="1"/>
      <c r="F74" s="1"/>
      <c r="G74" s="176"/>
      <c r="H74" s="176"/>
      <c r="I74" s="17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6.5" customHeight="1">
      <c r="A75" s="1"/>
      <c r="B75" s="339"/>
      <c r="C75" s="1"/>
      <c r="D75" s="1"/>
      <c r="E75" s="1"/>
      <c r="F75" s="1"/>
      <c r="G75" s="176"/>
      <c r="H75" s="176"/>
      <c r="I75" s="17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.5" customHeight="1">
      <c r="A76" s="1"/>
      <c r="B76" s="339"/>
      <c r="C76" s="1"/>
      <c r="D76" s="1"/>
      <c r="E76" s="1"/>
      <c r="F76" s="1"/>
      <c r="G76" s="176"/>
      <c r="H76" s="176"/>
      <c r="I76" s="17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6.5" customHeight="1">
      <c r="A77" s="1"/>
      <c r="B77" s="339"/>
      <c r="C77" s="1"/>
      <c r="D77" s="1"/>
      <c r="E77" s="1"/>
      <c r="F77" s="1"/>
      <c r="G77" s="176"/>
      <c r="H77" s="176"/>
      <c r="I77" s="17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6.5" customHeight="1">
      <c r="A78" s="1"/>
      <c r="B78" s="339"/>
      <c r="C78" s="1"/>
      <c r="D78" s="1"/>
      <c r="E78" s="1"/>
      <c r="F78" s="1"/>
      <c r="G78" s="176"/>
      <c r="H78" s="176"/>
      <c r="I78" s="17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6.5" customHeight="1">
      <c r="A79" s="1"/>
      <c r="B79" s="339"/>
      <c r="C79" s="1"/>
      <c r="D79" s="1"/>
      <c r="E79" s="1"/>
      <c r="F79" s="1"/>
      <c r="G79" s="176"/>
      <c r="H79" s="176"/>
      <c r="I79" s="17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5" customHeight="1">
      <c r="A80" s="1"/>
      <c r="B80" s="339"/>
      <c r="C80" s="1"/>
      <c r="D80" s="1"/>
      <c r="E80" s="1"/>
      <c r="F80" s="1"/>
      <c r="G80" s="176"/>
      <c r="H80" s="176"/>
      <c r="I80" s="17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5" customHeight="1">
      <c r="A81" s="1"/>
      <c r="B81" s="339"/>
      <c r="C81" s="1"/>
      <c r="D81" s="1"/>
      <c r="E81" s="1"/>
      <c r="F81" s="1"/>
      <c r="G81" s="176"/>
      <c r="H81" s="176"/>
      <c r="I81" s="17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5" customHeight="1">
      <c r="A82" s="1"/>
      <c r="B82" s="339"/>
      <c r="C82" s="1"/>
      <c r="D82" s="1"/>
      <c r="E82" s="1"/>
      <c r="F82" s="1"/>
      <c r="G82" s="176"/>
      <c r="H82" s="176"/>
      <c r="I82" s="17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5" customHeight="1">
      <c r="A83" s="1"/>
      <c r="B83" s="339"/>
      <c r="C83" s="1"/>
      <c r="D83" s="1"/>
      <c r="E83" s="1"/>
      <c r="F83" s="1"/>
      <c r="G83" s="176"/>
      <c r="H83" s="176"/>
      <c r="I83" s="17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5" customHeight="1">
      <c r="A84" s="1"/>
      <c r="B84" s="339"/>
      <c r="C84" s="1"/>
      <c r="D84" s="1"/>
      <c r="E84" s="1"/>
      <c r="F84" s="1"/>
      <c r="G84" s="176"/>
      <c r="H84" s="176"/>
      <c r="I84" s="17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5" customHeight="1">
      <c r="A85" s="1"/>
      <c r="B85" s="339"/>
      <c r="C85" s="1"/>
      <c r="D85" s="1"/>
      <c r="E85" s="1"/>
      <c r="F85" s="1"/>
      <c r="G85" s="176"/>
      <c r="H85" s="176"/>
      <c r="I85" s="17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5" customHeight="1">
      <c r="A86" s="1"/>
      <c r="B86" s="339"/>
      <c r="C86" s="1"/>
      <c r="D86" s="1"/>
      <c r="E86" s="1"/>
      <c r="F86" s="1"/>
      <c r="G86" s="176"/>
      <c r="H86" s="176"/>
      <c r="I86" s="17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5" customHeight="1">
      <c r="A87" s="1"/>
      <c r="B87" s="339"/>
      <c r="C87" s="1"/>
      <c r="D87" s="1"/>
      <c r="E87" s="1"/>
      <c r="F87" s="1"/>
      <c r="G87" s="176"/>
      <c r="H87" s="176"/>
      <c r="I87" s="17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5" customHeight="1">
      <c r="A88" s="1"/>
      <c r="B88" s="339"/>
      <c r="C88" s="1"/>
      <c r="D88" s="1"/>
      <c r="E88" s="1"/>
      <c r="F88" s="1"/>
      <c r="G88" s="176"/>
      <c r="H88" s="176"/>
      <c r="I88" s="17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5" customHeight="1">
      <c r="A89" s="1"/>
      <c r="B89" s="339"/>
      <c r="C89" s="1"/>
      <c r="D89" s="1"/>
      <c r="E89" s="1"/>
      <c r="F89" s="1"/>
      <c r="G89" s="176"/>
      <c r="H89" s="176"/>
      <c r="I89" s="17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5" customHeight="1">
      <c r="A90" s="1"/>
      <c r="B90" s="339"/>
      <c r="C90" s="1"/>
      <c r="D90" s="1"/>
      <c r="E90" s="1"/>
      <c r="F90" s="1"/>
      <c r="G90" s="176"/>
      <c r="H90" s="176"/>
      <c r="I90" s="17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5" customHeight="1">
      <c r="A91" s="1"/>
      <c r="B91" s="339"/>
      <c r="C91" s="1"/>
      <c r="D91" s="1"/>
      <c r="E91" s="1"/>
      <c r="F91" s="1"/>
      <c r="G91" s="176"/>
      <c r="H91" s="176"/>
      <c r="I91" s="17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5" customHeight="1">
      <c r="A92" s="1"/>
      <c r="B92" s="339"/>
      <c r="C92" s="1"/>
      <c r="D92" s="1"/>
      <c r="E92" s="1"/>
      <c r="F92" s="1"/>
      <c r="G92" s="176"/>
      <c r="H92" s="176"/>
      <c r="I92" s="17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5" customHeight="1">
      <c r="A93" s="1"/>
      <c r="B93" s="339"/>
      <c r="C93" s="1"/>
      <c r="D93" s="1"/>
      <c r="E93" s="1"/>
      <c r="F93" s="1"/>
      <c r="G93" s="176"/>
      <c r="H93" s="176"/>
      <c r="I93" s="17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5" customHeight="1">
      <c r="A94" s="1"/>
      <c r="B94" s="339"/>
      <c r="C94" s="1"/>
      <c r="D94" s="1"/>
      <c r="E94" s="1"/>
      <c r="F94" s="1"/>
      <c r="G94" s="176"/>
      <c r="H94" s="176"/>
      <c r="I94" s="17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5" customHeight="1">
      <c r="A95" s="1"/>
      <c r="B95" s="339"/>
      <c r="C95" s="1"/>
      <c r="D95" s="1"/>
      <c r="E95" s="1"/>
      <c r="F95" s="1"/>
      <c r="G95" s="176"/>
      <c r="H95" s="176"/>
      <c r="I95" s="17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5" customHeight="1">
      <c r="A96" s="1"/>
      <c r="B96" s="339"/>
      <c r="C96" s="1"/>
      <c r="D96" s="1"/>
      <c r="E96" s="1"/>
      <c r="F96" s="1"/>
      <c r="G96" s="176"/>
      <c r="H96" s="176"/>
      <c r="I96" s="17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5" customHeight="1">
      <c r="A97" s="1"/>
      <c r="B97" s="339"/>
      <c r="C97" s="1"/>
      <c r="D97" s="1"/>
      <c r="E97" s="1"/>
      <c r="F97" s="1"/>
      <c r="G97" s="176"/>
      <c r="H97" s="176"/>
      <c r="I97" s="17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5" customHeight="1">
      <c r="A98" s="1"/>
      <c r="B98" s="339"/>
      <c r="C98" s="1"/>
      <c r="D98" s="1"/>
      <c r="E98" s="1"/>
      <c r="F98" s="1"/>
      <c r="G98" s="176"/>
      <c r="H98" s="176"/>
      <c r="I98" s="17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5" customHeight="1">
      <c r="A99" s="1"/>
      <c r="B99" s="339"/>
      <c r="C99" s="1"/>
      <c r="D99" s="1"/>
      <c r="E99" s="1"/>
      <c r="F99" s="1"/>
      <c r="G99" s="176"/>
      <c r="H99" s="176"/>
      <c r="I99" s="17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5" customHeight="1">
      <c r="A100" s="1"/>
      <c r="B100" s="339"/>
      <c r="C100" s="1"/>
      <c r="D100" s="1"/>
      <c r="E100" s="1"/>
      <c r="F100" s="1"/>
      <c r="G100" s="176"/>
      <c r="H100" s="176"/>
      <c r="I100" s="17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5" customHeight="1">
      <c r="A101" s="1"/>
      <c r="B101" s="339"/>
      <c r="C101" s="1"/>
      <c r="D101" s="1"/>
      <c r="E101" s="1"/>
      <c r="F101" s="1"/>
      <c r="G101" s="176"/>
      <c r="H101" s="176"/>
      <c r="I101" s="17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5" customHeight="1">
      <c r="A102" s="1"/>
      <c r="B102" s="339"/>
      <c r="C102" s="1"/>
      <c r="D102" s="1"/>
      <c r="E102" s="1"/>
      <c r="F102" s="1"/>
      <c r="G102" s="176"/>
      <c r="H102" s="176"/>
      <c r="I102" s="17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5" customHeight="1">
      <c r="A103" s="1"/>
      <c r="B103" s="339"/>
      <c r="C103" s="1"/>
      <c r="D103" s="1"/>
      <c r="E103" s="1"/>
      <c r="F103" s="1"/>
      <c r="G103" s="176"/>
      <c r="H103" s="176"/>
      <c r="I103" s="17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5" customHeight="1">
      <c r="A104" s="1"/>
      <c r="B104" s="339"/>
      <c r="C104" s="1"/>
      <c r="D104" s="1"/>
      <c r="E104" s="1"/>
      <c r="F104" s="1"/>
      <c r="G104" s="176"/>
      <c r="H104" s="176"/>
      <c r="I104" s="17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5" customHeight="1">
      <c r="A105" s="1"/>
      <c r="B105" s="339"/>
      <c r="C105" s="1"/>
      <c r="D105" s="1"/>
      <c r="E105" s="1"/>
      <c r="F105" s="1"/>
      <c r="G105" s="176"/>
      <c r="H105" s="176"/>
      <c r="I105" s="17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5" customHeight="1">
      <c r="A106" s="1"/>
      <c r="B106" s="339"/>
      <c r="C106" s="1"/>
      <c r="D106" s="1"/>
      <c r="E106" s="1"/>
      <c r="F106" s="1"/>
      <c r="G106" s="176"/>
      <c r="H106" s="176"/>
      <c r="I106" s="17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5" customHeight="1">
      <c r="A107" s="1"/>
      <c r="B107" s="339"/>
      <c r="C107" s="1"/>
      <c r="D107" s="1"/>
      <c r="E107" s="1"/>
      <c r="F107" s="1"/>
      <c r="G107" s="176"/>
      <c r="H107" s="176"/>
      <c r="I107" s="17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5" customHeight="1">
      <c r="A108" s="1"/>
      <c r="B108" s="339"/>
      <c r="C108" s="1"/>
      <c r="D108" s="1"/>
      <c r="E108" s="1"/>
      <c r="F108" s="1"/>
      <c r="G108" s="176"/>
      <c r="H108" s="176"/>
      <c r="I108" s="17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5" customHeight="1">
      <c r="A109" s="1"/>
      <c r="B109" s="339"/>
      <c r="C109" s="1"/>
      <c r="D109" s="1"/>
      <c r="E109" s="1"/>
      <c r="F109" s="1"/>
      <c r="G109" s="176"/>
      <c r="H109" s="176"/>
      <c r="I109" s="17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5" customHeight="1">
      <c r="A110" s="1"/>
      <c r="B110" s="339"/>
      <c r="C110" s="1"/>
      <c r="D110" s="1"/>
      <c r="E110" s="1"/>
      <c r="F110" s="1"/>
      <c r="G110" s="176"/>
      <c r="H110" s="176"/>
      <c r="I110" s="17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5" customHeight="1">
      <c r="A111" s="1"/>
      <c r="B111" s="339"/>
      <c r="C111" s="1"/>
      <c r="D111" s="1"/>
      <c r="E111" s="1"/>
      <c r="F111" s="1"/>
      <c r="G111" s="176"/>
      <c r="H111" s="176"/>
      <c r="I111" s="17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5" customHeight="1">
      <c r="A112" s="1"/>
      <c r="B112" s="339"/>
      <c r="C112" s="1"/>
      <c r="D112" s="1"/>
      <c r="E112" s="1"/>
      <c r="F112" s="1"/>
      <c r="G112" s="176"/>
      <c r="H112" s="176"/>
      <c r="I112" s="17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5" customHeight="1">
      <c r="A113" s="1"/>
      <c r="B113" s="339"/>
      <c r="C113" s="1"/>
      <c r="D113" s="1"/>
      <c r="E113" s="1"/>
      <c r="F113" s="1"/>
      <c r="G113" s="176"/>
      <c r="H113" s="176"/>
      <c r="I113" s="17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5" customHeight="1">
      <c r="A114" s="1"/>
      <c r="B114" s="339"/>
      <c r="C114" s="1"/>
      <c r="D114" s="1"/>
      <c r="E114" s="1"/>
      <c r="F114" s="1"/>
      <c r="G114" s="176"/>
      <c r="H114" s="176"/>
      <c r="I114" s="17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5" customHeight="1">
      <c r="A115" s="1"/>
      <c r="B115" s="339"/>
      <c r="C115" s="1"/>
      <c r="D115" s="1"/>
      <c r="E115" s="1"/>
      <c r="F115" s="1"/>
      <c r="G115" s="176"/>
      <c r="H115" s="176"/>
      <c r="I115" s="17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5" customHeight="1">
      <c r="A116" s="1"/>
      <c r="B116" s="339"/>
      <c r="C116" s="1"/>
      <c r="D116" s="1"/>
      <c r="E116" s="1"/>
      <c r="F116" s="1"/>
      <c r="G116" s="176"/>
      <c r="H116" s="176"/>
      <c r="I116" s="17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5" customHeight="1">
      <c r="A117" s="1"/>
      <c r="B117" s="339"/>
      <c r="C117" s="1"/>
      <c r="D117" s="1"/>
      <c r="E117" s="1"/>
      <c r="F117" s="1"/>
      <c r="G117" s="176"/>
      <c r="H117" s="176"/>
      <c r="I117" s="17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5" customHeight="1">
      <c r="A118" s="1"/>
      <c r="B118" s="339"/>
      <c r="C118" s="1"/>
      <c r="D118" s="1"/>
      <c r="E118" s="1"/>
      <c r="F118" s="1"/>
      <c r="G118" s="176"/>
      <c r="H118" s="176"/>
      <c r="I118" s="17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5" customHeight="1">
      <c r="A119" s="1"/>
      <c r="B119" s="339"/>
      <c r="C119" s="1"/>
      <c r="D119" s="1"/>
      <c r="E119" s="1"/>
      <c r="F119" s="1"/>
      <c r="G119" s="176"/>
      <c r="H119" s="176"/>
      <c r="I119" s="17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5" customHeight="1">
      <c r="A120" s="1"/>
      <c r="B120" s="339"/>
      <c r="C120" s="1"/>
      <c r="D120" s="1"/>
      <c r="E120" s="1"/>
      <c r="F120" s="1"/>
      <c r="G120" s="176"/>
      <c r="H120" s="176"/>
      <c r="I120" s="17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5" customHeight="1">
      <c r="A121" s="1"/>
      <c r="B121" s="339"/>
      <c r="C121" s="1"/>
      <c r="D121" s="1"/>
      <c r="E121" s="1"/>
      <c r="F121" s="1"/>
      <c r="G121" s="176"/>
      <c r="H121" s="176"/>
      <c r="I121" s="17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5" customHeight="1">
      <c r="A122" s="1"/>
      <c r="B122" s="339"/>
      <c r="C122" s="1"/>
      <c r="D122" s="1"/>
      <c r="E122" s="1"/>
      <c r="F122" s="1"/>
      <c r="G122" s="176"/>
      <c r="H122" s="176"/>
      <c r="I122" s="17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5" customHeight="1">
      <c r="A123" s="1"/>
      <c r="B123" s="339"/>
      <c r="C123" s="1"/>
      <c r="D123" s="1"/>
      <c r="E123" s="1"/>
      <c r="F123" s="1"/>
      <c r="G123" s="176"/>
      <c r="H123" s="176"/>
      <c r="I123" s="17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5" customHeight="1">
      <c r="A124" s="1"/>
      <c r="B124" s="339"/>
      <c r="C124" s="1"/>
      <c r="D124" s="1"/>
      <c r="E124" s="1"/>
      <c r="F124" s="1"/>
      <c r="G124" s="176"/>
      <c r="H124" s="176"/>
      <c r="I124" s="17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5" customHeight="1">
      <c r="A125" s="1"/>
      <c r="B125" s="339"/>
      <c r="C125" s="1"/>
      <c r="D125" s="1"/>
      <c r="E125" s="1"/>
      <c r="F125" s="1"/>
      <c r="G125" s="176"/>
      <c r="H125" s="176"/>
      <c r="I125" s="17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5" customHeight="1">
      <c r="A126" s="1"/>
      <c r="B126" s="339"/>
      <c r="C126" s="1"/>
      <c r="D126" s="1"/>
      <c r="E126" s="1"/>
      <c r="F126" s="1"/>
      <c r="G126" s="176"/>
      <c r="H126" s="176"/>
      <c r="I126" s="17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5" customHeight="1">
      <c r="A127" s="1"/>
      <c r="B127" s="339"/>
      <c r="C127" s="1"/>
      <c r="D127" s="1"/>
      <c r="E127" s="1"/>
      <c r="F127" s="1"/>
      <c r="G127" s="176"/>
      <c r="H127" s="176"/>
      <c r="I127" s="17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5" customHeight="1">
      <c r="A128" s="1"/>
      <c r="B128" s="339"/>
      <c r="C128" s="1"/>
      <c r="D128" s="1"/>
      <c r="E128" s="1"/>
      <c r="F128" s="1"/>
      <c r="G128" s="176"/>
      <c r="H128" s="176"/>
      <c r="I128" s="17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5" customHeight="1">
      <c r="A129" s="1"/>
      <c r="B129" s="339"/>
      <c r="C129" s="1"/>
      <c r="D129" s="1"/>
      <c r="E129" s="1"/>
      <c r="F129" s="1"/>
      <c r="G129" s="176"/>
      <c r="H129" s="176"/>
      <c r="I129" s="17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5" customHeight="1">
      <c r="A130" s="1"/>
      <c r="B130" s="339"/>
      <c r="C130" s="1"/>
      <c r="D130" s="1"/>
      <c r="E130" s="1"/>
      <c r="F130" s="1"/>
      <c r="G130" s="176"/>
      <c r="H130" s="176"/>
      <c r="I130" s="17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5" customHeight="1">
      <c r="A131" s="1"/>
      <c r="B131" s="339"/>
      <c r="C131" s="1"/>
      <c r="D131" s="1"/>
      <c r="E131" s="1"/>
      <c r="F131" s="1"/>
      <c r="G131" s="176"/>
      <c r="H131" s="176"/>
      <c r="I131" s="17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5" customHeight="1">
      <c r="A132" s="1"/>
      <c r="B132" s="339"/>
      <c r="C132" s="1"/>
      <c r="D132" s="1"/>
      <c r="E132" s="1"/>
      <c r="F132" s="1"/>
      <c r="G132" s="176"/>
      <c r="H132" s="176"/>
      <c r="I132" s="17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5" customHeight="1">
      <c r="A133" s="1"/>
      <c r="B133" s="339"/>
      <c r="C133" s="1"/>
      <c r="D133" s="1"/>
      <c r="E133" s="1"/>
      <c r="F133" s="1"/>
      <c r="G133" s="176"/>
      <c r="H133" s="176"/>
      <c r="I133" s="17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5" customHeight="1">
      <c r="A134" s="1"/>
      <c r="B134" s="339"/>
      <c r="C134" s="1"/>
      <c r="D134" s="1"/>
      <c r="E134" s="1"/>
      <c r="F134" s="1"/>
      <c r="G134" s="176"/>
      <c r="H134" s="176"/>
      <c r="I134" s="17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5" customHeight="1">
      <c r="A135" s="1"/>
      <c r="B135" s="339"/>
      <c r="C135" s="1"/>
      <c r="D135" s="1"/>
      <c r="E135" s="1"/>
      <c r="F135" s="1"/>
      <c r="G135" s="176"/>
      <c r="H135" s="176"/>
      <c r="I135" s="17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5" customHeight="1">
      <c r="A136" s="1"/>
      <c r="B136" s="339"/>
      <c r="C136" s="1"/>
      <c r="D136" s="1"/>
      <c r="E136" s="1"/>
      <c r="F136" s="1"/>
      <c r="G136" s="176"/>
      <c r="H136" s="176"/>
      <c r="I136" s="17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5" customHeight="1">
      <c r="A137" s="1"/>
      <c r="B137" s="339"/>
      <c r="C137" s="1"/>
      <c r="D137" s="1"/>
      <c r="E137" s="1"/>
      <c r="F137" s="1"/>
      <c r="G137" s="176"/>
      <c r="H137" s="176"/>
      <c r="I137" s="17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5" customHeight="1">
      <c r="A138" s="1"/>
      <c r="B138" s="339"/>
      <c r="C138" s="1"/>
      <c r="D138" s="1"/>
      <c r="E138" s="1"/>
      <c r="F138" s="1"/>
      <c r="G138" s="176"/>
      <c r="H138" s="176"/>
      <c r="I138" s="17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5" customHeight="1">
      <c r="A139" s="1"/>
      <c r="B139" s="339"/>
      <c r="C139" s="1"/>
      <c r="D139" s="1"/>
      <c r="E139" s="1"/>
      <c r="F139" s="1"/>
      <c r="G139" s="176"/>
      <c r="H139" s="176"/>
      <c r="I139" s="17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5" customHeight="1">
      <c r="A140" s="1"/>
      <c r="B140" s="339"/>
      <c r="C140" s="1"/>
      <c r="D140" s="1"/>
      <c r="E140" s="1"/>
      <c r="F140" s="1"/>
      <c r="G140" s="176"/>
      <c r="H140" s="176"/>
      <c r="I140" s="17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5" customHeight="1">
      <c r="A141" s="1"/>
      <c r="B141" s="339"/>
      <c r="C141" s="1"/>
      <c r="D141" s="1"/>
      <c r="E141" s="1"/>
      <c r="F141" s="1"/>
      <c r="G141" s="176"/>
      <c r="H141" s="176"/>
      <c r="I141" s="17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5" customHeight="1">
      <c r="A142" s="1"/>
      <c r="B142" s="339"/>
      <c r="C142" s="1"/>
      <c r="D142" s="1"/>
      <c r="E142" s="1"/>
      <c r="F142" s="1"/>
      <c r="G142" s="176"/>
      <c r="H142" s="176"/>
      <c r="I142" s="17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5" customHeight="1">
      <c r="A143" s="1"/>
      <c r="B143" s="339"/>
      <c r="C143" s="1"/>
      <c r="D143" s="1"/>
      <c r="E143" s="1"/>
      <c r="F143" s="1"/>
      <c r="G143" s="176"/>
      <c r="H143" s="176"/>
      <c r="I143" s="17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5" customHeight="1">
      <c r="A144" s="1"/>
      <c r="B144" s="339"/>
      <c r="C144" s="1"/>
      <c r="D144" s="1"/>
      <c r="E144" s="1"/>
      <c r="F144" s="1"/>
      <c r="G144" s="176"/>
      <c r="H144" s="176"/>
      <c r="I144" s="17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5" customHeight="1">
      <c r="A145" s="1"/>
      <c r="B145" s="339"/>
      <c r="C145" s="1"/>
      <c r="D145" s="1"/>
      <c r="E145" s="1"/>
      <c r="F145" s="1"/>
      <c r="G145" s="176"/>
      <c r="H145" s="176"/>
      <c r="I145" s="17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5" customHeight="1">
      <c r="A146" s="1"/>
      <c r="B146" s="339"/>
      <c r="C146" s="1"/>
      <c r="D146" s="1"/>
      <c r="E146" s="1"/>
      <c r="F146" s="1"/>
      <c r="G146" s="176"/>
      <c r="H146" s="176"/>
      <c r="I146" s="17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5" customHeight="1">
      <c r="A147" s="1"/>
      <c r="B147" s="339"/>
      <c r="C147" s="1"/>
      <c r="D147" s="1"/>
      <c r="E147" s="1"/>
      <c r="F147" s="1"/>
      <c r="G147" s="176"/>
      <c r="H147" s="176"/>
      <c r="I147" s="17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5" customHeight="1">
      <c r="A148" s="1"/>
      <c r="B148" s="339"/>
      <c r="C148" s="1"/>
      <c r="D148" s="1"/>
      <c r="E148" s="1"/>
      <c r="F148" s="1"/>
      <c r="G148" s="176"/>
      <c r="H148" s="176"/>
      <c r="I148" s="17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5" customHeight="1">
      <c r="A149" s="1"/>
      <c r="B149" s="339"/>
      <c r="C149" s="1"/>
      <c r="D149" s="1"/>
      <c r="E149" s="1"/>
      <c r="F149" s="1"/>
      <c r="G149" s="176"/>
      <c r="H149" s="176"/>
      <c r="I149" s="17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5" customHeight="1">
      <c r="A150" s="1"/>
      <c r="B150" s="339"/>
      <c r="C150" s="1"/>
      <c r="D150" s="1"/>
      <c r="E150" s="1"/>
      <c r="F150" s="1"/>
      <c r="G150" s="176"/>
      <c r="H150" s="176"/>
      <c r="I150" s="17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5" customHeight="1">
      <c r="A151" s="1"/>
      <c r="B151" s="339"/>
      <c r="C151" s="1"/>
      <c r="D151" s="1"/>
      <c r="E151" s="1"/>
      <c r="F151" s="1"/>
      <c r="G151" s="176"/>
      <c r="H151" s="176"/>
      <c r="I151" s="17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5" customHeight="1">
      <c r="A152" s="1"/>
      <c r="B152" s="339"/>
      <c r="C152" s="1"/>
      <c r="D152" s="1"/>
      <c r="E152" s="1"/>
      <c r="F152" s="1"/>
      <c r="G152" s="176"/>
      <c r="H152" s="176"/>
      <c r="I152" s="17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5" customHeight="1">
      <c r="A153" s="1"/>
      <c r="B153" s="339"/>
      <c r="C153" s="1"/>
      <c r="D153" s="1"/>
      <c r="E153" s="1"/>
      <c r="F153" s="1"/>
      <c r="G153" s="176"/>
      <c r="H153" s="176"/>
      <c r="I153" s="17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5" customHeight="1">
      <c r="A154" s="1"/>
      <c r="B154" s="339"/>
      <c r="C154" s="1"/>
      <c r="D154" s="1"/>
      <c r="E154" s="1"/>
      <c r="F154" s="1"/>
      <c r="G154" s="176"/>
      <c r="H154" s="176"/>
      <c r="I154" s="17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5" customHeight="1">
      <c r="A155" s="1"/>
      <c r="B155" s="339"/>
      <c r="C155" s="1"/>
      <c r="D155" s="1"/>
      <c r="E155" s="1"/>
      <c r="F155" s="1"/>
      <c r="G155" s="176"/>
      <c r="H155" s="176"/>
      <c r="I155" s="17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5" customHeight="1">
      <c r="A156" s="1"/>
      <c r="B156" s="339"/>
      <c r="C156" s="1"/>
      <c r="D156" s="1"/>
      <c r="E156" s="1"/>
      <c r="F156" s="1"/>
      <c r="G156" s="176"/>
      <c r="H156" s="176"/>
      <c r="I156" s="17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5" customHeight="1">
      <c r="A157" s="1"/>
      <c r="B157" s="339"/>
      <c r="C157" s="1"/>
      <c r="D157" s="1"/>
      <c r="E157" s="1"/>
      <c r="F157" s="1"/>
      <c r="G157" s="176"/>
      <c r="H157" s="176"/>
      <c r="I157" s="17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5" customHeight="1">
      <c r="A158" s="1"/>
      <c r="B158" s="339"/>
      <c r="C158" s="1"/>
      <c r="D158" s="1"/>
      <c r="E158" s="1"/>
      <c r="F158" s="1"/>
      <c r="G158" s="176"/>
      <c r="H158" s="176"/>
      <c r="I158" s="17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5" customHeight="1">
      <c r="A159" s="1"/>
      <c r="B159" s="339"/>
      <c r="C159" s="1"/>
      <c r="D159" s="1"/>
      <c r="E159" s="1"/>
      <c r="F159" s="1"/>
      <c r="G159" s="176"/>
      <c r="H159" s="176"/>
      <c r="I159" s="17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5" customHeight="1">
      <c r="A160" s="1"/>
      <c r="B160" s="339"/>
      <c r="C160" s="1"/>
      <c r="D160" s="1"/>
      <c r="E160" s="1"/>
      <c r="F160" s="1"/>
      <c r="G160" s="176"/>
      <c r="H160" s="176"/>
      <c r="I160" s="17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5" customHeight="1">
      <c r="A161" s="1"/>
      <c r="B161" s="339"/>
      <c r="C161" s="1"/>
      <c r="D161" s="1"/>
      <c r="E161" s="1"/>
      <c r="F161" s="1"/>
      <c r="G161" s="176"/>
      <c r="H161" s="176"/>
      <c r="I161" s="17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5" customHeight="1">
      <c r="A162" s="1"/>
      <c r="B162" s="339"/>
      <c r="C162" s="1"/>
      <c r="D162" s="1"/>
      <c r="E162" s="1"/>
      <c r="F162" s="1"/>
      <c r="G162" s="176"/>
      <c r="H162" s="176"/>
      <c r="I162" s="17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5" customHeight="1">
      <c r="A163" s="1"/>
      <c r="B163" s="339"/>
      <c r="C163" s="1"/>
      <c r="D163" s="1"/>
      <c r="E163" s="1"/>
      <c r="F163" s="1"/>
      <c r="G163" s="176"/>
      <c r="H163" s="176"/>
      <c r="I163" s="17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5" customHeight="1">
      <c r="A164" s="1"/>
      <c r="B164" s="339"/>
      <c r="C164" s="1"/>
      <c r="D164" s="1"/>
      <c r="E164" s="1"/>
      <c r="F164" s="1"/>
      <c r="G164" s="176"/>
      <c r="H164" s="176"/>
      <c r="I164" s="17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5" customHeight="1">
      <c r="A165" s="1"/>
      <c r="B165" s="339"/>
      <c r="C165" s="1"/>
      <c r="D165" s="1"/>
      <c r="E165" s="1"/>
      <c r="F165" s="1"/>
      <c r="G165" s="176"/>
      <c r="H165" s="176"/>
      <c r="I165" s="17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5" customHeight="1">
      <c r="A166" s="1"/>
      <c r="B166" s="339"/>
      <c r="C166" s="1"/>
      <c r="D166" s="1"/>
      <c r="E166" s="1"/>
      <c r="F166" s="1"/>
      <c r="G166" s="176"/>
      <c r="H166" s="176"/>
      <c r="I166" s="17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5" customHeight="1">
      <c r="A167" s="1"/>
      <c r="B167" s="339"/>
      <c r="C167" s="1"/>
      <c r="D167" s="1"/>
      <c r="E167" s="1"/>
      <c r="F167" s="1"/>
      <c r="G167" s="176"/>
      <c r="H167" s="176"/>
      <c r="I167" s="17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5" customHeight="1">
      <c r="A168" s="1"/>
      <c r="B168" s="339"/>
      <c r="C168" s="1"/>
      <c r="D168" s="1"/>
      <c r="E168" s="1"/>
      <c r="F168" s="1"/>
      <c r="G168" s="176"/>
      <c r="H168" s="176"/>
      <c r="I168" s="17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5" customHeight="1">
      <c r="A169" s="1"/>
      <c r="B169" s="339"/>
      <c r="C169" s="1"/>
      <c r="D169" s="1"/>
      <c r="E169" s="1"/>
      <c r="F169" s="1"/>
      <c r="G169" s="176"/>
      <c r="H169" s="176"/>
      <c r="I169" s="17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5" customHeight="1">
      <c r="A170" s="1"/>
      <c r="B170" s="339"/>
      <c r="C170" s="1"/>
      <c r="D170" s="1"/>
      <c r="E170" s="1"/>
      <c r="F170" s="1"/>
      <c r="G170" s="176"/>
      <c r="H170" s="176"/>
      <c r="I170" s="17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5" customHeight="1">
      <c r="A171" s="1"/>
      <c r="B171" s="339"/>
      <c r="C171" s="1"/>
      <c r="D171" s="1"/>
      <c r="E171" s="1"/>
      <c r="F171" s="1"/>
      <c r="G171" s="176"/>
      <c r="H171" s="176"/>
      <c r="I171" s="17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5" customHeight="1">
      <c r="A172" s="1"/>
      <c r="B172" s="339"/>
      <c r="C172" s="1"/>
      <c r="D172" s="1"/>
      <c r="E172" s="1"/>
      <c r="F172" s="1"/>
      <c r="G172" s="176"/>
      <c r="H172" s="176"/>
      <c r="I172" s="17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5" customHeight="1">
      <c r="A173" s="1"/>
      <c r="B173" s="339"/>
      <c r="C173" s="1"/>
      <c r="D173" s="1"/>
      <c r="E173" s="1"/>
      <c r="F173" s="1"/>
      <c r="G173" s="176"/>
      <c r="H173" s="176"/>
      <c r="I173" s="17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5" customHeight="1">
      <c r="A174" s="1"/>
      <c r="B174" s="339"/>
      <c r="C174" s="1"/>
      <c r="D174" s="1"/>
      <c r="E174" s="1"/>
      <c r="F174" s="1"/>
      <c r="G174" s="176"/>
      <c r="H174" s="176"/>
      <c r="I174" s="17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5" customHeight="1">
      <c r="A175" s="1"/>
      <c r="B175" s="339"/>
      <c r="C175" s="1"/>
      <c r="D175" s="1"/>
      <c r="E175" s="1"/>
      <c r="F175" s="1"/>
      <c r="G175" s="176"/>
      <c r="H175" s="176"/>
      <c r="I175" s="17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5" customHeight="1">
      <c r="A176" s="1"/>
      <c r="B176" s="339"/>
      <c r="C176" s="1"/>
      <c r="D176" s="1"/>
      <c r="E176" s="1"/>
      <c r="F176" s="1"/>
      <c r="G176" s="176"/>
      <c r="H176" s="176"/>
      <c r="I176" s="17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5" customHeight="1">
      <c r="A177" s="1"/>
      <c r="B177" s="339"/>
      <c r="C177" s="1"/>
      <c r="D177" s="1"/>
      <c r="E177" s="1"/>
      <c r="F177" s="1"/>
      <c r="G177" s="176"/>
      <c r="H177" s="176"/>
      <c r="I177" s="17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5" customHeight="1">
      <c r="A178" s="1"/>
      <c r="B178" s="339"/>
      <c r="C178" s="1"/>
      <c r="D178" s="1"/>
      <c r="E178" s="1"/>
      <c r="F178" s="1"/>
      <c r="G178" s="176"/>
      <c r="H178" s="176"/>
      <c r="I178" s="17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5" customHeight="1">
      <c r="A179" s="1"/>
      <c r="B179" s="339"/>
      <c r="C179" s="1"/>
      <c r="D179" s="1"/>
      <c r="E179" s="1"/>
      <c r="F179" s="1"/>
      <c r="G179" s="176"/>
      <c r="H179" s="176"/>
      <c r="I179" s="17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5" customHeight="1">
      <c r="A180" s="1"/>
      <c r="B180" s="339"/>
      <c r="C180" s="1"/>
      <c r="D180" s="1"/>
      <c r="E180" s="1"/>
      <c r="F180" s="1"/>
      <c r="G180" s="176"/>
      <c r="H180" s="176"/>
      <c r="I180" s="17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5" customHeight="1">
      <c r="A181" s="1"/>
      <c r="B181" s="339"/>
      <c r="C181" s="1"/>
      <c r="D181" s="1"/>
      <c r="E181" s="1"/>
      <c r="F181" s="1"/>
      <c r="G181" s="176"/>
      <c r="H181" s="176"/>
      <c r="I181" s="17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5" customHeight="1">
      <c r="A182" s="1"/>
      <c r="B182" s="339"/>
      <c r="C182" s="1"/>
      <c r="D182" s="1"/>
      <c r="E182" s="1"/>
      <c r="F182" s="1"/>
      <c r="G182" s="176"/>
      <c r="H182" s="176"/>
      <c r="I182" s="17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5" customHeight="1">
      <c r="A183" s="1"/>
      <c r="B183" s="339"/>
      <c r="C183" s="1"/>
      <c r="D183" s="1"/>
      <c r="E183" s="1"/>
      <c r="F183" s="1"/>
      <c r="G183" s="176"/>
      <c r="H183" s="176"/>
      <c r="I183" s="17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5" customHeight="1">
      <c r="A184" s="1"/>
      <c r="B184" s="339"/>
      <c r="C184" s="1"/>
      <c r="D184" s="1"/>
      <c r="E184" s="1"/>
      <c r="F184" s="1"/>
      <c r="G184" s="176"/>
      <c r="H184" s="176"/>
      <c r="I184" s="17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5" customHeight="1">
      <c r="A185" s="1"/>
      <c r="B185" s="339"/>
      <c r="C185" s="1"/>
      <c r="D185" s="1"/>
      <c r="E185" s="1"/>
      <c r="F185" s="1"/>
      <c r="G185" s="176"/>
      <c r="H185" s="176"/>
      <c r="I185" s="17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5" customHeight="1">
      <c r="A186" s="1"/>
      <c r="B186" s="339"/>
      <c r="C186" s="1"/>
      <c r="D186" s="1"/>
      <c r="E186" s="1"/>
      <c r="F186" s="1"/>
      <c r="G186" s="176"/>
      <c r="H186" s="176"/>
      <c r="I186" s="17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5" customHeight="1">
      <c r="A187" s="1"/>
      <c r="B187" s="339"/>
      <c r="C187" s="1"/>
      <c r="D187" s="1"/>
      <c r="E187" s="1"/>
      <c r="F187" s="1"/>
      <c r="G187" s="176"/>
      <c r="H187" s="176"/>
      <c r="I187" s="17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5" customHeight="1">
      <c r="A188" s="1"/>
      <c r="B188" s="339"/>
      <c r="C188" s="1"/>
      <c r="D188" s="1"/>
      <c r="E188" s="1"/>
      <c r="F188" s="1"/>
      <c r="G188" s="176"/>
      <c r="H188" s="176"/>
      <c r="I188" s="17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5" customHeight="1">
      <c r="A189" s="1"/>
      <c r="B189" s="339"/>
      <c r="C189" s="1"/>
      <c r="D189" s="1"/>
      <c r="E189" s="1"/>
      <c r="F189" s="1"/>
      <c r="G189" s="176"/>
      <c r="H189" s="176"/>
      <c r="I189" s="17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5" customHeight="1">
      <c r="A190" s="1"/>
      <c r="B190" s="339"/>
      <c r="C190" s="1"/>
      <c r="D190" s="1"/>
      <c r="E190" s="1"/>
      <c r="F190" s="1"/>
      <c r="G190" s="176"/>
      <c r="H190" s="176"/>
      <c r="I190" s="17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5" customHeight="1">
      <c r="A191" s="1"/>
      <c r="B191" s="339"/>
      <c r="C191" s="1"/>
      <c r="D191" s="1"/>
      <c r="E191" s="1"/>
      <c r="F191" s="1"/>
      <c r="G191" s="176"/>
      <c r="H191" s="176"/>
      <c r="I191" s="17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5" customHeight="1">
      <c r="A192" s="1"/>
      <c r="B192" s="339"/>
      <c r="C192" s="1"/>
      <c r="D192" s="1"/>
      <c r="E192" s="1"/>
      <c r="F192" s="1"/>
      <c r="G192" s="176"/>
      <c r="H192" s="176"/>
      <c r="I192" s="17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5" customHeight="1">
      <c r="A193" s="1"/>
      <c r="B193" s="339"/>
      <c r="C193" s="1"/>
      <c r="D193" s="1"/>
      <c r="E193" s="1"/>
      <c r="F193" s="1"/>
      <c r="G193" s="176"/>
      <c r="H193" s="176"/>
      <c r="I193" s="17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5" customHeight="1">
      <c r="A194" s="1"/>
      <c r="B194" s="339"/>
      <c r="C194" s="1"/>
      <c r="D194" s="1"/>
      <c r="E194" s="1"/>
      <c r="F194" s="1"/>
      <c r="G194" s="176"/>
      <c r="H194" s="176"/>
      <c r="I194" s="17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5" customHeight="1">
      <c r="A195" s="1"/>
      <c r="B195" s="339"/>
      <c r="C195" s="1"/>
      <c r="D195" s="1"/>
      <c r="E195" s="1"/>
      <c r="F195" s="1"/>
      <c r="G195" s="176"/>
      <c r="H195" s="176"/>
      <c r="I195" s="17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5" customHeight="1">
      <c r="A196" s="1"/>
      <c r="B196" s="339"/>
      <c r="C196" s="1"/>
      <c r="D196" s="1"/>
      <c r="E196" s="1"/>
      <c r="F196" s="1"/>
      <c r="G196" s="176"/>
      <c r="H196" s="176"/>
      <c r="I196" s="17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5" customHeight="1">
      <c r="A197" s="1"/>
      <c r="B197" s="339"/>
      <c r="C197" s="1"/>
      <c r="D197" s="1"/>
      <c r="E197" s="1"/>
      <c r="F197" s="1"/>
      <c r="G197" s="176"/>
      <c r="H197" s="176"/>
      <c r="I197" s="17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5" customHeight="1">
      <c r="A198" s="1"/>
      <c r="B198" s="339"/>
      <c r="C198" s="1"/>
      <c r="D198" s="1"/>
      <c r="E198" s="1"/>
      <c r="F198" s="1"/>
      <c r="G198" s="176"/>
      <c r="H198" s="176"/>
      <c r="I198" s="17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5" customHeight="1">
      <c r="A199" s="1"/>
      <c r="B199" s="339"/>
      <c r="C199" s="1"/>
      <c r="D199" s="1"/>
      <c r="E199" s="1"/>
      <c r="F199" s="1"/>
      <c r="G199" s="176"/>
      <c r="H199" s="176"/>
      <c r="I199" s="17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5" customHeight="1">
      <c r="A200" s="1"/>
      <c r="B200" s="339"/>
      <c r="C200" s="1"/>
      <c r="D200" s="1"/>
      <c r="E200" s="1"/>
      <c r="F200" s="1"/>
      <c r="G200" s="176"/>
      <c r="H200" s="176"/>
      <c r="I200" s="17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5" customHeight="1">
      <c r="A201" s="1"/>
      <c r="B201" s="339"/>
      <c r="C201" s="1"/>
      <c r="D201" s="1"/>
      <c r="E201" s="1"/>
      <c r="F201" s="1"/>
      <c r="G201" s="176"/>
      <c r="H201" s="176"/>
      <c r="I201" s="17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5" customHeight="1">
      <c r="A202" s="1"/>
      <c r="B202" s="339"/>
      <c r="C202" s="1"/>
      <c r="D202" s="1"/>
      <c r="E202" s="1"/>
      <c r="F202" s="1"/>
      <c r="G202" s="176"/>
      <c r="H202" s="176"/>
      <c r="I202" s="17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5" customHeight="1">
      <c r="A203" s="1"/>
      <c r="B203" s="339"/>
      <c r="C203" s="1"/>
      <c r="D203" s="1"/>
      <c r="E203" s="1"/>
      <c r="F203" s="1"/>
      <c r="G203" s="176"/>
      <c r="H203" s="176"/>
      <c r="I203" s="17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5" customHeight="1">
      <c r="A204" s="1"/>
      <c r="B204" s="339"/>
      <c r="C204" s="1"/>
      <c r="D204" s="1"/>
      <c r="E204" s="1"/>
      <c r="F204" s="1"/>
      <c r="G204" s="176"/>
      <c r="H204" s="176"/>
      <c r="I204" s="17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5" customHeight="1">
      <c r="A205" s="1"/>
      <c r="B205" s="339"/>
      <c r="C205" s="1"/>
      <c r="D205" s="1"/>
      <c r="E205" s="1"/>
      <c r="F205" s="1"/>
      <c r="G205" s="176"/>
      <c r="H205" s="176"/>
      <c r="I205" s="17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5" customHeight="1">
      <c r="A206" s="1"/>
      <c r="B206" s="339"/>
      <c r="C206" s="1"/>
      <c r="D206" s="1"/>
      <c r="E206" s="1"/>
      <c r="F206" s="1"/>
      <c r="G206" s="176"/>
      <c r="H206" s="176"/>
      <c r="I206" s="17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5" customHeight="1">
      <c r="A207" s="1"/>
      <c r="B207" s="339"/>
      <c r="C207" s="1"/>
      <c r="D207" s="1"/>
      <c r="E207" s="1"/>
      <c r="F207" s="1"/>
      <c r="G207" s="176"/>
      <c r="H207" s="176"/>
      <c r="I207" s="17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>
      <c r="A208" s="1"/>
      <c r="B208" s="339"/>
      <c r="C208" s="1"/>
      <c r="D208" s="1"/>
      <c r="E208" s="1"/>
      <c r="F208" s="1"/>
      <c r="G208" s="176"/>
      <c r="H208" s="176"/>
      <c r="I208" s="17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5" customHeight="1">
      <c r="A209" s="1"/>
      <c r="B209" s="339"/>
      <c r="C209" s="1"/>
      <c r="D209" s="1"/>
      <c r="E209" s="1"/>
      <c r="F209" s="1"/>
      <c r="G209" s="176"/>
      <c r="H209" s="176"/>
      <c r="I209" s="17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5" customHeight="1">
      <c r="A210" s="1"/>
      <c r="B210" s="339"/>
      <c r="C210" s="1"/>
      <c r="D210" s="1"/>
      <c r="E210" s="1"/>
      <c r="F210" s="1"/>
      <c r="G210" s="176"/>
      <c r="H210" s="176"/>
      <c r="I210" s="17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5" customHeight="1">
      <c r="A211" s="1"/>
      <c r="B211" s="339"/>
      <c r="C211" s="1"/>
      <c r="D211" s="1"/>
      <c r="E211" s="1"/>
      <c r="F211" s="1"/>
      <c r="G211" s="176"/>
      <c r="H211" s="176"/>
      <c r="I211" s="17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5" customHeight="1">
      <c r="A212" s="1"/>
      <c r="B212" s="339"/>
      <c r="C212" s="1"/>
      <c r="D212" s="1"/>
      <c r="E212" s="1"/>
      <c r="F212" s="1"/>
      <c r="G212" s="176"/>
      <c r="H212" s="176"/>
      <c r="I212" s="17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5" customHeight="1">
      <c r="A213" s="1"/>
      <c r="B213" s="339"/>
      <c r="C213" s="1"/>
      <c r="D213" s="1"/>
      <c r="E213" s="1"/>
      <c r="F213" s="1"/>
      <c r="G213" s="176"/>
      <c r="H213" s="176"/>
      <c r="I213" s="17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5" customHeight="1">
      <c r="A214" s="1"/>
      <c r="B214" s="339"/>
      <c r="C214" s="1"/>
      <c r="D214" s="1"/>
      <c r="E214" s="1"/>
      <c r="F214" s="1"/>
      <c r="G214" s="176"/>
      <c r="H214" s="176"/>
      <c r="I214" s="17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5" customHeight="1">
      <c r="A215" s="1"/>
      <c r="B215" s="339"/>
      <c r="C215" s="1"/>
      <c r="D215" s="1"/>
      <c r="E215" s="1"/>
      <c r="F215" s="1"/>
      <c r="G215" s="176"/>
      <c r="H215" s="176"/>
      <c r="I215" s="17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5" customHeight="1">
      <c r="A216" s="1"/>
      <c r="B216" s="339"/>
      <c r="C216" s="1"/>
      <c r="D216" s="1"/>
      <c r="E216" s="1"/>
      <c r="F216" s="1"/>
      <c r="G216" s="176"/>
      <c r="H216" s="176"/>
      <c r="I216" s="17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5" customHeight="1">
      <c r="A217" s="1"/>
      <c r="B217" s="339"/>
      <c r="C217" s="1"/>
      <c r="D217" s="1"/>
      <c r="E217" s="1"/>
      <c r="F217" s="1"/>
      <c r="G217" s="176"/>
      <c r="H217" s="176"/>
      <c r="I217" s="17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5" customHeight="1">
      <c r="A218" s="1"/>
      <c r="B218" s="339"/>
      <c r="C218" s="1"/>
      <c r="D218" s="1"/>
      <c r="E218" s="1"/>
      <c r="F218" s="1"/>
      <c r="G218" s="176"/>
      <c r="H218" s="176"/>
      <c r="I218" s="17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5" customHeight="1">
      <c r="A219" s="1"/>
      <c r="B219" s="339"/>
      <c r="C219" s="1"/>
      <c r="D219" s="1"/>
      <c r="E219" s="1"/>
      <c r="F219" s="1"/>
      <c r="G219" s="176"/>
      <c r="H219" s="176"/>
      <c r="I219" s="17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5" customHeight="1">
      <c r="A220" s="1"/>
      <c r="B220" s="339"/>
      <c r="C220" s="1"/>
      <c r="D220" s="1"/>
      <c r="E220" s="1"/>
      <c r="F220" s="1"/>
      <c r="G220" s="176"/>
      <c r="H220" s="176"/>
      <c r="I220" s="17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5" customHeight="1">
      <c r="A221" s="1"/>
      <c r="B221" s="339"/>
      <c r="C221" s="1"/>
      <c r="D221" s="1"/>
      <c r="E221" s="1"/>
      <c r="F221" s="1"/>
      <c r="G221" s="176"/>
      <c r="H221" s="176"/>
      <c r="I221" s="17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339"/>
      <c r="C222" s="1"/>
      <c r="D222" s="1"/>
      <c r="E222" s="1"/>
      <c r="F222" s="1"/>
      <c r="G222" s="176"/>
      <c r="H222" s="176"/>
      <c r="I222" s="17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339"/>
      <c r="C223" s="1"/>
      <c r="D223" s="1"/>
      <c r="E223" s="1"/>
      <c r="F223" s="1"/>
      <c r="G223" s="176"/>
      <c r="H223" s="176"/>
      <c r="I223" s="17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339"/>
      <c r="C224" s="1"/>
      <c r="D224" s="1"/>
      <c r="E224" s="1"/>
      <c r="F224" s="1"/>
      <c r="G224" s="176"/>
      <c r="H224" s="176"/>
      <c r="I224" s="17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339"/>
      <c r="C225" s="1"/>
      <c r="D225" s="1"/>
      <c r="E225" s="1"/>
      <c r="F225" s="1"/>
      <c r="G225" s="176"/>
      <c r="H225" s="176"/>
      <c r="I225" s="17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339"/>
      <c r="C226" s="1"/>
      <c r="D226" s="1"/>
      <c r="E226" s="1"/>
      <c r="F226" s="1"/>
      <c r="G226" s="176"/>
      <c r="H226" s="176"/>
      <c r="I226" s="17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339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339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33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33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33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33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33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M258" s="73"/>
    </row>
    <row r="259" spans="1:2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M259" s="73"/>
    </row>
    <row r="260" spans="1:29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M260" s="73"/>
    </row>
    <row r="261" spans="1:29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M261" s="73"/>
    </row>
    <row r="262" spans="1:29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M262" s="73"/>
    </row>
    <row r="263" spans="1:29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M263" s="73"/>
    </row>
    <row r="264" spans="1:29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M264" s="73"/>
    </row>
    <row r="265" spans="1:29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M265" s="73"/>
    </row>
    <row r="266" spans="1:29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M266" s="73"/>
    </row>
    <row r="267" spans="1:29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M267" s="73"/>
    </row>
    <row r="268" spans="1:29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M268" s="73"/>
    </row>
    <row r="269" spans="1:2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M269" s="73"/>
    </row>
    <row r="270" spans="1:29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M270" s="73"/>
    </row>
    <row r="271" spans="1:29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M271" s="73"/>
    </row>
    <row r="272" spans="1:29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M272" s="73"/>
    </row>
    <row r="273" spans="1:1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M273" s="73"/>
    </row>
    <row r="274" spans="1:13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M274" s="73"/>
    </row>
    <row r="275" spans="1:13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M275" s="73"/>
    </row>
    <row r="276" spans="1:13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M276" s="73"/>
    </row>
    <row r="277" spans="1:13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M277" s="73"/>
    </row>
    <row r="278" spans="1:13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M278" s="73"/>
    </row>
    <row r="279" spans="1:13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M279" s="73"/>
    </row>
    <row r="280" spans="1:13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M280" s="73"/>
    </row>
    <row r="281" spans="1:13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M281" s="73"/>
    </row>
    <row r="282" spans="1:13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M282" s="73"/>
    </row>
    <row r="283" spans="1:1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M283" s="73"/>
    </row>
    <row r="284" spans="1:13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M284" s="73"/>
    </row>
    <row r="285" spans="1:13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M285" s="73"/>
    </row>
    <row r="286" spans="1:13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M286" s="73"/>
    </row>
    <row r="287" spans="1:13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M287" s="73"/>
    </row>
    <row r="288" spans="1:13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M288" s="73"/>
    </row>
    <row r="289" spans="1:13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M289" s="73"/>
    </row>
    <row r="290" spans="1:13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M290" s="73"/>
    </row>
    <row r="291" spans="1:13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M291" s="73"/>
    </row>
    <row r="292" spans="1:13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M292" s="73"/>
    </row>
    <row r="293" spans="1:1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M293" s="73"/>
    </row>
    <row r="294" spans="1:13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M294" s="73"/>
    </row>
    <row r="295" spans="1:13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M295" s="73"/>
    </row>
    <row r="296" spans="1:13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M296" s="73"/>
    </row>
    <row r="297" spans="1:13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M297" s="73"/>
    </row>
    <row r="298" spans="1:13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M298" s="73"/>
    </row>
    <row r="299" spans="1:13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M299" s="73"/>
    </row>
    <row r="300" spans="1:13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M300" s="73"/>
    </row>
    <row r="301" spans="1:13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M301" s="73"/>
    </row>
    <row r="302" spans="1:13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M302" s="73"/>
    </row>
    <row r="303" spans="1:1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M303" s="73"/>
    </row>
    <row r="304" spans="1:13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M304" s="73"/>
    </row>
    <row r="305" spans="1:13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M305" s="73"/>
    </row>
    <row r="306" spans="1:13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M306" s="73"/>
    </row>
    <row r="307" spans="1:13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M307" s="73"/>
    </row>
    <row r="308" spans="1:13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M308" s="73"/>
    </row>
    <row r="309" spans="1:13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M309" s="73"/>
    </row>
    <row r="310" spans="1:13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M310" s="73"/>
    </row>
    <row r="311" spans="1:13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M311" s="73"/>
    </row>
    <row r="312" spans="1:13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M312" s="73"/>
    </row>
    <row r="313" spans="1: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M313" s="73"/>
    </row>
    <row r="314" spans="1:13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M314" s="73"/>
    </row>
    <row r="315" spans="1:13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M315" s="73"/>
    </row>
    <row r="316" spans="1:13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M316" s="73"/>
    </row>
    <row r="317" spans="1:13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M317" s="73"/>
    </row>
    <row r="318" spans="1:13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M318" s="73"/>
    </row>
    <row r="319" spans="1:13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M319" s="73"/>
    </row>
    <row r="320" spans="1:13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M320" s="73"/>
    </row>
    <row r="321" spans="1:13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M321" s="73"/>
    </row>
    <row r="322" spans="1:13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M322" s="73"/>
    </row>
    <row r="323" spans="1:1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M323" s="73"/>
    </row>
    <row r="324" spans="1:13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M324" s="73"/>
    </row>
    <row r="325" spans="1:13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M325" s="73"/>
    </row>
    <row r="326" spans="1:13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M326" s="73"/>
    </row>
    <row r="327" spans="1:13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M327" s="73"/>
    </row>
    <row r="328" spans="1:13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M328" s="73"/>
    </row>
    <row r="329" spans="1:13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M329" s="73"/>
    </row>
    <row r="330" spans="1:13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M330" s="73"/>
    </row>
    <row r="331" spans="1:13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M331" s="73"/>
    </row>
    <row r="332" spans="1:13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M332" s="73"/>
    </row>
    <row r="333" spans="1:1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M333" s="73"/>
    </row>
    <row r="334" spans="1:13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M334" s="73"/>
    </row>
    <row r="335" spans="1:13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M335" s="73"/>
    </row>
    <row r="336" spans="1:13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M336" s="73"/>
    </row>
    <row r="337" spans="1:13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M337" s="73"/>
    </row>
    <row r="338" spans="1:13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M338" s="73"/>
    </row>
    <row r="339" spans="1:13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M339" s="73"/>
    </row>
    <row r="340" spans="1:13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M340" s="73"/>
    </row>
    <row r="341" spans="1:13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M341" s="73"/>
    </row>
    <row r="342" spans="1:13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M342" s="73"/>
    </row>
    <row r="343" spans="1:1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M343" s="73"/>
    </row>
    <row r="344" spans="1:13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M344" s="73"/>
    </row>
    <row r="345" spans="1:13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M345" s="73"/>
    </row>
    <row r="346" spans="1:13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M346" s="73"/>
    </row>
    <row r="347" spans="1:13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M347" s="73"/>
    </row>
    <row r="348" spans="1:13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M348" s="73"/>
    </row>
    <row r="349" spans="1:13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M349" s="73"/>
    </row>
    <row r="350" spans="1:13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M350" s="73"/>
    </row>
    <row r="351" spans="1:13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M351" s="73"/>
    </row>
    <row r="352" spans="1:13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M352" s="73"/>
    </row>
    <row r="353" spans="1:1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M353" s="73"/>
    </row>
    <row r="354" spans="1:13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M354" s="73"/>
    </row>
    <row r="355" spans="1:13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M355" s="73"/>
    </row>
    <row r="356" spans="1:13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M356" s="73"/>
    </row>
    <row r="357" spans="1:13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M357" s="73"/>
    </row>
    <row r="358" spans="1:13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M358" s="73"/>
    </row>
    <row r="359" spans="1:13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M359" s="73"/>
    </row>
    <row r="360" spans="1:13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M360" s="73"/>
    </row>
    <row r="361" spans="1:13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M361" s="73"/>
    </row>
    <row r="362" spans="1:13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M362" s="73"/>
    </row>
    <row r="363" spans="1:1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M363" s="73"/>
    </row>
    <row r="364" spans="1:13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M364" s="73"/>
    </row>
    <row r="365" spans="1:13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M365" s="73"/>
    </row>
    <row r="366" spans="1:13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M366" s="73"/>
    </row>
    <row r="367" spans="1:13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M367" s="73"/>
    </row>
    <row r="368" spans="1:13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M368" s="73"/>
    </row>
    <row r="369" spans="1:13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M369" s="73"/>
    </row>
    <row r="370" spans="1:13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M370" s="73"/>
    </row>
    <row r="371" spans="1:13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M371" s="73"/>
    </row>
    <row r="372" spans="1:13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M372" s="73"/>
    </row>
    <row r="373" spans="1:1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M373" s="73"/>
    </row>
    <row r="374" spans="1:13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M374" s="73"/>
    </row>
    <row r="375" spans="1:13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M375" s="73"/>
    </row>
    <row r="376" spans="1:13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M376" s="73"/>
    </row>
    <row r="377" spans="1:13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M377" s="73"/>
    </row>
    <row r="378" spans="1:13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M378" s="73"/>
    </row>
    <row r="379" spans="1:13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M379" s="73"/>
    </row>
    <row r="380" spans="1:13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M380" s="73"/>
    </row>
    <row r="381" spans="1:13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M381" s="73"/>
    </row>
    <row r="382" spans="1:13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M382" s="73"/>
    </row>
    <row r="383" spans="1:1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M383" s="73"/>
    </row>
    <row r="384" spans="1:13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M384" s="73"/>
    </row>
    <row r="385" spans="1:13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M385" s="73"/>
    </row>
    <row r="386" spans="1:13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M386" s="73"/>
    </row>
    <row r="387" spans="1:13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M387" s="73"/>
    </row>
    <row r="388" spans="1:13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M388" s="73"/>
    </row>
    <row r="389" spans="1:13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M389" s="73"/>
    </row>
    <row r="390" spans="1:13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M390" s="73"/>
    </row>
    <row r="391" spans="1:13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M391" s="73"/>
    </row>
    <row r="392" spans="1:13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M392" s="73"/>
    </row>
    <row r="393" spans="1:1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M393" s="73"/>
    </row>
    <row r="394" spans="1:13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M394" s="73"/>
    </row>
    <row r="395" spans="1:13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M395" s="73"/>
    </row>
    <row r="396" spans="1:13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M396" s="73"/>
    </row>
    <row r="397" spans="1:13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M397" s="73"/>
    </row>
    <row r="398" spans="1:13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M398" s="73"/>
    </row>
    <row r="399" spans="1:13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M399" s="73"/>
    </row>
    <row r="400" spans="1:13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M400" s="73"/>
    </row>
    <row r="401" spans="1:13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M401" s="73"/>
    </row>
    <row r="402" spans="1:13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M402" s="73"/>
    </row>
    <row r="403" spans="1:1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M403" s="73"/>
    </row>
    <row r="404" spans="1:13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M404" s="73"/>
    </row>
    <row r="405" spans="1:13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M405" s="73"/>
    </row>
    <row r="406" spans="1:13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M406" s="73"/>
    </row>
    <row r="407" spans="1:13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M407" s="73"/>
    </row>
    <row r="408" spans="1:13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M408" s="73"/>
    </row>
    <row r="409" spans="1:13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M409" s="73"/>
    </row>
    <row r="410" spans="1:13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M410" s="73"/>
    </row>
    <row r="411" spans="1:13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M411" s="73"/>
    </row>
    <row r="412" spans="1:13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M412" s="73"/>
    </row>
    <row r="413" spans="1: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M413" s="73"/>
    </row>
    <row r="414" spans="1:13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M414" s="73"/>
    </row>
    <row r="415" spans="1:13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M415" s="73"/>
    </row>
    <row r="416" spans="1:13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M416" s="73"/>
    </row>
    <row r="417" spans="1:13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M417" s="73"/>
    </row>
    <row r="418" spans="1:13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M418" s="73"/>
    </row>
    <row r="419" spans="1:13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M419" s="73"/>
    </row>
    <row r="420" spans="1:13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M420" s="73"/>
    </row>
    <row r="421" spans="1:13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M421" s="73"/>
    </row>
    <row r="422" spans="1:13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M422" s="73"/>
    </row>
    <row r="423" spans="1:1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M423" s="73"/>
    </row>
    <row r="424" spans="1:13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M424" s="73"/>
    </row>
    <row r="425" spans="1:13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M425" s="73"/>
    </row>
    <row r="426" spans="1:13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M426" s="73"/>
    </row>
    <row r="427" spans="1:13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M427" s="73"/>
    </row>
    <row r="428" spans="1:13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M428" s="73"/>
    </row>
    <row r="429" spans="1:13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M429" s="73"/>
    </row>
    <row r="430" spans="1:13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M430" s="73"/>
    </row>
    <row r="431" spans="1:13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M431" s="73"/>
    </row>
    <row r="432" spans="1:13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M432" s="73"/>
    </row>
    <row r="433" spans="1:1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M433" s="73"/>
    </row>
    <row r="434" spans="1:13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M434" s="73"/>
    </row>
    <row r="435" spans="1:13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M435" s="73"/>
    </row>
    <row r="436" spans="1:13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M436" s="73"/>
    </row>
    <row r="437" spans="1:13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M437" s="73"/>
    </row>
    <row r="438" spans="1:13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M438" s="73"/>
    </row>
    <row r="439" spans="1:13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M439" s="73"/>
    </row>
    <row r="440" spans="1:13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M440" s="73"/>
    </row>
    <row r="441" spans="1:13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M441" s="73"/>
    </row>
    <row r="442" spans="1:13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M442" s="73"/>
    </row>
    <row r="443" spans="1:1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M443" s="73"/>
    </row>
    <row r="444" spans="1:13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M444" s="73"/>
    </row>
    <row r="445" spans="1:13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M445" s="73"/>
    </row>
    <row r="446" spans="1:13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M446" s="73"/>
    </row>
    <row r="447" spans="1:13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M447" s="73"/>
    </row>
    <row r="448" spans="1:13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M448" s="73"/>
    </row>
    <row r="449" spans="1:13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M449" s="73"/>
    </row>
    <row r="450" spans="1:13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M450" s="73"/>
    </row>
    <row r="451" spans="1:13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M451" s="73"/>
    </row>
    <row r="452" spans="1:13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M452" s="73"/>
    </row>
    <row r="453" spans="1:1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M453" s="73"/>
    </row>
    <row r="454" spans="1:13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M454" s="73"/>
    </row>
    <row r="455" spans="1:13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M455" s="73"/>
    </row>
    <row r="456" spans="1:13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M456" s="73"/>
    </row>
    <row r="457" spans="1:13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M457" s="73"/>
    </row>
    <row r="458" spans="1:13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M458" s="73"/>
    </row>
    <row r="459" spans="1:13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M459" s="73"/>
    </row>
    <row r="460" spans="1:13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M460" s="73"/>
    </row>
    <row r="461" spans="1:13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M461" s="73"/>
    </row>
    <row r="462" spans="1:13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M462" s="73"/>
    </row>
    <row r="463" spans="1:1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M463" s="73"/>
    </row>
    <row r="464" spans="1:13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M464" s="73"/>
    </row>
    <row r="465" spans="1:13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M465" s="73"/>
    </row>
    <row r="466" spans="1:13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M466" s="73"/>
    </row>
    <row r="467" spans="1:13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M467" s="73"/>
    </row>
    <row r="468" spans="1:13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M468" s="73"/>
    </row>
    <row r="469" spans="1:13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M469" s="73"/>
    </row>
    <row r="470" spans="1:13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M470" s="73"/>
    </row>
    <row r="471" spans="1:13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M471" s="73"/>
    </row>
    <row r="472" spans="1:13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M472" s="73"/>
    </row>
    <row r="473" spans="1:1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M473" s="73"/>
    </row>
    <row r="474" spans="1:13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M474" s="73"/>
    </row>
    <row r="475" spans="1:13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M475" s="73"/>
    </row>
    <row r="476" spans="1:13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M476" s="73"/>
    </row>
    <row r="477" spans="1:13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M477" s="73"/>
    </row>
    <row r="478" spans="1:13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M478" s="73"/>
    </row>
    <row r="479" spans="1:13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M479" s="73"/>
    </row>
    <row r="480" spans="1:13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M480" s="73"/>
    </row>
    <row r="481" spans="1:13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M481" s="73"/>
    </row>
    <row r="482" spans="1:13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M482" s="73"/>
    </row>
    <row r="483" spans="1:1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M483" s="73"/>
    </row>
    <row r="484" spans="1:13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M484" s="73"/>
    </row>
    <row r="485" spans="1:13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M485" s="73"/>
    </row>
    <row r="486" spans="1:13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M486" s="73"/>
    </row>
    <row r="487" spans="1:13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M487" s="73"/>
    </row>
    <row r="488" spans="1:13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M488" s="73"/>
    </row>
    <row r="489" spans="1:13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M489" s="73"/>
    </row>
    <row r="490" spans="1:13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M490" s="73"/>
    </row>
    <row r="491" spans="1:13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M491" s="73"/>
    </row>
    <row r="492" spans="1:13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M492" s="73"/>
    </row>
    <row r="493" spans="1:1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M493" s="73"/>
    </row>
    <row r="494" spans="1:13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M494" s="73"/>
    </row>
    <row r="495" spans="1:13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M495" s="73"/>
    </row>
    <row r="496" spans="1:13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M496" s="73"/>
    </row>
    <row r="497" spans="1:13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M497" s="73"/>
    </row>
    <row r="498" spans="1:13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M498" s="73"/>
    </row>
    <row r="499" spans="1:13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M499" s="73"/>
    </row>
    <row r="500" spans="1:13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M500" s="73"/>
    </row>
    <row r="501" spans="1:13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M501" s="73"/>
    </row>
    <row r="502" spans="1:13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M502" s="73"/>
    </row>
    <row r="503" spans="1:1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M503" s="73"/>
    </row>
    <row r="504" spans="1:13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M504" s="73"/>
    </row>
    <row r="505" spans="1:13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M505" s="73"/>
    </row>
    <row r="506" spans="1:13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M506" s="73"/>
    </row>
    <row r="507" spans="1:13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M507" s="73"/>
    </row>
    <row r="508" spans="1:13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M508" s="73"/>
    </row>
    <row r="509" spans="1:13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M509" s="73"/>
    </row>
    <row r="510" spans="1:13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M510" s="73"/>
    </row>
    <row r="511" spans="1:13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M511" s="73"/>
    </row>
    <row r="512" spans="1:13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M512" s="73"/>
    </row>
    <row r="513" spans="1: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M513" s="73"/>
    </row>
    <row r="514" spans="1:13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M514" s="73"/>
    </row>
    <row r="515" spans="1:13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M515" s="73"/>
    </row>
    <row r="516" spans="1:13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M516" s="73"/>
    </row>
    <row r="517" spans="1:13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M517" s="73"/>
    </row>
    <row r="518" spans="1:13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M518" s="73"/>
    </row>
    <row r="519" spans="1:13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M519" s="73"/>
    </row>
    <row r="520" spans="1:13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M520" s="73"/>
    </row>
    <row r="521" spans="1:13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M521" s="73"/>
    </row>
    <row r="522" spans="1:13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M522" s="73"/>
    </row>
    <row r="523" spans="1:1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M523" s="73"/>
    </row>
    <row r="524" spans="1:13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M524" s="73"/>
    </row>
    <row r="525" spans="1:13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M525" s="73"/>
    </row>
    <row r="526" spans="1:13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M526" s="73"/>
    </row>
    <row r="527" spans="1:13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M527" s="73"/>
    </row>
    <row r="528" spans="1:13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M528" s="73"/>
    </row>
    <row r="529" spans="1:13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M529" s="73"/>
    </row>
    <row r="530" spans="1:13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M530" s="73"/>
    </row>
    <row r="531" spans="1:13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M531" s="73"/>
    </row>
    <row r="532" spans="1:13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M532" s="73"/>
    </row>
    <row r="533" spans="1:1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M533" s="73"/>
    </row>
    <row r="534" spans="1:13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M534" s="73"/>
    </row>
    <row r="535" spans="1:13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M535" s="73"/>
    </row>
    <row r="536" spans="1:13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M536" s="73"/>
    </row>
    <row r="537" spans="1:13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M537" s="73"/>
    </row>
    <row r="538" spans="1:13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M538" s="73"/>
    </row>
    <row r="539" spans="1:13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M539" s="73"/>
    </row>
    <row r="540" spans="1:13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M540" s="73"/>
    </row>
    <row r="541" spans="1:13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M541" s="73"/>
    </row>
    <row r="542" spans="1:13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M542" s="73"/>
    </row>
    <row r="543" spans="1:1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M543" s="73"/>
    </row>
    <row r="544" spans="1:13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M544" s="73"/>
    </row>
    <row r="545" spans="1:13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M545" s="73"/>
    </row>
    <row r="546" spans="1:13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M546" s="73"/>
    </row>
    <row r="547" spans="1:13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M547" s="73"/>
    </row>
    <row r="548" spans="1:13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M548" s="73"/>
    </row>
    <row r="549" spans="1:13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M549" s="73"/>
    </row>
    <row r="550" spans="1:13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M550" s="73"/>
    </row>
    <row r="551" spans="1:13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M551" s="73"/>
    </row>
    <row r="552" spans="1:13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M552" s="73"/>
    </row>
    <row r="553" spans="1:1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M553" s="73"/>
    </row>
    <row r="554" spans="1:13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M554" s="73"/>
    </row>
    <row r="555" spans="1:13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M555" s="73"/>
    </row>
    <row r="556" spans="1:13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M556" s="73"/>
    </row>
    <row r="557" spans="1:13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M557" s="73"/>
    </row>
    <row r="558" spans="1:13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M558" s="73"/>
    </row>
    <row r="559" spans="1:13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M559" s="73"/>
    </row>
    <row r="560" spans="1:13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M560" s="73"/>
    </row>
    <row r="561" spans="1:13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M561" s="73"/>
    </row>
    <row r="562" spans="1:13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M562" s="73"/>
    </row>
    <row r="563" spans="1:1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M563" s="73"/>
    </row>
    <row r="564" spans="1:13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M564" s="73"/>
    </row>
    <row r="565" spans="1:13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M565" s="73"/>
    </row>
    <row r="566" spans="1:13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M566" s="73"/>
    </row>
    <row r="567" spans="1:13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M567" s="73"/>
    </row>
    <row r="568" spans="1:13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M568" s="73"/>
    </row>
    <row r="569" spans="1:13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M569" s="73"/>
    </row>
    <row r="570" spans="1:13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M570" s="73"/>
    </row>
    <row r="571" spans="1:13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M571" s="73"/>
    </row>
    <row r="572" spans="1:13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M572" s="73"/>
    </row>
    <row r="573" spans="1:1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M573" s="73"/>
    </row>
    <row r="574" spans="1:13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M574" s="73"/>
    </row>
    <row r="575" spans="1:13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M575" s="73"/>
    </row>
    <row r="576" spans="1:13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M576" s="73"/>
    </row>
    <row r="577" spans="1:13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M577" s="73"/>
    </row>
    <row r="578" spans="1:13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M578" s="73"/>
    </row>
    <row r="579" spans="1:13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M579" s="73"/>
    </row>
    <row r="580" spans="1:13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M580" s="73"/>
    </row>
    <row r="581" spans="1:13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M581" s="73"/>
    </row>
    <row r="582" spans="1:13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M582" s="73"/>
    </row>
    <row r="583" spans="1:1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M583" s="73"/>
    </row>
    <row r="584" spans="1:13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M584" s="73"/>
    </row>
    <row r="585" spans="1:13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M585" s="73"/>
    </row>
    <row r="586" spans="1:13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M586" s="73"/>
    </row>
    <row r="587" spans="1:13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M587" s="73"/>
    </row>
    <row r="588" spans="1:13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M588" s="73"/>
    </row>
    <row r="589" spans="1:13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M589" s="73"/>
    </row>
    <row r="590" spans="1:13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M590" s="73"/>
    </row>
    <row r="591" spans="1:13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M591" s="73"/>
    </row>
    <row r="592" spans="1:13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M592" s="73"/>
    </row>
    <row r="593" spans="1:1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M593" s="73"/>
    </row>
    <row r="594" spans="1:13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M594" s="73"/>
    </row>
    <row r="595" spans="1:13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M595" s="73"/>
    </row>
    <row r="596" spans="1:13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M596" s="73"/>
    </row>
    <row r="597" spans="1:13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M597" s="73"/>
    </row>
    <row r="598" spans="1:13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M598" s="73"/>
    </row>
    <row r="599" spans="1:13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M599" s="73"/>
    </row>
    <row r="600" spans="1:13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M600" s="73"/>
    </row>
    <row r="601" spans="1:13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M601" s="73"/>
    </row>
    <row r="602" spans="1:13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M602" s="73"/>
    </row>
    <row r="603" spans="1:1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M603" s="73"/>
    </row>
    <row r="604" spans="1:13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M604" s="73"/>
    </row>
    <row r="605" spans="1:13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M605" s="73"/>
    </row>
    <row r="606" spans="1:13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M606" s="73"/>
    </row>
    <row r="607" spans="1:13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M607" s="73"/>
    </row>
    <row r="608" spans="1:13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M608" s="73"/>
    </row>
    <row r="609" spans="1:13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M609" s="73"/>
    </row>
    <row r="610" spans="1:13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M610" s="73"/>
    </row>
    <row r="611" spans="1:13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M611" s="73"/>
    </row>
    <row r="612" spans="1:13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M612" s="73"/>
    </row>
    <row r="613" spans="1: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M613" s="73"/>
    </row>
    <row r="614" spans="1:13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M614" s="73"/>
    </row>
    <row r="615" spans="1:13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M615" s="73"/>
    </row>
    <row r="616" spans="1:13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M616" s="73"/>
    </row>
    <row r="617" spans="1:13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M617" s="73"/>
    </row>
    <row r="618" spans="1:13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M618" s="73"/>
    </row>
    <row r="619" spans="1:13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M619" s="73"/>
    </row>
    <row r="620" spans="1:13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M620" s="73"/>
    </row>
    <row r="621" spans="1:13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M621" s="73"/>
    </row>
    <row r="622" spans="1:13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M622" s="73"/>
    </row>
    <row r="623" spans="1:1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M623" s="73"/>
    </row>
    <row r="624" spans="1:13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M624" s="73"/>
    </row>
    <row r="625" spans="1:13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M625" s="73"/>
    </row>
    <row r="626" spans="1:13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M626" s="73"/>
    </row>
    <row r="627" spans="1:13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M627" s="73"/>
    </row>
    <row r="628" spans="1:13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M628" s="73"/>
    </row>
    <row r="629" spans="1:13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M629" s="73"/>
    </row>
    <row r="630" spans="1:13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M630" s="73"/>
    </row>
    <row r="631" spans="1:13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M631" s="73"/>
    </row>
    <row r="632" spans="1:13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M632" s="73"/>
    </row>
    <row r="633" spans="1:1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M633" s="73"/>
    </row>
    <row r="634" spans="1:13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M634" s="73"/>
    </row>
    <row r="635" spans="1:13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M635" s="73"/>
    </row>
    <row r="636" spans="1:13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M636" s="73"/>
    </row>
    <row r="637" spans="1:13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M637" s="73"/>
    </row>
    <row r="638" spans="1:13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M638" s="73"/>
    </row>
    <row r="639" spans="1:13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M639" s="73"/>
    </row>
    <row r="640" spans="1:13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M640" s="73"/>
    </row>
    <row r="641" spans="1:13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M641" s="73"/>
    </row>
    <row r="642" spans="1:13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M642" s="73"/>
    </row>
    <row r="643" spans="1:1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M643" s="73"/>
    </row>
    <row r="644" spans="1:13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M644" s="73"/>
    </row>
    <row r="645" spans="1:13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M645" s="73"/>
    </row>
    <row r="646" spans="1:13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M646" s="73"/>
    </row>
    <row r="647" spans="1:13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M647" s="73"/>
    </row>
    <row r="648" spans="1:13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M648" s="73"/>
    </row>
    <row r="649" spans="1:13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M649" s="73"/>
    </row>
    <row r="650" spans="1:13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M650" s="73"/>
    </row>
    <row r="651" spans="1:13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M651" s="73"/>
    </row>
    <row r="652" spans="1:13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M652" s="73"/>
    </row>
    <row r="653" spans="1:1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M653" s="73"/>
    </row>
    <row r="654" spans="1:13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M654" s="73"/>
    </row>
    <row r="655" spans="1:13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M655" s="73"/>
    </row>
    <row r="656" spans="1:13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M656" s="73"/>
    </row>
    <row r="657" spans="1:13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M657" s="73"/>
    </row>
    <row r="658" spans="1:13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M658" s="73"/>
    </row>
    <row r="659" spans="1:13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M659" s="73"/>
    </row>
    <row r="660" spans="1:13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M660" s="73"/>
    </row>
    <row r="661" spans="1:13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M661" s="73"/>
    </row>
    <row r="662" spans="1:13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M662" s="73"/>
    </row>
    <row r="663" spans="1:1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M663" s="73"/>
    </row>
    <row r="664" spans="1:13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M664" s="73"/>
    </row>
    <row r="665" spans="1:13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M665" s="73"/>
    </row>
    <row r="666" spans="1:13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M666" s="73"/>
    </row>
    <row r="667" spans="1:13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M667" s="73"/>
    </row>
    <row r="668" spans="1:13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M668" s="73"/>
    </row>
    <row r="669" spans="1:13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M669" s="73"/>
    </row>
    <row r="670" spans="1:13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M670" s="73"/>
    </row>
    <row r="671" spans="1:13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M671" s="73"/>
    </row>
    <row r="672" spans="1:13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M672" s="73"/>
    </row>
    <row r="673" spans="1:1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M673" s="73"/>
    </row>
    <row r="674" spans="1:13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M674" s="73"/>
    </row>
    <row r="675" spans="1:13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M675" s="73"/>
    </row>
    <row r="676" spans="1:13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M676" s="73"/>
    </row>
    <row r="677" spans="1:13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M677" s="73"/>
    </row>
    <row r="678" spans="1:13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M678" s="73"/>
    </row>
    <row r="679" spans="1:13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M679" s="73"/>
    </row>
    <row r="680" spans="1:13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M680" s="73"/>
    </row>
    <row r="681" spans="1:13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M681" s="73"/>
    </row>
    <row r="682" spans="1:13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M682" s="73"/>
    </row>
    <row r="683" spans="1:1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M683" s="73"/>
    </row>
    <row r="684" spans="1:13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M684" s="73"/>
    </row>
    <row r="685" spans="1:13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M685" s="73"/>
    </row>
    <row r="686" spans="1:13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M686" s="73"/>
    </row>
    <row r="687" spans="1:13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M687" s="73"/>
    </row>
    <row r="688" spans="1:13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M688" s="73"/>
    </row>
    <row r="689" spans="1:13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M689" s="73"/>
    </row>
    <row r="690" spans="1:13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M690" s="73"/>
    </row>
    <row r="691" spans="1:13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M691" s="73"/>
    </row>
    <row r="692" spans="1:13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M692" s="73"/>
    </row>
    <row r="693" spans="1:1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M693" s="73"/>
    </row>
    <row r="694" spans="1:13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M694" s="73"/>
    </row>
    <row r="695" spans="1:13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M695" s="73"/>
    </row>
    <row r="696" spans="1:13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M696" s="73"/>
    </row>
    <row r="697" spans="1:13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M697" s="73"/>
    </row>
    <row r="698" spans="1:13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M698" s="73"/>
    </row>
    <row r="699" spans="1:13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M699" s="73"/>
    </row>
    <row r="700" spans="1:13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M700" s="73"/>
    </row>
    <row r="701" spans="1:13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M701" s="73"/>
    </row>
    <row r="702" spans="1:13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M702" s="73"/>
    </row>
    <row r="703" spans="1:1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M703" s="73"/>
    </row>
    <row r="704" spans="1:13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M704" s="73"/>
    </row>
    <row r="705" spans="1:13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M705" s="73"/>
    </row>
    <row r="706" spans="1:13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M706" s="73"/>
    </row>
    <row r="707" spans="1:13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M707" s="73"/>
    </row>
    <row r="708" spans="1:13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M708" s="73"/>
    </row>
    <row r="709" spans="1:13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M709" s="73"/>
    </row>
    <row r="710" spans="1:13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M710" s="73"/>
    </row>
    <row r="711" spans="1:13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M711" s="73"/>
    </row>
    <row r="712" spans="1:13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M712" s="73"/>
    </row>
    <row r="713" spans="1: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M713" s="73"/>
    </row>
    <row r="714" spans="1:13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M714" s="73"/>
    </row>
    <row r="715" spans="1:13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M715" s="73"/>
    </row>
    <row r="716" spans="1:13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M716" s="73"/>
    </row>
    <row r="717" spans="1:13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M717" s="73"/>
    </row>
    <row r="718" spans="1:13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M718" s="73"/>
    </row>
    <row r="719" spans="1:13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M719" s="73"/>
    </row>
    <row r="720" spans="1:13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M720" s="73"/>
    </row>
    <row r="721" spans="1:13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M721" s="73"/>
    </row>
    <row r="722" spans="1:13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M722" s="73"/>
    </row>
    <row r="723" spans="1:1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M723" s="73"/>
    </row>
    <row r="724" spans="1:13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M724" s="73"/>
    </row>
    <row r="725" spans="1:13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M725" s="73"/>
    </row>
    <row r="726" spans="1:13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M726" s="73"/>
    </row>
    <row r="727" spans="1:13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M727" s="73"/>
    </row>
    <row r="728" spans="1:13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M728" s="73"/>
    </row>
    <row r="729" spans="1:13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M729" s="73"/>
    </row>
    <row r="730" spans="1:13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M730" s="73"/>
    </row>
    <row r="731" spans="1:13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M731" s="73"/>
    </row>
    <row r="732" spans="1:13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M732" s="73"/>
    </row>
    <row r="733" spans="1:1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M733" s="73"/>
    </row>
    <row r="734" spans="1:13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M734" s="73"/>
    </row>
    <row r="735" spans="1:13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M735" s="73"/>
    </row>
    <row r="736" spans="1:13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M736" s="73"/>
    </row>
    <row r="737" spans="1:13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M737" s="73"/>
    </row>
    <row r="738" spans="1:13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M738" s="73"/>
    </row>
    <row r="739" spans="1:13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M739" s="73"/>
    </row>
    <row r="740" spans="1:13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M740" s="73"/>
    </row>
    <row r="741" spans="1:13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M741" s="73"/>
    </row>
    <row r="742" spans="1:13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M742" s="73"/>
    </row>
    <row r="743" spans="1:1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M743" s="73"/>
    </row>
    <row r="744" spans="1:13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M744" s="73"/>
    </row>
    <row r="745" spans="1:13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M745" s="73"/>
    </row>
    <row r="746" spans="1:13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M746" s="73"/>
    </row>
    <row r="747" spans="1:13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M747" s="73"/>
    </row>
    <row r="748" spans="1:13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M748" s="73"/>
    </row>
    <row r="749" spans="1:13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M749" s="73"/>
    </row>
    <row r="750" spans="1:13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M750" s="73"/>
    </row>
    <row r="751" spans="1:13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M751" s="73"/>
    </row>
    <row r="752" spans="1:13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M752" s="73"/>
    </row>
    <row r="753" spans="1:1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M753" s="73"/>
    </row>
    <row r="754" spans="1:13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M754" s="73"/>
    </row>
    <row r="755" spans="1:13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M755" s="73"/>
    </row>
    <row r="756" spans="1:13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M756" s="73"/>
    </row>
    <row r="757" spans="1:13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M757" s="73"/>
    </row>
    <row r="758" spans="1:13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M758" s="73"/>
    </row>
    <row r="759" spans="1:13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M759" s="73"/>
    </row>
    <row r="760" spans="1:13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M760" s="73"/>
    </row>
    <row r="761" spans="1:13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M761" s="73"/>
    </row>
    <row r="762" spans="1:13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M762" s="73"/>
    </row>
    <row r="763" spans="1:1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M763" s="73"/>
    </row>
    <row r="764" spans="1:13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M764" s="73"/>
    </row>
    <row r="765" spans="1:13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M765" s="73"/>
    </row>
    <row r="766" spans="1:13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M766" s="73"/>
    </row>
    <row r="767" spans="1:13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M767" s="73"/>
    </row>
    <row r="768" spans="1:13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M768" s="73"/>
    </row>
    <row r="769" spans="1:13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M769" s="73"/>
    </row>
    <row r="770" spans="1:13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M770" s="73"/>
    </row>
    <row r="771" spans="1:13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M771" s="73"/>
    </row>
    <row r="772" spans="1:13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M772" s="73"/>
    </row>
    <row r="773" spans="1:1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M773" s="73"/>
    </row>
    <row r="774" spans="1:13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M774" s="73"/>
    </row>
    <row r="775" spans="1:13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M775" s="73"/>
    </row>
    <row r="776" spans="1:13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M776" s="73"/>
    </row>
    <row r="777" spans="1:13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M777" s="73"/>
    </row>
    <row r="778" spans="1:13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M778" s="73"/>
    </row>
    <row r="779" spans="1:13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M779" s="73"/>
    </row>
    <row r="780" spans="1:13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M780" s="73"/>
    </row>
    <row r="781" spans="1:13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M781" s="73"/>
    </row>
    <row r="782" spans="1:13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M782" s="73"/>
    </row>
    <row r="783" spans="1:1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M783" s="73"/>
    </row>
    <row r="784" spans="1:13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M784" s="73"/>
    </row>
    <row r="785" spans="1:13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M785" s="73"/>
    </row>
    <row r="786" spans="1:13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M786" s="73"/>
    </row>
    <row r="787" spans="1:13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M787" s="73"/>
    </row>
    <row r="788" spans="1:13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M788" s="73"/>
    </row>
    <row r="789" spans="1:13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M789" s="73"/>
    </row>
    <row r="790" spans="1:13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M790" s="73"/>
    </row>
    <row r="791" spans="1:13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M791" s="73"/>
    </row>
    <row r="792" spans="1:13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M792" s="73"/>
    </row>
    <row r="793" spans="1:1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M793" s="73"/>
    </row>
    <row r="794" spans="1:13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M794" s="73"/>
    </row>
    <row r="795" spans="1:13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M795" s="73"/>
    </row>
    <row r="796" spans="1:13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M796" s="73"/>
    </row>
    <row r="797" spans="1:13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M797" s="73"/>
    </row>
    <row r="798" spans="1:13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M798" s="73"/>
    </row>
    <row r="799" spans="1:13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M799" s="73"/>
    </row>
    <row r="800" spans="1:13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M800" s="73"/>
    </row>
    <row r="801" spans="1:13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M801" s="73"/>
    </row>
    <row r="802" spans="1:13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M802" s="73"/>
    </row>
    <row r="803" spans="1:1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M803" s="73"/>
    </row>
    <row r="804" spans="1:13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M804" s="73"/>
    </row>
    <row r="805" spans="1:13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M805" s="73"/>
    </row>
    <row r="806" spans="1:13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M806" s="73"/>
    </row>
    <row r="807" spans="1:13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M807" s="73"/>
    </row>
    <row r="808" spans="1:13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M808" s="73"/>
    </row>
    <row r="809" spans="1:13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M809" s="73"/>
    </row>
    <row r="810" spans="1:13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M810" s="73"/>
    </row>
    <row r="811" spans="1:13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M811" s="73"/>
    </row>
    <row r="812" spans="1:13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M812" s="73"/>
    </row>
    <row r="813" spans="1: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M813" s="73"/>
    </row>
    <row r="814" spans="1:13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M814" s="73"/>
    </row>
    <row r="815" spans="1:13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M815" s="73"/>
    </row>
    <row r="816" spans="1:13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M816" s="73"/>
    </row>
    <row r="817" spans="1:13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M817" s="73"/>
    </row>
    <row r="818" spans="1:13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M818" s="73"/>
    </row>
    <row r="819" spans="1:13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M819" s="73"/>
    </row>
    <row r="820" spans="1:13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M820" s="73"/>
    </row>
    <row r="821" spans="1:13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M821" s="73"/>
    </row>
    <row r="822" spans="1:13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M822" s="73"/>
    </row>
    <row r="823" spans="1:1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M823" s="73"/>
    </row>
    <row r="824" spans="1:13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M824" s="73"/>
    </row>
    <row r="825" spans="1:13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M825" s="73"/>
    </row>
    <row r="826" spans="1:13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M826" s="73"/>
    </row>
    <row r="827" spans="1:13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M827" s="73"/>
    </row>
    <row r="828" spans="1:13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M828" s="73"/>
    </row>
    <row r="829" spans="1:13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M829" s="73"/>
    </row>
    <row r="830" spans="1:13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M830" s="73"/>
    </row>
    <row r="831" spans="1:13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M831" s="73"/>
    </row>
    <row r="832" spans="1:13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M832" s="73"/>
    </row>
    <row r="833" spans="1:1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M833" s="73"/>
    </row>
    <row r="834" spans="1:13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M834" s="73"/>
    </row>
    <row r="835" spans="1:13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M835" s="73"/>
    </row>
    <row r="836" spans="1:13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M836" s="73"/>
    </row>
    <row r="837" spans="1:13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M837" s="73"/>
    </row>
    <row r="838" spans="1:13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M838" s="73"/>
    </row>
    <row r="839" spans="1:13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M839" s="73"/>
    </row>
    <row r="840" spans="1:13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M840" s="73"/>
    </row>
    <row r="841" spans="1:13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M841" s="73"/>
    </row>
    <row r="842" spans="1:13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M842" s="73"/>
    </row>
    <row r="843" spans="1:1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M843" s="73"/>
    </row>
    <row r="844" spans="1:13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M844" s="73"/>
    </row>
    <row r="845" spans="1:13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M845" s="73"/>
    </row>
    <row r="846" spans="1:13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M846" s="73"/>
    </row>
    <row r="847" spans="1:13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M847" s="73"/>
    </row>
    <row r="848" spans="1:13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M848" s="73"/>
    </row>
    <row r="849" spans="1:13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M849" s="73"/>
    </row>
    <row r="850" spans="1:13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M850" s="73"/>
    </row>
    <row r="851" spans="1:13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M851" s="73"/>
    </row>
    <row r="852" spans="1:13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M852" s="73"/>
    </row>
    <row r="853" spans="1:1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M853" s="73"/>
    </row>
    <row r="854" spans="1:13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M854" s="73"/>
    </row>
    <row r="855" spans="1:13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M855" s="73"/>
    </row>
    <row r="856" spans="1:13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M856" s="73"/>
    </row>
    <row r="857" spans="1:13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M857" s="73"/>
    </row>
    <row r="858" spans="1:13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M858" s="73"/>
    </row>
    <row r="859" spans="1:13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M859" s="73"/>
    </row>
    <row r="860" spans="1:13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M860" s="73"/>
    </row>
    <row r="861" spans="1:13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M861" s="73"/>
    </row>
    <row r="862" spans="1:13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M862" s="73"/>
    </row>
    <row r="863" spans="1:1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M863" s="73"/>
    </row>
    <row r="864" spans="1:13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M864" s="73"/>
    </row>
    <row r="865" spans="1:13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M865" s="73"/>
    </row>
    <row r="866" spans="1:13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M866" s="73"/>
    </row>
    <row r="867" spans="1:13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M867" s="73"/>
    </row>
    <row r="868" spans="1:13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M868" s="73"/>
    </row>
    <row r="869" spans="1:13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M869" s="73"/>
    </row>
    <row r="870" spans="1:13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M870" s="73"/>
    </row>
    <row r="871" spans="1:13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M871" s="73"/>
    </row>
    <row r="872" spans="1:13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M872" s="73"/>
    </row>
    <row r="873" spans="1:1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M873" s="73"/>
    </row>
    <row r="874" spans="1:13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M874" s="73"/>
    </row>
    <row r="875" spans="1:13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M875" s="73"/>
    </row>
    <row r="876" spans="1:13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M876" s="73"/>
    </row>
    <row r="877" spans="1:13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M877" s="73"/>
    </row>
    <row r="878" spans="1:13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M878" s="73"/>
    </row>
    <row r="879" spans="1:13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M879" s="73"/>
    </row>
    <row r="880" spans="1:13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M880" s="73"/>
    </row>
    <row r="881" spans="1:13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M881" s="73"/>
    </row>
    <row r="882" spans="1:13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M882" s="73"/>
    </row>
    <row r="883" spans="1:1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M883" s="73"/>
    </row>
    <row r="884" spans="1:13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M884" s="73"/>
    </row>
    <row r="885" spans="1:13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M885" s="73"/>
    </row>
    <row r="886" spans="1:13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M886" s="73"/>
    </row>
    <row r="887" spans="1:13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M887" s="73"/>
    </row>
    <row r="888" spans="1:13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M888" s="73"/>
    </row>
    <row r="889" spans="1:13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M889" s="73"/>
    </row>
    <row r="890" spans="1:13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M890" s="73"/>
    </row>
    <row r="891" spans="1:13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M891" s="73"/>
    </row>
    <row r="892" spans="1:13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M892" s="73"/>
    </row>
    <row r="893" spans="1:1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M893" s="73"/>
    </row>
    <row r="894" spans="1:13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M894" s="73"/>
    </row>
    <row r="895" spans="1:13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M895" s="73"/>
    </row>
    <row r="896" spans="1:13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M896" s="73"/>
    </row>
    <row r="897" spans="1:13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M897" s="73"/>
    </row>
    <row r="898" spans="1:13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M898" s="73"/>
    </row>
    <row r="899" spans="1:13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M899" s="73"/>
    </row>
    <row r="900" spans="1:13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M900" s="73"/>
    </row>
    <row r="901" spans="1:13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M901" s="73"/>
    </row>
    <row r="902" spans="1:13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M902" s="73"/>
    </row>
    <row r="903" spans="1:1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M903" s="73"/>
    </row>
    <row r="904" spans="1:13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M904" s="73"/>
    </row>
    <row r="905" spans="1:13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M905" s="73"/>
    </row>
    <row r="906" spans="1:13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M906" s="73"/>
    </row>
    <row r="907" spans="1:13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M907" s="73"/>
    </row>
    <row r="908" spans="1:13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M908" s="73"/>
    </row>
    <row r="909" spans="1:13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M909" s="73"/>
    </row>
    <row r="910" spans="1:13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M910" s="73"/>
    </row>
    <row r="911" spans="1:13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M911" s="73"/>
    </row>
    <row r="912" spans="1:13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M912" s="73"/>
    </row>
    <row r="913" spans="1: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M913" s="73"/>
    </row>
    <row r="914" spans="1:13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M914" s="73"/>
    </row>
    <row r="915" spans="1:13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M915" s="73"/>
    </row>
    <row r="916" spans="1:13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M916" s="73"/>
    </row>
    <row r="917" spans="1:13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M917" s="73"/>
    </row>
    <row r="918" spans="1:13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M918" s="73"/>
    </row>
    <row r="919" spans="1:13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M919" s="73"/>
    </row>
    <row r="920" spans="1:13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M920" s="73"/>
    </row>
    <row r="921" spans="1:13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M921" s="73"/>
    </row>
    <row r="922" spans="1:13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M922" s="73"/>
    </row>
    <row r="923" spans="1:1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M923" s="73"/>
    </row>
    <row r="924" spans="1:13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M924" s="73"/>
    </row>
    <row r="925" spans="1:13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M925" s="73"/>
    </row>
    <row r="926" spans="1:13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M926" s="73"/>
    </row>
    <row r="927" spans="1:13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M927" s="73"/>
    </row>
    <row r="928" spans="1:13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M928" s="73"/>
    </row>
    <row r="929" spans="1:13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M929" s="73"/>
    </row>
    <row r="930" spans="1:13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M930" s="73"/>
    </row>
    <row r="931" spans="1:13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M931" s="73"/>
    </row>
    <row r="932" spans="1:13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M932" s="73"/>
    </row>
    <row r="933" spans="1:1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M933" s="73"/>
    </row>
    <row r="934" spans="1:13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M934" s="73"/>
    </row>
    <row r="935" spans="1:13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M935" s="73"/>
    </row>
    <row r="936" spans="1:13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M936" s="73"/>
    </row>
    <row r="937" spans="1:13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M937" s="73"/>
    </row>
    <row r="938" spans="1:13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M938" s="73"/>
    </row>
    <row r="939" spans="1:13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M939" s="73"/>
    </row>
    <row r="940" spans="1:13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M940" s="73"/>
    </row>
    <row r="941" spans="1:13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M941" s="73"/>
    </row>
    <row r="942" spans="1:13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M942" s="73"/>
    </row>
    <row r="943" spans="1:1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M943" s="73"/>
    </row>
    <row r="944" spans="1:13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M944" s="73"/>
    </row>
    <row r="945" spans="1:13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M945" s="73"/>
    </row>
    <row r="946" spans="1:13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M946" s="73"/>
    </row>
    <row r="947" spans="1:13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M947" s="73"/>
    </row>
    <row r="948" spans="1:13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M948" s="73"/>
    </row>
    <row r="949" spans="1:13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M949" s="73"/>
    </row>
    <row r="950" spans="1:13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M950" s="73"/>
    </row>
    <row r="951" spans="1:13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M951" s="73"/>
    </row>
    <row r="952" spans="1:13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M952" s="73"/>
    </row>
    <row r="953" spans="1:1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M953" s="73"/>
    </row>
    <row r="954" spans="1:13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M954" s="73"/>
    </row>
    <row r="955" spans="1:13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M955" s="73"/>
    </row>
    <row r="956" spans="1:13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M956" s="73"/>
    </row>
    <row r="957" spans="1:13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M957" s="73"/>
    </row>
    <row r="958" spans="1:13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M958" s="73"/>
    </row>
    <row r="959" spans="1:13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M959" s="73"/>
    </row>
    <row r="960" spans="1:13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M960" s="73"/>
    </row>
    <row r="961" spans="1:13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M961" s="73"/>
    </row>
    <row r="962" spans="1:13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M962" s="73"/>
    </row>
    <row r="963" spans="1:1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M963" s="73"/>
    </row>
    <row r="964" spans="1:13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M964" s="73"/>
    </row>
    <row r="965" spans="1:13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M965" s="73"/>
    </row>
    <row r="966" spans="1:13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M966" s="73"/>
    </row>
    <row r="967" spans="1:13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M967" s="73"/>
    </row>
    <row r="968" spans="1:13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M968" s="73"/>
    </row>
    <row r="969" spans="1:13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M969" s="73"/>
    </row>
    <row r="970" spans="1:13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M970" s="73"/>
    </row>
    <row r="971" spans="1:13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M971" s="73"/>
    </row>
    <row r="972" spans="1:13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M972" s="73"/>
    </row>
    <row r="973" spans="1:1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M973" s="73"/>
    </row>
    <row r="974" spans="1:13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M974" s="73"/>
    </row>
    <row r="975" spans="1:13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M975" s="73"/>
    </row>
    <row r="976" spans="1:13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M976" s="73"/>
    </row>
    <row r="977" spans="1:13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M977" s="73"/>
    </row>
    <row r="978" spans="1:13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M978" s="73"/>
    </row>
    <row r="979" spans="1:13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M979" s="73"/>
    </row>
    <row r="980" spans="1:13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M980" s="73"/>
    </row>
    <row r="981" spans="1:13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M981" s="73"/>
    </row>
    <row r="982" spans="1:13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M982" s="73"/>
    </row>
    <row r="983" spans="1:1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M983" s="73"/>
    </row>
    <row r="984" spans="1:13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M984" s="73"/>
    </row>
    <row r="985" spans="1:13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M985" s="73"/>
    </row>
    <row r="986" spans="1:13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M986" s="73"/>
    </row>
    <row r="987" spans="1:13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M987" s="73"/>
    </row>
    <row r="988" spans="1:13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M988" s="73"/>
    </row>
    <row r="989" spans="1:13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M989" s="73"/>
    </row>
    <row r="990" spans="1:13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M990" s="73"/>
    </row>
    <row r="991" spans="1:13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M991" s="73"/>
    </row>
    <row r="992" spans="1:13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M992" s="73"/>
    </row>
    <row r="993" spans="1:1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M993" s="73"/>
    </row>
    <row r="994" spans="1:13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M994" s="73"/>
    </row>
    <row r="995" spans="1:13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M995" s="73"/>
    </row>
    <row r="996" spans="1:13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M996" s="73"/>
    </row>
    <row r="997" spans="1:13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M997" s="73"/>
    </row>
    <row r="998" spans="1:13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M998" s="73"/>
    </row>
    <row r="999" spans="1:13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M999" s="73"/>
    </row>
    <row r="1000" spans="1:13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M1000" s="73"/>
    </row>
  </sheetData>
  <mergeCells count="70">
    <mergeCell ref="J54:K54"/>
    <mergeCell ref="J55:K55"/>
    <mergeCell ref="J56:K56"/>
    <mergeCell ref="A57:K61"/>
    <mergeCell ref="A54:A56"/>
    <mergeCell ref="A3:B3"/>
    <mergeCell ref="A5:A8"/>
    <mergeCell ref="I5:I8"/>
    <mergeCell ref="A9:A13"/>
    <mergeCell ref="I9:I13"/>
    <mergeCell ref="A14:A21"/>
    <mergeCell ref="I14:I21"/>
    <mergeCell ref="I54:I56"/>
    <mergeCell ref="A22:A29"/>
    <mergeCell ref="A30:A36"/>
    <mergeCell ref="A37:A39"/>
    <mergeCell ref="A40:A43"/>
    <mergeCell ref="A44:A53"/>
    <mergeCell ref="J14:K14"/>
    <mergeCell ref="J15:K15"/>
    <mergeCell ref="J16:K16"/>
    <mergeCell ref="J17:K17"/>
    <mergeCell ref="J18:K18"/>
    <mergeCell ref="J9:K9"/>
    <mergeCell ref="J10:K10"/>
    <mergeCell ref="J11:K11"/>
    <mergeCell ref="J12:K12"/>
    <mergeCell ref="J13:K13"/>
    <mergeCell ref="J3:K4"/>
    <mergeCell ref="J5:K5"/>
    <mergeCell ref="J6:K6"/>
    <mergeCell ref="J7:K7"/>
    <mergeCell ref="J8:K8"/>
    <mergeCell ref="A1:I2"/>
    <mergeCell ref="C3:C4"/>
    <mergeCell ref="D3:D4"/>
    <mergeCell ref="E3:E4"/>
    <mergeCell ref="F3:F4"/>
    <mergeCell ref="I3:I4"/>
    <mergeCell ref="J49:K49"/>
    <mergeCell ref="J50:K50"/>
    <mergeCell ref="J51:K51"/>
    <mergeCell ref="J52:K52"/>
    <mergeCell ref="I37:I39"/>
    <mergeCell ref="J37:K37"/>
    <mergeCell ref="J38:K38"/>
    <mergeCell ref="J39:K39"/>
    <mergeCell ref="I40:I43"/>
    <mergeCell ref="J40:K40"/>
    <mergeCell ref="I44:I53"/>
    <mergeCell ref="J53:K53"/>
    <mergeCell ref="J42:K42"/>
    <mergeCell ref="J43:K43"/>
    <mergeCell ref="J44:K44"/>
    <mergeCell ref="J45:K45"/>
    <mergeCell ref="J46:K46"/>
    <mergeCell ref="J47:K47"/>
    <mergeCell ref="J48:K48"/>
    <mergeCell ref="I30:I36"/>
    <mergeCell ref="J30:K30"/>
    <mergeCell ref="J31:K31"/>
    <mergeCell ref="J32:K32"/>
    <mergeCell ref="J41:K41"/>
    <mergeCell ref="J33:K33"/>
    <mergeCell ref="J34:K34"/>
    <mergeCell ref="J35:K35"/>
    <mergeCell ref="J36:K36"/>
    <mergeCell ref="J19:K19"/>
    <mergeCell ref="J20:K20"/>
    <mergeCell ref="J21:K21"/>
  </mergeCells>
  <phoneticPr fontId="30" type="noConversion"/>
  <pageMargins left="0.25" right="0.25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C1000"/>
  <sheetViews>
    <sheetView workbookViewId="0"/>
  </sheetViews>
  <sheetFormatPr defaultColWidth="14.42578125" defaultRowHeight="15" customHeight="1"/>
  <cols>
    <col min="1" max="1" width="33.140625" customWidth="1"/>
    <col min="2" max="2" width="160.140625" customWidth="1"/>
    <col min="3" max="3" width="11.85546875" customWidth="1"/>
    <col min="4" max="4" width="27.7109375" customWidth="1"/>
    <col min="5" max="5" width="18.28515625" customWidth="1"/>
    <col min="6" max="6" width="34.7109375" customWidth="1"/>
    <col min="7" max="8" width="12.42578125" customWidth="1"/>
    <col min="9" max="9" width="21.140625" customWidth="1"/>
    <col min="10" max="10" width="8.85546875" customWidth="1"/>
    <col min="11" max="11" width="79.5703125" customWidth="1"/>
    <col min="15" max="15" width="35.5703125" customWidth="1"/>
  </cols>
  <sheetData>
    <row r="1" spans="1:29" ht="16.5" customHeight="1">
      <c r="A1" s="625" t="s">
        <v>0</v>
      </c>
      <c r="B1" s="611"/>
      <c r="C1" s="611"/>
      <c r="D1" s="611"/>
      <c r="E1" s="611"/>
      <c r="F1" s="611"/>
      <c r="G1" s="611"/>
      <c r="H1" s="611"/>
      <c r="I1" s="6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customHeight="1">
      <c r="A2" s="610"/>
      <c r="B2" s="615"/>
      <c r="C2" s="615"/>
      <c r="D2" s="615"/>
      <c r="E2" s="615"/>
      <c r="F2" s="615"/>
      <c r="G2" s="615"/>
      <c r="H2" s="615"/>
      <c r="I2" s="6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5" customHeight="1">
      <c r="A3" s="699" t="s">
        <v>513</v>
      </c>
      <c r="B3" s="711"/>
      <c r="C3" s="678" t="s">
        <v>462</v>
      </c>
      <c r="D3" s="688" t="s">
        <v>463</v>
      </c>
      <c r="E3" s="688" t="s">
        <v>231</v>
      </c>
      <c r="F3" s="678" t="s">
        <v>464</v>
      </c>
      <c r="G3" s="341" t="s">
        <v>4</v>
      </c>
      <c r="H3" s="341" t="s">
        <v>5</v>
      </c>
      <c r="I3" s="679" t="s">
        <v>6</v>
      </c>
      <c r="J3" s="707" t="s">
        <v>7</v>
      </c>
      <c r="K3" s="612"/>
      <c r="L3" s="678" t="s">
        <v>514</v>
      </c>
      <c r="M3" s="688" t="s">
        <v>515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5" customHeight="1">
      <c r="A4" s="342" t="s">
        <v>8</v>
      </c>
      <c r="B4" s="41" t="s">
        <v>9</v>
      </c>
      <c r="C4" s="636"/>
      <c r="D4" s="601"/>
      <c r="E4" s="601"/>
      <c r="F4" s="636"/>
      <c r="G4" s="213" t="s">
        <v>10</v>
      </c>
      <c r="H4" s="213" t="s">
        <v>11</v>
      </c>
      <c r="I4" s="618"/>
      <c r="J4" s="610"/>
      <c r="K4" s="616"/>
      <c r="L4" s="606"/>
      <c r="M4" s="62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>
      <c r="A5" s="661" t="s">
        <v>516</v>
      </c>
      <c r="B5" s="343" t="s">
        <v>517</v>
      </c>
      <c r="C5" s="344"/>
      <c r="D5" s="345"/>
      <c r="E5" s="346"/>
      <c r="F5" s="347"/>
      <c r="G5" s="348"/>
      <c r="H5" s="428"/>
      <c r="I5" s="643"/>
      <c r="J5" s="708"/>
      <c r="K5" s="61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>
      <c r="A6" s="654"/>
      <c r="B6" s="351" t="s">
        <v>518</v>
      </c>
      <c r="C6" s="352"/>
      <c r="D6" s="353"/>
      <c r="E6" s="354"/>
      <c r="F6" s="389"/>
      <c r="G6" s="355"/>
      <c r="H6" s="429"/>
      <c r="I6" s="603"/>
      <c r="J6" s="703"/>
      <c r="K6" s="6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6.5" customHeight="1">
      <c r="A7" s="654"/>
      <c r="B7" s="351" t="s">
        <v>519</v>
      </c>
      <c r="C7" s="352"/>
      <c r="D7" s="353"/>
      <c r="E7" s="354"/>
      <c r="F7" s="389"/>
      <c r="G7" s="355"/>
      <c r="H7" s="429"/>
      <c r="I7" s="603"/>
      <c r="J7" s="703"/>
      <c r="K7" s="6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6.5" customHeight="1">
      <c r="A8" s="654"/>
      <c r="B8" s="351" t="s">
        <v>520</v>
      </c>
      <c r="C8" s="352"/>
      <c r="D8" s="353"/>
      <c r="E8" s="354"/>
      <c r="F8" s="389"/>
      <c r="G8" s="355"/>
      <c r="H8" s="429"/>
      <c r="I8" s="603"/>
      <c r="J8" s="703"/>
      <c r="K8" s="613"/>
      <c r="L8" s="17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6.5" customHeight="1">
      <c r="A9" s="655"/>
      <c r="B9" s="430" t="s">
        <v>521</v>
      </c>
      <c r="C9" s="359"/>
      <c r="D9" s="360"/>
      <c r="E9" s="361"/>
      <c r="F9" s="431"/>
      <c r="G9" s="362"/>
      <c r="H9" s="432"/>
      <c r="I9" s="621"/>
      <c r="J9" s="703"/>
      <c r="K9" s="61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6.5" customHeight="1">
      <c r="A10" s="666" t="s">
        <v>522</v>
      </c>
      <c r="B10" s="343" t="s">
        <v>523</v>
      </c>
      <c r="C10" s="344"/>
      <c r="D10" s="345"/>
      <c r="E10" s="365"/>
      <c r="F10" s="347"/>
      <c r="G10" s="366"/>
      <c r="H10" s="428"/>
      <c r="I10" s="643"/>
      <c r="J10" s="703"/>
      <c r="K10" s="6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6.5" customHeight="1">
      <c r="A11" s="605"/>
      <c r="B11" s="351" t="s">
        <v>524</v>
      </c>
      <c r="C11" s="352"/>
      <c r="D11" s="353"/>
      <c r="E11" s="368"/>
      <c r="F11" s="389"/>
      <c r="G11" s="355"/>
      <c r="H11" s="429"/>
      <c r="I11" s="603"/>
      <c r="J11" s="703"/>
      <c r="K11" s="6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.5" customHeight="1">
      <c r="A12" s="605"/>
      <c r="B12" s="351" t="s">
        <v>525</v>
      </c>
      <c r="C12" s="352"/>
      <c r="D12" s="353"/>
      <c r="E12" s="368"/>
      <c r="F12" s="389"/>
      <c r="G12" s="355"/>
      <c r="H12" s="429"/>
      <c r="I12" s="603"/>
      <c r="J12" s="703"/>
      <c r="K12" s="6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5" customHeight="1">
      <c r="A13" s="605"/>
      <c r="B13" s="351" t="s">
        <v>526</v>
      </c>
      <c r="C13" s="352"/>
      <c r="D13" s="353"/>
      <c r="E13" s="368"/>
      <c r="F13" s="389"/>
      <c r="G13" s="355"/>
      <c r="H13" s="429"/>
      <c r="I13" s="603"/>
      <c r="J13" s="703"/>
      <c r="K13" s="6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5" customHeight="1">
      <c r="A14" s="606"/>
      <c r="B14" s="200" t="s">
        <v>527</v>
      </c>
      <c r="C14" s="359"/>
      <c r="D14" s="360"/>
      <c r="E14" s="433"/>
      <c r="F14" s="431"/>
      <c r="G14" s="362"/>
      <c r="H14" s="432"/>
      <c r="I14" s="621"/>
      <c r="J14" s="703"/>
      <c r="K14" s="6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5" customHeight="1">
      <c r="A15" s="652" t="s">
        <v>528</v>
      </c>
      <c r="B15" s="434" t="s">
        <v>529</v>
      </c>
      <c r="C15" s="345"/>
      <c r="D15" s="346"/>
      <c r="E15" s="371"/>
      <c r="F15" s="347"/>
      <c r="G15" s="366"/>
      <c r="H15" s="428"/>
      <c r="I15" s="681"/>
      <c r="J15" s="703"/>
      <c r="K15" s="6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5" customHeight="1">
      <c r="A16" s="608"/>
      <c r="B16" s="435" t="s">
        <v>530</v>
      </c>
      <c r="C16" s="353"/>
      <c r="D16" s="354"/>
      <c r="E16" s="372"/>
      <c r="F16" s="389"/>
      <c r="G16" s="373"/>
      <c r="H16" s="429"/>
      <c r="I16" s="614"/>
      <c r="J16" s="703"/>
      <c r="K16" s="6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5" customHeight="1">
      <c r="A17" s="608"/>
      <c r="B17" s="435" t="s">
        <v>531</v>
      </c>
      <c r="C17" s="353"/>
      <c r="D17" s="354"/>
      <c r="E17" s="372"/>
      <c r="F17" s="389"/>
      <c r="G17" s="355"/>
      <c r="H17" s="429"/>
      <c r="I17" s="614"/>
      <c r="J17" s="703"/>
      <c r="K17" s="6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5" customHeight="1">
      <c r="A18" s="608"/>
      <c r="B18" s="435" t="s">
        <v>532</v>
      </c>
      <c r="C18" s="353"/>
      <c r="D18" s="354"/>
      <c r="E18" s="372"/>
      <c r="F18" s="389"/>
      <c r="G18" s="355"/>
      <c r="H18" s="429"/>
      <c r="I18" s="614"/>
      <c r="J18" s="703"/>
      <c r="K18" s="6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.5" customHeight="1">
      <c r="A19" s="610"/>
      <c r="B19" s="436" t="s">
        <v>533</v>
      </c>
      <c r="C19" s="360"/>
      <c r="D19" s="361"/>
      <c r="E19" s="437"/>
      <c r="F19" s="431"/>
      <c r="G19" s="362"/>
      <c r="H19" s="432"/>
      <c r="I19" s="616"/>
      <c r="J19" s="703"/>
      <c r="K19" s="61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6.5" customHeight="1">
      <c r="A20" s="670" t="s">
        <v>435</v>
      </c>
      <c r="B20" s="420" t="s">
        <v>534</v>
      </c>
      <c r="C20" s="344"/>
      <c r="D20" s="345"/>
      <c r="E20" s="421"/>
      <c r="F20" s="347"/>
      <c r="G20" s="409"/>
      <c r="H20" s="438"/>
      <c r="I20" s="439"/>
      <c r="J20" s="703"/>
      <c r="K20" s="6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6.5" customHeight="1">
      <c r="A21" s="605"/>
      <c r="B21" s="387" t="s">
        <v>535</v>
      </c>
      <c r="C21" s="352"/>
      <c r="D21" s="353"/>
      <c r="E21" s="392"/>
      <c r="F21" s="389"/>
      <c r="G21" s="393"/>
      <c r="H21" s="440"/>
      <c r="I21" s="441"/>
      <c r="J21" s="703"/>
      <c r="K21" s="61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5" customHeight="1">
      <c r="A22" s="605"/>
      <c r="B22" s="387" t="s">
        <v>536</v>
      </c>
      <c r="C22" s="352"/>
      <c r="D22" s="353"/>
      <c r="E22" s="388"/>
      <c r="F22" s="389"/>
      <c r="G22" s="393"/>
      <c r="H22" s="440"/>
      <c r="I22" s="441"/>
      <c r="J22" s="703"/>
      <c r="K22" s="61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6.5" customHeight="1">
      <c r="A23" s="605"/>
      <c r="B23" s="387" t="s">
        <v>537</v>
      </c>
      <c r="C23" s="352"/>
      <c r="D23" s="353"/>
      <c r="E23" s="388"/>
      <c r="F23" s="389"/>
      <c r="G23" s="393"/>
      <c r="H23" s="440"/>
      <c r="I23" s="441"/>
      <c r="J23" s="703"/>
      <c r="K23" s="61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6.5" customHeight="1">
      <c r="A24" s="605"/>
      <c r="B24" s="387" t="s">
        <v>538</v>
      </c>
      <c r="C24" s="352"/>
      <c r="D24" s="353"/>
      <c r="E24" s="392"/>
      <c r="F24" s="389"/>
      <c r="G24" s="393"/>
      <c r="H24" s="440"/>
      <c r="I24" s="441"/>
      <c r="J24" s="703"/>
      <c r="K24" s="61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5" customHeight="1">
      <c r="A25" s="605"/>
      <c r="B25" s="442" t="s">
        <v>539</v>
      </c>
      <c r="C25" s="352"/>
      <c r="D25" s="353"/>
      <c r="E25" s="388"/>
      <c r="F25" s="389"/>
      <c r="G25" s="393"/>
      <c r="H25" s="440"/>
      <c r="I25" s="441"/>
      <c r="J25" s="703"/>
      <c r="K25" s="61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6.5" customHeight="1">
      <c r="A26" s="606"/>
      <c r="B26" s="443" t="s">
        <v>540</v>
      </c>
      <c r="C26" s="359"/>
      <c r="D26" s="360"/>
      <c r="E26" s="424"/>
      <c r="F26" s="431"/>
      <c r="G26" s="362"/>
      <c r="H26" s="432"/>
      <c r="I26" s="444"/>
      <c r="J26" s="703"/>
      <c r="K26" s="61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6.5" customHeight="1">
      <c r="A27" s="652" t="s">
        <v>503</v>
      </c>
      <c r="B27" s="445" t="s">
        <v>169</v>
      </c>
      <c r="C27" s="344"/>
      <c r="D27" s="345"/>
      <c r="E27" s="346"/>
      <c r="F27" s="347"/>
      <c r="G27" s="399"/>
      <c r="H27" s="446"/>
      <c r="I27" s="439"/>
      <c r="J27" s="705"/>
      <c r="K27" s="61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6.5" customHeight="1">
      <c r="A28" s="608"/>
      <c r="B28" s="447" t="s">
        <v>170</v>
      </c>
      <c r="C28" s="352"/>
      <c r="D28" s="353"/>
      <c r="E28" s="354"/>
      <c r="F28" s="389"/>
      <c r="G28" s="393"/>
      <c r="H28" s="440"/>
      <c r="I28" s="441"/>
      <c r="J28" s="613"/>
      <c r="K28" s="61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6.5" customHeight="1">
      <c r="A29" s="610"/>
      <c r="B29" s="448" t="s">
        <v>541</v>
      </c>
      <c r="C29" s="359"/>
      <c r="D29" s="360"/>
      <c r="E29" s="406"/>
      <c r="F29" s="431"/>
      <c r="G29" s="362"/>
      <c r="H29" s="432"/>
      <c r="I29" s="444"/>
      <c r="J29" s="613"/>
      <c r="K29" s="61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660" t="s">
        <v>542</v>
      </c>
      <c r="B30" s="445" t="s">
        <v>507</v>
      </c>
      <c r="C30" s="344"/>
      <c r="D30" s="344"/>
      <c r="E30" s="371"/>
      <c r="F30" s="347"/>
      <c r="G30" s="409"/>
      <c r="H30" s="438"/>
      <c r="I30" s="643"/>
      <c r="J30" s="715"/>
      <c r="K30" s="61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6.5" customHeight="1">
      <c r="A31" s="605"/>
      <c r="B31" s="447" t="s">
        <v>508</v>
      </c>
      <c r="C31" s="352"/>
      <c r="D31" s="352"/>
      <c r="E31" s="372"/>
      <c r="F31" s="389"/>
      <c r="G31" s="393"/>
      <c r="H31" s="440"/>
      <c r="I31" s="603"/>
      <c r="J31" s="613"/>
      <c r="K31" s="6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6.5" customHeight="1">
      <c r="A32" s="605"/>
      <c r="B32" s="447" t="s">
        <v>509</v>
      </c>
      <c r="C32" s="352"/>
      <c r="D32" s="352"/>
      <c r="E32" s="372"/>
      <c r="F32" s="389"/>
      <c r="G32" s="355"/>
      <c r="H32" s="429"/>
      <c r="I32" s="603"/>
      <c r="J32" s="613"/>
      <c r="K32" s="6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6.5" customHeight="1">
      <c r="A33" s="606"/>
      <c r="B33" s="443" t="s">
        <v>510</v>
      </c>
      <c r="C33" s="359"/>
      <c r="D33" s="359"/>
      <c r="E33" s="437"/>
      <c r="F33" s="431"/>
      <c r="G33" s="414"/>
      <c r="H33" s="449"/>
      <c r="I33" s="621"/>
      <c r="J33" s="613"/>
      <c r="K33" s="6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6.5" customHeight="1">
      <c r="A34" s="668" t="s">
        <v>543</v>
      </c>
      <c r="B34" s="613"/>
      <c r="C34" s="613"/>
      <c r="D34" s="613"/>
      <c r="E34" s="613"/>
      <c r="F34" s="613"/>
      <c r="G34" s="613"/>
      <c r="H34" s="613"/>
      <c r="I34" s="613"/>
      <c r="J34" s="613"/>
      <c r="K34" s="6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6.5" customHeight="1">
      <c r="A35" s="608"/>
      <c r="B35" s="613"/>
      <c r="C35" s="613"/>
      <c r="D35" s="613"/>
      <c r="E35" s="613"/>
      <c r="F35" s="613"/>
      <c r="G35" s="613"/>
      <c r="H35" s="613"/>
      <c r="I35" s="613"/>
      <c r="J35" s="613"/>
      <c r="K35" s="61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6.5" customHeight="1">
      <c r="A36" s="608"/>
      <c r="B36" s="613"/>
      <c r="C36" s="613"/>
      <c r="D36" s="613"/>
      <c r="E36" s="613"/>
      <c r="F36" s="613"/>
      <c r="G36" s="613"/>
      <c r="H36" s="613"/>
      <c r="I36" s="613"/>
      <c r="J36" s="613"/>
      <c r="K36" s="6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6.5" customHeight="1">
      <c r="A37" s="608"/>
      <c r="B37" s="613"/>
      <c r="C37" s="613"/>
      <c r="D37" s="613"/>
      <c r="E37" s="613"/>
      <c r="F37" s="613"/>
      <c r="G37" s="613"/>
      <c r="H37" s="613"/>
      <c r="I37" s="613"/>
      <c r="J37" s="613"/>
      <c r="K37" s="61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6.5" customHeight="1">
      <c r="A38" s="610"/>
      <c r="B38" s="615"/>
      <c r="C38" s="615"/>
      <c r="D38" s="615"/>
      <c r="E38" s="615"/>
      <c r="F38" s="615"/>
      <c r="G38" s="615"/>
      <c r="H38" s="615"/>
      <c r="I38" s="615"/>
      <c r="J38" s="615"/>
      <c r="K38" s="61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6.5" customHeight="1">
      <c r="A39" s="1"/>
      <c r="B39" s="33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6.5" customHeight="1">
      <c r="A40" s="1"/>
      <c r="B40" s="33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6.5" customHeight="1">
      <c r="A41" s="1"/>
      <c r="B41" s="33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6.5" customHeight="1">
      <c r="A42" s="1"/>
      <c r="B42" s="33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6.5" customHeight="1">
      <c r="A43" s="1"/>
      <c r="B43" s="450"/>
      <c r="C43" s="354"/>
      <c r="D43" s="354"/>
      <c r="E43" s="41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6.5" customHeight="1">
      <c r="A44" s="1"/>
      <c r="B44" s="339"/>
      <c r="C44" s="1"/>
      <c r="D44" s="1"/>
      <c r="E44" s="1"/>
      <c r="F44" s="1"/>
      <c r="G44" s="176"/>
      <c r="H44" s="176"/>
      <c r="I44" s="17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6.5" customHeight="1">
      <c r="A45" s="1"/>
      <c r="B45" s="339"/>
      <c r="C45" s="1"/>
      <c r="D45" s="1"/>
      <c r="E45" s="1"/>
      <c r="F45" s="1"/>
      <c r="G45" s="176"/>
      <c r="H45" s="176"/>
      <c r="I45" s="17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6.5" customHeight="1">
      <c r="A46" s="1"/>
      <c r="B46" s="451"/>
      <c r="C46" s="354"/>
      <c r="D46" s="354"/>
      <c r="E46" s="354"/>
      <c r="F46" s="452"/>
      <c r="G46" s="453"/>
      <c r="H46" s="453"/>
      <c r="I46" s="17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6.5" customHeight="1">
      <c r="A47" s="1"/>
      <c r="B47" s="451"/>
      <c r="C47" s="354"/>
      <c r="D47" s="354"/>
      <c r="E47" s="354"/>
      <c r="F47" s="452"/>
      <c r="G47" s="176"/>
      <c r="H47" s="176"/>
      <c r="I47" s="17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6.5" customHeight="1">
      <c r="A48" s="1"/>
      <c r="B48" s="451"/>
      <c r="C48" s="354"/>
      <c r="D48" s="354"/>
      <c r="E48" s="354"/>
      <c r="F48" s="452"/>
      <c r="G48" s="176"/>
      <c r="H48" s="176"/>
      <c r="I48" s="17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6.5" customHeight="1">
      <c r="A49" s="1"/>
      <c r="B49" s="152"/>
      <c r="C49" s="354"/>
      <c r="D49" s="354"/>
      <c r="E49" s="416"/>
      <c r="F49" s="1"/>
      <c r="G49" s="176"/>
      <c r="H49" s="176"/>
      <c r="I49" s="17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6.5" customHeight="1">
      <c r="A50" s="1"/>
      <c r="B50" s="339"/>
      <c r="C50" s="1"/>
      <c r="D50" s="1"/>
      <c r="E50" s="1"/>
      <c r="F50" s="1"/>
      <c r="G50" s="176"/>
      <c r="H50" s="176"/>
      <c r="I50" s="17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6.5" customHeight="1">
      <c r="A51" s="1"/>
      <c r="B51" s="339"/>
      <c r="C51" s="1"/>
      <c r="D51" s="1"/>
      <c r="E51" s="1"/>
      <c r="F51" s="1"/>
      <c r="G51" s="176"/>
      <c r="H51" s="176"/>
      <c r="I51" s="17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6.5" customHeight="1">
      <c r="A52" s="1"/>
      <c r="B52" s="339"/>
      <c r="C52" s="1"/>
      <c r="D52" s="1"/>
      <c r="E52" s="1"/>
      <c r="F52" s="1"/>
      <c r="G52" s="176"/>
      <c r="H52" s="176"/>
      <c r="I52" s="17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6.5" customHeight="1">
      <c r="A53" s="1"/>
      <c r="B53" s="339"/>
      <c r="C53" s="1"/>
      <c r="D53" s="1"/>
      <c r="E53" s="1"/>
      <c r="F53" s="1"/>
      <c r="G53" s="176"/>
      <c r="H53" s="176"/>
      <c r="I53" s="17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6.5" customHeight="1">
      <c r="A54" s="1"/>
      <c r="B54" s="339"/>
      <c r="C54" s="1"/>
      <c r="D54" s="1"/>
      <c r="E54" s="1"/>
      <c r="F54" s="1"/>
      <c r="G54" s="176"/>
      <c r="H54" s="176"/>
      <c r="I54" s="17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6.5" customHeight="1">
      <c r="A55" s="1"/>
      <c r="B55" s="339"/>
      <c r="C55" s="1"/>
      <c r="D55" s="1"/>
      <c r="E55" s="1"/>
      <c r="F55" s="1"/>
      <c r="G55" s="176"/>
      <c r="H55" s="176"/>
      <c r="I55" s="17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6.5" customHeight="1">
      <c r="A56" s="1"/>
      <c r="B56" s="339"/>
      <c r="C56" s="1"/>
      <c r="D56" s="1"/>
      <c r="E56" s="1"/>
      <c r="F56" s="1"/>
      <c r="G56" s="176"/>
      <c r="H56" s="176"/>
      <c r="I56" s="17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6.5" customHeight="1">
      <c r="A57" s="1"/>
      <c r="B57" s="339"/>
      <c r="C57" s="1"/>
      <c r="D57" s="1"/>
      <c r="E57" s="1"/>
      <c r="F57" s="1"/>
      <c r="G57" s="176"/>
      <c r="H57" s="176"/>
      <c r="I57" s="17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6.5" customHeight="1">
      <c r="A58" s="1"/>
      <c r="B58" s="339"/>
      <c r="C58" s="1"/>
      <c r="D58" s="1"/>
      <c r="E58" s="1"/>
      <c r="F58" s="1"/>
      <c r="G58" s="176"/>
      <c r="H58" s="176"/>
      <c r="I58" s="17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6.5" customHeight="1">
      <c r="A59" s="1"/>
      <c r="B59" s="339"/>
      <c r="C59" s="1"/>
      <c r="D59" s="1"/>
      <c r="E59" s="1"/>
      <c r="F59" s="1"/>
      <c r="G59" s="176"/>
      <c r="H59" s="176"/>
      <c r="I59" s="17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.5" customHeight="1">
      <c r="A60" s="1"/>
      <c r="B60" s="339"/>
      <c r="C60" s="1"/>
      <c r="D60" s="1"/>
      <c r="E60" s="1"/>
      <c r="F60" s="1"/>
      <c r="G60" s="176"/>
      <c r="H60" s="176"/>
      <c r="I60" s="17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6.5" customHeight="1">
      <c r="A61" s="1"/>
      <c r="B61" s="339"/>
      <c r="C61" s="1"/>
      <c r="D61" s="1"/>
      <c r="E61" s="1"/>
      <c r="F61" s="1"/>
      <c r="G61" s="176"/>
      <c r="H61" s="176"/>
      <c r="I61" s="17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6.5" customHeight="1">
      <c r="A62" s="1"/>
      <c r="B62" s="339"/>
      <c r="C62" s="1"/>
      <c r="D62" s="1"/>
      <c r="E62" s="1"/>
      <c r="F62" s="1"/>
      <c r="G62" s="176"/>
      <c r="H62" s="176"/>
      <c r="I62" s="17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6.5" customHeight="1">
      <c r="A63" s="1"/>
      <c r="B63" s="339"/>
      <c r="C63" s="1"/>
      <c r="D63" s="1"/>
      <c r="E63" s="1"/>
      <c r="F63" s="1"/>
      <c r="G63" s="176"/>
      <c r="H63" s="176"/>
      <c r="I63" s="17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6.5" customHeight="1">
      <c r="A64" s="1"/>
      <c r="B64" s="339"/>
      <c r="C64" s="1"/>
      <c r="D64" s="1"/>
      <c r="E64" s="1"/>
      <c r="F64" s="1"/>
      <c r="G64" s="176"/>
      <c r="H64" s="176"/>
      <c r="I64" s="17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.5" customHeight="1">
      <c r="A65" s="1"/>
      <c r="B65" s="339"/>
      <c r="C65" s="1"/>
      <c r="D65" s="1"/>
      <c r="E65" s="1"/>
      <c r="F65" s="1"/>
      <c r="G65" s="176"/>
      <c r="H65" s="176"/>
      <c r="I65" s="17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6.5" customHeight="1">
      <c r="A66" s="1"/>
      <c r="B66" s="339"/>
      <c r="C66" s="1"/>
      <c r="D66" s="1"/>
      <c r="E66" s="1"/>
      <c r="F66" s="1"/>
      <c r="G66" s="176"/>
      <c r="H66" s="176"/>
      <c r="I66" s="17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.5" customHeight="1">
      <c r="A67" s="1"/>
      <c r="B67" s="339"/>
      <c r="C67" s="1"/>
      <c r="D67" s="1"/>
      <c r="E67" s="1"/>
      <c r="F67" s="1"/>
      <c r="G67" s="176"/>
      <c r="H67" s="176"/>
      <c r="I67" s="17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.5" customHeight="1">
      <c r="A68" s="1"/>
      <c r="B68" s="339"/>
      <c r="C68" s="1"/>
      <c r="D68" s="1"/>
      <c r="E68" s="1"/>
      <c r="F68" s="1"/>
      <c r="G68" s="176"/>
      <c r="H68" s="176"/>
      <c r="I68" s="17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6.5" customHeight="1">
      <c r="A69" s="1"/>
      <c r="B69" s="339"/>
      <c r="C69" s="1"/>
      <c r="D69" s="1"/>
      <c r="E69" s="1"/>
      <c r="F69" s="1"/>
      <c r="G69" s="176"/>
      <c r="H69" s="176"/>
      <c r="I69" s="17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6.5" customHeight="1">
      <c r="A70" s="1"/>
      <c r="B70" s="339"/>
      <c r="C70" s="1"/>
      <c r="D70" s="1"/>
      <c r="E70" s="1"/>
      <c r="F70" s="1"/>
      <c r="G70" s="176"/>
      <c r="H70" s="176"/>
      <c r="I70" s="17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.5" customHeight="1">
      <c r="A71" s="1"/>
      <c r="B71" s="339"/>
      <c r="C71" s="1"/>
      <c r="D71" s="1"/>
      <c r="E71" s="1"/>
      <c r="F71" s="1"/>
      <c r="G71" s="176"/>
      <c r="H71" s="176"/>
      <c r="I71" s="17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6.5" customHeight="1">
      <c r="A72" s="1"/>
      <c r="B72" s="339"/>
      <c r="C72" s="1"/>
      <c r="D72" s="1"/>
      <c r="E72" s="1"/>
      <c r="F72" s="1"/>
      <c r="G72" s="176"/>
      <c r="H72" s="176"/>
      <c r="I72" s="17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6.5" customHeight="1">
      <c r="A73" s="1"/>
      <c r="B73" s="339"/>
      <c r="C73" s="1"/>
      <c r="D73" s="1"/>
      <c r="E73" s="1"/>
      <c r="F73" s="1"/>
      <c r="G73" s="176"/>
      <c r="H73" s="176"/>
      <c r="I73" s="17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6.5" customHeight="1">
      <c r="A74" s="1"/>
      <c r="B74" s="339"/>
      <c r="C74" s="1"/>
      <c r="D74" s="1"/>
      <c r="E74" s="1"/>
      <c r="F74" s="1"/>
      <c r="G74" s="176"/>
      <c r="H74" s="176"/>
      <c r="I74" s="17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6.5" customHeight="1">
      <c r="A75" s="1"/>
      <c r="B75" s="339"/>
      <c r="C75" s="1"/>
      <c r="D75" s="1"/>
      <c r="E75" s="1"/>
      <c r="F75" s="1"/>
      <c r="G75" s="176"/>
      <c r="H75" s="176"/>
      <c r="I75" s="17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.5" customHeight="1">
      <c r="A76" s="1"/>
      <c r="B76" s="339"/>
      <c r="C76" s="1"/>
      <c r="D76" s="1"/>
      <c r="E76" s="1"/>
      <c r="F76" s="1"/>
      <c r="G76" s="176"/>
      <c r="H76" s="176"/>
      <c r="I76" s="17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6.5" customHeight="1">
      <c r="A77" s="1"/>
      <c r="B77" s="339"/>
      <c r="C77" s="1"/>
      <c r="D77" s="1"/>
      <c r="E77" s="1"/>
      <c r="F77" s="1"/>
      <c r="G77" s="176"/>
      <c r="H77" s="176"/>
      <c r="I77" s="17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6.5" customHeight="1">
      <c r="A78" s="1"/>
      <c r="B78" s="339"/>
      <c r="C78" s="1"/>
      <c r="D78" s="1"/>
      <c r="E78" s="1"/>
      <c r="F78" s="1"/>
      <c r="G78" s="176"/>
      <c r="H78" s="176"/>
      <c r="I78" s="17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6.5" customHeight="1">
      <c r="A79" s="1"/>
      <c r="B79" s="339"/>
      <c r="C79" s="1"/>
      <c r="D79" s="1"/>
      <c r="E79" s="1"/>
      <c r="F79" s="1"/>
      <c r="G79" s="176"/>
      <c r="H79" s="176"/>
      <c r="I79" s="17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5" customHeight="1">
      <c r="A80" s="1"/>
      <c r="B80" s="339"/>
      <c r="C80" s="1"/>
      <c r="D80" s="1"/>
      <c r="E80" s="1"/>
      <c r="F80" s="1"/>
      <c r="G80" s="176"/>
      <c r="H80" s="176"/>
      <c r="I80" s="17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5" customHeight="1">
      <c r="A81" s="1"/>
      <c r="B81" s="339"/>
      <c r="C81" s="1"/>
      <c r="D81" s="1"/>
      <c r="E81" s="1"/>
      <c r="F81" s="1"/>
      <c r="G81" s="176"/>
      <c r="H81" s="176"/>
      <c r="I81" s="17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5" customHeight="1">
      <c r="A82" s="1"/>
      <c r="B82" s="339"/>
      <c r="C82" s="1"/>
      <c r="D82" s="1"/>
      <c r="E82" s="1"/>
      <c r="F82" s="1"/>
      <c r="G82" s="176"/>
      <c r="H82" s="176"/>
      <c r="I82" s="17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5" customHeight="1">
      <c r="A83" s="1"/>
      <c r="B83" s="339"/>
      <c r="C83" s="1"/>
      <c r="D83" s="1"/>
      <c r="E83" s="1"/>
      <c r="F83" s="1"/>
      <c r="G83" s="176"/>
      <c r="H83" s="176"/>
      <c r="I83" s="17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5" customHeight="1">
      <c r="A84" s="1"/>
      <c r="B84" s="339"/>
      <c r="C84" s="1"/>
      <c r="D84" s="1"/>
      <c r="E84" s="1"/>
      <c r="F84" s="1"/>
      <c r="G84" s="176"/>
      <c r="H84" s="176"/>
      <c r="I84" s="17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5" customHeight="1">
      <c r="A85" s="1"/>
      <c r="B85" s="339"/>
      <c r="C85" s="1"/>
      <c r="D85" s="1"/>
      <c r="E85" s="1"/>
      <c r="F85" s="1"/>
      <c r="G85" s="176"/>
      <c r="H85" s="176"/>
      <c r="I85" s="17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5" customHeight="1">
      <c r="A86" s="1"/>
      <c r="B86" s="339"/>
      <c r="C86" s="1"/>
      <c r="D86" s="1"/>
      <c r="E86" s="1"/>
      <c r="F86" s="1"/>
      <c r="G86" s="176"/>
      <c r="H86" s="176"/>
      <c r="I86" s="17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5" customHeight="1">
      <c r="A87" s="1"/>
      <c r="B87" s="339"/>
      <c r="C87" s="1"/>
      <c r="D87" s="1"/>
      <c r="E87" s="1"/>
      <c r="F87" s="1"/>
      <c r="G87" s="176"/>
      <c r="H87" s="176"/>
      <c r="I87" s="17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5" customHeight="1">
      <c r="A88" s="1"/>
      <c r="B88" s="339"/>
      <c r="C88" s="1"/>
      <c r="D88" s="1"/>
      <c r="E88" s="1"/>
      <c r="F88" s="1"/>
      <c r="G88" s="176"/>
      <c r="H88" s="176"/>
      <c r="I88" s="17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5" customHeight="1">
      <c r="A89" s="1"/>
      <c r="B89" s="339"/>
      <c r="C89" s="1"/>
      <c r="D89" s="1"/>
      <c r="E89" s="1"/>
      <c r="F89" s="1"/>
      <c r="G89" s="176"/>
      <c r="H89" s="176"/>
      <c r="I89" s="17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5" customHeight="1">
      <c r="A90" s="1"/>
      <c r="B90" s="339"/>
      <c r="C90" s="1"/>
      <c r="D90" s="1"/>
      <c r="E90" s="1"/>
      <c r="F90" s="1"/>
      <c r="G90" s="176"/>
      <c r="H90" s="176"/>
      <c r="I90" s="17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5" customHeight="1">
      <c r="A91" s="1"/>
      <c r="B91" s="339"/>
      <c r="C91" s="1"/>
      <c r="D91" s="1"/>
      <c r="E91" s="1"/>
      <c r="F91" s="1"/>
      <c r="G91" s="176"/>
      <c r="H91" s="176"/>
      <c r="I91" s="17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5" customHeight="1">
      <c r="A92" s="1"/>
      <c r="B92" s="339"/>
      <c r="C92" s="1"/>
      <c r="D92" s="1"/>
      <c r="E92" s="1"/>
      <c r="F92" s="1"/>
      <c r="G92" s="176"/>
      <c r="H92" s="176"/>
      <c r="I92" s="17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5" customHeight="1">
      <c r="A93" s="1"/>
      <c r="B93" s="339"/>
      <c r="C93" s="1"/>
      <c r="D93" s="1"/>
      <c r="E93" s="1"/>
      <c r="F93" s="1"/>
      <c r="G93" s="176"/>
      <c r="H93" s="176"/>
      <c r="I93" s="17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5" customHeight="1">
      <c r="A94" s="1"/>
      <c r="B94" s="339"/>
      <c r="C94" s="1"/>
      <c r="D94" s="1"/>
      <c r="E94" s="1"/>
      <c r="F94" s="1"/>
      <c r="G94" s="176"/>
      <c r="H94" s="176"/>
      <c r="I94" s="17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5" customHeight="1">
      <c r="A95" s="1"/>
      <c r="B95" s="339"/>
      <c r="C95" s="1"/>
      <c r="D95" s="1"/>
      <c r="E95" s="1"/>
      <c r="F95" s="1"/>
      <c r="G95" s="176"/>
      <c r="H95" s="176"/>
      <c r="I95" s="17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5" customHeight="1">
      <c r="A96" s="1"/>
      <c r="B96" s="339"/>
      <c r="C96" s="1"/>
      <c r="D96" s="1"/>
      <c r="E96" s="1"/>
      <c r="F96" s="1"/>
      <c r="G96" s="176"/>
      <c r="H96" s="176"/>
      <c r="I96" s="17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5" customHeight="1">
      <c r="A97" s="1"/>
      <c r="B97" s="339"/>
      <c r="C97" s="1"/>
      <c r="D97" s="1"/>
      <c r="E97" s="1"/>
      <c r="F97" s="1"/>
      <c r="G97" s="176"/>
      <c r="H97" s="176"/>
      <c r="I97" s="17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5" customHeight="1">
      <c r="A98" s="1"/>
      <c r="B98" s="339"/>
      <c r="C98" s="1"/>
      <c r="D98" s="1"/>
      <c r="E98" s="1"/>
      <c r="F98" s="1"/>
      <c r="G98" s="176"/>
      <c r="H98" s="176"/>
      <c r="I98" s="17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5" customHeight="1">
      <c r="A99" s="1"/>
      <c r="B99" s="339"/>
      <c r="C99" s="1"/>
      <c r="D99" s="1"/>
      <c r="E99" s="1"/>
      <c r="F99" s="1"/>
      <c r="G99" s="176"/>
      <c r="H99" s="176"/>
      <c r="I99" s="17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5" customHeight="1">
      <c r="A100" s="1"/>
      <c r="B100" s="339"/>
      <c r="C100" s="1"/>
      <c r="D100" s="1"/>
      <c r="E100" s="1"/>
      <c r="F100" s="1"/>
      <c r="G100" s="176"/>
      <c r="H100" s="176"/>
      <c r="I100" s="17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5" customHeight="1">
      <c r="A101" s="1"/>
      <c r="B101" s="339"/>
      <c r="C101" s="1"/>
      <c r="D101" s="1"/>
      <c r="E101" s="1"/>
      <c r="F101" s="1"/>
      <c r="G101" s="176"/>
      <c r="H101" s="176"/>
      <c r="I101" s="17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5" customHeight="1">
      <c r="A102" s="1"/>
      <c r="B102" s="339"/>
      <c r="C102" s="1"/>
      <c r="D102" s="1"/>
      <c r="E102" s="1"/>
      <c r="F102" s="1"/>
      <c r="G102" s="176"/>
      <c r="H102" s="176"/>
      <c r="I102" s="17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5" customHeight="1">
      <c r="A103" s="1"/>
      <c r="B103" s="339"/>
      <c r="C103" s="1"/>
      <c r="D103" s="1"/>
      <c r="E103" s="1"/>
      <c r="F103" s="1"/>
      <c r="G103" s="176"/>
      <c r="H103" s="176"/>
      <c r="I103" s="17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5" customHeight="1">
      <c r="A104" s="1"/>
      <c r="B104" s="339"/>
      <c r="C104" s="1"/>
      <c r="D104" s="1"/>
      <c r="E104" s="1"/>
      <c r="F104" s="1"/>
      <c r="G104" s="176"/>
      <c r="H104" s="176"/>
      <c r="I104" s="17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5" customHeight="1">
      <c r="A105" s="1"/>
      <c r="B105" s="339"/>
      <c r="C105" s="1"/>
      <c r="D105" s="1"/>
      <c r="E105" s="1"/>
      <c r="F105" s="1"/>
      <c r="G105" s="176"/>
      <c r="H105" s="176"/>
      <c r="I105" s="17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5" customHeight="1">
      <c r="A106" s="1"/>
      <c r="B106" s="339"/>
      <c r="C106" s="1"/>
      <c r="D106" s="1"/>
      <c r="E106" s="1"/>
      <c r="F106" s="1"/>
      <c r="G106" s="176"/>
      <c r="H106" s="176"/>
      <c r="I106" s="17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5" customHeight="1">
      <c r="A107" s="1"/>
      <c r="B107" s="339"/>
      <c r="C107" s="1"/>
      <c r="D107" s="1"/>
      <c r="E107" s="1"/>
      <c r="F107" s="1"/>
      <c r="G107" s="176"/>
      <c r="H107" s="176"/>
      <c r="I107" s="17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5" customHeight="1">
      <c r="A108" s="1"/>
      <c r="B108" s="339"/>
      <c r="C108" s="1"/>
      <c r="D108" s="1"/>
      <c r="E108" s="1"/>
      <c r="F108" s="1"/>
      <c r="G108" s="176"/>
      <c r="H108" s="176"/>
      <c r="I108" s="17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5" customHeight="1">
      <c r="A109" s="1"/>
      <c r="B109" s="339"/>
      <c r="C109" s="1"/>
      <c r="D109" s="1"/>
      <c r="E109" s="1"/>
      <c r="F109" s="1"/>
      <c r="G109" s="176"/>
      <c r="H109" s="176"/>
      <c r="I109" s="17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5" customHeight="1">
      <c r="A110" s="1"/>
      <c r="B110" s="339"/>
      <c r="C110" s="1"/>
      <c r="D110" s="1"/>
      <c r="E110" s="1"/>
      <c r="F110" s="1"/>
      <c r="G110" s="176"/>
      <c r="H110" s="176"/>
      <c r="I110" s="17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5" customHeight="1">
      <c r="A111" s="1"/>
      <c r="B111" s="339"/>
      <c r="C111" s="1"/>
      <c r="D111" s="1"/>
      <c r="E111" s="1"/>
      <c r="F111" s="1"/>
      <c r="G111" s="176"/>
      <c r="H111" s="176"/>
      <c r="I111" s="17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5" customHeight="1">
      <c r="A112" s="1"/>
      <c r="B112" s="339"/>
      <c r="C112" s="1"/>
      <c r="D112" s="1"/>
      <c r="E112" s="1"/>
      <c r="F112" s="1"/>
      <c r="G112" s="176"/>
      <c r="H112" s="176"/>
      <c r="I112" s="17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5" customHeight="1">
      <c r="A113" s="1"/>
      <c r="B113" s="339"/>
      <c r="C113" s="1"/>
      <c r="D113" s="1"/>
      <c r="E113" s="1"/>
      <c r="F113" s="1"/>
      <c r="G113" s="176"/>
      <c r="H113" s="176"/>
      <c r="I113" s="17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5" customHeight="1">
      <c r="A114" s="1"/>
      <c r="B114" s="339"/>
      <c r="C114" s="1"/>
      <c r="D114" s="1"/>
      <c r="E114" s="1"/>
      <c r="F114" s="1"/>
      <c r="G114" s="176"/>
      <c r="H114" s="176"/>
      <c r="I114" s="17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5" customHeight="1">
      <c r="A115" s="1"/>
      <c r="B115" s="339"/>
      <c r="C115" s="1"/>
      <c r="D115" s="1"/>
      <c r="E115" s="1"/>
      <c r="F115" s="1"/>
      <c r="G115" s="176"/>
      <c r="H115" s="176"/>
      <c r="I115" s="17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5" customHeight="1">
      <c r="A116" s="1"/>
      <c r="B116" s="339"/>
      <c r="C116" s="1"/>
      <c r="D116" s="1"/>
      <c r="E116" s="1"/>
      <c r="F116" s="1"/>
      <c r="G116" s="176"/>
      <c r="H116" s="176"/>
      <c r="I116" s="17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5" customHeight="1">
      <c r="A117" s="1"/>
      <c r="B117" s="339"/>
      <c r="C117" s="1"/>
      <c r="D117" s="1"/>
      <c r="E117" s="1"/>
      <c r="F117" s="1"/>
      <c r="G117" s="176"/>
      <c r="H117" s="176"/>
      <c r="I117" s="17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5" customHeight="1">
      <c r="A118" s="1"/>
      <c r="B118" s="339"/>
      <c r="C118" s="1"/>
      <c r="D118" s="1"/>
      <c r="E118" s="1"/>
      <c r="F118" s="1"/>
      <c r="G118" s="176"/>
      <c r="H118" s="176"/>
      <c r="I118" s="17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5" customHeight="1">
      <c r="A119" s="1"/>
      <c r="B119" s="339"/>
      <c r="C119" s="1"/>
      <c r="D119" s="1"/>
      <c r="E119" s="1"/>
      <c r="F119" s="1"/>
      <c r="G119" s="176"/>
      <c r="H119" s="176"/>
      <c r="I119" s="17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5" customHeight="1">
      <c r="A120" s="1"/>
      <c r="B120" s="339"/>
      <c r="C120" s="1"/>
      <c r="D120" s="1"/>
      <c r="E120" s="1"/>
      <c r="F120" s="1"/>
      <c r="G120" s="176"/>
      <c r="H120" s="176"/>
      <c r="I120" s="17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5" customHeight="1">
      <c r="A121" s="1"/>
      <c r="B121" s="339"/>
      <c r="C121" s="1"/>
      <c r="D121" s="1"/>
      <c r="E121" s="1"/>
      <c r="F121" s="1"/>
      <c r="G121" s="176"/>
      <c r="H121" s="176"/>
      <c r="I121" s="17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5" customHeight="1">
      <c r="A122" s="1"/>
      <c r="B122" s="339"/>
      <c r="C122" s="1"/>
      <c r="D122" s="1"/>
      <c r="E122" s="1"/>
      <c r="F122" s="1"/>
      <c r="G122" s="176"/>
      <c r="H122" s="176"/>
      <c r="I122" s="17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5" customHeight="1">
      <c r="A123" s="1"/>
      <c r="B123" s="339"/>
      <c r="C123" s="1"/>
      <c r="D123" s="1"/>
      <c r="E123" s="1"/>
      <c r="F123" s="1"/>
      <c r="G123" s="176"/>
      <c r="H123" s="176"/>
      <c r="I123" s="17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5" customHeight="1">
      <c r="A124" s="1"/>
      <c r="B124" s="339"/>
      <c r="C124" s="1"/>
      <c r="D124" s="1"/>
      <c r="E124" s="1"/>
      <c r="F124" s="1"/>
      <c r="G124" s="176"/>
      <c r="H124" s="176"/>
      <c r="I124" s="17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5" customHeight="1">
      <c r="A125" s="1"/>
      <c r="B125" s="339"/>
      <c r="C125" s="1"/>
      <c r="D125" s="1"/>
      <c r="E125" s="1"/>
      <c r="F125" s="1"/>
      <c r="G125" s="176"/>
      <c r="H125" s="176"/>
      <c r="I125" s="17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5" customHeight="1">
      <c r="A126" s="1"/>
      <c r="B126" s="339"/>
      <c r="C126" s="1"/>
      <c r="D126" s="1"/>
      <c r="E126" s="1"/>
      <c r="F126" s="1"/>
      <c r="G126" s="176"/>
      <c r="H126" s="176"/>
      <c r="I126" s="17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5" customHeight="1">
      <c r="A127" s="1"/>
      <c r="B127" s="339"/>
      <c r="C127" s="1"/>
      <c r="D127" s="1"/>
      <c r="E127" s="1"/>
      <c r="F127" s="1"/>
      <c r="G127" s="176"/>
      <c r="H127" s="176"/>
      <c r="I127" s="17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5" customHeight="1">
      <c r="A128" s="1"/>
      <c r="B128" s="339"/>
      <c r="C128" s="1"/>
      <c r="D128" s="1"/>
      <c r="E128" s="1"/>
      <c r="F128" s="1"/>
      <c r="G128" s="176"/>
      <c r="H128" s="176"/>
      <c r="I128" s="17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5" customHeight="1">
      <c r="A129" s="1"/>
      <c r="B129" s="339"/>
      <c r="C129" s="1"/>
      <c r="D129" s="1"/>
      <c r="E129" s="1"/>
      <c r="F129" s="1"/>
      <c r="G129" s="176"/>
      <c r="H129" s="176"/>
      <c r="I129" s="17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5" customHeight="1">
      <c r="A130" s="1"/>
      <c r="B130" s="339"/>
      <c r="C130" s="1"/>
      <c r="D130" s="1"/>
      <c r="E130" s="1"/>
      <c r="F130" s="1"/>
      <c r="G130" s="176"/>
      <c r="H130" s="176"/>
      <c r="I130" s="17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5" customHeight="1">
      <c r="A131" s="1"/>
      <c r="B131" s="339"/>
      <c r="C131" s="1"/>
      <c r="D131" s="1"/>
      <c r="E131" s="1"/>
      <c r="F131" s="1"/>
      <c r="G131" s="176"/>
      <c r="H131" s="176"/>
      <c r="I131" s="17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5" customHeight="1">
      <c r="A132" s="1"/>
      <c r="B132" s="339"/>
      <c r="C132" s="1"/>
      <c r="D132" s="1"/>
      <c r="E132" s="1"/>
      <c r="F132" s="1"/>
      <c r="G132" s="176"/>
      <c r="H132" s="176"/>
      <c r="I132" s="17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5" customHeight="1">
      <c r="A133" s="1"/>
      <c r="B133" s="339"/>
      <c r="C133" s="1"/>
      <c r="D133" s="1"/>
      <c r="E133" s="1"/>
      <c r="F133" s="1"/>
      <c r="G133" s="176"/>
      <c r="H133" s="176"/>
      <c r="I133" s="17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5" customHeight="1">
      <c r="A134" s="1"/>
      <c r="B134" s="339"/>
      <c r="C134" s="1"/>
      <c r="D134" s="1"/>
      <c r="E134" s="1"/>
      <c r="F134" s="1"/>
      <c r="G134" s="176"/>
      <c r="H134" s="176"/>
      <c r="I134" s="17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5" customHeight="1">
      <c r="A135" s="1"/>
      <c r="B135" s="339"/>
      <c r="C135" s="1"/>
      <c r="D135" s="1"/>
      <c r="E135" s="1"/>
      <c r="F135" s="1"/>
      <c r="G135" s="176"/>
      <c r="H135" s="176"/>
      <c r="I135" s="17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5" customHeight="1">
      <c r="A136" s="1"/>
      <c r="B136" s="339"/>
      <c r="C136" s="1"/>
      <c r="D136" s="1"/>
      <c r="E136" s="1"/>
      <c r="F136" s="1"/>
      <c r="G136" s="176"/>
      <c r="H136" s="176"/>
      <c r="I136" s="17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5" customHeight="1">
      <c r="A137" s="1"/>
      <c r="B137" s="339"/>
      <c r="C137" s="1"/>
      <c r="D137" s="1"/>
      <c r="E137" s="1"/>
      <c r="F137" s="1"/>
      <c r="G137" s="176"/>
      <c r="H137" s="176"/>
      <c r="I137" s="17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5" customHeight="1">
      <c r="A138" s="1"/>
      <c r="B138" s="339"/>
      <c r="C138" s="1"/>
      <c r="D138" s="1"/>
      <c r="E138" s="1"/>
      <c r="F138" s="1"/>
      <c r="G138" s="176"/>
      <c r="H138" s="176"/>
      <c r="I138" s="17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5" customHeight="1">
      <c r="A139" s="1"/>
      <c r="B139" s="339"/>
      <c r="C139" s="1"/>
      <c r="D139" s="1"/>
      <c r="E139" s="1"/>
      <c r="F139" s="1"/>
      <c r="G139" s="176"/>
      <c r="H139" s="176"/>
      <c r="I139" s="17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5" customHeight="1">
      <c r="A140" s="1"/>
      <c r="B140" s="339"/>
      <c r="C140" s="1"/>
      <c r="D140" s="1"/>
      <c r="E140" s="1"/>
      <c r="F140" s="1"/>
      <c r="G140" s="176"/>
      <c r="H140" s="176"/>
      <c r="I140" s="17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5" customHeight="1">
      <c r="A141" s="1"/>
      <c r="B141" s="339"/>
      <c r="C141" s="1"/>
      <c r="D141" s="1"/>
      <c r="E141" s="1"/>
      <c r="F141" s="1"/>
      <c r="G141" s="176"/>
      <c r="H141" s="176"/>
      <c r="I141" s="17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5" customHeight="1">
      <c r="A142" s="1"/>
      <c r="B142" s="339"/>
      <c r="C142" s="1"/>
      <c r="D142" s="1"/>
      <c r="E142" s="1"/>
      <c r="F142" s="1"/>
      <c r="G142" s="176"/>
      <c r="H142" s="176"/>
      <c r="I142" s="17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5" customHeight="1">
      <c r="A143" s="1"/>
      <c r="B143" s="339"/>
      <c r="C143" s="1"/>
      <c r="D143" s="1"/>
      <c r="E143" s="1"/>
      <c r="F143" s="1"/>
      <c r="G143" s="176"/>
      <c r="H143" s="176"/>
      <c r="I143" s="17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5" customHeight="1">
      <c r="A144" s="1"/>
      <c r="B144" s="339"/>
      <c r="C144" s="1"/>
      <c r="D144" s="1"/>
      <c r="E144" s="1"/>
      <c r="F144" s="1"/>
      <c r="G144" s="176"/>
      <c r="H144" s="176"/>
      <c r="I144" s="17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5" customHeight="1">
      <c r="A145" s="1"/>
      <c r="B145" s="339"/>
      <c r="C145" s="1"/>
      <c r="D145" s="1"/>
      <c r="E145" s="1"/>
      <c r="F145" s="1"/>
      <c r="G145" s="176"/>
      <c r="H145" s="176"/>
      <c r="I145" s="17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5" customHeight="1">
      <c r="A146" s="1"/>
      <c r="B146" s="339"/>
      <c r="C146" s="1"/>
      <c r="D146" s="1"/>
      <c r="E146" s="1"/>
      <c r="F146" s="1"/>
      <c r="G146" s="176"/>
      <c r="H146" s="176"/>
      <c r="I146" s="17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5" customHeight="1">
      <c r="A147" s="1"/>
      <c r="B147" s="339"/>
      <c r="C147" s="1"/>
      <c r="D147" s="1"/>
      <c r="E147" s="1"/>
      <c r="F147" s="1"/>
      <c r="G147" s="176"/>
      <c r="H147" s="176"/>
      <c r="I147" s="17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5" customHeight="1">
      <c r="A148" s="1"/>
      <c r="B148" s="339"/>
      <c r="C148" s="1"/>
      <c r="D148" s="1"/>
      <c r="E148" s="1"/>
      <c r="F148" s="1"/>
      <c r="G148" s="176"/>
      <c r="H148" s="176"/>
      <c r="I148" s="17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5" customHeight="1">
      <c r="A149" s="1"/>
      <c r="B149" s="339"/>
      <c r="C149" s="1"/>
      <c r="D149" s="1"/>
      <c r="E149" s="1"/>
      <c r="F149" s="1"/>
      <c r="G149" s="176"/>
      <c r="H149" s="176"/>
      <c r="I149" s="17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5" customHeight="1">
      <c r="A150" s="1"/>
      <c r="B150" s="339"/>
      <c r="C150" s="1"/>
      <c r="D150" s="1"/>
      <c r="E150" s="1"/>
      <c r="F150" s="1"/>
      <c r="G150" s="176"/>
      <c r="H150" s="176"/>
      <c r="I150" s="17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5" customHeight="1">
      <c r="A151" s="1"/>
      <c r="B151" s="339"/>
      <c r="C151" s="1"/>
      <c r="D151" s="1"/>
      <c r="E151" s="1"/>
      <c r="F151" s="1"/>
      <c r="G151" s="176"/>
      <c r="H151" s="176"/>
      <c r="I151" s="17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5" customHeight="1">
      <c r="A152" s="1"/>
      <c r="B152" s="339"/>
      <c r="C152" s="1"/>
      <c r="D152" s="1"/>
      <c r="E152" s="1"/>
      <c r="F152" s="1"/>
      <c r="G152" s="176"/>
      <c r="H152" s="176"/>
      <c r="I152" s="17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5" customHeight="1">
      <c r="A153" s="1"/>
      <c r="B153" s="339"/>
      <c r="C153" s="1"/>
      <c r="D153" s="1"/>
      <c r="E153" s="1"/>
      <c r="F153" s="1"/>
      <c r="G153" s="176"/>
      <c r="H153" s="176"/>
      <c r="I153" s="17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5" customHeight="1">
      <c r="A154" s="1"/>
      <c r="B154" s="339"/>
      <c r="C154" s="1"/>
      <c r="D154" s="1"/>
      <c r="E154" s="1"/>
      <c r="F154" s="1"/>
      <c r="G154" s="176"/>
      <c r="H154" s="176"/>
      <c r="I154" s="17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5" customHeight="1">
      <c r="A155" s="1"/>
      <c r="B155" s="339"/>
      <c r="C155" s="1"/>
      <c r="D155" s="1"/>
      <c r="E155" s="1"/>
      <c r="F155" s="1"/>
      <c r="G155" s="176"/>
      <c r="H155" s="176"/>
      <c r="I155" s="17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5" customHeight="1">
      <c r="A156" s="1"/>
      <c r="B156" s="339"/>
      <c r="C156" s="1"/>
      <c r="D156" s="1"/>
      <c r="E156" s="1"/>
      <c r="F156" s="1"/>
      <c r="G156" s="176"/>
      <c r="H156" s="176"/>
      <c r="I156" s="17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5" customHeight="1">
      <c r="A157" s="1"/>
      <c r="B157" s="339"/>
      <c r="C157" s="1"/>
      <c r="D157" s="1"/>
      <c r="E157" s="1"/>
      <c r="F157" s="1"/>
      <c r="G157" s="176"/>
      <c r="H157" s="176"/>
      <c r="I157" s="17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5" customHeight="1">
      <c r="A158" s="1"/>
      <c r="B158" s="339"/>
      <c r="C158" s="1"/>
      <c r="D158" s="1"/>
      <c r="E158" s="1"/>
      <c r="F158" s="1"/>
      <c r="G158" s="176"/>
      <c r="H158" s="176"/>
      <c r="I158" s="17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5" customHeight="1">
      <c r="A159" s="1"/>
      <c r="B159" s="339"/>
      <c r="C159" s="1"/>
      <c r="D159" s="1"/>
      <c r="E159" s="1"/>
      <c r="F159" s="1"/>
      <c r="G159" s="176"/>
      <c r="H159" s="176"/>
      <c r="I159" s="17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5" customHeight="1">
      <c r="A160" s="1"/>
      <c r="B160" s="339"/>
      <c r="C160" s="1"/>
      <c r="D160" s="1"/>
      <c r="E160" s="1"/>
      <c r="F160" s="1"/>
      <c r="G160" s="176"/>
      <c r="H160" s="176"/>
      <c r="I160" s="17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5" customHeight="1">
      <c r="A161" s="1"/>
      <c r="B161" s="339"/>
      <c r="C161" s="1"/>
      <c r="D161" s="1"/>
      <c r="E161" s="1"/>
      <c r="F161" s="1"/>
      <c r="G161" s="176"/>
      <c r="H161" s="176"/>
      <c r="I161" s="17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5" customHeight="1">
      <c r="A162" s="1"/>
      <c r="B162" s="339"/>
      <c r="C162" s="1"/>
      <c r="D162" s="1"/>
      <c r="E162" s="1"/>
      <c r="F162" s="1"/>
      <c r="G162" s="176"/>
      <c r="H162" s="176"/>
      <c r="I162" s="17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5" customHeight="1">
      <c r="A163" s="1"/>
      <c r="B163" s="339"/>
      <c r="C163" s="1"/>
      <c r="D163" s="1"/>
      <c r="E163" s="1"/>
      <c r="F163" s="1"/>
      <c r="G163" s="176"/>
      <c r="H163" s="176"/>
      <c r="I163" s="17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5" customHeight="1">
      <c r="A164" s="1"/>
      <c r="B164" s="339"/>
      <c r="C164" s="1"/>
      <c r="D164" s="1"/>
      <c r="E164" s="1"/>
      <c r="F164" s="1"/>
      <c r="G164" s="176"/>
      <c r="H164" s="176"/>
      <c r="I164" s="17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5" customHeight="1">
      <c r="A165" s="1"/>
      <c r="B165" s="339"/>
      <c r="C165" s="1"/>
      <c r="D165" s="1"/>
      <c r="E165" s="1"/>
      <c r="F165" s="1"/>
      <c r="G165" s="176"/>
      <c r="H165" s="176"/>
      <c r="I165" s="17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5" customHeight="1">
      <c r="A166" s="1"/>
      <c r="B166" s="339"/>
      <c r="C166" s="1"/>
      <c r="D166" s="1"/>
      <c r="E166" s="1"/>
      <c r="F166" s="1"/>
      <c r="G166" s="176"/>
      <c r="H166" s="176"/>
      <c r="I166" s="17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5" customHeight="1">
      <c r="A167" s="1"/>
      <c r="B167" s="339"/>
      <c r="C167" s="1"/>
      <c r="D167" s="1"/>
      <c r="E167" s="1"/>
      <c r="F167" s="1"/>
      <c r="G167" s="176"/>
      <c r="H167" s="176"/>
      <c r="I167" s="17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5" customHeight="1">
      <c r="A168" s="1"/>
      <c r="B168" s="339"/>
      <c r="C168" s="1"/>
      <c r="D168" s="1"/>
      <c r="E168" s="1"/>
      <c r="F168" s="1"/>
      <c r="G168" s="176"/>
      <c r="H168" s="176"/>
      <c r="I168" s="17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5" customHeight="1">
      <c r="A169" s="1"/>
      <c r="B169" s="339"/>
      <c r="C169" s="1"/>
      <c r="D169" s="1"/>
      <c r="E169" s="1"/>
      <c r="F169" s="1"/>
      <c r="G169" s="176"/>
      <c r="H169" s="176"/>
      <c r="I169" s="17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5" customHeight="1">
      <c r="A170" s="1"/>
      <c r="B170" s="339"/>
      <c r="C170" s="1"/>
      <c r="D170" s="1"/>
      <c r="E170" s="1"/>
      <c r="F170" s="1"/>
      <c r="G170" s="176"/>
      <c r="H170" s="176"/>
      <c r="I170" s="17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5" customHeight="1">
      <c r="A171" s="1"/>
      <c r="B171" s="339"/>
      <c r="C171" s="1"/>
      <c r="D171" s="1"/>
      <c r="E171" s="1"/>
      <c r="F171" s="1"/>
      <c r="G171" s="176"/>
      <c r="H171" s="176"/>
      <c r="I171" s="17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5" customHeight="1">
      <c r="A172" s="1"/>
      <c r="B172" s="339"/>
      <c r="C172" s="1"/>
      <c r="D172" s="1"/>
      <c r="E172" s="1"/>
      <c r="F172" s="1"/>
      <c r="G172" s="176"/>
      <c r="H172" s="176"/>
      <c r="I172" s="17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5" customHeight="1">
      <c r="A173" s="1"/>
      <c r="B173" s="339"/>
      <c r="C173" s="1"/>
      <c r="D173" s="1"/>
      <c r="E173" s="1"/>
      <c r="F173" s="1"/>
      <c r="G173" s="176"/>
      <c r="H173" s="176"/>
      <c r="I173" s="17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5" customHeight="1">
      <c r="A174" s="1"/>
      <c r="B174" s="339"/>
      <c r="C174" s="1"/>
      <c r="D174" s="1"/>
      <c r="E174" s="1"/>
      <c r="F174" s="1"/>
      <c r="G174" s="176"/>
      <c r="H174" s="176"/>
      <c r="I174" s="17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5" customHeight="1">
      <c r="A175" s="1"/>
      <c r="B175" s="339"/>
      <c r="C175" s="1"/>
      <c r="D175" s="1"/>
      <c r="E175" s="1"/>
      <c r="F175" s="1"/>
      <c r="G175" s="176"/>
      <c r="H175" s="176"/>
      <c r="I175" s="17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5" customHeight="1">
      <c r="A176" s="1"/>
      <c r="B176" s="339"/>
      <c r="C176" s="1"/>
      <c r="D176" s="1"/>
      <c r="E176" s="1"/>
      <c r="F176" s="1"/>
      <c r="G176" s="176"/>
      <c r="H176" s="176"/>
      <c r="I176" s="17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5" customHeight="1">
      <c r="A177" s="1"/>
      <c r="B177" s="339"/>
      <c r="C177" s="1"/>
      <c r="D177" s="1"/>
      <c r="E177" s="1"/>
      <c r="F177" s="1"/>
      <c r="G177" s="176"/>
      <c r="H177" s="176"/>
      <c r="I177" s="17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5" customHeight="1">
      <c r="A178" s="1"/>
      <c r="B178" s="339"/>
      <c r="C178" s="1"/>
      <c r="D178" s="1"/>
      <c r="E178" s="1"/>
      <c r="F178" s="1"/>
      <c r="G178" s="176"/>
      <c r="H178" s="176"/>
      <c r="I178" s="17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5" customHeight="1">
      <c r="A179" s="1"/>
      <c r="B179" s="339"/>
      <c r="C179" s="1"/>
      <c r="D179" s="1"/>
      <c r="E179" s="1"/>
      <c r="F179" s="1"/>
      <c r="G179" s="176"/>
      <c r="H179" s="176"/>
      <c r="I179" s="17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5" customHeight="1">
      <c r="A180" s="1"/>
      <c r="B180" s="339"/>
      <c r="C180" s="1"/>
      <c r="D180" s="1"/>
      <c r="E180" s="1"/>
      <c r="F180" s="1"/>
      <c r="G180" s="176"/>
      <c r="H180" s="176"/>
      <c r="I180" s="17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5" customHeight="1">
      <c r="A181" s="1"/>
      <c r="B181" s="339"/>
      <c r="C181" s="1"/>
      <c r="D181" s="1"/>
      <c r="E181" s="1"/>
      <c r="F181" s="1"/>
      <c r="G181" s="176"/>
      <c r="H181" s="176"/>
      <c r="I181" s="17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5" customHeight="1">
      <c r="A182" s="1"/>
      <c r="B182" s="339"/>
      <c r="C182" s="1"/>
      <c r="D182" s="1"/>
      <c r="E182" s="1"/>
      <c r="F182" s="1"/>
      <c r="G182" s="176"/>
      <c r="H182" s="176"/>
      <c r="I182" s="17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5" customHeight="1">
      <c r="A183" s="1"/>
      <c r="B183" s="339"/>
      <c r="C183" s="1"/>
      <c r="D183" s="1"/>
      <c r="E183" s="1"/>
      <c r="F183" s="1"/>
      <c r="G183" s="176"/>
      <c r="H183" s="176"/>
      <c r="I183" s="17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5" customHeight="1">
      <c r="A184" s="1"/>
      <c r="B184" s="339"/>
      <c r="C184" s="1"/>
      <c r="D184" s="1"/>
      <c r="E184" s="1"/>
      <c r="F184" s="1"/>
      <c r="G184" s="176"/>
      <c r="H184" s="176"/>
      <c r="I184" s="17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5" customHeight="1">
      <c r="A185" s="1"/>
      <c r="B185" s="339"/>
      <c r="C185" s="1"/>
      <c r="D185" s="1"/>
      <c r="E185" s="1"/>
      <c r="F185" s="1"/>
      <c r="G185" s="176"/>
      <c r="H185" s="176"/>
      <c r="I185" s="17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5" customHeight="1">
      <c r="A186" s="1"/>
      <c r="B186" s="339"/>
      <c r="C186" s="1"/>
      <c r="D186" s="1"/>
      <c r="E186" s="1"/>
      <c r="F186" s="1"/>
      <c r="G186" s="176"/>
      <c r="H186" s="176"/>
      <c r="I186" s="17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5" customHeight="1">
      <c r="A187" s="1"/>
      <c r="B187" s="339"/>
      <c r="C187" s="1"/>
      <c r="D187" s="1"/>
      <c r="E187" s="1"/>
      <c r="F187" s="1"/>
      <c r="G187" s="176"/>
      <c r="H187" s="176"/>
      <c r="I187" s="17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5" customHeight="1">
      <c r="A188" s="1"/>
      <c r="B188" s="339"/>
      <c r="C188" s="1"/>
      <c r="D188" s="1"/>
      <c r="E188" s="1"/>
      <c r="F188" s="1"/>
      <c r="G188" s="176"/>
      <c r="H188" s="176"/>
      <c r="I188" s="17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5" customHeight="1">
      <c r="A189" s="1"/>
      <c r="B189" s="339"/>
      <c r="C189" s="1"/>
      <c r="D189" s="1"/>
      <c r="E189" s="1"/>
      <c r="F189" s="1"/>
      <c r="G189" s="176"/>
      <c r="H189" s="176"/>
      <c r="I189" s="17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5" customHeight="1">
      <c r="A190" s="1"/>
      <c r="B190" s="339"/>
      <c r="C190" s="1"/>
      <c r="D190" s="1"/>
      <c r="E190" s="1"/>
      <c r="F190" s="1"/>
      <c r="G190" s="176"/>
      <c r="H190" s="176"/>
      <c r="I190" s="17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5" customHeight="1">
      <c r="A191" s="1"/>
      <c r="B191" s="339"/>
      <c r="C191" s="1"/>
      <c r="D191" s="1"/>
      <c r="E191" s="1"/>
      <c r="F191" s="1"/>
      <c r="G191" s="176"/>
      <c r="H191" s="176"/>
      <c r="I191" s="17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5" customHeight="1">
      <c r="A192" s="1"/>
      <c r="B192" s="339"/>
      <c r="C192" s="1"/>
      <c r="D192" s="1"/>
      <c r="E192" s="1"/>
      <c r="F192" s="1"/>
      <c r="G192" s="176"/>
      <c r="H192" s="176"/>
      <c r="I192" s="17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5" customHeight="1">
      <c r="A193" s="1"/>
      <c r="B193" s="339"/>
      <c r="C193" s="1"/>
      <c r="D193" s="1"/>
      <c r="E193" s="1"/>
      <c r="F193" s="1"/>
      <c r="G193" s="176"/>
      <c r="H193" s="176"/>
      <c r="I193" s="17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5" customHeight="1">
      <c r="A194" s="1"/>
      <c r="B194" s="339"/>
      <c r="C194" s="1"/>
      <c r="D194" s="1"/>
      <c r="E194" s="1"/>
      <c r="F194" s="1"/>
      <c r="G194" s="176"/>
      <c r="H194" s="176"/>
      <c r="I194" s="17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5" customHeight="1">
      <c r="A195" s="1"/>
      <c r="B195" s="339"/>
      <c r="C195" s="1"/>
      <c r="D195" s="1"/>
      <c r="E195" s="1"/>
      <c r="F195" s="1"/>
      <c r="G195" s="176"/>
      <c r="H195" s="176"/>
      <c r="I195" s="17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5" customHeight="1">
      <c r="A196" s="1"/>
      <c r="B196" s="339"/>
      <c r="C196" s="1"/>
      <c r="D196" s="1"/>
      <c r="E196" s="1"/>
      <c r="F196" s="1"/>
      <c r="G196" s="176"/>
      <c r="H196" s="176"/>
      <c r="I196" s="17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5" customHeight="1">
      <c r="A197" s="1"/>
      <c r="B197" s="339"/>
      <c r="C197" s="1"/>
      <c r="D197" s="1"/>
      <c r="E197" s="1"/>
      <c r="F197" s="1"/>
      <c r="G197" s="176"/>
      <c r="H197" s="176"/>
      <c r="I197" s="17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5" customHeight="1">
      <c r="A198" s="1"/>
      <c r="B198" s="339"/>
      <c r="C198" s="1"/>
      <c r="D198" s="1"/>
      <c r="E198" s="1"/>
      <c r="F198" s="1"/>
      <c r="G198" s="176"/>
      <c r="H198" s="176"/>
      <c r="I198" s="17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5" customHeight="1">
      <c r="A199" s="1"/>
      <c r="B199" s="339"/>
      <c r="C199" s="1"/>
      <c r="D199" s="1"/>
      <c r="E199" s="1"/>
      <c r="F199" s="1"/>
      <c r="G199" s="176"/>
      <c r="H199" s="176"/>
      <c r="I199" s="17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5" customHeight="1">
      <c r="A200" s="1"/>
      <c r="B200" s="339"/>
      <c r="C200" s="1"/>
      <c r="D200" s="1"/>
      <c r="E200" s="1"/>
      <c r="F200" s="1"/>
      <c r="G200" s="176"/>
      <c r="H200" s="176"/>
      <c r="I200" s="17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5" customHeight="1">
      <c r="A201" s="1"/>
      <c r="B201" s="339"/>
      <c r="C201" s="1"/>
      <c r="D201" s="1"/>
      <c r="E201" s="1"/>
      <c r="F201" s="1"/>
      <c r="G201" s="176"/>
      <c r="H201" s="176"/>
      <c r="I201" s="17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5" customHeight="1">
      <c r="A202" s="1"/>
      <c r="B202" s="339"/>
      <c r="C202" s="1"/>
      <c r="D202" s="1"/>
      <c r="E202" s="1"/>
      <c r="F202" s="1"/>
      <c r="G202" s="176"/>
      <c r="H202" s="176"/>
      <c r="I202" s="17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5" customHeight="1">
      <c r="A203" s="1"/>
      <c r="B203" s="339"/>
      <c r="C203" s="1"/>
      <c r="D203" s="1"/>
      <c r="E203" s="1"/>
      <c r="F203" s="1"/>
      <c r="G203" s="176"/>
      <c r="H203" s="176"/>
      <c r="I203" s="17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5" customHeight="1">
      <c r="A204" s="1"/>
      <c r="B204" s="339"/>
      <c r="C204" s="1"/>
      <c r="D204" s="1"/>
      <c r="E204" s="1"/>
      <c r="F204" s="1"/>
      <c r="G204" s="176"/>
      <c r="H204" s="176"/>
      <c r="I204" s="17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5" customHeight="1">
      <c r="A205" s="1"/>
      <c r="B205" s="339"/>
      <c r="C205" s="1"/>
      <c r="D205" s="1"/>
      <c r="E205" s="1"/>
      <c r="F205" s="1"/>
      <c r="G205" s="176"/>
      <c r="H205" s="176"/>
      <c r="I205" s="17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5" customHeight="1">
      <c r="A206" s="1"/>
      <c r="B206" s="339"/>
      <c r="C206" s="1"/>
      <c r="D206" s="1"/>
      <c r="E206" s="1"/>
      <c r="F206" s="1"/>
      <c r="G206" s="176"/>
      <c r="H206" s="176"/>
      <c r="I206" s="17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5" customHeight="1">
      <c r="A207" s="1"/>
      <c r="B207" s="339"/>
      <c r="C207" s="1"/>
      <c r="D207" s="1"/>
      <c r="E207" s="1"/>
      <c r="F207" s="1"/>
      <c r="G207" s="176"/>
      <c r="H207" s="176"/>
      <c r="I207" s="17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>
      <c r="A208" s="1"/>
      <c r="B208" s="339"/>
      <c r="C208" s="1"/>
      <c r="D208" s="1"/>
      <c r="E208" s="1"/>
      <c r="F208" s="1"/>
      <c r="G208" s="176"/>
      <c r="H208" s="176"/>
      <c r="I208" s="17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5" customHeight="1">
      <c r="A209" s="1"/>
      <c r="B209" s="339"/>
      <c r="C209" s="1"/>
      <c r="D209" s="1"/>
      <c r="E209" s="1"/>
      <c r="F209" s="1"/>
      <c r="G209" s="176"/>
      <c r="H209" s="176"/>
      <c r="I209" s="17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5" customHeight="1">
      <c r="A210" s="1"/>
      <c r="B210" s="339"/>
      <c r="C210" s="1"/>
      <c r="D210" s="1"/>
      <c r="E210" s="1"/>
      <c r="F210" s="1"/>
      <c r="G210" s="176"/>
      <c r="H210" s="176"/>
      <c r="I210" s="17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5" customHeight="1">
      <c r="A211" s="1"/>
      <c r="B211" s="339"/>
      <c r="C211" s="1"/>
      <c r="D211" s="1"/>
      <c r="E211" s="1"/>
      <c r="F211" s="1"/>
      <c r="G211" s="176"/>
      <c r="H211" s="176"/>
      <c r="I211" s="17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5" customHeight="1">
      <c r="A212" s="1"/>
      <c r="B212" s="339"/>
      <c r="C212" s="1"/>
      <c r="D212" s="1"/>
      <c r="E212" s="1"/>
      <c r="F212" s="1"/>
      <c r="G212" s="176"/>
      <c r="H212" s="176"/>
      <c r="I212" s="17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5" customHeight="1">
      <c r="A213" s="1"/>
      <c r="B213" s="339"/>
      <c r="C213" s="1"/>
      <c r="D213" s="1"/>
      <c r="E213" s="1"/>
      <c r="F213" s="1"/>
      <c r="G213" s="176"/>
      <c r="H213" s="176"/>
      <c r="I213" s="17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5" customHeight="1">
      <c r="A214" s="1"/>
      <c r="B214" s="339"/>
      <c r="C214" s="1"/>
      <c r="D214" s="1"/>
      <c r="E214" s="1"/>
      <c r="F214" s="1"/>
      <c r="G214" s="176"/>
      <c r="H214" s="176"/>
      <c r="I214" s="17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5" customHeight="1">
      <c r="A215" s="1"/>
      <c r="B215" s="339"/>
      <c r="C215" s="1"/>
      <c r="D215" s="1"/>
      <c r="E215" s="1"/>
      <c r="F215" s="1"/>
      <c r="G215" s="176"/>
      <c r="H215" s="176"/>
      <c r="I215" s="17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5" customHeight="1">
      <c r="A216" s="1"/>
      <c r="B216" s="339"/>
      <c r="C216" s="1"/>
      <c r="D216" s="1"/>
      <c r="E216" s="1"/>
      <c r="F216" s="1"/>
      <c r="G216" s="176"/>
      <c r="H216" s="176"/>
      <c r="I216" s="17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5" customHeight="1">
      <c r="A217" s="1"/>
      <c r="B217" s="339"/>
      <c r="C217" s="1"/>
      <c r="D217" s="1"/>
      <c r="E217" s="1"/>
      <c r="F217" s="1"/>
      <c r="G217" s="176"/>
      <c r="H217" s="176"/>
      <c r="I217" s="17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5" customHeight="1">
      <c r="A218" s="1"/>
      <c r="B218" s="339"/>
      <c r="C218" s="1"/>
      <c r="D218" s="1"/>
      <c r="E218" s="1"/>
      <c r="F218" s="1"/>
      <c r="G218" s="176"/>
      <c r="H218" s="176"/>
      <c r="I218" s="17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5" customHeight="1">
      <c r="A219" s="1"/>
      <c r="B219" s="339"/>
      <c r="C219" s="1"/>
      <c r="D219" s="1"/>
      <c r="E219" s="1"/>
      <c r="F219" s="1"/>
      <c r="G219" s="176"/>
      <c r="H219" s="176"/>
      <c r="I219" s="17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5" customHeight="1">
      <c r="A220" s="1"/>
      <c r="B220" s="339"/>
      <c r="C220" s="1"/>
      <c r="D220" s="1"/>
      <c r="E220" s="1"/>
      <c r="F220" s="1"/>
      <c r="G220" s="176"/>
      <c r="H220" s="176"/>
      <c r="I220" s="17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5" customHeight="1">
      <c r="A221" s="1"/>
      <c r="B221" s="339"/>
      <c r="C221" s="1"/>
      <c r="D221" s="1"/>
      <c r="E221" s="1"/>
      <c r="F221" s="1"/>
      <c r="G221" s="176"/>
      <c r="H221" s="176"/>
      <c r="I221" s="17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.5" customHeight="1">
      <c r="A222" s="1"/>
      <c r="B222" s="339"/>
      <c r="C222" s="1"/>
      <c r="D222" s="1"/>
      <c r="E222" s="1"/>
      <c r="F222" s="1"/>
      <c r="G222" s="176"/>
      <c r="H222" s="176"/>
      <c r="I222" s="17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339"/>
      <c r="C223" s="1"/>
      <c r="D223" s="1"/>
      <c r="E223" s="1"/>
      <c r="F223" s="1"/>
      <c r="G223" s="176"/>
      <c r="H223" s="176"/>
      <c r="I223" s="17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339"/>
      <c r="C224" s="1"/>
      <c r="D224" s="1"/>
      <c r="E224" s="1"/>
      <c r="F224" s="1"/>
      <c r="G224" s="176"/>
      <c r="H224" s="176"/>
      <c r="I224" s="17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339"/>
      <c r="C225" s="1"/>
      <c r="D225" s="1"/>
      <c r="E225" s="1"/>
      <c r="F225" s="1"/>
      <c r="G225" s="176"/>
      <c r="H225" s="176"/>
      <c r="I225" s="17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339"/>
      <c r="C226" s="1"/>
      <c r="D226" s="1"/>
      <c r="E226" s="1"/>
      <c r="F226" s="1"/>
      <c r="G226" s="176"/>
      <c r="H226" s="176"/>
      <c r="I226" s="17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339"/>
      <c r="C227" s="1"/>
      <c r="D227" s="1"/>
      <c r="E227" s="1"/>
      <c r="F227" s="1"/>
      <c r="G227" s="176"/>
      <c r="H227" s="176"/>
      <c r="I227" s="17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339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33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33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33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33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33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33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O235" s="73"/>
    </row>
    <row r="236" spans="1:29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O236" s="73"/>
    </row>
    <row r="237" spans="1:29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O237" s="73"/>
    </row>
    <row r="238" spans="1:29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O238" s="73"/>
    </row>
    <row r="239" spans="1:2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O239" s="73"/>
    </row>
    <row r="240" spans="1:29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O240" s="73"/>
    </row>
    <row r="241" spans="1:15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O241" s="73"/>
    </row>
    <row r="242" spans="1:15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O242" s="73"/>
    </row>
    <row r="243" spans="1:15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O243" s="73"/>
    </row>
    <row r="244" spans="1:15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O244" s="73"/>
    </row>
    <row r="245" spans="1:1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O245" s="73"/>
    </row>
    <row r="246" spans="1:15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O246" s="73"/>
    </row>
    <row r="247" spans="1:15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O247" s="73"/>
    </row>
    <row r="248" spans="1:15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O248" s="73"/>
    </row>
    <row r="249" spans="1:15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O249" s="73"/>
    </row>
    <row r="250" spans="1:15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O250" s="73"/>
    </row>
    <row r="251" spans="1:15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O251" s="73"/>
    </row>
    <row r="252" spans="1:15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O252" s="73"/>
    </row>
    <row r="253" spans="1:15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O253" s="73"/>
    </row>
    <row r="254" spans="1:15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O254" s="73"/>
    </row>
    <row r="255" spans="1:1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O255" s="73"/>
    </row>
    <row r="256" spans="1:15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O256" s="73"/>
    </row>
    <row r="257" spans="1:15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O257" s="73"/>
    </row>
    <row r="258" spans="1:15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O258" s="73"/>
    </row>
    <row r="259" spans="1:15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O259" s="73"/>
    </row>
    <row r="260" spans="1:15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O260" s="73"/>
    </row>
    <row r="261" spans="1:15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O261" s="73"/>
    </row>
    <row r="262" spans="1:15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O262" s="73"/>
    </row>
    <row r="263" spans="1:15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O263" s="73"/>
    </row>
    <row r="264" spans="1:15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O264" s="73"/>
    </row>
    <row r="265" spans="1:1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O265" s="73"/>
    </row>
    <row r="266" spans="1:15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O266" s="73"/>
    </row>
    <row r="267" spans="1:15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O267" s="73"/>
    </row>
    <row r="268" spans="1:15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O268" s="73"/>
    </row>
    <row r="269" spans="1:15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O269" s="73"/>
    </row>
    <row r="270" spans="1:15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O270" s="73"/>
    </row>
    <row r="271" spans="1:15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O271" s="73"/>
    </row>
    <row r="272" spans="1:15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O272" s="73"/>
    </row>
    <row r="273" spans="1:15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O273" s="73"/>
    </row>
    <row r="274" spans="1:15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O274" s="73"/>
    </row>
    <row r="275" spans="1:1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O275" s="73"/>
    </row>
    <row r="276" spans="1:15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O276" s="73"/>
    </row>
    <row r="277" spans="1:15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O277" s="73"/>
    </row>
    <row r="278" spans="1:15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O278" s="73"/>
    </row>
    <row r="279" spans="1:15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O279" s="73"/>
    </row>
    <row r="280" spans="1:15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O280" s="73"/>
    </row>
    <row r="281" spans="1:15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O281" s="73"/>
    </row>
    <row r="282" spans="1:15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O282" s="73"/>
    </row>
    <row r="283" spans="1:15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O283" s="73"/>
    </row>
    <row r="284" spans="1:15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O284" s="73"/>
    </row>
    <row r="285" spans="1:1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O285" s="73"/>
    </row>
    <row r="286" spans="1:15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O286" s="73"/>
    </row>
    <row r="287" spans="1:15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O287" s="73"/>
    </row>
    <row r="288" spans="1:15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O288" s="73"/>
    </row>
    <row r="289" spans="1:15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O289" s="73"/>
    </row>
    <row r="290" spans="1:15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O290" s="73"/>
    </row>
    <row r="291" spans="1:15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O291" s="73"/>
    </row>
    <row r="292" spans="1:15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O292" s="73"/>
    </row>
    <row r="293" spans="1:15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O293" s="73"/>
    </row>
    <row r="294" spans="1:15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O294" s="73"/>
    </row>
    <row r="295" spans="1:1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O295" s="73"/>
    </row>
    <row r="296" spans="1:15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O296" s="73"/>
    </row>
    <row r="297" spans="1:15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O297" s="73"/>
    </row>
    <row r="298" spans="1:15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O298" s="73"/>
    </row>
    <row r="299" spans="1:15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O299" s="73"/>
    </row>
    <row r="300" spans="1:15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O300" s="73"/>
    </row>
    <row r="301" spans="1:15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O301" s="73"/>
    </row>
    <row r="302" spans="1:15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O302" s="73"/>
    </row>
    <row r="303" spans="1:15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O303" s="73"/>
    </row>
    <row r="304" spans="1:15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O304" s="73"/>
    </row>
    <row r="305" spans="1:1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O305" s="73"/>
    </row>
    <row r="306" spans="1:15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O306" s="73"/>
    </row>
    <row r="307" spans="1:15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O307" s="73"/>
    </row>
    <row r="308" spans="1:15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O308" s="73"/>
    </row>
    <row r="309" spans="1:15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O309" s="73"/>
    </row>
    <row r="310" spans="1:15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O310" s="73"/>
    </row>
    <row r="311" spans="1:15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O311" s="73"/>
    </row>
    <row r="312" spans="1:15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O312" s="73"/>
    </row>
    <row r="313" spans="1:15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O313" s="73"/>
    </row>
    <row r="314" spans="1:15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O314" s="73"/>
    </row>
    <row r="315" spans="1: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O315" s="73"/>
    </row>
    <row r="316" spans="1:15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O316" s="73"/>
    </row>
    <row r="317" spans="1:15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O317" s="73"/>
    </row>
    <row r="318" spans="1:15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O318" s="73"/>
    </row>
    <row r="319" spans="1:15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O319" s="73"/>
    </row>
    <row r="320" spans="1:15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O320" s="73"/>
    </row>
    <row r="321" spans="1:15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O321" s="73"/>
    </row>
    <row r="322" spans="1:15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O322" s="73"/>
    </row>
    <row r="323" spans="1:15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O323" s="73"/>
    </row>
    <row r="324" spans="1:15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O324" s="73"/>
    </row>
    <row r="325" spans="1:1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O325" s="73"/>
    </row>
    <row r="326" spans="1:15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O326" s="73"/>
    </row>
    <row r="327" spans="1:15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O327" s="73"/>
    </row>
    <row r="328" spans="1:15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O328" s="73"/>
    </row>
    <row r="329" spans="1:15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O329" s="73"/>
    </row>
    <row r="330" spans="1:15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O330" s="73"/>
    </row>
    <row r="331" spans="1:15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O331" s="73"/>
    </row>
    <row r="332" spans="1:15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O332" s="73"/>
    </row>
    <row r="333" spans="1:15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O333" s="73"/>
    </row>
    <row r="334" spans="1:15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O334" s="73"/>
    </row>
    <row r="335" spans="1:1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O335" s="73"/>
    </row>
    <row r="336" spans="1:15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O336" s="73"/>
    </row>
    <row r="337" spans="1:15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O337" s="73"/>
    </row>
    <row r="338" spans="1:15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O338" s="73"/>
    </row>
    <row r="339" spans="1:15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O339" s="73"/>
    </row>
    <row r="340" spans="1:15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O340" s="73"/>
    </row>
    <row r="341" spans="1:15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O341" s="73"/>
    </row>
    <row r="342" spans="1:15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O342" s="73"/>
    </row>
    <row r="343" spans="1:15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O343" s="73"/>
    </row>
    <row r="344" spans="1:15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O344" s="73"/>
    </row>
    <row r="345" spans="1:1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O345" s="73"/>
    </row>
    <row r="346" spans="1:15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O346" s="73"/>
    </row>
    <row r="347" spans="1:15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O347" s="73"/>
    </row>
    <row r="348" spans="1:15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O348" s="73"/>
    </row>
    <row r="349" spans="1:15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O349" s="73"/>
    </row>
    <row r="350" spans="1:15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O350" s="73"/>
    </row>
    <row r="351" spans="1:15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O351" s="73"/>
    </row>
    <row r="352" spans="1:15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O352" s="73"/>
    </row>
    <row r="353" spans="1:15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O353" s="73"/>
    </row>
    <row r="354" spans="1:15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O354" s="73"/>
    </row>
    <row r="355" spans="1:1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O355" s="73"/>
    </row>
    <row r="356" spans="1:15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O356" s="73"/>
    </row>
    <row r="357" spans="1:15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O357" s="73"/>
    </row>
    <row r="358" spans="1:15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O358" s="73"/>
    </row>
    <row r="359" spans="1:15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O359" s="73"/>
    </row>
    <row r="360" spans="1:15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O360" s="73"/>
    </row>
    <row r="361" spans="1:15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O361" s="73"/>
    </row>
    <row r="362" spans="1:15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O362" s="73"/>
    </row>
    <row r="363" spans="1:15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O363" s="73"/>
    </row>
    <row r="364" spans="1:15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O364" s="73"/>
    </row>
    <row r="365" spans="1:1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O365" s="73"/>
    </row>
    <row r="366" spans="1:15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O366" s="73"/>
    </row>
    <row r="367" spans="1:15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O367" s="73"/>
    </row>
    <row r="368" spans="1:15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O368" s="73"/>
    </row>
    <row r="369" spans="1:15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O369" s="73"/>
    </row>
    <row r="370" spans="1:15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O370" s="73"/>
    </row>
    <row r="371" spans="1:15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O371" s="73"/>
    </row>
    <row r="372" spans="1:15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O372" s="73"/>
    </row>
    <row r="373" spans="1:15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O373" s="73"/>
    </row>
    <row r="374" spans="1:15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O374" s="73"/>
    </row>
    <row r="375" spans="1:1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O375" s="73"/>
    </row>
    <row r="376" spans="1:15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O376" s="73"/>
    </row>
    <row r="377" spans="1:15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O377" s="73"/>
    </row>
    <row r="378" spans="1:15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O378" s="73"/>
    </row>
    <row r="379" spans="1:15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O379" s="73"/>
    </row>
    <row r="380" spans="1:15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O380" s="73"/>
    </row>
    <row r="381" spans="1:15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O381" s="73"/>
    </row>
    <row r="382" spans="1:15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O382" s="73"/>
    </row>
    <row r="383" spans="1:15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O383" s="73"/>
    </row>
    <row r="384" spans="1:15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O384" s="73"/>
    </row>
    <row r="385" spans="1:1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O385" s="73"/>
    </row>
    <row r="386" spans="1:15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O386" s="73"/>
    </row>
    <row r="387" spans="1:15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O387" s="73"/>
    </row>
    <row r="388" spans="1:15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O388" s="73"/>
    </row>
    <row r="389" spans="1:15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O389" s="73"/>
    </row>
    <row r="390" spans="1:15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O390" s="73"/>
    </row>
    <row r="391" spans="1:15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O391" s="73"/>
    </row>
    <row r="392" spans="1:15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O392" s="73"/>
    </row>
    <row r="393" spans="1:15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O393" s="73"/>
    </row>
    <row r="394" spans="1:15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O394" s="73"/>
    </row>
    <row r="395" spans="1:1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O395" s="73"/>
    </row>
    <row r="396" spans="1:15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O396" s="73"/>
    </row>
    <row r="397" spans="1:15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O397" s="73"/>
    </row>
    <row r="398" spans="1:15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O398" s="73"/>
    </row>
    <row r="399" spans="1:15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O399" s="73"/>
    </row>
    <row r="400" spans="1:15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O400" s="73"/>
    </row>
    <row r="401" spans="1:15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O401" s="73"/>
    </row>
    <row r="402" spans="1:15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O402" s="73"/>
    </row>
    <row r="403" spans="1:15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O403" s="73"/>
    </row>
    <row r="404" spans="1:15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O404" s="73"/>
    </row>
    <row r="405" spans="1:1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O405" s="73"/>
    </row>
    <row r="406" spans="1:15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O406" s="73"/>
    </row>
    <row r="407" spans="1:15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O407" s="73"/>
    </row>
    <row r="408" spans="1:15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O408" s="73"/>
    </row>
    <row r="409" spans="1:15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O409" s="73"/>
    </row>
    <row r="410" spans="1:15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O410" s="73"/>
    </row>
    <row r="411" spans="1:15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O411" s="73"/>
    </row>
    <row r="412" spans="1:15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O412" s="73"/>
    </row>
    <row r="413" spans="1:15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O413" s="73"/>
    </row>
    <row r="414" spans="1:15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O414" s="73"/>
    </row>
    <row r="415" spans="1: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O415" s="73"/>
    </row>
    <row r="416" spans="1:15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O416" s="73"/>
    </row>
    <row r="417" spans="1:15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O417" s="73"/>
    </row>
    <row r="418" spans="1:15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O418" s="73"/>
    </row>
    <row r="419" spans="1:15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O419" s="73"/>
    </row>
    <row r="420" spans="1:15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O420" s="73"/>
    </row>
    <row r="421" spans="1:15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O421" s="73"/>
    </row>
    <row r="422" spans="1:15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O422" s="73"/>
    </row>
    <row r="423" spans="1:15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O423" s="73"/>
    </row>
    <row r="424" spans="1:15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O424" s="73"/>
    </row>
    <row r="425" spans="1:1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O425" s="73"/>
    </row>
    <row r="426" spans="1:15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O426" s="73"/>
    </row>
    <row r="427" spans="1:15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O427" s="73"/>
    </row>
    <row r="428" spans="1:15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O428" s="73"/>
    </row>
    <row r="429" spans="1:15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O429" s="73"/>
    </row>
    <row r="430" spans="1:15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O430" s="73"/>
    </row>
    <row r="431" spans="1:15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O431" s="73"/>
    </row>
    <row r="432" spans="1:15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O432" s="73"/>
    </row>
    <row r="433" spans="1:15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O433" s="73"/>
    </row>
    <row r="434" spans="1:15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O434" s="73"/>
    </row>
    <row r="435" spans="1:1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O435" s="73"/>
    </row>
    <row r="436" spans="1:15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O436" s="73"/>
    </row>
    <row r="437" spans="1:15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O437" s="73"/>
    </row>
    <row r="438" spans="1:15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O438" s="73"/>
    </row>
    <row r="439" spans="1:15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O439" s="73"/>
    </row>
    <row r="440" spans="1:15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O440" s="73"/>
    </row>
    <row r="441" spans="1:15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O441" s="73"/>
    </row>
    <row r="442" spans="1:15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O442" s="73"/>
    </row>
    <row r="443" spans="1:15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O443" s="73"/>
    </row>
    <row r="444" spans="1:15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O444" s="73"/>
    </row>
    <row r="445" spans="1:1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O445" s="73"/>
    </row>
    <row r="446" spans="1:15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O446" s="73"/>
    </row>
    <row r="447" spans="1:15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O447" s="73"/>
    </row>
    <row r="448" spans="1:15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O448" s="73"/>
    </row>
    <row r="449" spans="1:15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O449" s="73"/>
    </row>
    <row r="450" spans="1:15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O450" s="73"/>
    </row>
    <row r="451" spans="1:15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O451" s="73"/>
    </row>
    <row r="452" spans="1:15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O452" s="73"/>
    </row>
    <row r="453" spans="1:15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O453" s="73"/>
    </row>
    <row r="454" spans="1:15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O454" s="73"/>
    </row>
    <row r="455" spans="1:1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O455" s="73"/>
    </row>
    <row r="456" spans="1:15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O456" s="73"/>
    </row>
    <row r="457" spans="1:15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O457" s="73"/>
    </row>
    <row r="458" spans="1:15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O458" s="73"/>
    </row>
    <row r="459" spans="1:15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O459" s="73"/>
    </row>
    <row r="460" spans="1:15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O460" s="73"/>
    </row>
    <row r="461" spans="1:15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O461" s="73"/>
    </row>
    <row r="462" spans="1:15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O462" s="73"/>
    </row>
    <row r="463" spans="1:15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O463" s="73"/>
    </row>
    <row r="464" spans="1:15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O464" s="73"/>
    </row>
    <row r="465" spans="1:1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O465" s="73"/>
    </row>
    <row r="466" spans="1:15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O466" s="73"/>
    </row>
    <row r="467" spans="1:15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O467" s="73"/>
    </row>
    <row r="468" spans="1:15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O468" s="73"/>
    </row>
    <row r="469" spans="1:15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O469" s="73"/>
    </row>
    <row r="470" spans="1:15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O470" s="73"/>
    </row>
    <row r="471" spans="1:15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O471" s="73"/>
    </row>
    <row r="472" spans="1:15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O472" s="73"/>
    </row>
    <row r="473" spans="1:15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O473" s="73"/>
    </row>
    <row r="474" spans="1:15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O474" s="73"/>
    </row>
    <row r="475" spans="1:1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O475" s="73"/>
    </row>
    <row r="476" spans="1:15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O476" s="73"/>
    </row>
    <row r="477" spans="1:15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O477" s="73"/>
    </row>
    <row r="478" spans="1:15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O478" s="73"/>
    </row>
    <row r="479" spans="1:15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O479" s="73"/>
    </row>
    <row r="480" spans="1:15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O480" s="73"/>
    </row>
    <row r="481" spans="1:15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O481" s="73"/>
    </row>
    <row r="482" spans="1:15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O482" s="73"/>
    </row>
    <row r="483" spans="1:15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O483" s="73"/>
    </row>
    <row r="484" spans="1:15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O484" s="73"/>
    </row>
    <row r="485" spans="1:1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O485" s="73"/>
    </row>
    <row r="486" spans="1:15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O486" s="73"/>
    </row>
    <row r="487" spans="1:15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O487" s="73"/>
    </row>
    <row r="488" spans="1:15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O488" s="73"/>
    </row>
    <row r="489" spans="1:15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O489" s="73"/>
    </row>
    <row r="490" spans="1:15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O490" s="73"/>
    </row>
    <row r="491" spans="1:15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O491" s="73"/>
    </row>
    <row r="492" spans="1:15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O492" s="73"/>
    </row>
    <row r="493" spans="1:15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O493" s="73"/>
    </row>
    <row r="494" spans="1:15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O494" s="73"/>
    </row>
    <row r="495" spans="1:1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O495" s="73"/>
    </row>
    <row r="496" spans="1:15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O496" s="73"/>
    </row>
    <row r="497" spans="1:15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O497" s="73"/>
    </row>
    <row r="498" spans="1:15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O498" s="73"/>
    </row>
    <row r="499" spans="1:15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O499" s="73"/>
    </row>
    <row r="500" spans="1:15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O500" s="73"/>
    </row>
    <row r="501" spans="1:15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O501" s="73"/>
    </row>
    <row r="502" spans="1:15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O502" s="73"/>
    </row>
    <row r="503" spans="1:15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O503" s="73"/>
    </row>
    <row r="504" spans="1:15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O504" s="73"/>
    </row>
    <row r="505" spans="1:1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O505" s="73"/>
    </row>
    <row r="506" spans="1:15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O506" s="73"/>
    </row>
    <row r="507" spans="1:15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O507" s="73"/>
    </row>
    <row r="508" spans="1:15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O508" s="73"/>
    </row>
    <row r="509" spans="1:15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O509" s="73"/>
    </row>
    <row r="510" spans="1:15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O510" s="73"/>
    </row>
    <row r="511" spans="1:15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O511" s="73"/>
    </row>
    <row r="512" spans="1:15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O512" s="73"/>
    </row>
    <row r="513" spans="1:15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O513" s="73"/>
    </row>
    <row r="514" spans="1:15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O514" s="73"/>
    </row>
    <row r="515" spans="1: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O515" s="73"/>
    </row>
    <row r="516" spans="1:15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O516" s="73"/>
    </row>
    <row r="517" spans="1:15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O517" s="73"/>
    </row>
    <row r="518" spans="1:15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O518" s="73"/>
    </row>
    <row r="519" spans="1:15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O519" s="73"/>
    </row>
    <row r="520" spans="1:15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O520" s="73"/>
    </row>
    <row r="521" spans="1:15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O521" s="73"/>
    </row>
    <row r="522" spans="1:15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O522" s="73"/>
    </row>
    <row r="523" spans="1:15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O523" s="73"/>
    </row>
    <row r="524" spans="1:15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O524" s="73"/>
    </row>
    <row r="525" spans="1:1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O525" s="73"/>
    </row>
    <row r="526" spans="1:15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O526" s="73"/>
    </row>
    <row r="527" spans="1:15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O527" s="73"/>
    </row>
    <row r="528" spans="1:15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O528" s="73"/>
    </row>
    <row r="529" spans="1:15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O529" s="73"/>
    </row>
    <row r="530" spans="1:15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O530" s="73"/>
    </row>
    <row r="531" spans="1:15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O531" s="73"/>
    </row>
    <row r="532" spans="1:15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O532" s="73"/>
    </row>
    <row r="533" spans="1:15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O533" s="73"/>
    </row>
    <row r="534" spans="1:15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O534" s="73"/>
    </row>
    <row r="535" spans="1:1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O535" s="73"/>
    </row>
    <row r="536" spans="1:15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O536" s="73"/>
    </row>
    <row r="537" spans="1:15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O537" s="73"/>
    </row>
    <row r="538" spans="1:15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O538" s="73"/>
    </row>
    <row r="539" spans="1:15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O539" s="73"/>
    </row>
    <row r="540" spans="1:15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O540" s="73"/>
    </row>
    <row r="541" spans="1:15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O541" s="73"/>
    </row>
    <row r="542" spans="1:15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O542" s="73"/>
    </row>
    <row r="543" spans="1:15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O543" s="73"/>
    </row>
    <row r="544" spans="1:15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O544" s="73"/>
    </row>
    <row r="545" spans="1:1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O545" s="73"/>
    </row>
    <row r="546" spans="1:15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O546" s="73"/>
    </row>
    <row r="547" spans="1:15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O547" s="73"/>
    </row>
    <row r="548" spans="1:15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O548" s="73"/>
    </row>
    <row r="549" spans="1:15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O549" s="73"/>
    </row>
    <row r="550" spans="1:15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O550" s="73"/>
    </row>
    <row r="551" spans="1:15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O551" s="73"/>
    </row>
    <row r="552" spans="1:15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O552" s="73"/>
    </row>
    <row r="553" spans="1:15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O553" s="73"/>
    </row>
    <row r="554" spans="1:15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O554" s="73"/>
    </row>
    <row r="555" spans="1:1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O555" s="73"/>
    </row>
    <row r="556" spans="1:15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O556" s="73"/>
    </row>
    <row r="557" spans="1:15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O557" s="73"/>
    </row>
    <row r="558" spans="1:15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O558" s="73"/>
    </row>
    <row r="559" spans="1:15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O559" s="73"/>
    </row>
    <row r="560" spans="1:15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O560" s="73"/>
    </row>
    <row r="561" spans="1:15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O561" s="73"/>
    </row>
    <row r="562" spans="1:15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O562" s="73"/>
    </row>
    <row r="563" spans="1:15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O563" s="73"/>
    </row>
    <row r="564" spans="1:15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O564" s="73"/>
    </row>
    <row r="565" spans="1:1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O565" s="73"/>
    </row>
    <row r="566" spans="1:15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O566" s="73"/>
    </row>
    <row r="567" spans="1:15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O567" s="73"/>
    </row>
    <row r="568" spans="1:15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O568" s="73"/>
    </row>
    <row r="569" spans="1:15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O569" s="73"/>
    </row>
    <row r="570" spans="1:15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O570" s="73"/>
    </row>
    <row r="571" spans="1:15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O571" s="73"/>
    </row>
    <row r="572" spans="1:15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O572" s="73"/>
    </row>
    <row r="573" spans="1:15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O573" s="73"/>
    </row>
    <row r="574" spans="1:15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O574" s="73"/>
    </row>
    <row r="575" spans="1:1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O575" s="73"/>
    </row>
    <row r="576" spans="1:15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O576" s="73"/>
    </row>
    <row r="577" spans="1:15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O577" s="73"/>
    </row>
    <row r="578" spans="1:15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O578" s="73"/>
    </row>
    <row r="579" spans="1:15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O579" s="73"/>
    </row>
    <row r="580" spans="1:15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O580" s="73"/>
    </row>
    <row r="581" spans="1:15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O581" s="73"/>
    </row>
    <row r="582" spans="1:15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O582" s="73"/>
    </row>
    <row r="583" spans="1:15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O583" s="73"/>
    </row>
    <row r="584" spans="1:15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O584" s="73"/>
    </row>
    <row r="585" spans="1:1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O585" s="73"/>
    </row>
    <row r="586" spans="1:15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O586" s="73"/>
    </row>
    <row r="587" spans="1:15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O587" s="73"/>
    </row>
    <row r="588" spans="1:15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O588" s="73"/>
    </row>
    <row r="589" spans="1:15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O589" s="73"/>
    </row>
    <row r="590" spans="1:15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O590" s="73"/>
    </row>
    <row r="591" spans="1:15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O591" s="73"/>
    </row>
    <row r="592" spans="1:15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O592" s="73"/>
    </row>
    <row r="593" spans="1:15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O593" s="73"/>
    </row>
    <row r="594" spans="1:15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O594" s="73"/>
    </row>
    <row r="595" spans="1:1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O595" s="73"/>
    </row>
    <row r="596" spans="1:15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O596" s="73"/>
    </row>
    <row r="597" spans="1:15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O597" s="73"/>
    </row>
    <row r="598" spans="1:15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O598" s="73"/>
    </row>
    <row r="599" spans="1:15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O599" s="73"/>
    </row>
    <row r="600" spans="1:15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O600" s="73"/>
    </row>
    <row r="601" spans="1:15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O601" s="73"/>
    </row>
    <row r="602" spans="1:15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O602" s="73"/>
    </row>
    <row r="603" spans="1:15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O603" s="73"/>
    </row>
    <row r="604" spans="1:15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O604" s="73"/>
    </row>
    <row r="605" spans="1:1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O605" s="73"/>
    </row>
    <row r="606" spans="1:15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O606" s="73"/>
    </row>
    <row r="607" spans="1:15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O607" s="73"/>
    </row>
    <row r="608" spans="1:15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O608" s="73"/>
    </row>
    <row r="609" spans="1:15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O609" s="73"/>
    </row>
    <row r="610" spans="1:15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O610" s="73"/>
    </row>
    <row r="611" spans="1:15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O611" s="73"/>
    </row>
    <row r="612" spans="1:15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O612" s="73"/>
    </row>
    <row r="613" spans="1:15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O613" s="73"/>
    </row>
    <row r="614" spans="1:15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O614" s="73"/>
    </row>
    <row r="615" spans="1: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O615" s="73"/>
    </row>
    <row r="616" spans="1:15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O616" s="73"/>
    </row>
    <row r="617" spans="1:15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O617" s="73"/>
    </row>
    <row r="618" spans="1:15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O618" s="73"/>
    </row>
    <row r="619" spans="1:15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O619" s="73"/>
    </row>
    <row r="620" spans="1:15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O620" s="73"/>
    </row>
    <row r="621" spans="1:15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O621" s="73"/>
    </row>
    <row r="622" spans="1:15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O622" s="73"/>
    </row>
    <row r="623" spans="1:15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O623" s="73"/>
    </row>
    <row r="624" spans="1:15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O624" s="73"/>
    </row>
    <row r="625" spans="1:1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O625" s="73"/>
    </row>
    <row r="626" spans="1:15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O626" s="73"/>
    </row>
    <row r="627" spans="1:15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O627" s="73"/>
    </row>
    <row r="628" spans="1:15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O628" s="73"/>
    </row>
    <row r="629" spans="1:15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O629" s="73"/>
    </row>
    <row r="630" spans="1:15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O630" s="73"/>
    </row>
    <row r="631" spans="1:15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O631" s="73"/>
    </row>
    <row r="632" spans="1:15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O632" s="73"/>
    </row>
    <row r="633" spans="1:15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O633" s="73"/>
    </row>
    <row r="634" spans="1:15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O634" s="73"/>
    </row>
    <row r="635" spans="1:1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O635" s="73"/>
    </row>
    <row r="636" spans="1:15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O636" s="73"/>
    </row>
    <row r="637" spans="1:15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O637" s="73"/>
    </row>
    <row r="638" spans="1:15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O638" s="73"/>
    </row>
    <row r="639" spans="1:15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O639" s="73"/>
    </row>
    <row r="640" spans="1:15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O640" s="73"/>
    </row>
    <row r="641" spans="1:15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O641" s="73"/>
    </row>
    <row r="642" spans="1:15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O642" s="73"/>
    </row>
    <row r="643" spans="1:15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O643" s="73"/>
    </row>
    <row r="644" spans="1:15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O644" s="73"/>
    </row>
    <row r="645" spans="1:1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O645" s="73"/>
    </row>
    <row r="646" spans="1:15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O646" s="73"/>
    </row>
    <row r="647" spans="1:15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O647" s="73"/>
    </row>
    <row r="648" spans="1:15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O648" s="73"/>
    </row>
    <row r="649" spans="1:15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O649" s="73"/>
    </row>
    <row r="650" spans="1:15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O650" s="73"/>
    </row>
    <row r="651" spans="1:15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O651" s="73"/>
    </row>
    <row r="652" spans="1:15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O652" s="73"/>
    </row>
    <row r="653" spans="1:15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O653" s="73"/>
    </row>
    <row r="654" spans="1:15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O654" s="73"/>
    </row>
    <row r="655" spans="1:1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O655" s="73"/>
    </row>
    <row r="656" spans="1:15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O656" s="73"/>
    </row>
    <row r="657" spans="1:15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O657" s="73"/>
    </row>
    <row r="658" spans="1:15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O658" s="73"/>
    </row>
    <row r="659" spans="1:15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O659" s="73"/>
    </row>
    <row r="660" spans="1:15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O660" s="73"/>
    </row>
    <row r="661" spans="1:15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O661" s="73"/>
    </row>
    <row r="662" spans="1:15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O662" s="73"/>
    </row>
    <row r="663" spans="1:15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O663" s="73"/>
    </row>
    <row r="664" spans="1:15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O664" s="73"/>
    </row>
    <row r="665" spans="1:1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O665" s="73"/>
    </row>
    <row r="666" spans="1:15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O666" s="73"/>
    </row>
    <row r="667" spans="1:15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O667" s="73"/>
    </row>
    <row r="668" spans="1:15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O668" s="73"/>
    </row>
    <row r="669" spans="1:15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O669" s="73"/>
    </row>
    <row r="670" spans="1:15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O670" s="73"/>
    </row>
    <row r="671" spans="1:15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O671" s="73"/>
    </row>
    <row r="672" spans="1:15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O672" s="73"/>
    </row>
    <row r="673" spans="1:15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O673" s="73"/>
    </row>
    <row r="674" spans="1:15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O674" s="73"/>
    </row>
    <row r="675" spans="1:1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O675" s="73"/>
    </row>
    <row r="676" spans="1:15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O676" s="73"/>
    </row>
    <row r="677" spans="1:15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O677" s="73"/>
    </row>
    <row r="678" spans="1:15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O678" s="73"/>
    </row>
    <row r="679" spans="1:15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O679" s="73"/>
    </row>
    <row r="680" spans="1:15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O680" s="73"/>
    </row>
    <row r="681" spans="1:15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O681" s="73"/>
    </row>
    <row r="682" spans="1:15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O682" s="73"/>
    </row>
    <row r="683" spans="1:15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O683" s="73"/>
    </row>
    <row r="684" spans="1:15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O684" s="73"/>
    </row>
    <row r="685" spans="1:1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O685" s="73"/>
    </row>
    <row r="686" spans="1:15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O686" s="73"/>
    </row>
    <row r="687" spans="1:15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O687" s="73"/>
    </row>
    <row r="688" spans="1:15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O688" s="73"/>
    </row>
    <row r="689" spans="1:15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O689" s="73"/>
    </row>
    <row r="690" spans="1:15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O690" s="73"/>
    </row>
    <row r="691" spans="1:15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O691" s="73"/>
    </row>
    <row r="692" spans="1:15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O692" s="73"/>
    </row>
    <row r="693" spans="1:15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O693" s="73"/>
    </row>
    <row r="694" spans="1:15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O694" s="73"/>
    </row>
    <row r="695" spans="1:1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O695" s="73"/>
    </row>
    <row r="696" spans="1:15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O696" s="73"/>
    </row>
    <row r="697" spans="1:15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O697" s="73"/>
    </row>
    <row r="698" spans="1:15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O698" s="73"/>
    </row>
    <row r="699" spans="1:15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O699" s="73"/>
    </row>
    <row r="700" spans="1:15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O700" s="73"/>
    </row>
    <row r="701" spans="1:15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O701" s="73"/>
    </row>
    <row r="702" spans="1:15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O702" s="73"/>
    </row>
    <row r="703" spans="1:15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O703" s="73"/>
    </row>
    <row r="704" spans="1:15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O704" s="73"/>
    </row>
    <row r="705" spans="1:1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O705" s="73"/>
    </row>
    <row r="706" spans="1:15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O706" s="73"/>
    </row>
    <row r="707" spans="1:15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O707" s="73"/>
    </row>
    <row r="708" spans="1:15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O708" s="73"/>
    </row>
    <row r="709" spans="1:15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O709" s="73"/>
    </row>
    <row r="710" spans="1:15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O710" s="73"/>
    </row>
    <row r="711" spans="1:15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O711" s="73"/>
    </row>
    <row r="712" spans="1:15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O712" s="73"/>
    </row>
    <row r="713" spans="1:15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O713" s="73"/>
    </row>
    <row r="714" spans="1:15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O714" s="73"/>
    </row>
    <row r="715" spans="1: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O715" s="73"/>
    </row>
    <row r="716" spans="1:15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O716" s="73"/>
    </row>
    <row r="717" spans="1:15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O717" s="73"/>
    </row>
    <row r="718" spans="1:15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O718" s="73"/>
    </row>
    <row r="719" spans="1:15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O719" s="73"/>
    </row>
    <row r="720" spans="1:15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O720" s="73"/>
    </row>
    <row r="721" spans="1:15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O721" s="73"/>
    </row>
    <row r="722" spans="1:15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O722" s="73"/>
    </row>
    <row r="723" spans="1:15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O723" s="73"/>
    </row>
    <row r="724" spans="1:15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O724" s="73"/>
    </row>
    <row r="725" spans="1:1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O725" s="73"/>
    </row>
    <row r="726" spans="1:15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O726" s="73"/>
    </row>
    <row r="727" spans="1:15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O727" s="73"/>
    </row>
    <row r="728" spans="1:15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O728" s="73"/>
    </row>
    <row r="729" spans="1:15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O729" s="73"/>
    </row>
    <row r="730" spans="1:15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O730" s="73"/>
    </row>
    <row r="731" spans="1:15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O731" s="73"/>
    </row>
    <row r="732" spans="1:15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O732" s="73"/>
    </row>
    <row r="733" spans="1:15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O733" s="73"/>
    </row>
    <row r="734" spans="1:15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O734" s="73"/>
    </row>
    <row r="735" spans="1:1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O735" s="73"/>
    </row>
    <row r="736" spans="1:15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O736" s="73"/>
    </row>
    <row r="737" spans="1:15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O737" s="73"/>
    </row>
    <row r="738" spans="1:15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O738" s="73"/>
    </row>
    <row r="739" spans="1:15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O739" s="73"/>
    </row>
    <row r="740" spans="1:15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O740" s="73"/>
    </row>
    <row r="741" spans="1:15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O741" s="73"/>
    </row>
    <row r="742" spans="1:15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O742" s="73"/>
    </row>
    <row r="743" spans="1:15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O743" s="73"/>
    </row>
    <row r="744" spans="1:15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O744" s="73"/>
    </row>
    <row r="745" spans="1:1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O745" s="73"/>
    </row>
    <row r="746" spans="1:15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O746" s="73"/>
    </row>
    <row r="747" spans="1:15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O747" s="73"/>
    </row>
    <row r="748" spans="1:15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O748" s="73"/>
    </row>
    <row r="749" spans="1:15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O749" s="73"/>
    </row>
    <row r="750" spans="1:15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O750" s="73"/>
    </row>
    <row r="751" spans="1:15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O751" s="73"/>
    </row>
    <row r="752" spans="1:15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O752" s="73"/>
    </row>
    <row r="753" spans="1:15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O753" s="73"/>
    </row>
    <row r="754" spans="1:15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O754" s="73"/>
    </row>
    <row r="755" spans="1:1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O755" s="73"/>
    </row>
    <row r="756" spans="1:15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O756" s="73"/>
    </row>
    <row r="757" spans="1:15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O757" s="73"/>
    </row>
    <row r="758" spans="1:15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O758" s="73"/>
    </row>
    <row r="759" spans="1:15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O759" s="73"/>
    </row>
    <row r="760" spans="1:15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O760" s="73"/>
    </row>
    <row r="761" spans="1:15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O761" s="73"/>
    </row>
    <row r="762" spans="1:15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O762" s="73"/>
    </row>
    <row r="763" spans="1:15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O763" s="73"/>
    </row>
    <row r="764" spans="1:15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O764" s="73"/>
    </row>
    <row r="765" spans="1:1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O765" s="73"/>
    </row>
    <row r="766" spans="1:15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O766" s="73"/>
    </row>
    <row r="767" spans="1:15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O767" s="73"/>
    </row>
    <row r="768" spans="1:15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O768" s="73"/>
    </row>
    <row r="769" spans="1:15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O769" s="73"/>
    </row>
    <row r="770" spans="1:15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O770" s="73"/>
    </row>
    <row r="771" spans="1:15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O771" s="73"/>
    </row>
    <row r="772" spans="1:15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O772" s="73"/>
    </row>
    <row r="773" spans="1:15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O773" s="73"/>
    </row>
    <row r="774" spans="1:15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O774" s="73"/>
    </row>
    <row r="775" spans="1:1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O775" s="73"/>
    </row>
    <row r="776" spans="1:15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O776" s="73"/>
    </row>
    <row r="777" spans="1:15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O777" s="73"/>
    </row>
    <row r="778" spans="1:15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O778" s="73"/>
    </row>
    <row r="779" spans="1:15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O779" s="73"/>
    </row>
    <row r="780" spans="1:15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O780" s="73"/>
    </row>
    <row r="781" spans="1:15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O781" s="73"/>
    </row>
    <row r="782" spans="1:15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O782" s="73"/>
    </row>
    <row r="783" spans="1:15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O783" s="73"/>
    </row>
    <row r="784" spans="1:15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O784" s="73"/>
    </row>
    <row r="785" spans="1:1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O785" s="73"/>
    </row>
    <row r="786" spans="1:15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O786" s="73"/>
    </row>
    <row r="787" spans="1:15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O787" s="73"/>
    </row>
    <row r="788" spans="1:15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O788" s="73"/>
    </row>
    <row r="789" spans="1:15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O789" s="73"/>
    </row>
    <row r="790" spans="1:15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O790" s="73"/>
    </row>
    <row r="791" spans="1:15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O791" s="73"/>
    </row>
    <row r="792" spans="1:15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O792" s="73"/>
    </row>
    <row r="793" spans="1:15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O793" s="73"/>
    </row>
    <row r="794" spans="1:15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O794" s="73"/>
    </row>
    <row r="795" spans="1:1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O795" s="73"/>
    </row>
    <row r="796" spans="1:15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O796" s="73"/>
    </row>
    <row r="797" spans="1:15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O797" s="73"/>
    </row>
    <row r="798" spans="1:15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O798" s="73"/>
    </row>
    <row r="799" spans="1:15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O799" s="73"/>
    </row>
    <row r="800" spans="1:15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O800" s="73"/>
    </row>
    <row r="801" spans="1:15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O801" s="73"/>
    </row>
    <row r="802" spans="1:15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O802" s="73"/>
    </row>
    <row r="803" spans="1:15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O803" s="73"/>
    </row>
    <row r="804" spans="1:15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O804" s="73"/>
    </row>
    <row r="805" spans="1:1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O805" s="73"/>
    </row>
    <row r="806" spans="1:15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O806" s="73"/>
    </row>
    <row r="807" spans="1:15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O807" s="73"/>
    </row>
    <row r="808" spans="1:15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O808" s="73"/>
    </row>
    <row r="809" spans="1:15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O809" s="73"/>
    </row>
    <row r="810" spans="1:15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O810" s="73"/>
    </row>
    <row r="811" spans="1:15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O811" s="73"/>
    </row>
    <row r="812" spans="1:15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O812" s="73"/>
    </row>
    <row r="813" spans="1:15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O813" s="73"/>
    </row>
    <row r="814" spans="1:15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O814" s="73"/>
    </row>
    <row r="815" spans="1: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O815" s="73"/>
    </row>
    <row r="816" spans="1:15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O816" s="73"/>
    </row>
    <row r="817" spans="1:15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O817" s="73"/>
    </row>
    <row r="818" spans="1:15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O818" s="73"/>
    </row>
    <row r="819" spans="1:15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O819" s="73"/>
    </row>
    <row r="820" spans="1:15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O820" s="73"/>
    </row>
    <row r="821" spans="1:15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O821" s="73"/>
    </row>
    <row r="822" spans="1:15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O822" s="73"/>
    </row>
    <row r="823" spans="1:15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O823" s="73"/>
    </row>
    <row r="824" spans="1:15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O824" s="73"/>
    </row>
    <row r="825" spans="1:1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O825" s="73"/>
    </row>
    <row r="826" spans="1:15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O826" s="73"/>
    </row>
    <row r="827" spans="1:15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O827" s="73"/>
    </row>
    <row r="828" spans="1:15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O828" s="73"/>
    </row>
    <row r="829" spans="1:15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O829" s="73"/>
    </row>
    <row r="830" spans="1:15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O830" s="73"/>
    </row>
    <row r="831" spans="1:15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O831" s="73"/>
    </row>
    <row r="832" spans="1:15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O832" s="73"/>
    </row>
    <row r="833" spans="1:15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O833" s="73"/>
    </row>
    <row r="834" spans="1:15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O834" s="73"/>
    </row>
    <row r="835" spans="1:1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O835" s="73"/>
    </row>
    <row r="836" spans="1:15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O836" s="73"/>
    </row>
    <row r="837" spans="1:15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O837" s="73"/>
    </row>
    <row r="838" spans="1:15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O838" s="73"/>
    </row>
    <row r="839" spans="1:15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O839" s="73"/>
    </row>
    <row r="840" spans="1:15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O840" s="73"/>
    </row>
    <row r="841" spans="1:15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O841" s="73"/>
    </row>
    <row r="842" spans="1:15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O842" s="73"/>
    </row>
    <row r="843" spans="1:15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O843" s="73"/>
    </row>
    <row r="844" spans="1:15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O844" s="73"/>
    </row>
    <row r="845" spans="1:1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O845" s="73"/>
    </row>
    <row r="846" spans="1:15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O846" s="73"/>
    </row>
    <row r="847" spans="1:15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O847" s="73"/>
    </row>
    <row r="848" spans="1:15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O848" s="73"/>
    </row>
    <row r="849" spans="1:15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O849" s="73"/>
    </row>
    <row r="850" spans="1:15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O850" s="73"/>
    </row>
    <row r="851" spans="1:15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O851" s="73"/>
    </row>
    <row r="852" spans="1:15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O852" s="73"/>
    </row>
    <row r="853" spans="1:15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O853" s="73"/>
    </row>
    <row r="854" spans="1:15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O854" s="73"/>
    </row>
    <row r="855" spans="1:1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O855" s="73"/>
    </row>
    <row r="856" spans="1:15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O856" s="73"/>
    </row>
    <row r="857" spans="1:15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O857" s="73"/>
    </row>
    <row r="858" spans="1:15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O858" s="73"/>
    </row>
    <row r="859" spans="1:15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O859" s="73"/>
    </row>
    <row r="860" spans="1:15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O860" s="73"/>
    </row>
    <row r="861" spans="1:15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O861" s="73"/>
    </row>
    <row r="862" spans="1:15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O862" s="73"/>
    </row>
    <row r="863" spans="1:15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O863" s="73"/>
    </row>
    <row r="864" spans="1:15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O864" s="73"/>
    </row>
    <row r="865" spans="1:1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O865" s="73"/>
    </row>
    <row r="866" spans="1:15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O866" s="73"/>
    </row>
    <row r="867" spans="1:15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O867" s="73"/>
    </row>
    <row r="868" spans="1:15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O868" s="73"/>
    </row>
    <row r="869" spans="1:15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O869" s="73"/>
    </row>
    <row r="870" spans="1:15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O870" s="73"/>
    </row>
    <row r="871" spans="1:15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O871" s="73"/>
    </row>
    <row r="872" spans="1:15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O872" s="73"/>
    </row>
    <row r="873" spans="1:15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O873" s="73"/>
    </row>
    <row r="874" spans="1:15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O874" s="73"/>
    </row>
    <row r="875" spans="1:1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O875" s="73"/>
    </row>
    <row r="876" spans="1:15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O876" s="73"/>
    </row>
    <row r="877" spans="1:15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O877" s="73"/>
    </row>
    <row r="878" spans="1:15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O878" s="73"/>
    </row>
    <row r="879" spans="1:15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O879" s="73"/>
    </row>
    <row r="880" spans="1:15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O880" s="73"/>
    </row>
    <row r="881" spans="1:15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O881" s="73"/>
    </row>
    <row r="882" spans="1:15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O882" s="73"/>
    </row>
    <row r="883" spans="1:15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O883" s="73"/>
    </row>
    <row r="884" spans="1:15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O884" s="73"/>
    </row>
    <row r="885" spans="1:1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O885" s="73"/>
    </row>
    <row r="886" spans="1:15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O886" s="73"/>
    </row>
    <row r="887" spans="1:15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O887" s="73"/>
    </row>
    <row r="888" spans="1:15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O888" s="73"/>
    </row>
    <row r="889" spans="1:15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O889" s="73"/>
    </row>
    <row r="890" spans="1:15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O890" s="73"/>
    </row>
    <row r="891" spans="1:15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O891" s="73"/>
    </row>
    <row r="892" spans="1:15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O892" s="73"/>
    </row>
    <row r="893" spans="1:15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O893" s="73"/>
    </row>
    <row r="894" spans="1:15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O894" s="73"/>
    </row>
    <row r="895" spans="1:1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O895" s="73"/>
    </row>
    <row r="896" spans="1:15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O896" s="73"/>
    </row>
    <row r="897" spans="1:15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O897" s="73"/>
    </row>
    <row r="898" spans="1:15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O898" s="73"/>
    </row>
    <row r="899" spans="1:15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O899" s="73"/>
    </row>
    <row r="900" spans="1:15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O900" s="73"/>
    </row>
    <row r="901" spans="1:15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O901" s="73"/>
    </row>
    <row r="902" spans="1:15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O902" s="73"/>
    </row>
    <row r="903" spans="1:15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O903" s="73"/>
    </row>
    <row r="904" spans="1:15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O904" s="73"/>
    </row>
    <row r="905" spans="1:1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O905" s="73"/>
    </row>
    <row r="906" spans="1:15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O906" s="73"/>
    </row>
    <row r="907" spans="1:15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O907" s="73"/>
    </row>
    <row r="908" spans="1:15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O908" s="73"/>
    </row>
    <row r="909" spans="1:15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O909" s="73"/>
    </row>
    <row r="910" spans="1:15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O910" s="73"/>
    </row>
    <row r="911" spans="1:15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O911" s="73"/>
    </row>
    <row r="912" spans="1:15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O912" s="73"/>
    </row>
    <row r="913" spans="1:15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O913" s="73"/>
    </row>
    <row r="914" spans="1:15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O914" s="73"/>
    </row>
    <row r="915" spans="1: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O915" s="73"/>
    </row>
    <row r="916" spans="1:15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O916" s="73"/>
    </row>
    <row r="917" spans="1:15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O917" s="73"/>
    </row>
    <row r="918" spans="1:15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O918" s="73"/>
    </row>
    <row r="919" spans="1:15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O919" s="73"/>
    </row>
    <row r="920" spans="1:15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O920" s="73"/>
    </row>
    <row r="921" spans="1:15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O921" s="73"/>
    </row>
    <row r="922" spans="1:15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O922" s="73"/>
    </row>
    <row r="923" spans="1:15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O923" s="73"/>
    </row>
    <row r="924" spans="1:15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O924" s="73"/>
    </row>
    <row r="925" spans="1:1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O925" s="73"/>
    </row>
    <row r="926" spans="1:15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O926" s="73"/>
    </row>
    <row r="927" spans="1:15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O927" s="73"/>
    </row>
    <row r="928" spans="1:15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O928" s="73"/>
    </row>
    <row r="929" spans="1:15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O929" s="73"/>
    </row>
    <row r="930" spans="1:15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O930" s="73"/>
    </row>
    <row r="931" spans="1:15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O931" s="73"/>
    </row>
    <row r="932" spans="1:15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O932" s="73"/>
    </row>
    <row r="933" spans="1:15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O933" s="73"/>
    </row>
    <row r="934" spans="1:15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O934" s="73"/>
    </row>
    <row r="935" spans="1:1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O935" s="73"/>
    </row>
    <row r="936" spans="1:15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O936" s="73"/>
    </row>
    <row r="937" spans="1:15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O937" s="73"/>
    </row>
    <row r="938" spans="1:15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O938" s="73"/>
    </row>
    <row r="939" spans="1:15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O939" s="73"/>
    </row>
    <row r="940" spans="1:15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O940" s="73"/>
    </row>
    <row r="941" spans="1:15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O941" s="73"/>
    </row>
    <row r="942" spans="1:15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O942" s="73"/>
    </row>
    <row r="943" spans="1:15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O943" s="73"/>
    </row>
    <row r="944" spans="1:15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O944" s="73"/>
    </row>
    <row r="945" spans="1:1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O945" s="73"/>
    </row>
    <row r="946" spans="1:15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O946" s="73"/>
    </row>
    <row r="947" spans="1:15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O947" s="73"/>
    </row>
    <row r="948" spans="1:15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O948" s="73"/>
    </row>
    <row r="949" spans="1:15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O949" s="73"/>
    </row>
    <row r="950" spans="1:15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O950" s="73"/>
    </row>
    <row r="951" spans="1:15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O951" s="73"/>
    </row>
    <row r="952" spans="1:15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O952" s="73"/>
    </row>
    <row r="953" spans="1:15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O953" s="73"/>
    </row>
    <row r="954" spans="1:15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O954" s="73"/>
    </row>
    <row r="955" spans="1:1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O955" s="73"/>
    </row>
    <row r="956" spans="1:15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O956" s="73"/>
    </row>
    <row r="957" spans="1:15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O957" s="73"/>
    </row>
    <row r="958" spans="1:15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O958" s="73"/>
    </row>
    <row r="959" spans="1:15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O959" s="73"/>
    </row>
    <row r="960" spans="1:15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O960" s="73"/>
    </row>
    <row r="961" spans="1:15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O961" s="73"/>
    </row>
    <row r="962" spans="1:15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O962" s="73"/>
    </row>
    <row r="963" spans="1:15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O963" s="73"/>
    </row>
    <row r="964" spans="1:15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O964" s="73"/>
    </row>
    <row r="965" spans="1:1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O965" s="73"/>
    </row>
    <row r="966" spans="1:15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O966" s="73"/>
    </row>
    <row r="967" spans="1:15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O967" s="73"/>
    </row>
    <row r="968" spans="1:15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O968" s="73"/>
    </row>
    <row r="969" spans="1:15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O969" s="73"/>
    </row>
    <row r="970" spans="1:15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O970" s="73"/>
    </row>
    <row r="971" spans="1:15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O971" s="73"/>
    </row>
    <row r="972" spans="1:15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O972" s="73"/>
    </row>
    <row r="973" spans="1:15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O973" s="73"/>
    </row>
    <row r="974" spans="1:15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O974" s="73"/>
    </row>
    <row r="975" spans="1:1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O975" s="73"/>
    </row>
    <row r="976" spans="1:15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O976" s="73"/>
    </row>
    <row r="977" spans="1:15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O977" s="73"/>
    </row>
    <row r="978" spans="1:15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O978" s="73"/>
    </row>
    <row r="979" spans="1:15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O979" s="73"/>
    </row>
    <row r="980" spans="1:15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O980" s="73"/>
    </row>
    <row r="981" spans="1:15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O981" s="73"/>
    </row>
    <row r="982" spans="1:15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O982" s="73"/>
    </row>
    <row r="983" spans="1:15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O983" s="73"/>
    </row>
    <row r="984" spans="1:15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O984" s="73"/>
    </row>
    <row r="985" spans="1:1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O985" s="73"/>
    </row>
    <row r="986" spans="1:15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O986" s="73"/>
    </row>
    <row r="987" spans="1:15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O987" s="73"/>
    </row>
    <row r="988" spans="1:15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O988" s="73"/>
    </row>
    <row r="989" spans="1:15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O989" s="73"/>
    </row>
    <row r="990" spans="1:15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O990" s="73"/>
    </row>
    <row r="991" spans="1:15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O991" s="73"/>
    </row>
    <row r="992" spans="1:15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O992" s="73"/>
    </row>
    <row r="993" spans="1:15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O993" s="73"/>
    </row>
    <row r="994" spans="1:15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O994" s="73"/>
    </row>
    <row r="995" spans="1:1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O995" s="73"/>
    </row>
    <row r="996" spans="1:15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O996" s="73"/>
    </row>
    <row r="997" spans="1:15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O997" s="73"/>
    </row>
    <row r="998" spans="1:15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O998" s="73"/>
    </row>
    <row r="999" spans="1:15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O999" s="73"/>
    </row>
    <row r="1000" spans="1:15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O1000" s="73"/>
    </row>
  </sheetData>
  <mergeCells count="45">
    <mergeCell ref="I30:I33"/>
    <mergeCell ref="A34:K38"/>
    <mergeCell ref="A10:A14"/>
    <mergeCell ref="I10:I14"/>
    <mergeCell ref="A15:A19"/>
    <mergeCell ref="I15:I19"/>
    <mergeCell ref="A20:A26"/>
    <mergeCell ref="A27:A29"/>
    <mergeCell ref="A30:A33"/>
    <mergeCell ref="J24:K24"/>
    <mergeCell ref="J25:K25"/>
    <mergeCell ref="J26:K26"/>
    <mergeCell ref="J27:K29"/>
    <mergeCell ref="J30:K33"/>
    <mergeCell ref="J12:K12"/>
    <mergeCell ref="J13:K13"/>
    <mergeCell ref="J14:K14"/>
    <mergeCell ref="J15:K15"/>
    <mergeCell ref="J23:K23"/>
    <mergeCell ref="J16:K16"/>
    <mergeCell ref="J17:K17"/>
    <mergeCell ref="J18:K18"/>
    <mergeCell ref="J19:K19"/>
    <mergeCell ref="J20:K20"/>
    <mergeCell ref="J21:K21"/>
    <mergeCell ref="J22:K22"/>
    <mergeCell ref="J7:K7"/>
    <mergeCell ref="J8:K8"/>
    <mergeCell ref="J9:K9"/>
    <mergeCell ref="J10:K10"/>
    <mergeCell ref="J11:K11"/>
    <mergeCell ref="J3:K4"/>
    <mergeCell ref="L3:L4"/>
    <mergeCell ref="M3:M4"/>
    <mergeCell ref="J5:K5"/>
    <mergeCell ref="J6:K6"/>
    <mergeCell ref="I3:I4"/>
    <mergeCell ref="I5:I9"/>
    <mergeCell ref="A1:I2"/>
    <mergeCell ref="A3:B3"/>
    <mergeCell ref="C3:C4"/>
    <mergeCell ref="D3:D4"/>
    <mergeCell ref="E3:E4"/>
    <mergeCell ref="F3:F4"/>
    <mergeCell ref="A5:A9"/>
  </mergeCells>
  <phoneticPr fontId="30" type="noConversion"/>
  <pageMargins left="0.25" right="0.25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B1000"/>
  <sheetViews>
    <sheetView workbookViewId="0"/>
  </sheetViews>
  <sheetFormatPr defaultColWidth="14.42578125" defaultRowHeight="15" customHeight="1"/>
  <cols>
    <col min="1" max="1" width="33.140625" customWidth="1"/>
    <col min="2" max="2" width="160.140625" customWidth="1"/>
    <col min="3" max="3" width="11.85546875" customWidth="1"/>
    <col min="4" max="4" width="27.7109375" customWidth="1"/>
    <col min="5" max="5" width="18.28515625" customWidth="1"/>
    <col min="6" max="6" width="34.7109375" customWidth="1"/>
    <col min="7" max="7" width="12.42578125" customWidth="1"/>
    <col min="8" max="8" width="21.140625" customWidth="1"/>
    <col min="9" max="9" width="8.85546875" customWidth="1"/>
    <col min="10" max="10" width="79.5703125" customWidth="1"/>
    <col min="14" max="14" width="35.5703125" customWidth="1"/>
  </cols>
  <sheetData>
    <row r="1" spans="1:28" ht="16.5" customHeight="1">
      <c r="A1" s="625" t="s">
        <v>39</v>
      </c>
      <c r="B1" s="611"/>
      <c r="C1" s="611"/>
      <c r="D1" s="611"/>
      <c r="E1" s="611"/>
      <c r="F1" s="611"/>
      <c r="G1" s="611"/>
      <c r="H1" s="6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" customHeight="1">
      <c r="A2" s="610"/>
      <c r="B2" s="615"/>
      <c r="C2" s="615"/>
      <c r="D2" s="615"/>
      <c r="E2" s="615"/>
      <c r="F2" s="615"/>
      <c r="G2" s="615"/>
      <c r="H2" s="6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5" customHeight="1">
      <c r="A3" s="699" t="s">
        <v>513</v>
      </c>
      <c r="B3" s="711"/>
      <c r="C3" s="678" t="s">
        <v>462</v>
      </c>
      <c r="D3" s="688" t="s">
        <v>463</v>
      </c>
      <c r="E3" s="688" t="s">
        <v>231</v>
      </c>
      <c r="F3" s="678" t="s">
        <v>464</v>
      </c>
      <c r="G3" s="341" t="s">
        <v>544</v>
      </c>
      <c r="H3" s="679" t="s">
        <v>6</v>
      </c>
      <c r="I3" s="707" t="s">
        <v>7</v>
      </c>
      <c r="J3" s="612"/>
      <c r="K3" s="678" t="s">
        <v>514</v>
      </c>
      <c r="L3" s="688" t="s">
        <v>515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5" customHeight="1">
      <c r="A4" s="342" t="s">
        <v>8</v>
      </c>
      <c r="B4" s="454" t="s">
        <v>9</v>
      </c>
      <c r="C4" s="636"/>
      <c r="D4" s="601"/>
      <c r="E4" s="601"/>
      <c r="F4" s="636"/>
      <c r="G4" s="213" t="s">
        <v>10</v>
      </c>
      <c r="H4" s="618"/>
      <c r="I4" s="610"/>
      <c r="J4" s="616"/>
      <c r="K4" s="606"/>
      <c r="L4" s="62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6.5" customHeight="1">
      <c r="A5" s="661" t="s">
        <v>545</v>
      </c>
      <c r="B5" s="351" t="s">
        <v>546</v>
      </c>
      <c r="C5" s="344">
        <f t="shared" ref="C5:C34" si="0">E5*2-1000</f>
        <v>77000</v>
      </c>
      <c r="D5" s="345">
        <v>49000</v>
      </c>
      <c r="E5" s="346">
        <v>39000</v>
      </c>
      <c r="F5" s="347">
        <f t="shared" ref="F5:F27" si="1">1-E5/D5</f>
        <v>0.20408163265306123</v>
      </c>
      <c r="G5" s="439"/>
      <c r="H5" s="643"/>
      <c r="I5" s="676"/>
      <c r="J5" s="6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6.5" customHeight="1">
      <c r="A6" s="654"/>
      <c r="B6" s="351" t="s">
        <v>547</v>
      </c>
      <c r="C6" s="352">
        <f t="shared" si="0"/>
        <v>277000</v>
      </c>
      <c r="D6" s="353">
        <v>179000</v>
      </c>
      <c r="E6" s="354">
        <v>139000</v>
      </c>
      <c r="F6" s="389">
        <f t="shared" si="1"/>
        <v>0.22346368715083798</v>
      </c>
      <c r="G6" s="455"/>
      <c r="H6" s="603"/>
      <c r="I6" s="716"/>
      <c r="J6" s="6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6.5" customHeight="1">
      <c r="A7" s="654"/>
      <c r="B7" s="351" t="s">
        <v>111</v>
      </c>
      <c r="C7" s="352">
        <f t="shared" si="0"/>
        <v>1319000</v>
      </c>
      <c r="D7" s="353">
        <v>750000</v>
      </c>
      <c r="E7" s="354">
        <v>660000</v>
      </c>
      <c r="F7" s="389">
        <f t="shared" si="1"/>
        <v>0.12</v>
      </c>
      <c r="G7" s="457"/>
      <c r="H7" s="603"/>
      <c r="I7" s="716"/>
      <c r="J7" s="6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6.5" customHeight="1">
      <c r="A8" s="654"/>
      <c r="B8" s="351" t="s">
        <v>548</v>
      </c>
      <c r="C8" s="352">
        <f t="shared" si="0"/>
        <v>1319000</v>
      </c>
      <c r="D8" s="353">
        <v>719000</v>
      </c>
      <c r="E8" s="354">
        <v>660000</v>
      </c>
      <c r="F8" s="389">
        <f t="shared" si="1"/>
        <v>8.2058414464534102E-2</v>
      </c>
      <c r="G8" s="455"/>
      <c r="H8" s="603"/>
      <c r="I8" s="716"/>
      <c r="J8" s="613"/>
      <c r="K8" s="17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 customHeight="1">
      <c r="A9" s="655"/>
      <c r="B9" s="430" t="s">
        <v>549</v>
      </c>
      <c r="C9" s="359">
        <f t="shared" si="0"/>
        <v>397000</v>
      </c>
      <c r="D9" s="360">
        <v>239000</v>
      </c>
      <c r="E9" s="361">
        <v>199000</v>
      </c>
      <c r="F9" s="431">
        <f t="shared" si="1"/>
        <v>0.16736401673640167</v>
      </c>
      <c r="G9" s="458"/>
      <c r="H9" s="621"/>
      <c r="I9" s="716"/>
      <c r="J9" s="6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5" customHeight="1">
      <c r="A10" s="719" t="s">
        <v>550</v>
      </c>
      <c r="B10" s="351" t="s">
        <v>551</v>
      </c>
      <c r="C10" s="352">
        <f t="shared" si="0"/>
        <v>717000</v>
      </c>
      <c r="D10" s="353">
        <v>439000</v>
      </c>
      <c r="E10" s="368">
        <v>359000</v>
      </c>
      <c r="F10" s="389">
        <f t="shared" si="1"/>
        <v>0.1822323462414579</v>
      </c>
      <c r="G10" s="455"/>
      <c r="H10" s="720"/>
      <c r="I10" s="716"/>
      <c r="J10" s="6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customHeight="1">
      <c r="A11" s="605"/>
      <c r="B11" s="351" t="s">
        <v>552</v>
      </c>
      <c r="C11" s="352">
        <f t="shared" si="0"/>
        <v>737000</v>
      </c>
      <c r="D11" s="353">
        <f>329000+59000</f>
        <v>388000</v>
      </c>
      <c r="E11" s="368">
        <v>369000</v>
      </c>
      <c r="F11" s="389">
        <f t="shared" si="1"/>
        <v>4.8969072164948502E-2</v>
      </c>
      <c r="G11" s="455"/>
      <c r="H11" s="603"/>
      <c r="I11" s="716"/>
      <c r="J11" s="6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6.5" customHeight="1">
      <c r="A12" s="605"/>
      <c r="B12" s="351" t="s">
        <v>553</v>
      </c>
      <c r="C12" s="352">
        <f t="shared" si="0"/>
        <v>1697000</v>
      </c>
      <c r="D12" s="353">
        <v>890000</v>
      </c>
      <c r="E12" s="368">
        <v>849000</v>
      </c>
      <c r="F12" s="389">
        <f t="shared" si="1"/>
        <v>4.6067415730337125E-2</v>
      </c>
      <c r="G12" s="455"/>
      <c r="H12" s="601"/>
      <c r="I12" s="716"/>
      <c r="J12" s="6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6.5" customHeight="1">
      <c r="A13" s="721" t="s">
        <v>554</v>
      </c>
      <c r="B13" s="343" t="s">
        <v>555</v>
      </c>
      <c r="C13" s="344">
        <f t="shared" si="0"/>
        <v>117000</v>
      </c>
      <c r="D13" s="346">
        <v>71000</v>
      </c>
      <c r="E13" s="371">
        <v>59000</v>
      </c>
      <c r="F13" s="347">
        <f t="shared" si="1"/>
        <v>0.16901408450704225</v>
      </c>
      <c r="G13" s="459"/>
      <c r="H13" s="681"/>
      <c r="I13" s="703"/>
      <c r="J13" s="6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6.5" customHeight="1">
      <c r="A14" s="608"/>
      <c r="B14" s="351" t="s">
        <v>556</v>
      </c>
      <c r="C14" s="352">
        <f t="shared" si="0"/>
        <v>197000</v>
      </c>
      <c r="D14" s="354">
        <v>132000</v>
      </c>
      <c r="E14" s="372">
        <v>99000</v>
      </c>
      <c r="F14" s="389">
        <f t="shared" si="1"/>
        <v>0.25</v>
      </c>
      <c r="G14" s="460"/>
      <c r="H14" s="614"/>
      <c r="I14" s="703"/>
      <c r="J14" s="6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6.5" customHeight="1">
      <c r="A15" s="608"/>
      <c r="B15" s="351" t="s">
        <v>557</v>
      </c>
      <c r="C15" s="352">
        <f t="shared" si="0"/>
        <v>357000</v>
      </c>
      <c r="D15" s="354">
        <v>215000</v>
      </c>
      <c r="E15" s="372">
        <v>179000</v>
      </c>
      <c r="F15" s="389">
        <f t="shared" si="1"/>
        <v>0.16744186046511633</v>
      </c>
      <c r="G15" s="455"/>
      <c r="H15" s="614"/>
      <c r="I15" s="703"/>
      <c r="J15" s="6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6.5" customHeight="1">
      <c r="A16" s="608"/>
      <c r="B16" s="351" t="s">
        <v>558</v>
      </c>
      <c r="C16" s="352">
        <f t="shared" si="0"/>
        <v>497000</v>
      </c>
      <c r="D16" s="354">
        <f>249000*1.2</f>
        <v>298800</v>
      </c>
      <c r="E16" s="372">
        <v>249000</v>
      </c>
      <c r="F16" s="389">
        <f t="shared" si="1"/>
        <v>0.16666666666666663</v>
      </c>
      <c r="G16" s="455"/>
      <c r="H16" s="614"/>
      <c r="I16" s="703"/>
      <c r="J16" s="6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6.5" customHeight="1">
      <c r="A17" s="610"/>
      <c r="B17" s="430" t="s">
        <v>559</v>
      </c>
      <c r="C17" s="359">
        <f t="shared" si="0"/>
        <v>1057000</v>
      </c>
      <c r="D17" s="361">
        <f>529000*1.2</f>
        <v>634800</v>
      </c>
      <c r="E17" s="437">
        <v>529000</v>
      </c>
      <c r="F17" s="431">
        <f t="shared" si="1"/>
        <v>0.16666666666666663</v>
      </c>
      <c r="G17" s="458"/>
      <c r="H17" s="616"/>
      <c r="I17" s="703"/>
      <c r="J17" s="6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6.5" customHeight="1">
      <c r="A18" s="722" t="s">
        <v>435</v>
      </c>
      <c r="B18" s="387" t="s">
        <v>534</v>
      </c>
      <c r="C18" s="352">
        <f t="shared" si="0"/>
        <v>197000</v>
      </c>
      <c r="D18" s="353">
        <v>119000</v>
      </c>
      <c r="E18" s="388">
        <v>99000</v>
      </c>
      <c r="F18" s="389">
        <f t="shared" si="1"/>
        <v>0.16806722689075626</v>
      </c>
      <c r="G18" s="461"/>
      <c r="H18" s="441"/>
      <c r="I18" s="716"/>
      <c r="J18" s="6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6.5" customHeight="1">
      <c r="A19" s="654"/>
      <c r="B19" s="387" t="s">
        <v>535</v>
      </c>
      <c r="C19" s="352">
        <f t="shared" si="0"/>
        <v>197000</v>
      </c>
      <c r="D19" s="353">
        <v>129000</v>
      </c>
      <c r="E19" s="392">
        <v>99000</v>
      </c>
      <c r="F19" s="389">
        <f t="shared" si="1"/>
        <v>0.23255813953488369</v>
      </c>
      <c r="G19" s="462"/>
      <c r="H19" s="441"/>
      <c r="I19" s="716"/>
      <c r="J19" s="6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6.5" customHeight="1">
      <c r="A20" s="654"/>
      <c r="B20" s="387" t="s">
        <v>536</v>
      </c>
      <c r="C20" s="352">
        <f t="shared" si="0"/>
        <v>197000</v>
      </c>
      <c r="D20" s="353">
        <v>129000</v>
      </c>
      <c r="E20" s="388">
        <v>99000</v>
      </c>
      <c r="F20" s="389">
        <f t="shared" si="1"/>
        <v>0.23255813953488369</v>
      </c>
      <c r="G20" s="462"/>
      <c r="H20" s="441"/>
      <c r="I20" s="716"/>
      <c r="J20" s="6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6.5" customHeight="1">
      <c r="A21" s="654"/>
      <c r="B21" s="387" t="s">
        <v>537</v>
      </c>
      <c r="C21" s="352">
        <f t="shared" si="0"/>
        <v>317000</v>
      </c>
      <c r="D21" s="353">
        <v>179000</v>
      </c>
      <c r="E21" s="388">
        <v>159000</v>
      </c>
      <c r="F21" s="389">
        <f t="shared" si="1"/>
        <v>0.11173184357541899</v>
      </c>
      <c r="G21" s="462"/>
      <c r="H21" s="441"/>
      <c r="I21" s="716"/>
      <c r="J21" s="6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6.5" customHeight="1">
      <c r="A22" s="654"/>
      <c r="B22" s="387" t="s">
        <v>538</v>
      </c>
      <c r="C22" s="352">
        <f t="shared" si="0"/>
        <v>357000</v>
      </c>
      <c r="D22" s="353">
        <v>220000</v>
      </c>
      <c r="E22" s="392">
        <v>179000</v>
      </c>
      <c r="F22" s="389">
        <f t="shared" si="1"/>
        <v>0.1863636363636364</v>
      </c>
      <c r="G22" s="462"/>
      <c r="H22" s="441"/>
      <c r="I22" s="716"/>
      <c r="J22" s="61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6.5" customHeight="1">
      <c r="A23" s="654"/>
      <c r="B23" s="442" t="s">
        <v>539</v>
      </c>
      <c r="C23" s="352">
        <f t="shared" si="0"/>
        <v>857000</v>
      </c>
      <c r="D23" s="353">
        <v>480000</v>
      </c>
      <c r="E23" s="388">
        <v>429000</v>
      </c>
      <c r="F23" s="389">
        <f t="shared" si="1"/>
        <v>0.10624999999999996</v>
      </c>
      <c r="G23" s="462"/>
      <c r="H23" s="441"/>
      <c r="I23" s="716"/>
      <c r="J23" s="6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6.5" customHeight="1">
      <c r="A24" s="618"/>
      <c r="B24" s="442" t="s">
        <v>540</v>
      </c>
      <c r="C24" s="359">
        <f t="shared" si="0"/>
        <v>1397000</v>
      </c>
      <c r="D24" s="353">
        <v>799000</v>
      </c>
      <c r="E24" s="388">
        <v>699000</v>
      </c>
      <c r="F24" s="431">
        <f t="shared" si="1"/>
        <v>0.12515644555694616</v>
      </c>
      <c r="G24" s="458"/>
      <c r="H24" s="441"/>
      <c r="I24" s="716"/>
      <c r="J24" s="6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6.5" customHeight="1">
      <c r="A25" s="689" t="s">
        <v>560</v>
      </c>
      <c r="B25" s="463" t="s">
        <v>561</v>
      </c>
      <c r="C25" s="344">
        <f t="shared" si="0"/>
        <v>2779000</v>
      </c>
      <c r="D25" s="344">
        <f>560000+179000+420000+219000+100000</f>
        <v>1478000</v>
      </c>
      <c r="E25" s="464">
        <v>1390000</v>
      </c>
      <c r="F25" s="347">
        <f t="shared" si="1"/>
        <v>5.953991880920162E-2</v>
      </c>
      <c r="G25" s="453"/>
      <c r="H25" s="465"/>
      <c r="I25" s="676"/>
      <c r="J25" s="6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6.5" customHeight="1">
      <c r="A26" s="605"/>
      <c r="B26" s="466" t="s">
        <v>458</v>
      </c>
      <c r="C26" s="352">
        <f t="shared" si="0"/>
        <v>4799000</v>
      </c>
      <c r="D26" s="352">
        <f>1800000+600000+100000</f>
        <v>2500000</v>
      </c>
      <c r="E26" s="467">
        <v>2400000</v>
      </c>
      <c r="F26" s="468">
        <f t="shared" si="1"/>
        <v>4.0000000000000036E-2</v>
      </c>
      <c r="G26" s="469"/>
      <c r="H26" s="441"/>
      <c r="I26" s="676"/>
      <c r="J26" s="6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6.5" customHeight="1">
      <c r="A27" s="606"/>
      <c r="B27" s="470" t="s">
        <v>459</v>
      </c>
      <c r="C27" s="359">
        <f t="shared" si="0"/>
        <v>7979000</v>
      </c>
      <c r="D27" s="359">
        <v>4119000</v>
      </c>
      <c r="E27" s="471">
        <v>3990000</v>
      </c>
      <c r="F27" s="431">
        <f t="shared" si="1"/>
        <v>3.1318281136198056E-2</v>
      </c>
      <c r="G27" s="453"/>
      <c r="H27" s="472"/>
      <c r="I27" s="717" t="s">
        <v>562</v>
      </c>
      <c r="J27" s="63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6.5" customHeight="1">
      <c r="A28" s="668" t="s">
        <v>503</v>
      </c>
      <c r="B28" s="447" t="s">
        <v>169</v>
      </c>
      <c r="C28" s="352">
        <f t="shared" si="0"/>
        <v>117000</v>
      </c>
      <c r="D28" s="353">
        <v>70000</v>
      </c>
      <c r="E28" s="354">
        <v>59000</v>
      </c>
      <c r="F28" s="389"/>
      <c r="G28" s="473"/>
      <c r="H28" s="441"/>
      <c r="I28" s="705"/>
      <c r="J28" s="6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6.5" customHeight="1">
      <c r="A29" s="608"/>
      <c r="B29" s="447" t="s">
        <v>170</v>
      </c>
      <c r="C29" s="352">
        <f t="shared" si="0"/>
        <v>177000</v>
      </c>
      <c r="D29" s="353">
        <v>99000</v>
      </c>
      <c r="E29" s="354">
        <v>89000</v>
      </c>
      <c r="F29" s="389"/>
      <c r="G29" s="462"/>
      <c r="H29" s="441"/>
      <c r="I29" s="613"/>
      <c r="J29" s="6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6.5" customHeight="1">
      <c r="A30" s="608"/>
      <c r="B30" s="447" t="s">
        <v>541</v>
      </c>
      <c r="C30" s="352">
        <f t="shared" si="0"/>
        <v>197000</v>
      </c>
      <c r="D30" s="353">
        <v>157000</v>
      </c>
      <c r="E30" s="416">
        <v>99000</v>
      </c>
      <c r="F30" s="431"/>
      <c r="G30" s="474"/>
      <c r="H30" s="441"/>
      <c r="I30" s="613"/>
      <c r="J30" s="6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660" t="s">
        <v>563</v>
      </c>
      <c r="B31" s="445" t="s">
        <v>507</v>
      </c>
      <c r="C31" s="344">
        <f t="shared" si="0"/>
        <v>1999000</v>
      </c>
      <c r="D31" s="344"/>
      <c r="E31" s="371">
        <v>1000000</v>
      </c>
      <c r="F31" s="347"/>
      <c r="G31" s="475"/>
      <c r="H31" s="718"/>
      <c r="I31" s="715"/>
      <c r="J31" s="6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6.5" customHeight="1">
      <c r="A32" s="605"/>
      <c r="B32" s="447" t="s">
        <v>508</v>
      </c>
      <c r="C32" s="352">
        <f t="shared" si="0"/>
        <v>3599000</v>
      </c>
      <c r="D32" s="352"/>
      <c r="E32" s="372">
        <v>1800000</v>
      </c>
      <c r="F32" s="389"/>
      <c r="G32" s="462"/>
      <c r="H32" s="603"/>
      <c r="I32" s="613"/>
      <c r="J32" s="6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6.5" customHeight="1">
      <c r="A33" s="605"/>
      <c r="B33" s="447" t="s">
        <v>509</v>
      </c>
      <c r="C33" s="352">
        <f t="shared" si="0"/>
        <v>4399000</v>
      </c>
      <c r="D33" s="352"/>
      <c r="E33" s="372">
        <v>2200000</v>
      </c>
      <c r="F33" s="389"/>
      <c r="G33" s="457"/>
      <c r="H33" s="603"/>
      <c r="I33" s="613"/>
      <c r="J33" s="6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6.5" customHeight="1">
      <c r="A34" s="605"/>
      <c r="B34" s="442" t="s">
        <v>510</v>
      </c>
      <c r="C34" s="359">
        <f t="shared" si="0"/>
        <v>4799000</v>
      </c>
      <c r="D34" s="352"/>
      <c r="E34" s="372">
        <v>2400000</v>
      </c>
      <c r="F34" s="431"/>
      <c r="G34" s="476"/>
      <c r="H34" s="601"/>
      <c r="I34" s="613"/>
      <c r="J34" s="6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6.5" customHeight="1">
      <c r="A35" s="652" t="s">
        <v>564</v>
      </c>
      <c r="B35" s="611"/>
      <c r="C35" s="611"/>
      <c r="D35" s="611"/>
      <c r="E35" s="611"/>
      <c r="F35" s="611"/>
      <c r="G35" s="611"/>
      <c r="H35" s="611"/>
      <c r="I35" s="611"/>
      <c r="J35" s="61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6.5" customHeight="1">
      <c r="A36" s="608"/>
      <c r="B36" s="613"/>
      <c r="C36" s="613"/>
      <c r="D36" s="613"/>
      <c r="E36" s="613"/>
      <c r="F36" s="613"/>
      <c r="G36" s="613"/>
      <c r="H36" s="613"/>
      <c r="I36" s="613"/>
      <c r="J36" s="6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6.5" customHeight="1">
      <c r="A37" s="608"/>
      <c r="B37" s="613"/>
      <c r="C37" s="613"/>
      <c r="D37" s="613"/>
      <c r="E37" s="613"/>
      <c r="F37" s="613"/>
      <c r="G37" s="613"/>
      <c r="H37" s="613"/>
      <c r="I37" s="613"/>
      <c r="J37" s="6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6.5" customHeight="1">
      <c r="A38" s="608"/>
      <c r="B38" s="613"/>
      <c r="C38" s="613"/>
      <c r="D38" s="613"/>
      <c r="E38" s="613"/>
      <c r="F38" s="613"/>
      <c r="G38" s="613"/>
      <c r="H38" s="613"/>
      <c r="I38" s="613"/>
      <c r="J38" s="6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6.5" customHeight="1">
      <c r="A39" s="610"/>
      <c r="B39" s="615"/>
      <c r="C39" s="615"/>
      <c r="D39" s="615"/>
      <c r="E39" s="615"/>
      <c r="F39" s="615"/>
      <c r="G39" s="615"/>
      <c r="H39" s="615"/>
      <c r="I39" s="615"/>
      <c r="J39" s="6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6.5" customHeight="1">
      <c r="A40" s="1"/>
      <c r="B40" s="33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6.5" customHeight="1">
      <c r="A41" s="1"/>
      <c r="B41" s="33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6.5" customHeight="1">
      <c r="A42" s="1"/>
      <c r="B42" s="33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6.5" customHeight="1">
      <c r="A43" s="1"/>
      <c r="B43" s="33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6.5" customHeight="1">
      <c r="A44" s="1"/>
      <c r="B44" s="450"/>
      <c r="C44" s="354"/>
      <c r="D44" s="354"/>
      <c r="E44" s="41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6.5" customHeight="1">
      <c r="A45" s="1"/>
      <c r="B45" s="339"/>
      <c r="C45" s="1"/>
      <c r="D45" s="1"/>
      <c r="E45" s="1"/>
      <c r="F45" s="1"/>
      <c r="G45" s="176"/>
      <c r="H45" s="17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6.5" customHeight="1">
      <c r="A46" s="1"/>
      <c r="B46" s="339"/>
      <c r="C46" s="1"/>
      <c r="D46" s="1"/>
      <c r="E46" s="1"/>
      <c r="F46" s="1"/>
      <c r="G46" s="176"/>
      <c r="H46" s="17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6.5" customHeight="1">
      <c r="A47" s="1"/>
      <c r="B47" s="451"/>
      <c r="C47" s="354"/>
      <c r="D47" s="354"/>
      <c r="E47" s="354"/>
      <c r="F47" s="452"/>
      <c r="G47" s="453"/>
      <c r="H47" s="17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6.5" customHeight="1">
      <c r="A48" s="1"/>
      <c r="B48" s="451"/>
      <c r="C48" s="354"/>
      <c r="D48" s="354"/>
      <c r="E48" s="354"/>
      <c r="F48" s="452"/>
      <c r="G48" s="176"/>
      <c r="H48" s="17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6.5" customHeight="1">
      <c r="A49" s="1"/>
      <c r="B49" s="451"/>
      <c r="C49" s="354"/>
      <c r="D49" s="354"/>
      <c r="E49" s="354"/>
      <c r="F49" s="452"/>
      <c r="G49" s="176"/>
      <c r="H49" s="17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6.5" customHeight="1">
      <c r="A50" s="1"/>
      <c r="B50" s="152"/>
      <c r="C50" s="354"/>
      <c r="D50" s="354"/>
      <c r="E50" s="416"/>
      <c r="F50" s="1"/>
      <c r="G50" s="176"/>
      <c r="H50" s="17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6.5" customHeight="1">
      <c r="A51" s="1"/>
      <c r="B51" s="339"/>
      <c r="C51" s="1"/>
      <c r="D51" s="1"/>
      <c r="E51" s="1"/>
      <c r="F51" s="1"/>
      <c r="G51" s="176"/>
      <c r="H51" s="17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6.5" customHeight="1">
      <c r="A52" s="1"/>
      <c r="B52" s="339"/>
      <c r="C52" s="1"/>
      <c r="D52" s="1"/>
      <c r="E52" s="1"/>
      <c r="F52" s="1"/>
      <c r="G52" s="176"/>
      <c r="H52" s="17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6.5" customHeight="1">
      <c r="A53" s="1"/>
      <c r="B53" s="339"/>
      <c r="C53" s="1"/>
      <c r="D53" s="1"/>
      <c r="E53" s="1"/>
      <c r="F53" s="1"/>
      <c r="G53" s="176"/>
      <c r="H53" s="17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6.5" customHeight="1">
      <c r="A54" s="1"/>
      <c r="B54" s="339"/>
      <c r="C54" s="1"/>
      <c r="D54" s="1"/>
      <c r="E54" s="1"/>
      <c r="F54" s="1"/>
      <c r="G54" s="176"/>
      <c r="H54" s="17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6.5" customHeight="1">
      <c r="A55" s="1"/>
      <c r="B55" s="339"/>
      <c r="C55" s="1"/>
      <c r="D55" s="1"/>
      <c r="E55" s="1"/>
      <c r="F55" s="1"/>
      <c r="G55" s="176"/>
      <c r="H55" s="17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6.5" customHeight="1">
      <c r="A56" s="1"/>
      <c r="B56" s="339"/>
      <c r="C56" s="1"/>
      <c r="D56" s="1"/>
      <c r="E56" s="1"/>
      <c r="F56" s="1"/>
      <c r="G56" s="176"/>
      <c r="H56" s="17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6.5" customHeight="1">
      <c r="A57" s="1"/>
      <c r="B57" s="339"/>
      <c r="C57" s="1"/>
      <c r="D57" s="1"/>
      <c r="E57" s="1"/>
      <c r="F57" s="1"/>
      <c r="G57" s="176"/>
      <c r="H57" s="17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6.5" customHeight="1">
      <c r="A58" s="1"/>
      <c r="B58" s="339"/>
      <c r="C58" s="1"/>
      <c r="D58" s="1"/>
      <c r="E58" s="1"/>
      <c r="F58" s="1"/>
      <c r="G58" s="176"/>
      <c r="H58" s="17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6.5" customHeight="1">
      <c r="A59" s="1"/>
      <c r="B59" s="339"/>
      <c r="C59" s="1"/>
      <c r="D59" s="1"/>
      <c r="E59" s="1"/>
      <c r="F59" s="1"/>
      <c r="G59" s="176"/>
      <c r="H59" s="17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6.5" customHeight="1">
      <c r="A60" s="1"/>
      <c r="B60" s="339"/>
      <c r="C60" s="1"/>
      <c r="D60" s="1"/>
      <c r="E60" s="1"/>
      <c r="F60" s="1"/>
      <c r="G60" s="176"/>
      <c r="H60" s="17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6.5" customHeight="1">
      <c r="A61" s="1"/>
      <c r="B61" s="339"/>
      <c r="C61" s="1"/>
      <c r="D61" s="1"/>
      <c r="E61" s="1"/>
      <c r="F61" s="1"/>
      <c r="G61" s="176"/>
      <c r="H61" s="17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6.5" customHeight="1">
      <c r="A62" s="1"/>
      <c r="B62" s="339"/>
      <c r="C62" s="1"/>
      <c r="D62" s="1"/>
      <c r="E62" s="1"/>
      <c r="F62" s="1"/>
      <c r="G62" s="176"/>
      <c r="H62" s="17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6.5" customHeight="1">
      <c r="A63" s="1"/>
      <c r="B63" s="339"/>
      <c r="C63" s="1"/>
      <c r="D63" s="1"/>
      <c r="E63" s="1"/>
      <c r="F63" s="1"/>
      <c r="G63" s="176"/>
      <c r="H63" s="17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6.5" customHeight="1">
      <c r="A64" s="1"/>
      <c r="B64" s="339"/>
      <c r="C64" s="1"/>
      <c r="D64" s="1"/>
      <c r="E64" s="1"/>
      <c r="F64" s="1"/>
      <c r="G64" s="176"/>
      <c r="H64" s="17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6.5" customHeight="1">
      <c r="A65" s="1"/>
      <c r="B65" s="339"/>
      <c r="C65" s="1"/>
      <c r="D65" s="1"/>
      <c r="E65" s="1"/>
      <c r="F65" s="1"/>
      <c r="G65" s="176"/>
      <c r="H65" s="17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6.5" customHeight="1">
      <c r="A66" s="1"/>
      <c r="B66" s="339"/>
      <c r="C66" s="1"/>
      <c r="D66" s="1"/>
      <c r="E66" s="1"/>
      <c r="F66" s="1"/>
      <c r="G66" s="176"/>
      <c r="H66" s="17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6.5" customHeight="1">
      <c r="A67" s="1"/>
      <c r="B67" s="339"/>
      <c r="C67" s="1"/>
      <c r="D67" s="1"/>
      <c r="E67" s="1"/>
      <c r="F67" s="1"/>
      <c r="G67" s="176"/>
      <c r="H67" s="17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6.5" customHeight="1">
      <c r="A68" s="1"/>
      <c r="B68" s="339"/>
      <c r="C68" s="1"/>
      <c r="D68" s="1"/>
      <c r="E68" s="1"/>
      <c r="F68" s="1"/>
      <c r="G68" s="176"/>
      <c r="H68" s="17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6.5" customHeight="1">
      <c r="A69" s="1"/>
      <c r="B69" s="339"/>
      <c r="C69" s="1"/>
      <c r="D69" s="1"/>
      <c r="E69" s="1"/>
      <c r="F69" s="1"/>
      <c r="G69" s="176"/>
      <c r="H69" s="17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6.5" customHeight="1">
      <c r="A70" s="1"/>
      <c r="B70" s="339"/>
      <c r="C70" s="1"/>
      <c r="D70" s="1"/>
      <c r="E70" s="1"/>
      <c r="F70" s="1"/>
      <c r="G70" s="176"/>
      <c r="H70" s="17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6.5" customHeight="1">
      <c r="A71" s="1"/>
      <c r="B71" s="339"/>
      <c r="C71" s="1"/>
      <c r="D71" s="1"/>
      <c r="E71" s="1"/>
      <c r="F71" s="1"/>
      <c r="G71" s="176"/>
      <c r="H71" s="17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6.5" customHeight="1">
      <c r="A72" s="1"/>
      <c r="B72" s="339"/>
      <c r="C72" s="1"/>
      <c r="D72" s="1"/>
      <c r="E72" s="1"/>
      <c r="F72" s="1"/>
      <c r="G72" s="176"/>
      <c r="H72" s="17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6.5" customHeight="1">
      <c r="A73" s="1"/>
      <c r="B73" s="339"/>
      <c r="C73" s="1"/>
      <c r="D73" s="1"/>
      <c r="E73" s="1"/>
      <c r="F73" s="1"/>
      <c r="G73" s="176"/>
      <c r="H73" s="17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6.5" customHeight="1">
      <c r="A74" s="1"/>
      <c r="B74" s="339"/>
      <c r="C74" s="1"/>
      <c r="D74" s="1"/>
      <c r="E74" s="1"/>
      <c r="F74" s="1"/>
      <c r="G74" s="176"/>
      <c r="H74" s="17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6.5" customHeight="1">
      <c r="A75" s="1"/>
      <c r="B75" s="339"/>
      <c r="C75" s="1"/>
      <c r="D75" s="1"/>
      <c r="E75" s="1"/>
      <c r="F75" s="1"/>
      <c r="G75" s="176"/>
      <c r="H75" s="17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6.5" customHeight="1">
      <c r="A76" s="1"/>
      <c r="B76" s="339"/>
      <c r="C76" s="1"/>
      <c r="D76" s="1"/>
      <c r="E76" s="1"/>
      <c r="F76" s="1"/>
      <c r="G76" s="176"/>
      <c r="H76" s="17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6.5" customHeight="1">
      <c r="A77" s="1"/>
      <c r="B77" s="339"/>
      <c r="C77" s="1"/>
      <c r="D77" s="1"/>
      <c r="E77" s="1"/>
      <c r="F77" s="1"/>
      <c r="G77" s="176"/>
      <c r="H77" s="17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6.5" customHeight="1">
      <c r="A78" s="1"/>
      <c r="B78" s="339"/>
      <c r="C78" s="1"/>
      <c r="D78" s="1"/>
      <c r="E78" s="1"/>
      <c r="F78" s="1"/>
      <c r="G78" s="176"/>
      <c r="H78" s="17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6.5" customHeight="1">
      <c r="A79" s="1"/>
      <c r="B79" s="339"/>
      <c r="C79" s="1"/>
      <c r="D79" s="1"/>
      <c r="E79" s="1"/>
      <c r="F79" s="1"/>
      <c r="G79" s="176"/>
      <c r="H79" s="17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6.5" customHeight="1">
      <c r="A80" s="1"/>
      <c r="B80" s="339"/>
      <c r="C80" s="1"/>
      <c r="D80" s="1"/>
      <c r="E80" s="1"/>
      <c r="F80" s="1"/>
      <c r="G80" s="176"/>
      <c r="H80" s="17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6.5" customHeight="1">
      <c r="A81" s="1"/>
      <c r="B81" s="339"/>
      <c r="C81" s="1"/>
      <c r="D81" s="1"/>
      <c r="E81" s="1"/>
      <c r="F81" s="1"/>
      <c r="G81" s="176"/>
      <c r="H81" s="17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6.5" customHeight="1">
      <c r="A82" s="1"/>
      <c r="B82" s="339"/>
      <c r="C82" s="1"/>
      <c r="D82" s="1"/>
      <c r="E82" s="1"/>
      <c r="F82" s="1"/>
      <c r="G82" s="176"/>
      <c r="H82" s="17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6.5" customHeight="1">
      <c r="A83" s="1"/>
      <c r="B83" s="339"/>
      <c r="C83" s="1"/>
      <c r="D83" s="1"/>
      <c r="E83" s="1"/>
      <c r="F83" s="1"/>
      <c r="G83" s="176"/>
      <c r="H83" s="17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6.5" customHeight="1">
      <c r="A84" s="1"/>
      <c r="B84" s="339"/>
      <c r="C84" s="1"/>
      <c r="D84" s="1"/>
      <c r="E84" s="1"/>
      <c r="F84" s="1"/>
      <c r="G84" s="176"/>
      <c r="H84" s="17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6.5" customHeight="1">
      <c r="A85" s="1"/>
      <c r="B85" s="339"/>
      <c r="C85" s="1"/>
      <c r="D85" s="1"/>
      <c r="E85" s="1"/>
      <c r="F85" s="1"/>
      <c r="G85" s="176"/>
      <c r="H85" s="17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6.5" customHeight="1">
      <c r="A86" s="1"/>
      <c r="B86" s="339"/>
      <c r="C86" s="1"/>
      <c r="D86" s="1"/>
      <c r="E86" s="1"/>
      <c r="F86" s="1"/>
      <c r="G86" s="176"/>
      <c r="H86" s="17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6.5" customHeight="1">
      <c r="A87" s="1"/>
      <c r="B87" s="339"/>
      <c r="C87" s="1"/>
      <c r="D87" s="1"/>
      <c r="E87" s="1"/>
      <c r="F87" s="1"/>
      <c r="G87" s="176"/>
      <c r="H87" s="17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6.5" customHeight="1">
      <c r="A88" s="1"/>
      <c r="B88" s="339"/>
      <c r="C88" s="1"/>
      <c r="D88" s="1"/>
      <c r="E88" s="1"/>
      <c r="F88" s="1"/>
      <c r="G88" s="176"/>
      <c r="H88" s="17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6.5" customHeight="1">
      <c r="A89" s="1"/>
      <c r="B89" s="339"/>
      <c r="C89" s="1"/>
      <c r="D89" s="1"/>
      <c r="E89" s="1"/>
      <c r="F89" s="1"/>
      <c r="G89" s="176"/>
      <c r="H89" s="17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6.5" customHeight="1">
      <c r="A90" s="1"/>
      <c r="B90" s="339"/>
      <c r="C90" s="1"/>
      <c r="D90" s="1"/>
      <c r="E90" s="1"/>
      <c r="F90" s="1"/>
      <c r="G90" s="176"/>
      <c r="H90" s="17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6.5" customHeight="1">
      <c r="A91" s="1"/>
      <c r="B91" s="339"/>
      <c r="C91" s="1"/>
      <c r="D91" s="1"/>
      <c r="E91" s="1"/>
      <c r="F91" s="1"/>
      <c r="G91" s="176"/>
      <c r="H91" s="17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6.5" customHeight="1">
      <c r="A92" s="1"/>
      <c r="B92" s="339"/>
      <c r="C92" s="1"/>
      <c r="D92" s="1"/>
      <c r="E92" s="1"/>
      <c r="F92" s="1"/>
      <c r="G92" s="176"/>
      <c r="H92" s="17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6.5" customHeight="1">
      <c r="A93" s="1"/>
      <c r="B93" s="339"/>
      <c r="C93" s="1"/>
      <c r="D93" s="1"/>
      <c r="E93" s="1"/>
      <c r="F93" s="1"/>
      <c r="G93" s="176"/>
      <c r="H93" s="17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6.5" customHeight="1">
      <c r="A94" s="1"/>
      <c r="B94" s="339"/>
      <c r="C94" s="1"/>
      <c r="D94" s="1"/>
      <c r="E94" s="1"/>
      <c r="F94" s="1"/>
      <c r="G94" s="176"/>
      <c r="H94" s="17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6.5" customHeight="1">
      <c r="A95" s="1"/>
      <c r="B95" s="339"/>
      <c r="C95" s="1"/>
      <c r="D95" s="1"/>
      <c r="E95" s="1"/>
      <c r="F95" s="1"/>
      <c r="G95" s="176"/>
      <c r="H95" s="17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6.5" customHeight="1">
      <c r="A96" s="1"/>
      <c r="B96" s="339"/>
      <c r="C96" s="1"/>
      <c r="D96" s="1"/>
      <c r="E96" s="1"/>
      <c r="F96" s="1"/>
      <c r="G96" s="176"/>
      <c r="H96" s="17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6.5" customHeight="1">
      <c r="A97" s="1"/>
      <c r="B97" s="339"/>
      <c r="C97" s="1"/>
      <c r="D97" s="1"/>
      <c r="E97" s="1"/>
      <c r="F97" s="1"/>
      <c r="G97" s="176"/>
      <c r="H97" s="17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6.5" customHeight="1">
      <c r="A98" s="1"/>
      <c r="B98" s="339"/>
      <c r="C98" s="1"/>
      <c r="D98" s="1"/>
      <c r="E98" s="1"/>
      <c r="F98" s="1"/>
      <c r="G98" s="176"/>
      <c r="H98" s="17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6.5" customHeight="1">
      <c r="A99" s="1"/>
      <c r="B99" s="339"/>
      <c r="C99" s="1"/>
      <c r="D99" s="1"/>
      <c r="E99" s="1"/>
      <c r="F99" s="1"/>
      <c r="G99" s="176"/>
      <c r="H99" s="17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6.5" customHeight="1">
      <c r="A100" s="1"/>
      <c r="B100" s="339"/>
      <c r="C100" s="1"/>
      <c r="D100" s="1"/>
      <c r="E100" s="1"/>
      <c r="F100" s="1"/>
      <c r="G100" s="176"/>
      <c r="H100" s="17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6.5" customHeight="1">
      <c r="A101" s="1"/>
      <c r="B101" s="339"/>
      <c r="C101" s="1"/>
      <c r="D101" s="1"/>
      <c r="E101" s="1"/>
      <c r="F101" s="1"/>
      <c r="G101" s="176"/>
      <c r="H101" s="17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6.5" customHeight="1">
      <c r="A102" s="1"/>
      <c r="B102" s="339"/>
      <c r="C102" s="1"/>
      <c r="D102" s="1"/>
      <c r="E102" s="1"/>
      <c r="F102" s="1"/>
      <c r="G102" s="176"/>
      <c r="H102" s="17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6.5" customHeight="1">
      <c r="A103" s="1"/>
      <c r="B103" s="339"/>
      <c r="C103" s="1"/>
      <c r="D103" s="1"/>
      <c r="E103" s="1"/>
      <c r="F103" s="1"/>
      <c r="G103" s="176"/>
      <c r="H103" s="17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6.5" customHeight="1">
      <c r="A104" s="1"/>
      <c r="B104" s="339"/>
      <c r="C104" s="1"/>
      <c r="D104" s="1"/>
      <c r="E104" s="1"/>
      <c r="F104" s="1"/>
      <c r="G104" s="176"/>
      <c r="H104" s="17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6.5" customHeight="1">
      <c r="A105" s="1"/>
      <c r="B105" s="339"/>
      <c r="C105" s="1"/>
      <c r="D105" s="1"/>
      <c r="E105" s="1"/>
      <c r="F105" s="1"/>
      <c r="G105" s="176"/>
      <c r="H105" s="17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6.5" customHeight="1">
      <c r="A106" s="1"/>
      <c r="B106" s="339"/>
      <c r="C106" s="1"/>
      <c r="D106" s="1"/>
      <c r="E106" s="1"/>
      <c r="F106" s="1"/>
      <c r="G106" s="176"/>
      <c r="H106" s="17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6.5" customHeight="1">
      <c r="A107" s="1"/>
      <c r="B107" s="339"/>
      <c r="C107" s="1"/>
      <c r="D107" s="1"/>
      <c r="E107" s="1"/>
      <c r="F107" s="1"/>
      <c r="G107" s="176"/>
      <c r="H107" s="17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6.5" customHeight="1">
      <c r="A108" s="1"/>
      <c r="B108" s="339"/>
      <c r="C108" s="1"/>
      <c r="D108" s="1"/>
      <c r="E108" s="1"/>
      <c r="F108" s="1"/>
      <c r="G108" s="176"/>
      <c r="H108" s="17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6.5" customHeight="1">
      <c r="A109" s="1"/>
      <c r="B109" s="339"/>
      <c r="C109" s="1"/>
      <c r="D109" s="1"/>
      <c r="E109" s="1"/>
      <c r="F109" s="1"/>
      <c r="G109" s="176"/>
      <c r="H109" s="17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6.5" customHeight="1">
      <c r="A110" s="1"/>
      <c r="B110" s="339"/>
      <c r="C110" s="1"/>
      <c r="D110" s="1"/>
      <c r="E110" s="1"/>
      <c r="F110" s="1"/>
      <c r="G110" s="176"/>
      <c r="H110" s="17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6.5" customHeight="1">
      <c r="A111" s="1"/>
      <c r="B111" s="339"/>
      <c r="C111" s="1"/>
      <c r="D111" s="1"/>
      <c r="E111" s="1"/>
      <c r="F111" s="1"/>
      <c r="G111" s="176"/>
      <c r="H111" s="17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6.5" customHeight="1">
      <c r="A112" s="1"/>
      <c r="B112" s="339"/>
      <c r="C112" s="1"/>
      <c r="D112" s="1"/>
      <c r="E112" s="1"/>
      <c r="F112" s="1"/>
      <c r="G112" s="176"/>
      <c r="H112" s="17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6.5" customHeight="1">
      <c r="A113" s="1"/>
      <c r="B113" s="339"/>
      <c r="C113" s="1"/>
      <c r="D113" s="1"/>
      <c r="E113" s="1"/>
      <c r="F113" s="1"/>
      <c r="G113" s="176"/>
      <c r="H113" s="17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6.5" customHeight="1">
      <c r="A114" s="1"/>
      <c r="B114" s="339"/>
      <c r="C114" s="1"/>
      <c r="D114" s="1"/>
      <c r="E114" s="1"/>
      <c r="F114" s="1"/>
      <c r="G114" s="176"/>
      <c r="H114" s="17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6.5" customHeight="1">
      <c r="A115" s="1"/>
      <c r="B115" s="339"/>
      <c r="C115" s="1"/>
      <c r="D115" s="1"/>
      <c r="E115" s="1"/>
      <c r="F115" s="1"/>
      <c r="G115" s="176"/>
      <c r="H115" s="17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6.5" customHeight="1">
      <c r="A116" s="1"/>
      <c r="B116" s="339"/>
      <c r="C116" s="1"/>
      <c r="D116" s="1"/>
      <c r="E116" s="1"/>
      <c r="F116" s="1"/>
      <c r="G116" s="176"/>
      <c r="H116" s="17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6.5" customHeight="1">
      <c r="A117" s="1"/>
      <c r="B117" s="339"/>
      <c r="C117" s="1"/>
      <c r="D117" s="1"/>
      <c r="E117" s="1"/>
      <c r="F117" s="1"/>
      <c r="G117" s="176"/>
      <c r="H117" s="17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6.5" customHeight="1">
      <c r="A118" s="1"/>
      <c r="B118" s="339"/>
      <c r="C118" s="1"/>
      <c r="D118" s="1"/>
      <c r="E118" s="1"/>
      <c r="F118" s="1"/>
      <c r="G118" s="176"/>
      <c r="H118" s="17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6.5" customHeight="1">
      <c r="A119" s="1"/>
      <c r="B119" s="339"/>
      <c r="C119" s="1"/>
      <c r="D119" s="1"/>
      <c r="E119" s="1"/>
      <c r="F119" s="1"/>
      <c r="G119" s="176"/>
      <c r="H119" s="17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6.5" customHeight="1">
      <c r="A120" s="1"/>
      <c r="B120" s="339"/>
      <c r="C120" s="1"/>
      <c r="D120" s="1"/>
      <c r="E120" s="1"/>
      <c r="F120" s="1"/>
      <c r="G120" s="176"/>
      <c r="H120" s="17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6.5" customHeight="1">
      <c r="A121" s="1"/>
      <c r="B121" s="339"/>
      <c r="C121" s="1"/>
      <c r="D121" s="1"/>
      <c r="E121" s="1"/>
      <c r="F121" s="1"/>
      <c r="G121" s="176"/>
      <c r="H121" s="17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6.5" customHeight="1">
      <c r="A122" s="1"/>
      <c r="B122" s="339"/>
      <c r="C122" s="1"/>
      <c r="D122" s="1"/>
      <c r="E122" s="1"/>
      <c r="F122" s="1"/>
      <c r="G122" s="176"/>
      <c r="H122" s="17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6.5" customHeight="1">
      <c r="A123" s="1"/>
      <c r="B123" s="339"/>
      <c r="C123" s="1"/>
      <c r="D123" s="1"/>
      <c r="E123" s="1"/>
      <c r="F123" s="1"/>
      <c r="G123" s="176"/>
      <c r="H123" s="17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6.5" customHeight="1">
      <c r="A124" s="1"/>
      <c r="B124" s="339"/>
      <c r="C124" s="1"/>
      <c r="D124" s="1"/>
      <c r="E124" s="1"/>
      <c r="F124" s="1"/>
      <c r="G124" s="176"/>
      <c r="H124" s="17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6.5" customHeight="1">
      <c r="A125" s="1"/>
      <c r="B125" s="339"/>
      <c r="C125" s="1"/>
      <c r="D125" s="1"/>
      <c r="E125" s="1"/>
      <c r="F125" s="1"/>
      <c r="G125" s="176"/>
      <c r="H125" s="17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6.5" customHeight="1">
      <c r="A126" s="1"/>
      <c r="B126" s="339"/>
      <c r="C126" s="1"/>
      <c r="D126" s="1"/>
      <c r="E126" s="1"/>
      <c r="F126" s="1"/>
      <c r="G126" s="176"/>
      <c r="H126" s="17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6.5" customHeight="1">
      <c r="A127" s="1"/>
      <c r="B127" s="339"/>
      <c r="C127" s="1"/>
      <c r="D127" s="1"/>
      <c r="E127" s="1"/>
      <c r="F127" s="1"/>
      <c r="G127" s="176"/>
      <c r="H127" s="17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6.5" customHeight="1">
      <c r="A128" s="1"/>
      <c r="B128" s="339"/>
      <c r="C128" s="1"/>
      <c r="D128" s="1"/>
      <c r="E128" s="1"/>
      <c r="F128" s="1"/>
      <c r="G128" s="176"/>
      <c r="H128" s="17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6.5" customHeight="1">
      <c r="A129" s="1"/>
      <c r="B129" s="339"/>
      <c r="C129" s="1"/>
      <c r="D129" s="1"/>
      <c r="E129" s="1"/>
      <c r="F129" s="1"/>
      <c r="G129" s="176"/>
      <c r="H129" s="17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6.5" customHeight="1">
      <c r="A130" s="1"/>
      <c r="B130" s="339"/>
      <c r="C130" s="1"/>
      <c r="D130" s="1"/>
      <c r="E130" s="1"/>
      <c r="F130" s="1"/>
      <c r="G130" s="176"/>
      <c r="H130" s="17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6.5" customHeight="1">
      <c r="A131" s="1"/>
      <c r="B131" s="339"/>
      <c r="C131" s="1"/>
      <c r="D131" s="1"/>
      <c r="E131" s="1"/>
      <c r="F131" s="1"/>
      <c r="G131" s="176"/>
      <c r="H131" s="17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6.5" customHeight="1">
      <c r="A132" s="1"/>
      <c r="B132" s="339"/>
      <c r="C132" s="1"/>
      <c r="D132" s="1"/>
      <c r="E132" s="1"/>
      <c r="F132" s="1"/>
      <c r="G132" s="176"/>
      <c r="H132" s="17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6.5" customHeight="1">
      <c r="A133" s="1"/>
      <c r="B133" s="339"/>
      <c r="C133" s="1"/>
      <c r="D133" s="1"/>
      <c r="E133" s="1"/>
      <c r="F133" s="1"/>
      <c r="G133" s="176"/>
      <c r="H133" s="17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6.5" customHeight="1">
      <c r="A134" s="1"/>
      <c r="B134" s="339"/>
      <c r="C134" s="1"/>
      <c r="D134" s="1"/>
      <c r="E134" s="1"/>
      <c r="F134" s="1"/>
      <c r="G134" s="176"/>
      <c r="H134" s="17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6.5" customHeight="1">
      <c r="A135" s="1"/>
      <c r="B135" s="339"/>
      <c r="C135" s="1"/>
      <c r="D135" s="1"/>
      <c r="E135" s="1"/>
      <c r="F135" s="1"/>
      <c r="G135" s="176"/>
      <c r="H135" s="17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6.5" customHeight="1">
      <c r="A136" s="1"/>
      <c r="B136" s="339"/>
      <c r="C136" s="1"/>
      <c r="D136" s="1"/>
      <c r="E136" s="1"/>
      <c r="F136" s="1"/>
      <c r="G136" s="176"/>
      <c r="H136" s="17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6.5" customHeight="1">
      <c r="A137" s="1"/>
      <c r="B137" s="339"/>
      <c r="C137" s="1"/>
      <c r="D137" s="1"/>
      <c r="E137" s="1"/>
      <c r="F137" s="1"/>
      <c r="G137" s="176"/>
      <c r="H137" s="17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6.5" customHeight="1">
      <c r="A138" s="1"/>
      <c r="B138" s="339"/>
      <c r="C138" s="1"/>
      <c r="D138" s="1"/>
      <c r="E138" s="1"/>
      <c r="F138" s="1"/>
      <c r="G138" s="176"/>
      <c r="H138" s="17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6.5" customHeight="1">
      <c r="A139" s="1"/>
      <c r="B139" s="339"/>
      <c r="C139" s="1"/>
      <c r="D139" s="1"/>
      <c r="E139" s="1"/>
      <c r="F139" s="1"/>
      <c r="G139" s="176"/>
      <c r="H139" s="17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6.5" customHeight="1">
      <c r="A140" s="1"/>
      <c r="B140" s="339"/>
      <c r="C140" s="1"/>
      <c r="D140" s="1"/>
      <c r="E140" s="1"/>
      <c r="F140" s="1"/>
      <c r="G140" s="176"/>
      <c r="H140" s="17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6.5" customHeight="1">
      <c r="A141" s="1"/>
      <c r="B141" s="339"/>
      <c r="C141" s="1"/>
      <c r="D141" s="1"/>
      <c r="E141" s="1"/>
      <c r="F141" s="1"/>
      <c r="G141" s="176"/>
      <c r="H141" s="17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6.5" customHeight="1">
      <c r="A142" s="1"/>
      <c r="B142" s="339"/>
      <c r="C142" s="1"/>
      <c r="D142" s="1"/>
      <c r="E142" s="1"/>
      <c r="F142" s="1"/>
      <c r="G142" s="176"/>
      <c r="H142" s="17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6.5" customHeight="1">
      <c r="A143" s="1"/>
      <c r="B143" s="339"/>
      <c r="C143" s="1"/>
      <c r="D143" s="1"/>
      <c r="E143" s="1"/>
      <c r="F143" s="1"/>
      <c r="G143" s="176"/>
      <c r="H143" s="17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6.5" customHeight="1">
      <c r="A144" s="1"/>
      <c r="B144" s="339"/>
      <c r="C144" s="1"/>
      <c r="D144" s="1"/>
      <c r="E144" s="1"/>
      <c r="F144" s="1"/>
      <c r="G144" s="176"/>
      <c r="H144" s="17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6.5" customHeight="1">
      <c r="A145" s="1"/>
      <c r="B145" s="339"/>
      <c r="C145" s="1"/>
      <c r="D145" s="1"/>
      <c r="E145" s="1"/>
      <c r="F145" s="1"/>
      <c r="G145" s="176"/>
      <c r="H145" s="17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6.5" customHeight="1">
      <c r="A146" s="1"/>
      <c r="B146" s="339"/>
      <c r="C146" s="1"/>
      <c r="D146" s="1"/>
      <c r="E146" s="1"/>
      <c r="F146" s="1"/>
      <c r="G146" s="176"/>
      <c r="H146" s="17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6.5" customHeight="1">
      <c r="A147" s="1"/>
      <c r="B147" s="339"/>
      <c r="C147" s="1"/>
      <c r="D147" s="1"/>
      <c r="E147" s="1"/>
      <c r="F147" s="1"/>
      <c r="G147" s="176"/>
      <c r="H147" s="17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6.5" customHeight="1">
      <c r="A148" s="1"/>
      <c r="B148" s="339"/>
      <c r="C148" s="1"/>
      <c r="D148" s="1"/>
      <c r="E148" s="1"/>
      <c r="F148" s="1"/>
      <c r="G148" s="176"/>
      <c r="H148" s="17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6.5" customHeight="1">
      <c r="A149" s="1"/>
      <c r="B149" s="339"/>
      <c r="C149" s="1"/>
      <c r="D149" s="1"/>
      <c r="E149" s="1"/>
      <c r="F149" s="1"/>
      <c r="G149" s="176"/>
      <c r="H149" s="17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6.5" customHeight="1">
      <c r="A150" s="1"/>
      <c r="B150" s="339"/>
      <c r="C150" s="1"/>
      <c r="D150" s="1"/>
      <c r="E150" s="1"/>
      <c r="F150" s="1"/>
      <c r="G150" s="176"/>
      <c r="H150" s="17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6.5" customHeight="1">
      <c r="A151" s="1"/>
      <c r="B151" s="339"/>
      <c r="C151" s="1"/>
      <c r="D151" s="1"/>
      <c r="E151" s="1"/>
      <c r="F151" s="1"/>
      <c r="G151" s="176"/>
      <c r="H151" s="17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6.5" customHeight="1">
      <c r="A152" s="1"/>
      <c r="B152" s="339"/>
      <c r="C152" s="1"/>
      <c r="D152" s="1"/>
      <c r="E152" s="1"/>
      <c r="F152" s="1"/>
      <c r="G152" s="176"/>
      <c r="H152" s="17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6.5" customHeight="1">
      <c r="A153" s="1"/>
      <c r="B153" s="339"/>
      <c r="C153" s="1"/>
      <c r="D153" s="1"/>
      <c r="E153" s="1"/>
      <c r="F153" s="1"/>
      <c r="G153" s="176"/>
      <c r="H153" s="17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6.5" customHeight="1">
      <c r="A154" s="1"/>
      <c r="B154" s="339"/>
      <c r="C154" s="1"/>
      <c r="D154" s="1"/>
      <c r="E154" s="1"/>
      <c r="F154" s="1"/>
      <c r="G154" s="176"/>
      <c r="H154" s="17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6.5" customHeight="1">
      <c r="A155" s="1"/>
      <c r="B155" s="339"/>
      <c r="C155" s="1"/>
      <c r="D155" s="1"/>
      <c r="E155" s="1"/>
      <c r="F155" s="1"/>
      <c r="G155" s="176"/>
      <c r="H155" s="17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6.5" customHeight="1">
      <c r="A156" s="1"/>
      <c r="B156" s="339"/>
      <c r="C156" s="1"/>
      <c r="D156" s="1"/>
      <c r="E156" s="1"/>
      <c r="F156" s="1"/>
      <c r="G156" s="176"/>
      <c r="H156" s="17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6.5" customHeight="1">
      <c r="A157" s="1"/>
      <c r="B157" s="339"/>
      <c r="C157" s="1"/>
      <c r="D157" s="1"/>
      <c r="E157" s="1"/>
      <c r="F157" s="1"/>
      <c r="G157" s="176"/>
      <c r="H157" s="17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6.5" customHeight="1">
      <c r="A158" s="1"/>
      <c r="B158" s="339"/>
      <c r="C158" s="1"/>
      <c r="D158" s="1"/>
      <c r="E158" s="1"/>
      <c r="F158" s="1"/>
      <c r="G158" s="176"/>
      <c r="H158" s="17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6.5" customHeight="1">
      <c r="A159" s="1"/>
      <c r="B159" s="339"/>
      <c r="C159" s="1"/>
      <c r="D159" s="1"/>
      <c r="E159" s="1"/>
      <c r="F159" s="1"/>
      <c r="G159" s="176"/>
      <c r="H159" s="17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6.5" customHeight="1">
      <c r="A160" s="1"/>
      <c r="B160" s="339"/>
      <c r="C160" s="1"/>
      <c r="D160" s="1"/>
      <c r="E160" s="1"/>
      <c r="F160" s="1"/>
      <c r="G160" s="176"/>
      <c r="H160" s="17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6.5" customHeight="1">
      <c r="A161" s="1"/>
      <c r="B161" s="339"/>
      <c r="C161" s="1"/>
      <c r="D161" s="1"/>
      <c r="E161" s="1"/>
      <c r="F161" s="1"/>
      <c r="G161" s="176"/>
      <c r="H161" s="17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6.5" customHeight="1">
      <c r="A162" s="1"/>
      <c r="B162" s="339"/>
      <c r="C162" s="1"/>
      <c r="D162" s="1"/>
      <c r="E162" s="1"/>
      <c r="F162" s="1"/>
      <c r="G162" s="176"/>
      <c r="H162" s="17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6.5" customHeight="1">
      <c r="A163" s="1"/>
      <c r="B163" s="339"/>
      <c r="C163" s="1"/>
      <c r="D163" s="1"/>
      <c r="E163" s="1"/>
      <c r="F163" s="1"/>
      <c r="G163" s="176"/>
      <c r="H163" s="17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6.5" customHeight="1">
      <c r="A164" s="1"/>
      <c r="B164" s="339"/>
      <c r="C164" s="1"/>
      <c r="D164" s="1"/>
      <c r="E164" s="1"/>
      <c r="F164" s="1"/>
      <c r="G164" s="176"/>
      <c r="H164" s="17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6.5" customHeight="1">
      <c r="A165" s="1"/>
      <c r="B165" s="339"/>
      <c r="C165" s="1"/>
      <c r="D165" s="1"/>
      <c r="E165" s="1"/>
      <c r="F165" s="1"/>
      <c r="G165" s="176"/>
      <c r="H165" s="17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6.5" customHeight="1">
      <c r="A166" s="1"/>
      <c r="B166" s="339"/>
      <c r="C166" s="1"/>
      <c r="D166" s="1"/>
      <c r="E166" s="1"/>
      <c r="F166" s="1"/>
      <c r="G166" s="176"/>
      <c r="H166" s="17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6.5" customHeight="1">
      <c r="A167" s="1"/>
      <c r="B167" s="339"/>
      <c r="C167" s="1"/>
      <c r="D167" s="1"/>
      <c r="E167" s="1"/>
      <c r="F167" s="1"/>
      <c r="G167" s="176"/>
      <c r="H167" s="17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6.5" customHeight="1">
      <c r="A168" s="1"/>
      <c r="B168" s="339"/>
      <c r="C168" s="1"/>
      <c r="D168" s="1"/>
      <c r="E168" s="1"/>
      <c r="F168" s="1"/>
      <c r="G168" s="176"/>
      <c r="H168" s="17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6.5" customHeight="1">
      <c r="A169" s="1"/>
      <c r="B169" s="339"/>
      <c r="C169" s="1"/>
      <c r="D169" s="1"/>
      <c r="E169" s="1"/>
      <c r="F169" s="1"/>
      <c r="G169" s="176"/>
      <c r="H169" s="17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6.5" customHeight="1">
      <c r="A170" s="1"/>
      <c r="B170" s="339"/>
      <c r="C170" s="1"/>
      <c r="D170" s="1"/>
      <c r="E170" s="1"/>
      <c r="F170" s="1"/>
      <c r="G170" s="176"/>
      <c r="H170" s="17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6.5" customHeight="1">
      <c r="A171" s="1"/>
      <c r="B171" s="339"/>
      <c r="C171" s="1"/>
      <c r="D171" s="1"/>
      <c r="E171" s="1"/>
      <c r="F171" s="1"/>
      <c r="G171" s="176"/>
      <c r="H171" s="17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6.5" customHeight="1">
      <c r="A172" s="1"/>
      <c r="B172" s="339"/>
      <c r="C172" s="1"/>
      <c r="D172" s="1"/>
      <c r="E172" s="1"/>
      <c r="F172" s="1"/>
      <c r="G172" s="176"/>
      <c r="H172" s="17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6.5" customHeight="1">
      <c r="A173" s="1"/>
      <c r="B173" s="339"/>
      <c r="C173" s="1"/>
      <c r="D173" s="1"/>
      <c r="E173" s="1"/>
      <c r="F173" s="1"/>
      <c r="G173" s="176"/>
      <c r="H173" s="17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6.5" customHeight="1">
      <c r="A174" s="1"/>
      <c r="B174" s="339"/>
      <c r="C174" s="1"/>
      <c r="D174" s="1"/>
      <c r="E174" s="1"/>
      <c r="F174" s="1"/>
      <c r="G174" s="176"/>
      <c r="H174" s="17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6.5" customHeight="1">
      <c r="A175" s="1"/>
      <c r="B175" s="339"/>
      <c r="C175" s="1"/>
      <c r="D175" s="1"/>
      <c r="E175" s="1"/>
      <c r="F175" s="1"/>
      <c r="G175" s="176"/>
      <c r="H175" s="17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6.5" customHeight="1">
      <c r="A176" s="1"/>
      <c r="B176" s="339"/>
      <c r="C176" s="1"/>
      <c r="D176" s="1"/>
      <c r="E176" s="1"/>
      <c r="F176" s="1"/>
      <c r="G176" s="176"/>
      <c r="H176" s="17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6.5" customHeight="1">
      <c r="A177" s="1"/>
      <c r="B177" s="339"/>
      <c r="C177" s="1"/>
      <c r="D177" s="1"/>
      <c r="E177" s="1"/>
      <c r="F177" s="1"/>
      <c r="G177" s="176"/>
      <c r="H177" s="17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6.5" customHeight="1">
      <c r="A178" s="1"/>
      <c r="B178" s="339"/>
      <c r="C178" s="1"/>
      <c r="D178" s="1"/>
      <c r="E178" s="1"/>
      <c r="F178" s="1"/>
      <c r="G178" s="176"/>
      <c r="H178" s="17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6.5" customHeight="1">
      <c r="A179" s="1"/>
      <c r="B179" s="339"/>
      <c r="C179" s="1"/>
      <c r="D179" s="1"/>
      <c r="E179" s="1"/>
      <c r="F179" s="1"/>
      <c r="G179" s="176"/>
      <c r="H179" s="17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6.5" customHeight="1">
      <c r="A180" s="1"/>
      <c r="B180" s="339"/>
      <c r="C180" s="1"/>
      <c r="D180" s="1"/>
      <c r="E180" s="1"/>
      <c r="F180" s="1"/>
      <c r="G180" s="176"/>
      <c r="H180" s="17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6.5" customHeight="1">
      <c r="A181" s="1"/>
      <c r="B181" s="339"/>
      <c r="C181" s="1"/>
      <c r="D181" s="1"/>
      <c r="E181" s="1"/>
      <c r="F181" s="1"/>
      <c r="G181" s="176"/>
      <c r="H181" s="17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6.5" customHeight="1">
      <c r="A182" s="1"/>
      <c r="B182" s="339"/>
      <c r="C182" s="1"/>
      <c r="D182" s="1"/>
      <c r="E182" s="1"/>
      <c r="F182" s="1"/>
      <c r="G182" s="176"/>
      <c r="H182" s="17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6.5" customHeight="1">
      <c r="A183" s="1"/>
      <c r="B183" s="339"/>
      <c r="C183" s="1"/>
      <c r="D183" s="1"/>
      <c r="E183" s="1"/>
      <c r="F183" s="1"/>
      <c r="G183" s="176"/>
      <c r="H183" s="17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6.5" customHeight="1">
      <c r="A184" s="1"/>
      <c r="B184" s="339"/>
      <c r="C184" s="1"/>
      <c r="D184" s="1"/>
      <c r="E184" s="1"/>
      <c r="F184" s="1"/>
      <c r="G184" s="176"/>
      <c r="H184" s="17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6.5" customHeight="1">
      <c r="A185" s="1"/>
      <c r="B185" s="339"/>
      <c r="C185" s="1"/>
      <c r="D185" s="1"/>
      <c r="E185" s="1"/>
      <c r="F185" s="1"/>
      <c r="G185" s="176"/>
      <c r="H185" s="17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6.5" customHeight="1">
      <c r="A186" s="1"/>
      <c r="B186" s="339"/>
      <c r="C186" s="1"/>
      <c r="D186" s="1"/>
      <c r="E186" s="1"/>
      <c r="F186" s="1"/>
      <c r="G186" s="176"/>
      <c r="H186" s="17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6.5" customHeight="1">
      <c r="A187" s="1"/>
      <c r="B187" s="339"/>
      <c r="C187" s="1"/>
      <c r="D187" s="1"/>
      <c r="E187" s="1"/>
      <c r="F187" s="1"/>
      <c r="G187" s="176"/>
      <c r="H187" s="17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6.5" customHeight="1">
      <c r="A188" s="1"/>
      <c r="B188" s="339"/>
      <c r="C188" s="1"/>
      <c r="D188" s="1"/>
      <c r="E188" s="1"/>
      <c r="F188" s="1"/>
      <c r="G188" s="176"/>
      <c r="H188" s="17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6.5" customHeight="1">
      <c r="A189" s="1"/>
      <c r="B189" s="339"/>
      <c r="C189" s="1"/>
      <c r="D189" s="1"/>
      <c r="E189" s="1"/>
      <c r="F189" s="1"/>
      <c r="G189" s="176"/>
      <c r="H189" s="17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6.5" customHeight="1">
      <c r="A190" s="1"/>
      <c r="B190" s="339"/>
      <c r="C190" s="1"/>
      <c r="D190" s="1"/>
      <c r="E190" s="1"/>
      <c r="F190" s="1"/>
      <c r="G190" s="176"/>
      <c r="H190" s="17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6.5" customHeight="1">
      <c r="A191" s="1"/>
      <c r="B191" s="339"/>
      <c r="C191" s="1"/>
      <c r="D191" s="1"/>
      <c r="E191" s="1"/>
      <c r="F191" s="1"/>
      <c r="G191" s="176"/>
      <c r="H191" s="17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6.5" customHeight="1">
      <c r="A192" s="1"/>
      <c r="B192" s="339"/>
      <c r="C192" s="1"/>
      <c r="D192" s="1"/>
      <c r="E192" s="1"/>
      <c r="F192" s="1"/>
      <c r="G192" s="176"/>
      <c r="H192" s="17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6.5" customHeight="1">
      <c r="A193" s="1"/>
      <c r="B193" s="339"/>
      <c r="C193" s="1"/>
      <c r="D193" s="1"/>
      <c r="E193" s="1"/>
      <c r="F193" s="1"/>
      <c r="G193" s="176"/>
      <c r="H193" s="17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6.5" customHeight="1">
      <c r="A194" s="1"/>
      <c r="B194" s="339"/>
      <c r="C194" s="1"/>
      <c r="D194" s="1"/>
      <c r="E194" s="1"/>
      <c r="F194" s="1"/>
      <c r="G194" s="176"/>
      <c r="H194" s="17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6.5" customHeight="1">
      <c r="A195" s="1"/>
      <c r="B195" s="339"/>
      <c r="C195" s="1"/>
      <c r="D195" s="1"/>
      <c r="E195" s="1"/>
      <c r="F195" s="1"/>
      <c r="G195" s="176"/>
      <c r="H195" s="17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6.5" customHeight="1">
      <c r="A196" s="1"/>
      <c r="B196" s="339"/>
      <c r="C196" s="1"/>
      <c r="D196" s="1"/>
      <c r="E196" s="1"/>
      <c r="F196" s="1"/>
      <c r="G196" s="176"/>
      <c r="H196" s="17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6.5" customHeight="1">
      <c r="A197" s="1"/>
      <c r="B197" s="339"/>
      <c r="C197" s="1"/>
      <c r="D197" s="1"/>
      <c r="E197" s="1"/>
      <c r="F197" s="1"/>
      <c r="G197" s="176"/>
      <c r="H197" s="17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6.5" customHeight="1">
      <c r="A198" s="1"/>
      <c r="B198" s="339"/>
      <c r="C198" s="1"/>
      <c r="D198" s="1"/>
      <c r="E198" s="1"/>
      <c r="F198" s="1"/>
      <c r="G198" s="176"/>
      <c r="H198" s="17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6.5" customHeight="1">
      <c r="A199" s="1"/>
      <c r="B199" s="339"/>
      <c r="C199" s="1"/>
      <c r="D199" s="1"/>
      <c r="E199" s="1"/>
      <c r="F199" s="1"/>
      <c r="G199" s="176"/>
      <c r="H199" s="17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6.5" customHeight="1">
      <c r="A200" s="1"/>
      <c r="B200" s="339"/>
      <c r="C200" s="1"/>
      <c r="D200" s="1"/>
      <c r="E200" s="1"/>
      <c r="F200" s="1"/>
      <c r="G200" s="176"/>
      <c r="H200" s="17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6.5" customHeight="1">
      <c r="A201" s="1"/>
      <c r="B201" s="339"/>
      <c r="C201" s="1"/>
      <c r="D201" s="1"/>
      <c r="E201" s="1"/>
      <c r="F201" s="1"/>
      <c r="G201" s="176"/>
      <c r="H201" s="17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6.5" customHeight="1">
      <c r="A202" s="1"/>
      <c r="B202" s="339"/>
      <c r="C202" s="1"/>
      <c r="D202" s="1"/>
      <c r="E202" s="1"/>
      <c r="F202" s="1"/>
      <c r="G202" s="176"/>
      <c r="H202" s="17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6.5" customHeight="1">
      <c r="A203" s="1"/>
      <c r="B203" s="339"/>
      <c r="C203" s="1"/>
      <c r="D203" s="1"/>
      <c r="E203" s="1"/>
      <c r="F203" s="1"/>
      <c r="G203" s="176"/>
      <c r="H203" s="17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6.5" customHeight="1">
      <c r="A204" s="1"/>
      <c r="B204" s="339"/>
      <c r="C204" s="1"/>
      <c r="D204" s="1"/>
      <c r="E204" s="1"/>
      <c r="F204" s="1"/>
      <c r="G204" s="176"/>
      <c r="H204" s="17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6.5" customHeight="1">
      <c r="A205" s="1"/>
      <c r="B205" s="339"/>
      <c r="C205" s="1"/>
      <c r="D205" s="1"/>
      <c r="E205" s="1"/>
      <c r="F205" s="1"/>
      <c r="G205" s="176"/>
      <c r="H205" s="17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6.5" customHeight="1">
      <c r="A206" s="1"/>
      <c r="B206" s="339"/>
      <c r="C206" s="1"/>
      <c r="D206" s="1"/>
      <c r="E206" s="1"/>
      <c r="F206" s="1"/>
      <c r="G206" s="176"/>
      <c r="H206" s="17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6.5" customHeight="1">
      <c r="A207" s="1"/>
      <c r="B207" s="339"/>
      <c r="C207" s="1"/>
      <c r="D207" s="1"/>
      <c r="E207" s="1"/>
      <c r="F207" s="1"/>
      <c r="G207" s="176"/>
      <c r="H207" s="17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6.5" customHeight="1">
      <c r="A208" s="1"/>
      <c r="B208" s="339"/>
      <c r="C208" s="1"/>
      <c r="D208" s="1"/>
      <c r="E208" s="1"/>
      <c r="F208" s="1"/>
      <c r="G208" s="176"/>
      <c r="H208" s="17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6.5" customHeight="1">
      <c r="A209" s="1"/>
      <c r="B209" s="339"/>
      <c r="C209" s="1"/>
      <c r="D209" s="1"/>
      <c r="E209" s="1"/>
      <c r="F209" s="1"/>
      <c r="G209" s="176"/>
      <c r="H209" s="17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6.5" customHeight="1">
      <c r="A210" s="1"/>
      <c r="B210" s="339"/>
      <c r="C210" s="1"/>
      <c r="D210" s="1"/>
      <c r="E210" s="1"/>
      <c r="F210" s="1"/>
      <c r="G210" s="176"/>
      <c r="H210" s="17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6.5" customHeight="1">
      <c r="A211" s="1"/>
      <c r="B211" s="339"/>
      <c r="C211" s="1"/>
      <c r="D211" s="1"/>
      <c r="E211" s="1"/>
      <c r="F211" s="1"/>
      <c r="G211" s="176"/>
      <c r="H211" s="17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6.5" customHeight="1">
      <c r="A212" s="1"/>
      <c r="B212" s="339"/>
      <c r="C212" s="1"/>
      <c r="D212" s="1"/>
      <c r="E212" s="1"/>
      <c r="F212" s="1"/>
      <c r="G212" s="176"/>
      <c r="H212" s="17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6.5" customHeight="1">
      <c r="A213" s="1"/>
      <c r="B213" s="339"/>
      <c r="C213" s="1"/>
      <c r="D213" s="1"/>
      <c r="E213" s="1"/>
      <c r="F213" s="1"/>
      <c r="G213" s="176"/>
      <c r="H213" s="17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6.5" customHeight="1">
      <c r="A214" s="1"/>
      <c r="B214" s="339"/>
      <c r="C214" s="1"/>
      <c r="D214" s="1"/>
      <c r="E214" s="1"/>
      <c r="F214" s="1"/>
      <c r="G214" s="176"/>
      <c r="H214" s="17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6.5" customHeight="1">
      <c r="A215" s="1"/>
      <c r="B215" s="339"/>
      <c r="C215" s="1"/>
      <c r="D215" s="1"/>
      <c r="E215" s="1"/>
      <c r="F215" s="1"/>
      <c r="G215" s="176"/>
      <c r="H215" s="17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6.5" customHeight="1">
      <c r="A216" s="1"/>
      <c r="B216" s="339"/>
      <c r="C216" s="1"/>
      <c r="D216" s="1"/>
      <c r="E216" s="1"/>
      <c r="F216" s="1"/>
      <c r="G216" s="176"/>
      <c r="H216" s="17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6.5" customHeight="1">
      <c r="A217" s="1"/>
      <c r="B217" s="339"/>
      <c r="C217" s="1"/>
      <c r="D217" s="1"/>
      <c r="E217" s="1"/>
      <c r="F217" s="1"/>
      <c r="G217" s="176"/>
      <c r="H217" s="17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6.5" customHeight="1">
      <c r="A218" s="1"/>
      <c r="B218" s="339"/>
      <c r="C218" s="1"/>
      <c r="D218" s="1"/>
      <c r="E218" s="1"/>
      <c r="F218" s="1"/>
      <c r="G218" s="176"/>
      <c r="H218" s="17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6.5" customHeight="1">
      <c r="A219" s="1"/>
      <c r="B219" s="339"/>
      <c r="C219" s="1"/>
      <c r="D219" s="1"/>
      <c r="E219" s="1"/>
      <c r="F219" s="1"/>
      <c r="G219" s="176"/>
      <c r="H219" s="17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6.5" customHeight="1">
      <c r="A220" s="1"/>
      <c r="B220" s="339"/>
      <c r="C220" s="1"/>
      <c r="D220" s="1"/>
      <c r="E220" s="1"/>
      <c r="F220" s="1"/>
      <c r="G220" s="176"/>
      <c r="H220" s="17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6.5" customHeight="1">
      <c r="A221" s="1"/>
      <c r="B221" s="339"/>
      <c r="C221" s="1"/>
      <c r="D221" s="1"/>
      <c r="E221" s="1"/>
      <c r="F221" s="1"/>
      <c r="G221" s="176"/>
      <c r="H221" s="17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6.5" customHeight="1">
      <c r="A222" s="1"/>
      <c r="B222" s="339"/>
      <c r="C222" s="1"/>
      <c r="D222" s="1"/>
      <c r="E222" s="1"/>
      <c r="F222" s="1"/>
      <c r="G222" s="176"/>
      <c r="H222" s="17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6.5" customHeight="1">
      <c r="A223" s="1"/>
      <c r="B223" s="339"/>
      <c r="C223" s="1"/>
      <c r="D223" s="1"/>
      <c r="E223" s="1"/>
      <c r="F223" s="1"/>
      <c r="G223" s="176"/>
      <c r="H223" s="17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339"/>
      <c r="C224" s="1"/>
      <c r="D224" s="1"/>
      <c r="E224" s="1"/>
      <c r="F224" s="1"/>
      <c r="G224" s="176"/>
      <c r="H224" s="17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339"/>
      <c r="C225" s="1"/>
      <c r="D225" s="1"/>
      <c r="E225" s="1"/>
      <c r="F225" s="1"/>
      <c r="G225" s="176"/>
      <c r="H225" s="17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339"/>
      <c r="C226" s="1"/>
      <c r="D226" s="1"/>
      <c r="E226" s="1"/>
      <c r="F226" s="1"/>
      <c r="G226" s="176"/>
      <c r="H226" s="17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339"/>
      <c r="C227" s="1"/>
      <c r="D227" s="1"/>
      <c r="E227" s="1"/>
      <c r="F227" s="1"/>
      <c r="G227" s="176"/>
      <c r="H227" s="17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339"/>
      <c r="C228" s="1"/>
      <c r="D228" s="1"/>
      <c r="E228" s="1"/>
      <c r="F228" s="1"/>
      <c r="G228" s="176"/>
      <c r="H228" s="17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33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33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33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33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33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33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33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N236" s="73"/>
    </row>
    <row r="237" spans="1:28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N237" s="73"/>
    </row>
    <row r="238" spans="1:2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N238" s="73"/>
    </row>
    <row r="239" spans="1:28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N239" s="73"/>
    </row>
    <row r="240" spans="1:28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N240" s="73"/>
    </row>
    <row r="241" spans="1:14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N241" s="73"/>
    </row>
    <row r="242" spans="1:14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N242" s="73"/>
    </row>
    <row r="243" spans="1:14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N243" s="73"/>
    </row>
    <row r="244" spans="1:1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N244" s="73"/>
    </row>
    <row r="245" spans="1:14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N245" s="73"/>
    </row>
    <row r="246" spans="1:14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N246" s="73"/>
    </row>
    <row r="247" spans="1:14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N247" s="73"/>
    </row>
    <row r="248" spans="1:14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N248" s="73"/>
    </row>
    <row r="249" spans="1:14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N249" s="73"/>
    </row>
    <row r="250" spans="1:14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N250" s="73"/>
    </row>
    <row r="251" spans="1:14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N251" s="73"/>
    </row>
    <row r="252" spans="1:14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N252" s="73"/>
    </row>
    <row r="253" spans="1:14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N253" s="73"/>
    </row>
    <row r="254" spans="1:1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N254" s="73"/>
    </row>
    <row r="255" spans="1:14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N255" s="73"/>
    </row>
    <row r="256" spans="1:14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N256" s="73"/>
    </row>
    <row r="257" spans="1:14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N257" s="73"/>
    </row>
    <row r="258" spans="1:14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N258" s="73"/>
    </row>
    <row r="259" spans="1:14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N259" s="73"/>
    </row>
    <row r="260" spans="1:14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N260" s="73"/>
    </row>
    <row r="261" spans="1:14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N261" s="73"/>
    </row>
    <row r="262" spans="1:14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N262" s="73"/>
    </row>
    <row r="263" spans="1:14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N263" s="73"/>
    </row>
    <row r="264" spans="1:1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N264" s="73"/>
    </row>
    <row r="265" spans="1:14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N265" s="73"/>
    </row>
    <row r="266" spans="1:14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N266" s="73"/>
    </row>
    <row r="267" spans="1:14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N267" s="73"/>
    </row>
    <row r="268" spans="1:14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N268" s="73"/>
    </row>
    <row r="269" spans="1:14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N269" s="73"/>
    </row>
    <row r="270" spans="1:14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N270" s="73"/>
    </row>
    <row r="271" spans="1:14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N271" s="73"/>
    </row>
    <row r="272" spans="1:14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N272" s="73"/>
    </row>
    <row r="273" spans="1:14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N273" s="73"/>
    </row>
    <row r="274" spans="1:1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N274" s="73"/>
    </row>
    <row r="275" spans="1:14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N275" s="73"/>
    </row>
    <row r="276" spans="1:14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N276" s="73"/>
    </row>
    <row r="277" spans="1:14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N277" s="73"/>
    </row>
    <row r="278" spans="1:14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N278" s="73"/>
    </row>
    <row r="279" spans="1:14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N279" s="73"/>
    </row>
    <row r="280" spans="1:14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N280" s="73"/>
    </row>
    <row r="281" spans="1:14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N281" s="73"/>
    </row>
    <row r="282" spans="1:14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N282" s="73"/>
    </row>
    <row r="283" spans="1:14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N283" s="73"/>
    </row>
    <row r="284" spans="1:1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N284" s="73"/>
    </row>
    <row r="285" spans="1:14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N285" s="73"/>
    </row>
    <row r="286" spans="1:14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N286" s="73"/>
    </row>
    <row r="287" spans="1:14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N287" s="73"/>
    </row>
    <row r="288" spans="1:14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N288" s="73"/>
    </row>
    <row r="289" spans="1:14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N289" s="73"/>
    </row>
    <row r="290" spans="1:14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N290" s="73"/>
    </row>
    <row r="291" spans="1:14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N291" s="73"/>
    </row>
    <row r="292" spans="1:14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N292" s="73"/>
    </row>
    <row r="293" spans="1:14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N293" s="73"/>
    </row>
    <row r="294" spans="1:1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N294" s="73"/>
    </row>
    <row r="295" spans="1:14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N295" s="73"/>
    </row>
    <row r="296" spans="1:14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N296" s="73"/>
    </row>
    <row r="297" spans="1:14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N297" s="73"/>
    </row>
    <row r="298" spans="1:14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N298" s="73"/>
    </row>
    <row r="299" spans="1:14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N299" s="73"/>
    </row>
    <row r="300" spans="1:14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N300" s="73"/>
    </row>
    <row r="301" spans="1:14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N301" s="73"/>
    </row>
    <row r="302" spans="1:14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N302" s="73"/>
    </row>
    <row r="303" spans="1:14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N303" s="73"/>
    </row>
    <row r="304" spans="1:1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N304" s="73"/>
    </row>
    <row r="305" spans="1:14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N305" s="73"/>
    </row>
    <row r="306" spans="1:14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N306" s="73"/>
    </row>
    <row r="307" spans="1:14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N307" s="73"/>
    </row>
    <row r="308" spans="1:14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N308" s="73"/>
    </row>
    <row r="309" spans="1:14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N309" s="73"/>
    </row>
    <row r="310" spans="1:14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N310" s="73"/>
    </row>
    <row r="311" spans="1:14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N311" s="73"/>
    </row>
    <row r="312" spans="1:14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N312" s="73"/>
    </row>
    <row r="313" spans="1:14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N313" s="73"/>
    </row>
    <row r="314" spans="1: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N314" s="73"/>
    </row>
    <row r="315" spans="1:14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N315" s="73"/>
    </row>
    <row r="316" spans="1:14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N316" s="73"/>
    </row>
    <row r="317" spans="1:14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N317" s="73"/>
    </row>
    <row r="318" spans="1:14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N318" s="73"/>
    </row>
    <row r="319" spans="1:14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N319" s="73"/>
    </row>
    <row r="320" spans="1:14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N320" s="73"/>
    </row>
    <row r="321" spans="1:14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N321" s="73"/>
    </row>
    <row r="322" spans="1:14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N322" s="73"/>
    </row>
    <row r="323" spans="1:14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N323" s="73"/>
    </row>
    <row r="324" spans="1:1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N324" s="73"/>
    </row>
    <row r="325" spans="1:14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N325" s="73"/>
    </row>
    <row r="326" spans="1:14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N326" s="73"/>
    </row>
    <row r="327" spans="1:14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N327" s="73"/>
    </row>
    <row r="328" spans="1:14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N328" s="73"/>
    </row>
    <row r="329" spans="1:14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N329" s="73"/>
    </row>
    <row r="330" spans="1:14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N330" s="73"/>
    </row>
    <row r="331" spans="1:14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N331" s="73"/>
    </row>
    <row r="332" spans="1:14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N332" s="73"/>
    </row>
    <row r="333" spans="1:14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N333" s="73"/>
    </row>
    <row r="334" spans="1:1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N334" s="73"/>
    </row>
    <row r="335" spans="1:14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N335" s="73"/>
    </row>
    <row r="336" spans="1:14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N336" s="73"/>
    </row>
    <row r="337" spans="1:14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N337" s="73"/>
    </row>
    <row r="338" spans="1:14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N338" s="73"/>
    </row>
    <row r="339" spans="1:14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N339" s="73"/>
    </row>
    <row r="340" spans="1:14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N340" s="73"/>
    </row>
    <row r="341" spans="1:14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N341" s="73"/>
    </row>
    <row r="342" spans="1:14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N342" s="73"/>
    </row>
    <row r="343" spans="1:14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N343" s="73"/>
    </row>
    <row r="344" spans="1:1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N344" s="73"/>
    </row>
    <row r="345" spans="1:14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N345" s="73"/>
    </row>
    <row r="346" spans="1:14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N346" s="73"/>
    </row>
    <row r="347" spans="1:14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N347" s="73"/>
    </row>
    <row r="348" spans="1:14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N348" s="73"/>
    </row>
    <row r="349" spans="1:14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N349" s="73"/>
    </row>
    <row r="350" spans="1:14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N350" s="73"/>
    </row>
    <row r="351" spans="1:14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N351" s="73"/>
    </row>
    <row r="352" spans="1:14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N352" s="73"/>
    </row>
    <row r="353" spans="1:14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N353" s="73"/>
    </row>
    <row r="354" spans="1:1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N354" s="73"/>
    </row>
    <row r="355" spans="1:14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N355" s="73"/>
    </row>
    <row r="356" spans="1:14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N356" s="73"/>
    </row>
    <row r="357" spans="1:14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N357" s="73"/>
    </row>
    <row r="358" spans="1:14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N358" s="73"/>
    </row>
    <row r="359" spans="1:14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N359" s="73"/>
    </row>
    <row r="360" spans="1:14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N360" s="73"/>
    </row>
    <row r="361" spans="1:14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N361" s="73"/>
    </row>
    <row r="362" spans="1:14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N362" s="73"/>
    </row>
    <row r="363" spans="1:14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N363" s="73"/>
    </row>
    <row r="364" spans="1:1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N364" s="73"/>
    </row>
    <row r="365" spans="1:14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N365" s="73"/>
    </row>
    <row r="366" spans="1:14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N366" s="73"/>
    </row>
    <row r="367" spans="1:14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N367" s="73"/>
    </row>
    <row r="368" spans="1:14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N368" s="73"/>
    </row>
    <row r="369" spans="1:14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N369" s="73"/>
    </row>
    <row r="370" spans="1:14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N370" s="73"/>
    </row>
    <row r="371" spans="1:14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N371" s="73"/>
    </row>
    <row r="372" spans="1:14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N372" s="73"/>
    </row>
    <row r="373" spans="1:14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N373" s="73"/>
    </row>
    <row r="374" spans="1:1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N374" s="73"/>
    </row>
    <row r="375" spans="1:14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N375" s="73"/>
    </row>
    <row r="376" spans="1:14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N376" s="73"/>
    </row>
    <row r="377" spans="1:14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N377" s="73"/>
    </row>
    <row r="378" spans="1:14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N378" s="73"/>
    </row>
    <row r="379" spans="1:14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N379" s="73"/>
    </row>
    <row r="380" spans="1:14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N380" s="73"/>
    </row>
    <row r="381" spans="1:14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N381" s="73"/>
    </row>
    <row r="382" spans="1:14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N382" s="73"/>
    </row>
    <row r="383" spans="1:14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N383" s="73"/>
    </row>
    <row r="384" spans="1:1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N384" s="73"/>
    </row>
    <row r="385" spans="1:14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N385" s="73"/>
    </row>
    <row r="386" spans="1:14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N386" s="73"/>
    </row>
    <row r="387" spans="1:14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N387" s="73"/>
    </row>
    <row r="388" spans="1:14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N388" s="73"/>
    </row>
    <row r="389" spans="1:14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N389" s="73"/>
    </row>
    <row r="390" spans="1:14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N390" s="73"/>
    </row>
    <row r="391" spans="1:14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N391" s="73"/>
    </row>
    <row r="392" spans="1:14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N392" s="73"/>
    </row>
    <row r="393" spans="1:14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N393" s="73"/>
    </row>
    <row r="394" spans="1:1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N394" s="73"/>
    </row>
    <row r="395" spans="1:14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N395" s="73"/>
    </row>
    <row r="396" spans="1:14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N396" s="73"/>
    </row>
    <row r="397" spans="1:14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N397" s="73"/>
    </row>
    <row r="398" spans="1:14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N398" s="73"/>
    </row>
    <row r="399" spans="1:14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N399" s="73"/>
    </row>
    <row r="400" spans="1:14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N400" s="73"/>
    </row>
    <row r="401" spans="1:14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N401" s="73"/>
    </row>
    <row r="402" spans="1:14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N402" s="73"/>
    </row>
    <row r="403" spans="1:14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N403" s="73"/>
    </row>
    <row r="404" spans="1:1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N404" s="73"/>
    </row>
    <row r="405" spans="1:14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N405" s="73"/>
    </row>
    <row r="406" spans="1:14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N406" s="73"/>
    </row>
    <row r="407" spans="1:14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N407" s="73"/>
    </row>
    <row r="408" spans="1:14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N408" s="73"/>
    </row>
    <row r="409" spans="1:14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N409" s="73"/>
    </row>
    <row r="410" spans="1:14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N410" s="73"/>
    </row>
    <row r="411" spans="1:14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N411" s="73"/>
    </row>
    <row r="412" spans="1:14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N412" s="73"/>
    </row>
    <row r="413" spans="1:14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N413" s="73"/>
    </row>
    <row r="414" spans="1: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N414" s="73"/>
    </row>
    <row r="415" spans="1:14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N415" s="73"/>
    </row>
    <row r="416" spans="1:14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N416" s="73"/>
    </row>
    <row r="417" spans="1:14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N417" s="73"/>
    </row>
    <row r="418" spans="1:14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N418" s="73"/>
    </row>
    <row r="419" spans="1:14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N419" s="73"/>
    </row>
    <row r="420" spans="1:14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N420" s="73"/>
    </row>
    <row r="421" spans="1:14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N421" s="73"/>
    </row>
    <row r="422" spans="1:14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N422" s="73"/>
    </row>
    <row r="423" spans="1:14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N423" s="73"/>
    </row>
    <row r="424" spans="1:1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N424" s="73"/>
    </row>
    <row r="425" spans="1:14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N425" s="73"/>
    </row>
    <row r="426" spans="1:14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N426" s="73"/>
    </row>
    <row r="427" spans="1:14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N427" s="73"/>
    </row>
    <row r="428" spans="1:14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N428" s="73"/>
    </row>
    <row r="429" spans="1:14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N429" s="73"/>
    </row>
    <row r="430" spans="1:14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N430" s="73"/>
    </row>
    <row r="431" spans="1:14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N431" s="73"/>
    </row>
    <row r="432" spans="1:14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N432" s="73"/>
    </row>
    <row r="433" spans="1:14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N433" s="73"/>
    </row>
    <row r="434" spans="1:1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N434" s="73"/>
    </row>
    <row r="435" spans="1:14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N435" s="73"/>
    </row>
    <row r="436" spans="1:14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N436" s="73"/>
    </row>
    <row r="437" spans="1:14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N437" s="73"/>
    </row>
    <row r="438" spans="1:14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N438" s="73"/>
    </row>
    <row r="439" spans="1:14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N439" s="73"/>
    </row>
    <row r="440" spans="1:14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N440" s="73"/>
    </row>
    <row r="441" spans="1:14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N441" s="73"/>
    </row>
    <row r="442" spans="1:14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N442" s="73"/>
    </row>
    <row r="443" spans="1:14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N443" s="73"/>
    </row>
    <row r="444" spans="1:1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N444" s="73"/>
    </row>
    <row r="445" spans="1:14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N445" s="73"/>
    </row>
    <row r="446" spans="1:14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N446" s="73"/>
    </row>
    <row r="447" spans="1:14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N447" s="73"/>
    </row>
    <row r="448" spans="1:14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N448" s="73"/>
    </row>
    <row r="449" spans="1:14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N449" s="73"/>
    </row>
    <row r="450" spans="1:14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N450" s="73"/>
    </row>
    <row r="451" spans="1:14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N451" s="73"/>
    </row>
    <row r="452" spans="1:14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N452" s="73"/>
    </row>
    <row r="453" spans="1:14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N453" s="73"/>
    </row>
    <row r="454" spans="1:1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N454" s="73"/>
    </row>
    <row r="455" spans="1:14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N455" s="73"/>
    </row>
    <row r="456" spans="1:14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N456" s="73"/>
    </row>
    <row r="457" spans="1:14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N457" s="73"/>
    </row>
    <row r="458" spans="1:14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N458" s="73"/>
    </row>
    <row r="459" spans="1:14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N459" s="73"/>
    </row>
    <row r="460" spans="1:14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N460" s="73"/>
    </row>
    <row r="461" spans="1:14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N461" s="73"/>
    </row>
    <row r="462" spans="1:14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N462" s="73"/>
    </row>
    <row r="463" spans="1:14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N463" s="73"/>
    </row>
    <row r="464" spans="1:1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N464" s="73"/>
    </row>
    <row r="465" spans="1:14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N465" s="73"/>
    </row>
    <row r="466" spans="1:14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N466" s="73"/>
    </row>
    <row r="467" spans="1:14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N467" s="73"/>
    </row>
    <row r="468" spans="1:14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N468" s="73"/>
    </row>
    <row r="469" spans="1:14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N469" s="73"/>
    </row>
    <row r="470" spans="1:14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N470" s="73"/>
    </row>
    <row r="471" spans="1:14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N471" s="73"/>
    </row>
    <row r="472" spans="1:14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N472" s="73"/>
    </row>
    <row r="473" spans="1:14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N473" s="73"/>
    </row>
    <row r="474" spans="1:1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N474" s="73"/>
    </row>
    <row r="475" spans="1:14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N475" s="73"/>
    </row>
    <row r="476" spans="1:14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N476" s="73"/>
    </row>
    <row r="477" spans="1:14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N477" s="73"/>
    </row>
    <row r="478" spans="1:14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N478" s="73"/>
    </row>
    <row r="479" spans="1:14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N479" s="73"/>
    </row>
    <row r="480" spans="1:14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N480" s="73"/>
    </row>
    <row r="481" spans="1:14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N481" s="73"/>
    </row>
    <row r="482" spans="1:14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N482" s="73"/>
    </row>
    <row r="483" spans="1:14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N483" s="73"/>
    </row>
    <row r="484" spans="1:1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N484" s="73"/>
    </row>
    <row r="485" spans="1:14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N485" s="73"/>
    </row>
    <row r="486" spans="1:14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N486" s="73"/>
    </row>
    <row r="487" spans="1:14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N487" s="73"/>
    </row>
    <row r="488" spans="1:14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N488" s="73"/>
    </row>
    <row r="489" spans="1:14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N489" s="73"/>
    </row>
    <row r="490" spans="1:14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N490" s="73"/>
    </row>
    <row r="491" spans="1:14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N491" s="73"/>
    </row>
    <row r="492" spans="1:14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N492" s="73"/>
    </row>
    <row r="493" spans="1:14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N493" s="73"/>
    </row>
    <row r="494" spans="1:1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N494" s="73"/>
    </row>
    <row r="495" spans="1:14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N495" s="73"/>
    </row>
    <row r="496" spans="1:14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N496" s="73"/>
    </row>
    <row r="497" spans="1:14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N497" s="73"/>
    </row>
    <row r="498" spans="1:14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N498" s="73"/>
    </row>
    <row r="499" spans="1:14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N499" s="73"/>
    </row>
    <row r="500" spans="1:14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N500" s="73"/>
    </row>
    <row r="501" spans="1:14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N501" s="73"/>
    </row>
    <row r="502" spans="1:14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N502" s="73"/>
    </row>
    <row r="503" spans="1:14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N503" s="73"/>
    </row>
    <row r="504" spans="1:1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N504" s="73"/>
    </row>
    <row r="505" spans="1:14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N505" s="73"/>
    </row>
    <row r="506" spans="1:14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N506" s="73"/>
    </row>
    <row r="507" spans="1:14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N507" s="73"/>
    </row>
    <row r="508" spans="1:14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N508" s="73"/>
    </row>
    <row r="509" spans="1:14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N509" s="73"/>
    </row>
    <row r="510" spans="1:14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N510" s="73"/>
    </row>
    <row r="511" spans="1:14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N511" s="73"/>
    </row>
    <row r="512" spans="1:14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N512" s="73"/>
    </row>
    <row r="513" spans="1:14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N513" s="73"/>
    </row>
    <row r="514" spans="1: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N514" s="73"/>
    </row>
    <row r="515" spans="1:14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N515" s="73"/>
    </row>
    <row r="516" spans="1:14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N516" s="73"/>
    </row>
    <row r="517" spans="1:14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N517" s="73"/>
    </row>
    <row r="518" spans="1:14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N518" s="73"/>
    </row>
    <row r="519" spans="1:14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N519" s="73"/>
    </row>
    <row r="520" spans="1:14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N520" s="73"/>
    </row>
    <row r="521" spans="1:14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N521" s="73"/>
    </row>
    <row r="522" spans="1:14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N522" s="73"/>
    </row>
    <row r="523" spans="1:14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N523" s="73"/>
    </row>
    <row r="524" spans="1:1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N524" s="73"/>
    </row>
    <row r="525" spans="1:14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N525" s="73"/>
    </row>
    <row r="526" spans="1:14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N526" s="73"/>
    </row>
    <row r="527" spans="1:14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N527" s="73"/>
    </row>
    <row r="528" spans="1:14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N528" s="73"/>
    </row>
    <row r="529" spans="1:14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N529" s="73"/>
    </row>
    <row r="530" spans="1:14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N530" s="73"/>
    </row>
    <row r="531" spans="1:14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N531" s="73"/>
    </row>
    <row r="532" spans="1:14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N532" s="73"/>
    </row>
    <row r="533" spans="1:14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N533" s="73"/>
    </row>
    <row r="534" spans="1:1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N534" s="73"/>
    </row>
    <row r="535" spans="1:14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N535" s="73"/>
    </row>
    <row r="536" spans="1:14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N536" s="73"/>
    </row>
    <row r="537" spans="1:14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N537" s="73"/>
    </row>
    <row r="538" spans="1:14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N538" s="73"/>
    </row>
    <row r="539" spans="1:14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N539" s="73"/>
    </row>
    <row r="540" spans="1:14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N540" s="73"/>
    </row>
    <row r="541" spans="1:14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N541" s="73"/>
    </row>
    <row r="542" spans="1:14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N542" s="73"/>
    </row>
    <row r="543" spans="1:14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N543" s="73"/>
    </row>
    <row r="544" spans="1:1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N544" s="73"/>
    </row>
    <row r="545" spans="1:14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N545" s="73"/>
    </row>
    <row r="546" spans="1:14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N546" s="73"/>
    </row>
    <row r="547" spans="1:14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N547" s="73"/>
    </row>
    <row r="548" spans="1:14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N548" s="73"/>
    </row>
    <row r="549" spans="1:14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N549" s="73"/>
    </row>
    <row r="550" spans="1:14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N550" s="73"/>
    </row>
    <row r="551" spans="1:14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N551" s="73"/>
    </row>
    <row r="552" spans="1:14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N552" s="73"/>
    </row>
    <row r="553" spans="1:14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N553" s="73"/>
    </row>
    <row r="554" spans="1:1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N554" s="73"/>
    </row>
    <row r="555" spans="1:14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N555" s="73"/>
    </row>
    <row r="556" spans="1:14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N556" s="73"/>
    </row>
    <row r="557" spans="1:14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N557" s="73"/>
    </row>
    <row r="558" spans="1:14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N558" s="73"/>
    </row>
    <row r="559" spans="1:14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N559" s="73"/>
    </row>
    <row r="560" spans="1:14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N560" s="73"/>
    </row>
    <row r="561" spans="1:14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N561" s="73"/>
    </row>
    <row r="562" spans="1:14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N562" s="73"/>
    </row>
    <row r="563" spans="1:14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N563" s="73"/>
    </row>
    <row r="564" spans="1:1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N564" s="73"/>
    </row>
    <row r="565" spans="1:14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N565" s="73"/>
    </row>
    <row r="566" spans="1:14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N566" s="73"/>
    </row>
    <row r="567" spans="1:14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N567" s="73"/>
    </row>
    <row r="568" spans="1:14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N568" s="73"/>
    </row>
    <row r="569" spans="1:14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N569" s="73"/>
    </row>
    <row r="570" spans="1:14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N570" s="73"/>
    </row>
    <row r="571" spans="1:14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N571" s="73"/>
    </row>
    <row r="572" spans="1:14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N572" s="73"/>
    </row>
    <row r="573" spans="1:14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N573" s="73"/>
    </row>
    <row r="574" spans="1:1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N574" s="73"/>
    </row>
    <row r="575" spans="1:14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N575" s="73"/>
    </row>
    <row r="576" spans="1:14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N576" s="73"/>
    </row>
    <row r="577" spans="1:14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N577" s="73"/>
    </row>
    <row r="578" spans="1:14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N578" s="73"/>
    </row>
    <row r="579" spans="1:14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N579" s="73"/>
    </row>
    <row r="580" spans="1:14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N580" s="73"/>
    </row>
    <row r="581" spans="1:14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N581" s="73"/>
    </row>
    <row r="582" spans="1:14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N582" s="73"/>
    </row>
    <row r="583" spans="1:14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N583" s="73"/>
    </row>
    <row r="584" spans="1:1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N584" s="73"/>
    </row>
    <row r="585" spans="1:14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N585" s="73"/>
    </row>
    <row r="586" spans="1:14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N586" s="73"/>
    </row>
    <row r="587" spans="1:14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N587" s="73"/>
    </row>
    <row r="588" spans="1:14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N588" s="73"/>
    </row>
    <row r="589" spans="1:14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N589" s="73"/>
    </row>
    <row r="590" spans="1:14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N590" s="73"/>
    </row>
    <row r="591" spans="1:14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N591" s="73"/>
    </row>
    <row r="592" spans="1:14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N592" s="73"/>
    </row>
    <row r="593" spans="1:14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N593" s="73"/>
    </row>
    <row r="594" spans="1:1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N594" s="73"/>
    </row>
    <row r="595" spans="1:14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N595" s="73"/>
    </row>
    <row r="596" spans="1:14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N596" s="73"/>
    </row>
    <row r="597" spans="1:14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N597" s="73"/>
    </row>
    <row r="598" spans="1:14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N598" s="73"/>
    </row>
    <row r="599" spans="1:14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N599" s="73"/>
    </row>
    <row r="600" spans="1:14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N600" s="73"/>
    </row>
    <row r="601" spans="1:14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N601" s="73"/>
    </row>
    <row r="602" spans="1:14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N602" s="73"/>
    </row>
    <row r="603" spans="1:14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N603" s="73"/>
    </row>
    <row r="604" spans="1:1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N604" s="73"/>
    </row>
    <row r="605" spans="1:14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N605" s="73"/>
    </row>
    <row r="606" spans="1:14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N606" s="73"/>
    </row>
    <row r="607" spans="1:14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N607" s="73"/>
    </row>
    <row r="608" spans="1:14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N608" s="73"/>
    </row>
    <row r="609" spans="1:14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N609" s="73"/>
    </row>
    <row r="610" spans="1:14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N610" s="73"/>
    </row>
    <row r="611" spans="1:14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N611" s="73"/>
    </row>
    <row r="612" spans="1:14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N612" s="73"/>
    </row>
    <row r="613" spans="1:14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N613" s="73"/>
    </row>
    <row r="614" spans="1: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N614" s="73"/>
    </row>
    <row r="615" spans="1:14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N615" s="73"/>
    </row>
    <row r="616" spans="1:14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N616" s="73"/>
    </row>
    <row r="617" spans="1:14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N617" s="73"/>
    </row>
    <row r="618" spans="1:14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N618" s="73"/>
    </row>
    <row r="619" spans="1:14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N619" s="73"/>
    </row>
    <row r="620" spans="1:14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N620" s="73"/>
    </row>
    <row r="621" spans="1:14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N621" s="73"/>
    </row>
    <row r="622" spans="1:14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N622" s="73"/>
    </row>
    <row r="623" spans="1:14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N623" s="73"/>
    </row>
    <row r="624" spans="1:1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N624" s="73"/>
    </row>
    <row r="625" spans="1:14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N625" s="73"/>
    </row>
    <row r="626" spans="1:14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N626" s="73"/>
    </row>
    <row r="627" spans="1:14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N627" s="73"/>
    </row>
    <row r="628" spans="1:14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N628" s="73"/>
    </row>
    <row r="629" spans="1:14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N629" s="73"/>
    </row>
    <row r="630" spans="1:14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N630" s="73"/>
    </row>
    <row r="631" spans="1:14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N631" s="73"/>
    </row>
    <row r="632" spans="1:14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N632" s="73"/>
    </row>
    <row r="633" spans="1:14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N633" s="73"/>
    </row>
    <row r="634" spans="1:1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N634" s="73"/>
    </row>
    <row r="635" spans="1:14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N635" s="73"/>
    </row>
    <row r="636" spans="1:14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N636" s="73"/>
    </row>
    <row r="637" spans="1:14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N637" s="73"/>
    </row>
    <row r="638" spans="1:14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N638" s="73"/>
    </row>
    <row r="639" spans="1:14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N639" s="73"/>
    </row>
    <row r="640" spans="1:14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N640" s="73"/>
    </row>
    <row r="641" spans="1:14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N641" s="73"/>
    </row>
    <row r="642" spans="1:14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N642" s="73"/>
    </row>
    <row r="643" spans="1:14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N643" s="73"/>
    </row>
    <row r="644" spans="1:1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N644" s="73"/>
    </row>
    <row r="645" spans="1:14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N645" s="73"/>
    </row>
    <row r="646" spans="1:14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N646" s="73"/>
    </row>
    <row r="647" spans="1:14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N647" s="73"/>
    </row>
    <row r="648" spans="1:14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N648" s="73"/>
    </row>
    <row r="649" spans="1:14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N649" s="73"/>
    </row>
    <row r="650" spans="1:14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N650" s="73"/>
    </row>
    <row r="651" spans="1:14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N651" s="73"/>
    </row>
    <row r="652" spans="1:14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N652" s="73"/>
    </row>
    <row r="653" spans="1:14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N653" s="73"/>
    </row>
    <row r="654" spans="1:1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N654" s="73"/>
    </row>
    <row r="655" spans="1:14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N655" s="73"/>
    </row>
    <row r="656" spans="1:14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N656" s="73"/>
    </row>
    <row r="657" spans="1:14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N657" s="73"/>
    </row>
    <row r="658" spans="1:14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N658" s="73"/>
    </row>
    <row r="659" spans="1:14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N659" s="73"/>
    </row>
    <row r="660" spans="1:14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N660" s="73"/>
    </row>
    <row r="661" spans="1:14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N661" s="73"/>
    </row>
    <row r="662" spans="1:14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N662" s="73"/>
    </row>
    <row r="663" spans="1:14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N663" s="73"/>
    </row>
    <row r="664" spans="1:1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N664" s="73"/>
    </row>
    <row r="665" spans="1:14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N665" s="73"/>
    </row>
    <row r="666" spans="1:14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N666" s="73"/>
    </row>
    <row r="667" spans="1:14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N667" s="73"/>
    </row>
    <row r="668" spans="1:14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N668" s="73"/>
    </row>
    <row r="669" spans="1:14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N669" s="73"/>
    </row>
    <row r="670" spans="1:14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N670" s="73"/>
    </row>
    <row r="671" spans="1:14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N671" s="73"/>
    </row>
    <row r="672" spans="1:14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N672" s="73"/>
    </row>
    <row r="673" spans="1:14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N673" s="73"/>
    </row>
    <row r="674" spans="1:1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N674" s="73"/>
    </row>
    <row r="675" spans="1:14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N675" s="73"/>
    </row>
    <row r="676" spans="1:14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N676" s="73"/>
    </row>
    <row r="677" spans="1:14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N677" s="73"/>
    </row>
    <row r="678" spans="1:14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N678" s="73"/>
    </row>
    <row r="679" spans="1:14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N679" s="73"/>
    </row>
    <row r="680" spans="1:14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N680" s="73"/>
    </row>
    <row r="681" spans="1:14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N681" s="73"/>
    </row>
    <row r="682" spans="1:14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N682" s="73"/>
    </row>
    <row r="683" spans="1:14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N683" s="73"/>
    </row>
    <row r="684" spans="1:1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N684" s="73"/>
    </row>
    <row r="685" spans="1:14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N685" s="73"/>
    </row>
    <row r="686" spans="1:14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N686" s="73"/>
    </row>
    <row r="687" spans="1:14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N687" s="73"/>
    </row>
    <row r="688" spans="1:14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N688" s="73"/>
    </row>
    <row r="689" spans="1:14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N689" s="73"/>
    </row>
    <row r="690" spans="1:14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N690" s="73"/>
    </row>
    <row r="691" spans="1:14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N691" s="73"/>
    </row>
    <row r="692" spans="1:14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N692" s="73"/>
    </row>
    <row r="693" spans="1:14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N693" s="73"/>
    </row>
    <row r="694" spans="1:1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N694" s="73"/>
    </row>
    <row r="695" spans="1:14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N695" s="73"/>
    </row>
    <row r="696" spans="1:14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N696" s="73"/>
    </row>
    <row r="697" spans="1:14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N697" s="73"/>
    </row>
    <row r="698" spans="1:14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N698" s="73"/>
    </row>
    <row r="699" spans="1:14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N699" s="73"/>
    </row>
    <row r="700" spans="1:14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N700" s="73"/>
    </row>
    <row r="701" spans="1:14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N701" s="73"/>
    </row>
    <row r="702" spans="1:14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N702" s="73"/>
    </row>
    <row r="703" spans="1:14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N703" s="73"/>
    </row>
    <row r="704" spans="1:1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N704" s="73"/>
    </row>
    <row r="705" spans="1:14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N705" s="73"/>
    </row>
    <row r="706" spans="1:14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N706" s="73"/>
    </row>
    <row r="707" spans="1:14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N707" s="73"/>
    </row>
    <row r="708" spans="1:14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N708" s="73"/>
    </row>
    <row r="709" spans="1:14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N709" s="73"/>
    </row>
    <row r="710" spans="1:14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N710" s="73"/>
    </row>
    <row r="711" spans="1:14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N711" s="73"/>
    </row>
    <row r="712" spans="1:14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N712" s="73"/>
    </row>
    <row r="713" spans="1:14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N713" s="73"/>
    </row>
    <row r="714" spans="1: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N714" s="73"/>
    </row>
    <row r="715" spans="1:14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N715" s="73"/>
    </row>
    <row r="716" spans="1:14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N716" s="73"/>
    </row>
    <row r="717" spans="1:14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N717" s="73"/>
    </row>
    <row r="718" spans="1:14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N718" s="73"/>
    </row>
    <row r="719" spans="1:14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N719" s="73"/>
    </row>
    <row r="720" spans="1:14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N720" s="73"/>
    </row>
    <row r="721" spans="1:14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N721" s="73"/>
    </row>
    <row r="722" spans="1:14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N722" s="73"/>
    </row>
    <row r="723" spans="1:14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N723" s="73"/>
    </row>
    <row r="724" spans="1:1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N724" s="73"/>
    </row>
    <row r="725" spans="1:14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N725" s="73"/>
    </row>
    <row r="726" spans="1:14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N726" s="73"/>
    </row>
    <row r="727" spans="1:14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N727" s="73"/>
    </row>
    <row r="728" spans="1:14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N728" s="73"/>
    </row>
    <row r="729" spans="1:14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N729" s="73"/>
    </row>
    <row r="730" spans="1:14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N730" s="73"/>
    </row>
    <row r="731" spans="1:14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N731" s="73"/>
    </row>
    <row r="732" spans="1:14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N732" s="73"/>
    </row>
    <row r="733" spans="1:14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N733" s="73"/>
    </row>
    <row r="734" spans="1:1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N734" s="73"/>
    </row>
    <row r="735" spans="1:14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N735" s="73"/>
    </row>
    <row r="736" spans="1:14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N736" s="73"/>
    </row>
    <row r="737" spans="1:14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N737" s="73"/>
    </row>
    <row r="738" spans="1:14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N738" s="73"/>
    </row>
    <row r="739" spans="1:14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N739" s="73"/>
    </row>
    <row r="740" spans="1:14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N740" s="73"/>
    </row>
    <row r="741" spans="1:14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N741" s="73"/>
    </row>
    <row r="742" spans="1:14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N742" s="73"/>
    </row>
    <row r="743" spans="1:14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N743" s="73"/>
    </row>
    <row r="744" spans="1:1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N744" s="73"/>
    </row>
    <row r="745" spans="1:14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N745" s="73"/>
    </row>
    <row r="746" spans="1:14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N746" s="73"/>
    </row>
    <row r="747" spans="1:14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N747" s="73"/>
    </row>
    <row r="748" spans="1:14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N748" s="73"/>
    </row>
    <row r="749" spans="1:14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N749" s="73"/>
    </row>
    <row r="750" spans="1:14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N750" s="73"/>
    </row>
    <row r="751" spans="1:14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N751" s="73"/>
    </row>
    <row r="752" spans="1:14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N752" s="73"/>
    </row>
    <row r="753" spans="1:14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N753" s="73"/>
    </row>
    <row r="754" spans="1:1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N754" s="73"/>
    </row>
    <row r="755" spans="1:14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N755" s="73"/>
    </row>
    <row r="756" spans="1:14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N756" s="73"/>
    </row>
    <row r="757" spans="1:14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N757" s="73"/>
    </row>
    <row r="758" spans="1:14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N758" s="73"/>
    </row>
    <row r="759" spans="1:14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N759" s="73"/>
    </row>
    <row r="760" spans="1:14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N760" s="73"/>
    </row>
    <row r="761" spans="1:14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N761" s="73"/>
    </row>
    <row r="762" spans="1:14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N762" s="73"/>
    </row>
    <row r="763" spans="1:14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N763" s="73"/>
    </row>
    <row r="764" spans="1:1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N764" s="73"/>
    </row>
    <row r="765" spans="1:14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N765" s="73"/>
    </row>
    <row r="766" spans="1:14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N766" s="73"/>
    </row>
    <row r="767" spans="1:14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N767" s="73"/>
    </row>
    <row r="768" spans="1:14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N768" s="73"/>
    </row>
    <row r="769" spans="1:14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N769" s="73"/>
    </row>
    <row r="770" spans="1:14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N770" s="73"/>
    </row>
    <row r="771" spans="1:14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N771" s="73"/>
    </row>
    <row r="772" spans="1:14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N772" s="73"/>
    </row>
    <row r="773" spans="1:14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N773" s="73"/>
    </row>
    <row r="774" spans="1:1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N774" s="73"/>
    </row>
    <row r="775" spans="1:14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N775" s="73"/>
    </row>
    <row r="776" spans="1:14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N776" s="73"/>
    </row>
    <row r="777" spans="1:14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N777" s="73"/>
    </row>
    <row r="778" spans="1:14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N778" s="73"/>
    </row>
    <row r="779" spans="1:14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N779" s="73"/>
    </row>
    <row r="780" spans="1:14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N780" s="73"/>
    </row>
    <row r="781" spans="1:14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N781" s="73"/>
    </row>
    <row r="782" spans="1:14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N782" s="73"/>
    </row>
    <row r="783" spans="1:14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N783" s="73"/>
    </row>
    <row r="784" spans="1:1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N784" s="73"/>
    </row>
    <row r="785" spans="1:14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N785" s="73"/>
    </row>
    <row r="786" spans="1:14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N786" s="73"/>
    </row>
    <row r="787" spans="1:14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N787" s="73"/>
    </row>
    <row r="788" spans="1:14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N788" s="73"/>
    </row>
    <row r="789" spans="1:14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N789" s="73"/>
    </row>
    <row r="790" spans="1:14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N790" s="73"/>
    </row>
    <row r="791" spans="1:14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N791" s="73"/>
    </row>
    <row r="792" spans="1:14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N792" s="73"/>
    </row>
    <row r="793" spans="1:14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N793" s="73"/>
    </row>
    <row r="794" spans="1:1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N794" s="73"/>
    </row>
    <row r="795" spans="1:14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N795" s="73"/>
    </row>
    <row r="796" spans="1:14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N796" s="73"/>
    </row>
    <row r="797" spans="1:14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N797" s="73"/>
    </row>
    <row r="798" spans="1:14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N798" s="73"/>
    </row>
    <row r="799" spans="1:14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N799" s="73"/>
    </row>
    <row r="800" spans="1:14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N800" s="73"/>
    </row>
    <row r="801" spans="1:14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N801" s="73"/>
    </row>
    <row r="802" spans="1:14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N802" s="73"/>
    </row>
    <row r="803" spans="1:14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N803" s="73"/>
    </row>
    <row r="804" spans="1:1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N804" s="73"/>
    </row>
    <row r="805" spans="1:14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N805" s="73"/>
    </row>
    <row r="806" spans="1:14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N806" s="73"/>
    </row>
    <row r="807" spans="1:14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N807" s="73"/>
    </row>
    <row r="808" spans="1:14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N808" s="73"/>
    </row>
    <row r="809" spans="1:14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N809" s="73"/>
    </row>
    <row r="810" spans="1:14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N810" s="73"/>
    </row>
    <row r="811" spans="1:14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N811" s="73"/>
    </row>
    <row r="812" spans="1:14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N812" s="73"/>
    </row>
    <row r="813" spans="1:14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N813" s="73"/>
    </row>
    <row r="814" spans="1: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N814" s="73"/>
    </row>
    <row r="815" spans="1:14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N815" s="73"/>
    </row>
    <row r="816" spans="1:14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N816" s="73"/>
    </row>
    <row r="817" spans="1:14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N817" s="73"/>
    </row>
    <row r="818" spans="1:14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N818" s="73"/>
    </row>
    <row r="819" spans="1:14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N819" s="73"/>
    </row>
    <row r="820" spans="1:14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N820" s="73"/>
    </row>
    <row r="821" spans="1:14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N821" s="73"/>
    </row>
    <row r="822" spans="1:14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N822" s="73"/>
    </row>
    <row r="823" spans="1:14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N823" s="73"/>
    </row>
    <row r="824" spans="1:1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N824" s="73"/>
    </row>
    <row r="825" spans="1:14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N825" s="73"/>
    </row>
    <row r="826" spans="1:14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N826" s="73"/>
    </row>
    <row r="827" spans="1:14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N827" s="73"/>
    </row>
    <row r="828" spans="1:14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N828" s="73"/>
    </row>
    <row r="829" spans="1:14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N829" s="73"/>
    </row>
    <row r="830" spans="1:14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N830" s="73"/>
    </row>
    <row r="831" spans="1:14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N831" s="73"/>
    </row>
    <row r="832" spans="1:14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N832" s="73"/>
    </row>
    <row r="833" spans="1:14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N833" s="73"/>
    </row>
    <row r="834" spans="1:1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N834" s="73"/>
    </row>
    <row r="835" spans="1:14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N835" s="73"/>
    </row>
    <row r="836" spans="1:14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N836" s="73"/>
    </row>
    <row r="837" spans="1:14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N837" s="73"/>
    </row>
    <row r="838" spans="1:14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N838" s="73"/>
    </row>
    <row r="839" spans="1:14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N839" s="73"/>
    </row>
    <row r="840" spans="1:14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N840" s="73"/>
    </row>
    <row r="841" spans="1:14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N841" s="73"/>
    </row>
    <row r="842" spans="1:14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N842" s="73"/>
    </row>
    <row r="843" spans="1:14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N843" s="73"/>
    </row>
    <row r="844" spans="1:1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N844" s="73"/>
    </row>
    <row r="845" spans="1:14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N845" s="73"/>
    </row>
    <row r="846" spans="1:14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N846" s="73"/>
    </row>
    <row r="847" spans="1:14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N847" s="73"/>
    </row>
    <row r="848" spans="1:14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N848" s="73"/>
    </row>
    <row r="849" spans="1:14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N849" s="73"/>
    </row>
    <row r="850" spans="1:14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N850" s="73"/>
    </row>
    <row r="851" spans="1:14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N851" s="73"/>
    </row>
    <row r="852" spans="1:14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N852" s="73"/>
    </row>
    <row r="853" spans="1:14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N853" s="73"/>
    </row>
    <row r="854" spans="1:1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N854" s="73"/>
    </row>
    <row r="855" spans="1:14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N855" s="73"/>
    </row>
    <row r="856" spans="1:14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N856" s="73"/>
    </row>
    <row r="857" spans="1:14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N857" s="73"/>
    </row>
    <row r="858" spans="1:14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N858" s="73"/>
    </row>
    <row r="859" spans="1:14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N859" s="73"/>
    </row>
    <row r="860" spans="1:14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N860" s="73"/>
    </row>
    <row r="861" spans="1:14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N861" s="73"/>
    </row>
    <row r="862" spans="1:14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N862" s="73"/>
    </row>
    <row r="863" spans="1:14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N863" s="73"/>
    </row>
    <row r="864" spans="1:1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N864" s="73"/>
    </row>
    <row r="865" spans="1:14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N865" s="73"/>
    </row>
    <row r="866" spans="1:14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N866" s="73"/>
    </row>
    <row r="867" spans="1:14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N867" s="73"/>
    </row>
    <row r="868" spans="1:14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N868" s="73"/>
    </row>
    <row r="869" spans="1:14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N869" s="73"/>
    </row>
    <row r="870" spans="1:14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N870" s="73"/>
    </row>
    <row r="871" spans="1:14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N871" s="73"/>
    </row>
    <row r="872" spans="1:14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N872" s="73"/>
    </row>
    <row r="873" spans="1:14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N873" s="73"/>
    </row>
    <row r="874" spans="1:1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N874" s="73"/>
    </row>
    <row r="875" spans="1:14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N875" s="73"/>
    </row>
    <row r="876" spans="1:14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N876" s="73"/>
    </row>
    <row r="877" spans="1:14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N877" s="73"/>
    </row>
    <row r="878" spans="1:14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N878" s="73"/>
    </row>
    <row r="879" spans="1:14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N879" s="73"/>
    </row>
    <row r="880" spans="1:14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N880" s="73"/>
    </row>
    <row r="881" spans="1:14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N881" s="73"/>
    </row>
    <row r="882" spans="1:14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N882" s="73"/>
    </row>
    <row r="883" spans="1:14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N883" s="73"/>
    </row>
    <row r="884" spans="1:1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N884" s="73"/>
    </row>
    <row r="885" spans="1:14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N885" s="73"/>
    </row>
    <row r="886" spans="1:14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N886" s="73"/>
    </row>
    <row r="887" spans="1:14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N887" s="73"/>
    </row>
    <row r="888" spans="1:14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N888" s="73"/>
    </row>
    <row r="889" spans="1:14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N889" s="73"/>
    </row>
    <row r="890" spans="1:14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N890" s="73"/>
    </row>
    <row r="891" spans="1:14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N891" s="73"/>
    </row>
    <row r="892" spans="1:14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N892" s="73"/>
    </row>
    <row r="893" spans="1:14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N893" s="73"/>
    </row>
    <row r="894" spans="1:1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N894" s="73"/>
    </row>
    <row r="895" spans="1:14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N895" s="73"/>
    </row>
    <row r="896" spans="1:14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N896" s="73"/>
    </row>
    <row r="897" spans="1:14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N897" s="73"/>
    </row>
    <row r="898" spans="1:14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N898" s="73"/>
    </row>
    <row r="899" spans="1:14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N899" s="73"/>
    </row>
    <row r="900" spans="1:14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N900" s="73"/>
    </row>
    <row r="901" spans="1:14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N901" s="73"/>
    </row>
    <row r="902" spans="1:14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N902" s="73"/>
    </row>
    <row r="903" spans="1:14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N903" s="73"/>
    </row>
    <row r="904" spans="1:1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N904" s="73"/>
    </row>
    <row r="905" spans="1:14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N905" s="73"/>
    </row>
    <row r="906" spans="1:14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N906" s="73"/>
    </row>
    <row r="907" spans="1:14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N907" s="73"/>
    </row>
    <row r="908" spans="1:14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N908" s="73"/>
    </row>
    <row r="909" spans="1:14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N909" s="73"/>
    </row>
    <row r="910" spans="1:14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N910" s="73"/>
    </row>
    <row r="911" spans="1:14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N911" s="73"/>
    </row>
    <row r="912" spans="1:14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N912" s="73"/>
    </row>
    <row r="913" spans="1:14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N913" s="73"/>
    </row>
    <row r="914" spans="1: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N914" s="73"/>
    </row>
    <row r="915" spans="1:14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N915" s="73"/>
    </row>
    <row r="916" spans="1:14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N916" s="73"/>
    </row>
    <row r="917" spans="1:14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N917" s="73"/>
    </row>
    <row r="918" spans="1:14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N918" s="73"/>
    </row>
    <row r="919" spans="1:14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N919" s="73"/>
    </row>
    <row r="920" spans="1:14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N920" s="73"/>
    </row>
    <row r="921" spans="1:14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N921" s="73"/>
    </row>
    <row r="922" spans="1:14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N922" s="73"/>
    </row>
    <row r="923" spans="1:14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N923" s="73"/>
    </row>
    <row r="924" spans="1:1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N924" s="73"/>
    </row>
    <row r="925" spans="1:14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N925" s="73"/>
    </row>
    <row r="926" spans="1:14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N926" s="73"/>
    </row>
    <row r="927" spans="1:14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N927" s="73"/>
    </row>
    <row r="928" spans="1:14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N928" s="73"/>
    </row>
    <row r="929" spans="1:14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N929" s="73"/>
    </row>
    <row r="930" spans="1:14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N930" s="73"/>
    </row>
    <row r="931" spans="1:14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N931" s="73"/>
    </row>
    <row r="932" spans="1:14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N932" s="73"/>
    </row>
    <row r="933" spans="1:14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N933" s="73"/>
    </row>
    <row r="934" spans="1:1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N934" s="73"/>
    </row>
    <row r="935" spans="1:14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N935" s="73"/>
    </row>
    <row r="936" spans="1:14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N936" s="73"/>
    </row>
    <row r="937" spans="1:14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N937" s="73"/>
    </row>
    <row r="938" spans="1:14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N938" s="73"/>
    </row>
    <row r="939" spans="1:14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N939" s="73"/>
    </row>
    <row r="940" spans="1:14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N940" s="73"/>
    </row>
    <row r="941" spans="1:14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N941" s="73"/>
    </row>
    <row r="942" spans="1:14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N942" s="73"/>
    </row>
    <row r="943" spans="1:14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N943" s="73"/>
    </row>
    <row r="944" spans="1:1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N944" s="73"/>
    </row>
    <row r="945" spans="1:14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N945" s="73"/>
    </row>
    <row r="946" spans="1:14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N946" s="73"/>
    </row>
    <row r="947" spans="1:14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N947" s="73"/>
    </row>
    <row r="948" spans="1:14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N948" s="73"/>
    </row>
    <row r="949" spans="1:14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N949" s="73"/>
    </row>
    <row r="950" spans="1:14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N950" s="73"/>
    </row>
    <row r="951" spans="1:14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N951" s="73"/>
    </row>
    <row r="952" spans="1:14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N952" s="73"/>
    </row>
    <row r="953" spans="1:14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N953" s="73"/>
    </row>
    <row r="954" spans="1:1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N954" s="73"/>
    </row>
    <row r="955" spans="1:14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N955" s="73"/>
    </row>
    <row r="956" spans="1:14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N956" s="73"/>
    </row>
    <row r="957" spans="1:14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N957" s="73"/>
    </row>
    <row r="958" spans="1:14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N958" s="73"/>
    </row>
    <row r="959" spans="1:14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N959" s="73"/>
    </row>
    <row r="960" spans="1:14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N960" s="73"/>
    </row>
    <row r="961" spans="1:14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N961" s="73"/>
    </row>
    <row r="962" spans="1:14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N962" s="73"/>
    </row>
    <row r="963" spans="1:14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N963" s="73"/>
    </row>
    <row r="964" spans="1:1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N964" s="73"/>
    </row>
    <row r="965" spans="1:14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N965" s="73"/>
    </row>
    <row r="966" spans="1:14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N966" s="73"/>
    </row>
    <row r="967" spans="1:14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N967" s="73"/>
    </row>
    <row r="968" spans="1:14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N968" s="73"/>
    </row>
    <row r="969" spans="1:14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N969" s="73"/>
    </row>
    <row r="970" spans="1:14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N970" s="73"/>
    </row>
    <row r="971" spans="1:14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N971" s="73"/>
    </row>
    <row r="972" spans="1:14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N972" s="73"/>
    </row>
    <row r="973" spans="1:14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N973" s="73"/>
    </row>
    <row r="974" spans="1:1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N974" s="73"/>
    </row>
    <row r="975" spans="1:14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N975" s="73"/>
    </row>
    <row r="976" spans="1:14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N976" s="73"/>
    </row>
    <row r="977" spans="1:14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N977" s="73"/>
    </row>
    <row r="978" spans="1:14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N978" s="73"/>
    </row>
    <row r="979" spans="1:14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N979" s="73"/>
    </row>
    <row r="980" spans="1:14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N980" s="73"/>
    </row>
    <row r="981" spans="1:14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N981" s="73"/>
    </row>
    <row r="982" spans="1:14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N982" s="73"/>
    </row>
    <row r="983" spans="1:14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N983" s="73"/>
    </row>
    <row r="984" spans="1:1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N984" s="73"/>
    </row>
    <row r="985" spans="1:14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N985" s="73"/>
    </row>
    <row r="986" spans="1:14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N986" s="73"/>
    </row>
    <row r="987" spans="1:14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N987" s="73"/>
    </row>
    <row r="988" spans="1:14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N988" s="73"/>
    </row>
    <row r="989" spans="1:14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N989" s="73"/>
    </row>
    <row r="990" spans="1:14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N990" s="73"/>
    </row>
    <row r="991" spans="1:14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N991" s="73"/>
    </row>
    <row r="992" spans="1:14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N992" s="73"/>
    </row>
    <row r="993" spans="1:14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N993" s="73"/>
    </row>
    <row r="994" spans="1:1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N994" s="73"/>
    </row>
    <row r="995" spans="1:14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N995" s="73"/>
    </row>
    <row r="996" spans="1:14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N996" s="73"/>
    </row>
    <row r="997" spans="1:14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N997" s="73"/>
    </row>
    <row r="998" spans="1:14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N998" s="73"/>
    </row>
    <row r="999" spans="1:14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N999" s="73"/>
    </row>
    <row r="1000" spans="1:14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N1000" s="73"/>
    </row>
  </sheetData>
  <mergeCells count="47">
    <mergeCell ref="A35:J39"/>
    <mergeCell ref="H13:H17"/>
    <mergeCell ref="H31:H34"/>
    <mergeCell ref="A10:A12"/>
    <mergeCell ref="H10:H12"/>
    <mergeCell ref="A13:A17"/>
    <mergeCell ref="A18:A24"/>
    <mergeCell ref="A25:A27"/>
    <mergeCell ref="A28:A30"/>
    <mergeCell ref="A31:A34"/>
    <mergeCell ref="I31:J34"/>
    <mergeCell ref="I16:J16"/>
    <mergeCell ref="I17:J17"/>
    <mergeCell ref="I18:J18"/>
    <mergeCell ref="I19:J19"/>
    <mergeCell ref="I20:J20"/>
    <mergeCell ref="I21:J21"/>
    <mergeCell ref="I22:J22"/>
    <mergeCell ref="I24:J24"/>
    <mergeCell ref="I25:J25"/>
    <mergeCell ref="I26:J26"/>
    <mergeCell ref="I27:J27"/>
    <mergeCell ref="I28:J30"/>
    <mergeCell ref="I12:J12"/>
    <mergeCell ref="I13:J13"/>
    <mergeCell ref="I14:J14"/>
    <mergeCell ref="I15:J15"/>
    <mergeCell ref="I23:J23"/>
    <mergeCell ref="I7:J7"/>
    <mergeCell ref="I8:J8"/>
    <mergeCell ref="I9:J9"/>
    <mergeCell ref="I10:J10"/>
    <mergeCell ref="I11:J11"/>
    <mergeCell ref="I3:J4"/>
    <mergeCell ref="K3:K4"/>
    <mergeCell ref="L3:L4"/>
    <mergeCell ref="I5:J5"/>
    <mergeCell ref="I6:J6"/>
    <mergeCell ref="H3:H4"/>
    <mergeCell ref="H5:H9"/>
    <mergeCell ref="A1:H2"/>
    <mergeCell ref="A3:B3"/>
    <mergeCell ref="C3:C4"/>
    <mergeCell ref="D3:D4"/>
    <mergeCell ref="E3:E4"/>
    <mergeCell ref="F3:F4"/>
    <mergeCell ref="A5:A9"/>
  </mergeCells>
  <phoneticPr fontId="30" type="noConversion"/>
  <pageMargins left="0.25" right="0.25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1000"/>
  <sheetViews>
    <sheetView workbookViewId="0"/>
  </sheetViews>
  <sheetFormatPr defaultColWidth="14.42578125" defaultRowHeight="15" customHeight="1"/>
  <cols>
    <col min="1" max="1" width="33.140625" customWidth="1"/>
    <col min="2" max="2" width="99.85546875" customWidth="1"/>
    <col min="3" max="3" width="11.85546875" customWidth="1"/>
    <col min="4" max="4" width="27.7109375" hidden="1" customWidth="1"/>
    <col min="5" max="5" width="18.28515625" customWidth="1"/>
    <col min="6" max="6" width="34.7109375" customWidth="1"/>
    <col min="7" max="7" width="12.42578125" customWidth="1"/>
    <col min="8" max="8" width="21.140625" customWidth="1"/>
    <col min="9" max="10" width="8.85546875" customWidth="1"/>
    <col min="14" max="14" width="35.5703125" customWidth="1"/>
  </cols>
  <sheetData>
    <row r="1" spans="1:28" ht="16.5" customHeight="1">
      <c r="A1" s="625" t="s">
        <v>68</v>
      </c>
      <c r="B1" s="611"/>
      <c r="C1" s="611"/>
      <c r="D1" s="611"/>
      <c r="E1" s="611"/>
      <c r="F1" s="611"/>
      <c r="G1" s="611"/>
      <c r="H1" s="6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" customHeight="1">
      <c r="A2" s="610"/>
      <c r="B2" s="615"/>
      <c r="C2" s="615"/>
      <c r="D2" s="615"/>
      <c r="E2" s="615"/>
      <c r="F2" s="615"/>
      <c r="G2" s="615"/>
      <c r="H2" s="6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5" customHeight="1">
      <c r="A3" s="699" t="s">
        <v>513</v>
      </c>
      <c r="B3" s="711"/>
      <c r="C3" s="678" t="s">
        <v>462</v>
      </c>
      <c r="D3" s="688" t="s">
        <v>463</v>
      </c>
      <c r="E3" s="688" t="s">
        <v>231</v>
      </c>
      <c r="F3" s="678" t="s">
        <v>464</v>
      </c>
      <c r="G3" s="341" t="s">
        <v>544</v>
      </c>
      <c r="H3" s="679" t="s">
        <v>6</v>
      </c>
      <c r="I3" s="707" t="s">
        <v>7</v>
      </c>
      <c r="J3" s="612"/>
      <c r="K3" s="678" t="s">
        <v>514</v>
      </c>
      <c r="L3" s="688" t="s">
        <v>515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5" customHeight="1">
      <c r="A4" s="342" t="s">
        <v>8</v>
      </c>
      <c r="B4" s="41" t="s">
        <v>9</v>
      </c>
      <c r="C4" s="636"/>
      <c r="D4" s="601"/>
      <c r="E4" s="601"/>
      <c r="F4" s="636"/>
      <c r="G4" s="213" t="s">
        <v>10</v>
      </c>
      <c r="H4" s="618"/>
      <c r="I4" s="610"/>
      <c r="J4" s="616"/>
      <c r="K4" s="606"/>
      <c r="L4" s="62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6.5" customHeight="1">
      <c r="A5" s="661" t="s">
        <v>565</v>
      </c>
      <c r="B5" s="434" t="s">
        <v>566</v>
      </c>
      <c r="C5" s="346">
        <f t="shared" ref="C5:C35" si="0">E5*2-1000</f>
        <v>297000</v>
      </c>
      <c r="D5" s="346">
        <v>177000</v>
      </c>
      <c r="E5" s="344">
        <v>149000</v>
      </c>
      <c r="F5" s="377">
        <f t="shared" ref="F5:F31" si="1">(1-E5/D5)</f>
        <v>0.15819209039548021</v>
      </c>
      <c r="G5" s="439"/>
      <c r="H5" s="643"/>
      <c r="I5" s="676"/>
      <c r="J5" s="6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6.5" customHeight="1">
      <c r="A6" s="654"/>
      <c r="B6" s="435" t="s">
        <v>567</v>
      </c>
      <c r="C6" s="354">
        <f t="shared" si="0"/>
        <v>357000</v>
      </c>
      <c r="D6" s="354">
        <f>79000*3</f>
        <v>237000</v>
      </c>
      <c r="E6" s="352">
        <v>179000</v>
      </c>
      <c r="F6" s="477">
        <f t="shared" si="1"/>
        <v>0.24472573839662448</v>
      </c>
      <c r="G6" s="455"/>
      <c r="H6" s="603"/>
      <c r="I6" s="716"/>
      <c r="J6" s="6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6.5" customHeight="1">
      <c r="A7" s="654"/>
      <c r="B7" s="435" t="s">
        <v>47</v>
      </c>
      <c r="C7" s="354">
        <f t="shared" si="0"/>
        <v>397000</v>
      </c>
      <c r="D7" s="354">
        <v>239000</v>
      </c>
      <c r="E7" s="352">
        <v>199000</v>
      </c>
      <c r="F7" s="477">
        <f t="shared" si="1"/>
        <v>0.16736401673640167</v>
      </c>
      <c r="G7" s="457"/>
      <c r="H7" s="603"/>
      <c r="I7" s="716"/>
      <c r="J7" s="6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6.5" customHeight="1">
      <c r="A8" s="654"/>
      <c r="B8" s="435" t="s">
        <v>46</v>
      </c>
      <c r="C8" s="354">
        <f t="shared" si="0"/>
        <v>397000</v>
      </c>
      <c r="D8" s="354">
        <v>249000</v>
      </c>
      <c r="E8" s="352">
        <v>199000</v>
      </c>
      <c r="F8" s="477">
        <f t="shared" si="1"/>
        <v>0.20080321285140568</v>
      </c>
      <c r="G8" s="455"/>
      <c r="H8" s="603"/>
      <c r="I8" s="456"/>
      <c r="J8" s="17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 customHeight="1">
      <c r="A9" s="655"/>
      <c r="B9" s="436" t="s">
        <v>568</v>
      </c>
      <c r="C9" s="361">
        <f t="shared" si="0"/>
        <v>477000</v>
      </c>
      <c r="D9" s="361">
        <f>99000*3</f>
        <v>297000</v>
      </c>
      <c r="E9" s="359">
        <v>239000</v>
      </c>
      <c r="F9" s="478">
        <f t="shared" si="1"/>
        <v>0.19528619528619529</v>
      </c>
      <c r="G9" s="458"/>
      <c r="H9" s="621"/>
      <c r="I9" s="716"/>
      <c r="J9" s="6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5" customHeight="1">
      <c r="A10" s="401"/>
      <c r="B10" s="351" t="s">
        <v>79</v>
      </c>
      <c r="C10" s="352">
        <f t="shared" si="0"/>
        <v>197000</v>
      </c>
      <c r="D10" s="353">
        <v>129000</v>
      </c>
      <c r="E10" s="368">
        <v>99000</v>
      </c>
      <c r="F10" s="389">
        <f t="shared" si="1"/>
        <v>0.23255813953488369</v>
      </c>
      <c r="G10" s="455"/>
      <c r="H10" s="643"/>
      <c r="I10" s="716"/>
      <c r="J10" s="6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6.5" customHeight="1">
      <c r="A11" s="690" t="s">
        <v>569</v>
      </c>
      <c r="B11" s="351" t="s">
        <v>570</v>
      </c>
      <c r="C11" s="352">
        <f t="shared" si="0"/>
        <v>457000</v>
      </c>
      <c r="D11" s="353">
        <v>249000</v>
      </c>
      <c r="E11" s="368">
        <v>229000</v>
      </c>
      <c r="F11" s="389">
        <f t="shared" si="1"/>
        <v>8.0321285140562249E-2</v>
      </c>
      <c r="G11" s="455"/>
      <c r="H11" s="603"/>
      <c r="I11" s="716"/>
      <c r="J11" s="6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6.5" customHeight="1">
      <c r="A12" s="654"/>
      <c r="B12" s="351" t="s">
        <v>571</v>
      </c>
      <c r="C12" s="352">
        <f t="shared" si="0"/>
        <v>537000</v>
      </c>
      <c r="D12" s="353">
        <v>289000</v>
      </c>
      <c r="E12" s="368">
        <v>269000</v>
      </c>
      <c r="F12" s="389">
        <f t="shared" si="1"/>
        <v>6.9204152249134898E-2</v>
      </c>
      <c r="G12" s="455"/>
      <c r="H12" s="603"/>
      <c r="I12" s="716"/>
      <c r="J12" s="6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6.5" customHeight="1">
      <c r="A13" s="654"/>
      <c r="B13" s="351" t="s">
        <v>81</v>
      </c>
      <c r="C13" s="352">
        <f t="shared" si="0"/>
        <v>597000</v>
      </c>
      <c r="D13" s="353">
        <v>350000</v>
      </c>
      <c r="E13" s="368">
        <v>299000</v>
      </c>
      <c r="F13" s="389">
        <f t="shared" si="1"/>
        <v>0.14571428571428569</v>
      </c>
      <c r="G13" s="455"/>
      <c r="H13" s="603"/>
      <c r="I13" s="716"/>
      <c r="J13" s="6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6.5" customHeight="1">
      <c r="A14" s="654"/>
      <c r="B14" s="351" t="s">
        <v>572</v>
      </c>
      <c r="C14" s="352">
        <f t="shared" si="0"/>
        <v>1579000</v>
      </c>
      <c r="D14" s="353">
        <v>850000</v>
      </c>
      <c r="E14" s="368">
        <v>790000</v>
      </c>
      <c r="F14" s="389">
        <f t="shared" si="1"/>
        <v>7.0588235294117618E-2</v>
      </c>
      <c r="G14" s="455"/>
      <c r="H14" s="603"/>
      <c r="I14" s="716"/>
      <c r="J14" s="6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6.5" customHeight="1">
      <c r="A15" s="618"/>
      <c r="B15" s="351" t="s">
        <v>573</v>
      </c>
      <c r="C15" s="352">
        <f t="shared" si="0"/>
        <v>1579000</v>
      </c>
      <c r="D15" s="353">
        <v>850000</v>
      </c>
      <c r="E15" s="433">
        <v>790000</v>
      </c>
      <c r="F15" s="431">
        <f t="shared" si="1"/>
        <v>7.0588235294117618E-2</v>
      </c>
      <c r="G15" s="457"/>
      <c r="H15" s="621"/>
      <c r="I15" s="716"/>
      <c r="J15" s="6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6.5" customHeight="1">
      <c r="A16" s="661" t="s">
        <v>574</v>
      </c>
      <c r="B16" s="343" t="s">
        <v>73</v>
      </c>
      <c r="C16" s="344">
        <f t="shared" si="0"/>
        <v>197000</v>
      </c>
      <c r="D16" s="346">
        <v>139000</v>
      </c>
      <c r="E16" s="372">
        <v>99000</v>
      </c>
      <c r="F16" s="347">
        <f t="shared" si="1"/>
        <v>0.28776978417266186</v>
      </c>
      <c r="G16" s="459"/>
      <c r="H16" s="712"/>
      <c r="I16" s="716"/>
      <c r="J16" s="613"/>
      <c r="K16" s="1"/>
      <c r="L16" s="1"/>
      <c r="M16" s="1"/>
      <c r="N16" s="15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6.5" customHeight="1">
      <c r="A17" s="654"/>
      <c r="B17" s="351" t="s">
        <v>72</v>
      </c>
      <c r="C17" s="352">
        <f t="shared" si="0"/>
        <v>217000</v>
      </c>
      <c r="D17" s="354">
        <v>129000</v>
      </c>
      <c r="E17" s="372">
        <v>109000</v>
      </c>
      <c r="F17" s="389">
        <f t="shared" si="1"/>
        <v>0.15503875968992253</v>
      </c>
      <c r="G17" s="460"/>
      <c r="H17" s="603"/>
      <c r="I17" s="716"/>
      <c r="J17" s="6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6.5" customHeight="1">
      <c r="A18" s="654"/>
      <c r="B18" s="351" t="s">
        <v>74</v>
      </c>
      <c r="C18" s="352">
        <f t="shared" si="0"/>
        <v>357000</v>
      </c>
      <c r="D18" s="354">
        <v>199000</v>
      </c>
      <c r="E18" s="372">
        <v>179000</v>
      </c>
      <c r="F18" s="389">
        <f t="shared" si="1"/>
        <v>0.10050251256281406</v>
      </c>
      <c r="G18" s="460"/>
      <c r="H18" s="603"/>
      <c r="I18" s="716"/>
      <c r="J18" s="6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6.5" customHeight="1">
      <c r="A19" s="654"/>
      <c r="B19" s="351" t="s">
        <v>575</v>
      </c>
      <c r="C19" s="352">
        <f t="shared" si="0"/>
        <v>397000</v>
      </c>
      <c r="D19" s="354">
        <v>249000</v>
      </c>
      <c r="E19" s="372">
        <v>199000</v>
      </c>
      <c r="F19" s="389">
        <f t="shared" si="1"/>
        <v>0.20080321285140568</v>
      </c>
      <c r="G19" s="457"/>
      <c r="H19" s="603"/>
      <c r="I19" s="716"/>
      <c r="J19" s="6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6.5" customHeight="1">
      <c r="A20" s="654"/>
      <c r="B20" s="351" t="s">
        <v>576</v>
      </c>
      <c r="C20" s="352">
        <f t="shared" si="0"/>
        <v>797000</v>
      </c>
      <c r="D20" s="354">
        <v>447000</v>
      </c>
      <c r="E20" s="372">
        <v>399000</v>
      </c>
      <c r="F20" s="389">
        <f t="shared" si="1"/>
        <v>0.10738255033557043</v>
      </c>
      <c r="G20" s="455"/>
      <c r="H20" s="603"/>
      <c r="I20" s="716"/>
      <c r="J20" s="6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6.5" customHeight="1">
      <c r="A21" s="655"/>
      <c r="B21" s="430" t="s">
        <v>577</v>
      </c>
      <c r="C21" s="352">
        <f t="shared" si="0"/>
        <v>797000</v>
      </c>
      <c r="D21" s="361">
        <v>447000</v>
      </c>
      <c r="E21" s="437">
        <v>399000</v>
      </c>
      <c r="F21" s="431">
        <f t="shared" si="1"/>
        <v>0.10738255033557043</v>
      </c>
      <c r="G21" s="458"/>
      <c r="H21" s="621"/>
      <c r="I21" s="716"/>
      <c r="J21" s="6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6.5" customHeight="1">
      <c r="A22" s="723" t="s">
        <v>435</v>
      </c>
      <c r="B22" s="387" t="s">
        <v>578</v>
      </c>
      <c r="C22" s="344">
        <f t="shared" si="0"/>
        <v>197000</v>
      </c>
      <c r="D22" s="345">
        <v>119000</v>
      </c>
      <c r="E22" s="421">
        <v>99000</v>
      </c>
      <c r="F22" s="347">
        <f t="shared" si="1"/>
        <v>0.16806722689075626</v>
      </c>
      <c r="G22" s="475"/>
      <c r="H22" s="439"/>
      <c r="I22" s="716"/>
      <c r="J22" s="61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6.5" customHeight="1">
      <c r="A23" s="654"/>
      <c r="B23" s="387" t="s">
        <v>579</v>
      </c>
      <c r="C23" s="352">
        <f t="shared" si="0"/>
        <v>197000</v>
      </c>
      <c r="D23" s="353">
        <v>120000</v>
      </c>
      <c r="E23" s="392">
        <v>99000</v>
      </c>
      <c r="F23" s="389">
        <f t="shared" si="1"/>
        <v>0.17500000000000004</v>
      </c>
      <c r="G23" s="462"/>
      <c r="H23" s="441"/>
      <c r="I23" s="716"/>
      <c r="J23" s="6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6.5" customHeight="1">
      <c r="A24" s="654"/>
      <c r="B24" s="387" t="s">
        <v>580</v>
      </c>
      <c r="C24" s="352">
        <f t="shared" si="0"/>
        <v>197000</v>
      </c>
      <c r="D24" s="353">
        <v>129000</v>
      </c>
      <c r="E24" s="388">
        <v>99000</v>
      </c>
      <c r="F24" s="389">
        <f t="shared" si="1"/>
        <v>0.23255813953488369</v>
      </c>
      <c r="G24" s="462"/>
      <c r="H24" s="441"/>
      <c r="I24" s="716"/>
      <c r="J24" s="6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6.5" customHeight="1">
      <c r="A25" s="654"/>
      <c r="B25" s="387" t="s">
        <v>581</v>
      </c>
      <c r="C25" s="352">
        <f t="shared" si="0"/>
        <v>597000</v>
      </c>
      <c r="D25" s="353">
        <v>329000</v>
      </c>
      <c r="E25" s="388">
        <v>299000</v>
      </c>
      <c r="F25" s="389">
        <f t="shared" si="1"/>
        <v>9.1185410334346462E-2</v>
      </c>
      <c r="G25" s="462"/>
      <c r="H25" s="441"/>
      <c r="I25" s="716"/>
      <c r="J25" s="6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6.5" customHeight="1">
      <c r="A26" s="654"/>
      <c r="B26" s="387" t="s">
        <v>582</v>
      </c>
      <c r="C26" s="352">
        <f t="shared" si="0"/>
        <v>657000</v>
      </c>
      <c r="D26" s="353">
        <v>399000</v>
      </c>
      <c r="E26" s="392">
        <v>329000</v>
      </c>
      <c r="F26" s="389">
        <f t="shared" si="1"/>
        <v>0.17543859649122806</v>
      </c>
      <c r="G26" s="462"/>
      <c r="H26" s="441"/>
      <c r="I26" s="716"/>
      <c r="J26" s="6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6.5" customHeight="1">
      <c r="A27" s="654"/>
      <c r="B27" s="442" t="s">
        <v>583</v>
      </c>
      <c r="C27" s="352">
        <f t="shared" si="0"/>
        <v>897000</v>
      </c>
      <c r="D27" s="353">
        <v>537000</v>
      </c>
      <c r="E27" s="388">
        <v>449000</v>
      </c>
      <c r="F27" s="389">
        <f t="shared" si="1"/>
        <v>0.16387337057728124</v>
      </c>
      <c r="G27" s="462"/>
      <c r="H27" s="441"/>
      <c r="I27" s="716"/>
      <c r="J27" s="6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6.5" customHeight="1">
      <c r="A28" s="618"/>
      <c r="B28" s="442" t="s">
        <v>540</v>
      </c>
      <c r="C28" s="352">
        <f t="shared" si="0"/>
        <v>1397000</v>
      </c>
      <c r="D28" s="353">
        <v>799000</v>
      </c>
      <c r="E28" s="388">
        <v>699000</v>
      </c>
      <c r="F28" s="431">
        <f t="shared" si="1"/>
        <v>0.12515644555694616</v>
      </c>
      <c r="G28" s="457"/>
      <c r="H28" s="441"/>
      <c r="I28" s="724"/>
      <c r="J28" s="61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6.5" customHeight="1">
      <c r="A29" s="652" t="s">
        <v>442</v>
      </c>
      <c r="B29" s="445" t="s">
        <v>169</v>
      </c>
      <c r="C29" s="344">
        <f t="shared" si="0"/>
        <v>117000</v>
      </c>
      <c r="D29" s="345">
        <v>70000</v>
      </c>
      <c r="E29" s="346">
        <v>59000</v>
      </c>
      <c r="F29" s="347">
        <f t="shared" si="1"/>
        <v>0.15714285714285714</v>
      </c>
      <c r="G29" s="473"/>
      <c r="H29" s="439"/>
      <c r="I29" s="715"/>
      <c r="J29" s="6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6.5" customHeight="1">
      <c r="A30" s="608"/>
      <c r="B30" s="447" t="s">
        <v>170</v>
      </c>
      <c r="C30" s="352">
        <f t="shared" si="0"/>
        <v>177000</v>
      </c>
      <c r="D30" s="353">
        <v>99000</v>
      </c>
      <c r="E30" s="354">
        <v>89000</v>
      </c>
      <c r="F30" s="389">
        <f t="shared" si="1"/>
        <v>0.10101010101010099</v>
      </c>
      <c r="G30" s="462"/>
      <c r="H30" s="441"/>
      <c r="I30" s="613"/>
      <c r="J30" s="614"/>
      <c r="K30" s="1"/>
      <c r="L30" s="1"/>
      <c r="M30" s="480"/>
      <c r="N30" s="480"/>
      <c r="O30" s="480"/>
      <c r="P30" s="480"/>
      <c r="Q30" s="480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4" customHeight="1">
      <c r="A31" s="608"/>
      <c r="B31" s="447" t="s">
        <v>541</v>
      </c>
      <c r="C31" s="352">
        <f t="shared" si="0"/>
        <v>197000</v>
      </c>
      <c r="D31" s="353">
        <v>157000</v>
      </c>
      <c r="E31" s="416">
        <v>99000</v>
      </c>
      <c r="F31" s="431">
        <f t="shared" si="1"/>
        <v>0.36942675159235672</v>
      </c>
      <c r="G31" s="474"/>
      <c r="H31" s="441"/>
      <c r="I31" s="613"/>
      <c r="J31" s="614"/>
      <c r="K31" s="1"/>
      <c r="L31" s="1"/>
      <c r="M31" s="480"/>
      <c r="N31" s="480"/>
      <c r="O31" s="480"/>
      <c r="P31" s="480"/>
      <c r="Q31" s="480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660" t="s">
        <v>563</v>
      </c>
      <c r="B32" s="445" t="s">
        <v>507</v>
      </c>
      <c r="C32" s="344">
        <f t="shared" si="0"/>
        <v>1999000</v>
      </c>
      <c r="D32" s="344"/>
      <c r="E32" s="371">
        <v>1000000</v>
      </c>
      <c r="F32" s="347"/>
      <c r="G32" s="475"/>
      <c r="H32" s="718"/>
      <c r="I32" s="715"/>
      <c r="J32" s="612"/>
      <c r="K32" s="1"/>
      <c r="L32" s="1"/>
      <c r="M32" s="481"/>
      <c r="N32" s="482"/>
      <c r="O32" s="482"/>
      <c r="P32" s="480"/>
      <c r="Q32" s="480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6.5" customHeight="1">
      <c r="A33" s="605"/>
      <c r="B33" s="447" t="s">
        <v>508</v>
      </c>
      <c r="C33" s="352">
        <f t="shared" si="0"/>
        <v>3599000</v>
      </c>
      <c r="D33" s="352"/>
      <c r="E33" s="372">
        <v>1800000</v>
      </c>
      <c r="F33" s="389"/>
      <c r="G33" s="462"/>
      <c r="H33" s="603"/>
      <c r="I33" s="613"/>
      <c r="J33" s="614"/>
      <c r="K33" s="1"/>
      <c r="L33" s="1"/>
      <c r="M33" s="481"/>
      <c r="N33" s="482"/>
      <c r="O33" s="482"/>
      <c r="P33" s="480"/>
      <c r="Q33" s="480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6.5" customHeight="1">
      <c r="A34" s="605"/>
      <c r="B34" s="447" t="s">
        <v>509</v>
      </c>
      <c r="C34" s="352">
        <f t="shared" si="0"/>
        <v>4399000</v>
      </c>
      <c r="D34" s="352"/>
      <c r="E34" s="372">
        <v>2200000</v>
      </c>
      <c r="F34" s="389"/>
      <c r="G34" s="457"/>
      <c r="H34" s="603"/>
      <c r="I34" s="613"/>
      <c r="J34" s="614"/>
      <c r="K34" s="1"/>
      <c r="L34" s="1"/>
      <c r="M34" s="481"/>
      <c r="N34" s="482"/>
      <c r="O34" s="482"/>
      <c r="P34" s="480"/>
      <c r="Q34" s="480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6.5" customHeight="1">
      <c r="A35" s="605"/>
      <c r="B35" s="442" t="s">
        <v>510</v>
      </c>
      <c r="C35" s="359">
        <f t="shared" si="0"/>
        <v>4799000</v>
      </c>
      <c r="D35" s="352"/>
      <c r="E35" s="372">
        <v>2400000</v>
      </c>
      <c r="F35" s="431"/>
      <c r="G35" s="476"/>
      <c r="H35" s="601"/>
      <c r="I35" s="613"/>
      <c r="J35" s="614"/>
      <c r="K35" s="1"/>
      <c r="L35" s="1"/>
      <c r="M35" s="480"/>
      <c r="N35" s="480"/>
      <c r="O35" s="480"/>
      <c r="P35" s="480"/>
      <c r="Q35" s="480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6.5" customHeight="1">
      <c r="A36" s="652" t="s">
        <v>584</v>
      </c>
      <c r="B36" s="611"/>
      <c r="C36" s="611"/>
      <c r="D36" s="611"/>
      <c r="E36" s="611"/>
      <c r="F36" s="611"/>
      <c r="G36" s="611"/>
      <c r="H36" s="611"/>
      <c r="I36" s="611"/>
      <c r="J36" s="612"/>
      <c r="K36" s="1"/>
      <c r="L36" s="1"/>
      <c r="M36" s="480"/>
      <c r="N36" s="480"/>
      <c r="O36" s="480"/>
      <c r="P36" s="480"/>
      <c r="Q36" s="480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6.5" customHeight="1">
      <c r="A37" s="608"/>
      <c r="B37" s="613"/>
      <c r="C37" s="613"/>
      <c r="D37" s="613"/>
      <c r="E37" s="613"/>
      <c r="F37" s="613"/>
      <c r="G37" s="613"/>
      <c r="H37" s="613"/>
      <c r="I37" s="613"/>
      <c r="J37" s="614"/>
      <c r="K37" s="1"/>
      <c r="L37" s="1"/>
      <c r="M37" s="480"/>
      <c r="N37" s="480"/>
      <c r="O37" s="480"/>
      <c r="P37" s="480"/>
      <c r="Q37" s="48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6.5" customHeight="1">
      <c r="A38" s="608"/>
      <c r="B38" s="613"/>
      <c r="C38" s="613"/>
      <c r="D38" s="613"/>
      <c r="E38" s="613"/>
      <c r="F38" s="613"/>
      <c r="G38" s="613"/>
      <c r="H38" s="613"/>
      <c r="I38" s="613"/>
      <c r="J38" s="614"/>
      <c r="K38" s="1"/>
      <c r="L38" s="1"/>
      <c r="M38" s="480"/>
      <c r="N38" s="480"/>
      <c r="O38" s="480"/>
      <c r="P38" s="480"/>
      <c r="Q38" s="480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6.5" customHeight="1">
      <c r="A39" s="608"/>
      <c r="B39" s="613"/>
      <c r="C39" s="613"/>
      <c r="D39" s="613"/>
      <c r="E39" s="613"/>
      <c r="F39" s="613"/>
      <c r="G39" s="613"/>
      <c r="H39" s="613"/>
      <c r="I39" s="613"/>
      <c r="J39" s="6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6.5" customHeight="1">
      <c r="A40" s="610"/>
      <c r="B40" s="615"/>
      <c r="C40" s="615"/>
      <c r="D40" s="615"/>
      <c r="E40" s="615"/>
      <c r="F40" s="615"/>
      <c r="G40" s="615"/>
      <c r="H40" s="615"/>
      <c r="I40" s="615"/>
      <c r="J40" s="6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6.5" customHeight="1">
      <c r="A41" s="1"/>
      <c r="B41" s="33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6.5" customHeight="1">
      <c r="A42" s="1"/>
      <c r="B42" s="33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6.5" customHeight="1">
      <c r="A43" s="1"/>
      <c r="B43" s="33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6.5" customHeight="1">
      <c r="A44" s="1"/>
      <c r="B44" s="33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6.5" customHeight="1">
      <c r="A45" s="1"/>
      <c r="B45" s="450"/>
      <c r="C45" s="354"/>
      <c r="D45" s="354"/>
      <c r="E45" s="41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6.5" customHeight="1">
      <c r="A46" s="1"/>
      <c r="B46" s="339"/>
      <c r="C46" s="1"/>
      <c r="D46" s="1"/>
      <c r="E46" s="1"/>
      <c r="F46" s="1"/>
      <c r="G46" s="176"/>
      <c r="H46" s="17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6.5" customHeight="1">
      <c r="A47" s="1"/>
      <c r="B47" s="339"/>
      <c r="C47" s="1"/>
      <c r="D47" s="1"/>
      <c r="E47" s="1"/>
      <c r="F47" s="1"/>
      <c r="G47" s="176"/>
      <c r="H47" s="17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6.5" customHeight="1">
      <c r="A48" s="1"/>
      <c r="B48" s="451"/>
      <c r="C48" s="354"/>
      <c r="D48" s="354"/>
      <c r="E48" s="354"/>
      <c r="F48" s="452"/>
      <c r="G48" s="453"/>
      <c r="H48" s="17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6.5" customHeight="1">
      <c r="A49" s="1"/>
      <c r="B49" s="451"/>
      <c r="C49" s="354"/>
      <c r="D49" s="354"/>
      <c r="E49" s="354"/>
      <c r="F49" s="452"/>
      <c r="G49" s="176"/>
      <c r="H49" s="17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6.5" customHeight="1">
      <c r="A50" s="1"/>
      <c r="B50" s="451"/>
      <c r="C50" s="354"/>
      <c r="D50" s="354"/>
      <c r="E50" s="354"/>
      <c r="F50" s="452"/>
      <c r="G50" s="176"/>
      <c r="H50" s="17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6.5" customHeight="1">
      <c r="A51" s="1"/>
      <c r="B51" s="152"/>
      <c r="C51" s="354"/>
      <c r="D51" s="354"/>
      <c r="E51" s="416"/>
      <c r="F51" s="1"/>
      <c r="G51" s="176"/>
      <c r="H51" s="17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6.5" customHeight="1">
      <c r="A52" s="1"/>
      <c r="B52" s="339"/>
      <c r="C52" s="1"/>
      <c r="D52" s="1"/>
      <c r="E52" s="1"/>
      <c r="F52" s="1"/>
      <c r="G52" s="176"/>
      <c r="H52" s="17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6.5" customHeight="1">
      <c r="A53" s="1"/>
      <c r="B53" s="339"/>
      <c r="C53" s="1"/>
      <c r="D53" s="1"/>
      <c r="E53" s="1"/>
      <c r="F53" s="1"/>
      <c r="G53" s="176"/>
      <c r="H53" s="17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6.5" customHeight="1">
      <c r="A54" s="1"/>
      <c r="B54" s="339"/>
      <c r="C54" s="1"/>
      <c r="D54" s="1"/>
      <c r="E54" s="1"/>
      <c r="F54" s="1"/>
      <c r="G54" s="176"/>
      <c r="H54" s="17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6.5" customHeight="1">
      <c r="A55" s="1"/>
      <c r="B55" s="339"/>
      <c r="C55" s="1"/>
      <c r="D55" s="1"/>
      <c r="E55" s="1"/>
      <c r="F55" s="1"/>
      <c r="G55" s="176"/>
      <c r="H55" s="17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6.5" customHeight="1">
      <c r="A56" s="1"/>
      <c r="B56" s="339"/>
      <c r="C56" s="1"/>
      <c r="D56" s="1"/>
      <c r="E56" s="1"/>
      <c r="F56" s="1"/>
      <c r="G56" s="176"/>
      <c r="H56" s="17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6.5" customHeight="1">
      <c r="A57" s="1"/>
      <c r="B57" s="339"/>
      <c r="C57" s="1"/>
      <c r="D57" s="1"/>
      <c r="E57" s="1"/>
      <c r="F57" s="1"/>
      <c r="G57" s="176"/>
      <c r="H57" s="17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6.5" customHeight="1">
      <c r="A58" s="1"/>
      <c r="B58" s="339"/>
      <c r="C58" s="1"/>
      <c r="D58" s="1"/>
      <c r="E58" s="1"/>
      <c r="F58" s="1"/>
      <c r="G58" s="176"/>
      <c r="H58" s="17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6.5" customHeight="1">
      <c r="A59" s="1"/>
      <c r="B59" s="339"/>
      <c r="C59" s="1"/>
      <c r="D59" s="1"/>
      <c r="E59" s="1"/>
      <c r="F59" s="1"/>
      <c r="G59" s="176"/>
      <c r="H59" s="17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6.5" customHeight="1">
      <c r="A60" s="1"/>
      <c r="B60" s="339"/>
      <c r="C60" s="1"/>
      <c r="D60" s="1"/>
      <c r="E60" s="1"/>
      <c r="F60" s="1"/>
      <c r="G60" s="176"/>
      <c r="H60" s="17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6.5" customHeight="1">
      <c r="A61" s="1"/>
      <c r="B61" s="339"/>
      <c r="C61" s="1"/>
      <c r="D61" s="1"/>
      <c r="E61" s="1"/>
      <c r="F61" s="1"/>
      <c r="G61" s="176"/>
      <c r="H61" s="17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6.5" customHeight="1">
      <c r="A62" s="1"/>
      <c r="B62" s="339"/>
      <c r="C62" s="1"/>
      <c r="D62" s="1"/>
      <c r="E62" s="1"/>
      <c r="F62" s="1"/>
      <c r="G62" s="176"/>
      <c r="H62" s="17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6.5" customHeight="1">
      <c r="A63" s="1"/>
      <c r="B63" s="339"/>
      <c r="C63" s="1"/>
      <c r="D63" s="1"/>
      <c r="E63" s="1"/>
      <c r="F63" s="1"/>
      <c r="G63" s="176"/>
      <c r="H63" s="17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6.5" customHeight="1">
      <c r="A64" s="1"/>
      <c r="B64" s="339"/>
      <c r="C64" s="1"/>
      <c r="D64" s="1"/>
      <c r="E64" s="1"/>
      <c r="F64" s="1"/>
      <c r="G64" s="176"/>
      <c r="H64" s="17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6.5" customHeight="1">
      <c r="A65" s="1"/>
      <c r="B65" s="339"/>
      <c r="C65" s="1"/>
      <c r="D65" s="1"/>
      <c r="E65" s="1"/>
      <c r="F65" s="1"/>
      <c r="G65" s="176"/>
      <c r="H65" s="17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6.5" customHeight="1">
      <c r="A66" s="1"/>
      <c r="B66" s="339"/>
      <c r="C66" s="1"/>
      <c r="D66" s="1"/>
      <c r="E66" s="1"/>
      <c r="F66" s="1"/>
      <c r="G66" s="176"/>
      <c r="H66" s="17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6.5" customHeight="1">
      <c r="A67" s="1"/>
      <c r="B67" s="339"/>
      <c r="C67" s="1"/>
      <c r="D67" s="1"/>
      <c r="E67" s="1"/>
      <c r="F67" s="1"/>
      <c r="G67" s="176"/>
      <c r="H67" s="17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6.5" customHeight="1">
      <c r="A68" s="1"/>
      <c r="B68" s="339"/>
      <c r="C68" s="1"/>
      <c r="D68" s="1"/>
      <c r="E68" s="1"/>
      <c r="F68" s="1"/>
      <c r="G68" s="176"/>
      <c r="H68" s="17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6.5" customHeight="1">
      <c r="A69" s="1"/>
      <c r="B69" s="339"/>
      <c r="C69" s="1"/>
      <c r="D69" s="1"/>
      <c r="E69" s="1"/>
      <c r="F69" s="1"/>
      <c r="G69" s="176"/>
      <c r="H69" s="17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6.5" customHeight="1">
      <c r="A70" s="1"/>
      <c r="B70" s="339"/>
      <c r="C70" s="1"/>
      <c r="D70" s="1"/>
      <c r="E70" s="1"/>
      <c r="F70" s="1"/>
      <c r="G70" s="176"/>
      <c r="H70" s="17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6.5" customHeight="1">
      <c r="A71" s="1"/>
      <c r="B71" s="339"/>
      <c r="C71" s="1"/>
      <c r="D71" s="1"/>
      <c r="E71" s="1"/>
      <c r="F71" s="1"/>
      <c r="G71" s="176"/>
      <c r="H71" s="17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6.5" customHeight="1">
      <c r="A72" s="1"/>
      <c r="B72" s="339"/>
      <c r="C72" s="1"/>
      <c r="D72" s="1"/>
      <c r="E72" s="1"/>
      <c r="F72" s="1"/>
      <c r="G72" s="176"/>
      <c r="H72" s="17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6.5" customHeight="1">
      <c r="A73" s="1"/>
      <c r="B73" s="339"/>
      <c r="C73" s="1"/>
      <c r="D73" s="1"/>
      <c r="E73" s="1"/>
      <c r="F73" s="1"/>
      <c r="G73" s="176"/>
      <c r="H73" s="17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6.5" customHeight="1">
      <c r="A74" s="1"/>
      <c r="B74" s="339"/>
      <c r="C74" s="1"/>
      <c r="D74" s="1"/>
      <c r="E74" s="1"/>
      <c r="F74" s="1"/>
      <c r="G74" s="176"/>
      <c r="H74" s="17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6.5" customHeight="1">
      <c r="A75" s="1"/>
      <c r="B75" s="339"/>
      <c r="C75" s="1"/>
      <c r="D75" s="1"/>
      <c r="E75" s="1"/>
      <c r="F75" s="1"/>
      <c r="G75" s="176"/>
      <c r="H75" s="17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6.5" customHeight="1">
      <c r="A76" s="1"/>
      <c r="B76" s="339"/>
      <c r="C76" s="1"/>
      <c r="D76" s="1"/>
      <c r="E76" s="1"/>
      <c r="F76" s="1"/>
      <c r="G76" s="176"/>
      <c r="H76" s="17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6.5" customHeight="1">
      <c r="A77" s="1"/>
      <c r="B77" s="339"/>
      <c r="C77" s="1"/>
      <c r="D77" s="1"/>
      <c r="E77" s="1"/>
      <c r="F77" s="1"/>
      <c r="G77" s="176"/>
      <c r="H77" s="17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6.5" customHeight="1">
      <c r="A78" s="1"/>
      <c r="B78" s="339"/>
      <c r="C78" s="1"/>
      <c r="D78" s="1"/>
      <c r="E78" s="1"/>
      <c r="F78" s="1"/>
      <c r="G78" s="176"/>
      <c r="H78" s="17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6.5" customHeight="1">
      <c r="A79" s="1"/>
      <c r="B79" s="339"/>
      <c r="C79" s="1"/>
      <c r="D79" s="1"/>
      <c r="E79" s="1"/>
      <c r="F79" s="1"/>
      <c r="G79" s="176"/>
      <c r="H79" s="17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6.5" customHeight="1">
      <c r="A80" s="1"/>
      <c r="B80" s="339"/>
      <c r="C80" s="1"/>
      <c r="D80" s="1"/>
      <c r="E80" s="1"/>
      <c r="F80" s="1"/>
      <c r="G80" s="176"/>
      <c r="H80" s="17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6.5" customHeight="1">
      <c r="A81" s="1"/>
      <c r="B81" s="339"/>
      <c r="C81" s="1"/>
      <c r="D81" s="1"/>
      <c r="E81" s="1"/>
      <c r="F81" s="1"/>
      <c r="G81" s="176"/>
      <c r="H81" s="17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6.5" customHeight="1">
      <c r="A82" s="1"/>
      <c r="B82" s="339"/>
      <c r="C82" s="1"/>
      <c r="D82" s="1"/>
      <c r="E82" s="1"/>
      <c r="F82" s="1"/>
      <c r="G82" s="176"/>
      <c r="H82" s="17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6.5" customHeight="1">
      <c r="A83" s="1"/>
      <c r="B83" s="339"/>
      <c r="C83" s="1"/>
      <c r="D83" s="1"/>
      <c r="E83" s="1"/>
      <c r="F83" s="1"/>
      <c r="G83" s="176"/>
      <c r="H83" s="17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6.5" customHeight="1">
      <c r="A84" s="1"/>
      <c r="B84" s="339"/>
      <c r="C84" s="1"/>
      <c r="D84" s="1"/>
      <c r="E84" s="1"/>
      <c r="F84" s="1"/>
      <c r="G84" s="176"/>
      <c r="H84" s="17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6.5" customHeight="1">
      <c r="A85" s="1"/>
      <c r="B85" s="339"/>
      <c r="C85" s="1"/>
      <c r="D85" s="1"/>
      <c r="E85" s="1"/>
      <c r="F85" s="1"/>
      <c r="G85" s="176"/>
      <c r="H85" s="17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6.5" customHeight="1">
      <c r="A86" s="1"/>
      <c r="B86" s="339"/>
      <c r="C86" s="1"/>
      <c r="D86" s="1"/>
      <c r="E86" s="1"/>
      <c r="F86" s="1"/>
      <c r="G86" s="176"/>
      <c r="H86" s="17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6.5" customHeight="1">
      <c r="A87" s="1"/>
      <c r="B87" s="339"/>
      <c r="C87" s="1"/>
      <c r="D87" s="1"/>
      <c r="E87" s="1"/>
      <c r="F87" s="1"/>
      <c r="G87" s="176"/>
      <c r="H87" s="17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6.5" customHeight="1">
      <c r="A88" s="1"/>
      <c r="B88" s="339"/>
      <c r="C88" s="1"/>
      <c r="D88" s="1"/>
      <c r="E88" s="1"/>
      <c r="F88" s="1"/>
      <c r="G88" s="176"/>
      <c r="H88" s="17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6.5" customHeight="1">
      <c r="A89" s="1"/>
      <c r="B89" s="339"/>
      <c r="C89" s="1"/>
      <c r="D89" s="1"/>
      <c r="E89" s="1"/>
      <c r="F89" s="1"/>
      <c r="G89" s="176"/>
      <c r="H89" s="17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6.5" customHeight="1">
      <c r="A90" s="1"/>
      <c r="B90" s="339"/>
      <c r="C90" s="1"/>
      <c r="D90" s="1"/>
      <c r="E90" s="1"/>
      <c r="F90" s="1"/>
      <c r="G90" s="176"/>
      <c r="H90" s="17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6.5" customHeight="1">
      <c r="A91" s="1"/>
      <c r="B91" s="339"/>
      <c r="C91" s="1"/>
      <c r="D91" s="1"/>
      <c r="E91" s="1"/>
      <c r="F91" s="1"/>
      <c r="G91" s="176"/>
      <c r="H91" s="17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6.5" customHeight="1">
      <c r="A92" s="1"/>
      <c r="B92" s="339"/>
      <c r="C92" s="1"/>
      <c r="D92" s="1"/>
      <c r="E92" s="1"/>
      <c r="F92" s="1"/>
      <c r="G92" s="176"/>
      <c r="H92" s="17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6.5" customHeight="1">
      <c r="A93" s="1"/>
      <c r="B93" s="339"/>
      <c r="C93" s="1"/>
      <c r="D93" s="1"/>
      <c r="E93" s="1"/>
      <c r="F93" s="1"/>
      <c r="G93" s="176"/>
      <c r="H93" s="17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6.5" customHeight="1">
      <c r="A94" s="1"/>
      <c r="B94" s="339"/>
      <c r="C94" s="1"/>
      <c r="D94" s="1"/>
      <c r="E94" s="1"/>
      <c r="F94" s="1"/>
      <c r="G94" s="176"/>
      <c r="H94" s="17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6.5" customHeight="1">
      <c r="A95" s="1"/>
      <c r="B95" s="339"/>
      <c r="C95" s="1"/>
      <c r="D95" s="1"/>
      <c r="E95" s="1"/>
      <c r="F95" s="1"/>
      <c r="G95" s="176"/>
      <c r="H95" s="17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6.5" customHeight="1">
      <c r="A96" s="1"/>
      <c r="B96" s="339"/>
      <c r="C96" s="1"/>
      <c r="D96" s="1"/>
      <c r="E96" s="1"/>
      <c r="F96" s="1"/>
      <c r="G96" s="176"/>
      <c r="H96" s="17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6.5" customHeight="1">
      <c r="A97" s="1"/>
      <c r="B97" s="339"/>
      <c r="C97" s="1"/>
      <c r="D97" s="1"/>
      <c r="E97" s="1"/>
      <c r="F97" s="1"/>
      <c r="G97" s="176"/>
      <c r="H97" s="17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6.5" customHeight="1">
      <c r="A98" s="1"/>
      <c r="B98" s="339"/>
      <c r="C98" s="1"/>
      <c r="D98" s="1"/>
      <c r="E98" s="1"/>
      <c r="F98" s="1"/>
      <c r="G98" s="176"/>
      <c r="H98" s="17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6.5" customHeight="1">
      <c r="A99" s="1"/>
      <c r="B99" s="339"/>
      <c r="C99" s="1"/>
      <c r="D99" s="1"/>
      <c r="E99" s="1"/>
      <c r="F99" s="1"/>
      <c r="G99" s="176"/>
      <c r="H99" s="17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6.5" customHeight="1">
      <c r="A100" s="1"/>
      <c r="B100" s="339"/>
      <c r="C100" s="1"/>
      <c r="D100" s="1"/>
      <c r="E100" s="1"/>
      <c r="F100" s="1"/>
      <c r="G100" s="176"/>
      <c r="H100" s="17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6.5" customHeight="1">
      <c r="A101" s="1"/>
      <c r="B101" s="339"/>
      <c r="C101" s="1"/>
      <c r="D101" s="1"/>
      <c r="E101" s="1"/>
      <c r="F101" s="1"/>
      <c r="G101" s="176"/>
      <c r="H101" s="17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6.5" customHeight="1">
      <c r="A102" s="1"/>
      <c r="B102" s="339"/>
      <c r="C102" s="1"/>
      <c r="D102" s="1"/>
      <c r="E102" s="1"/>
      <c r="F102" s="1"/>
      <c r="G102" s="176"/>
      <c r="H102" s="17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6.5" customHeight="1">
      <c r="A103" s="1"/>
      <c r="B103" s="339"/>
      <c r="C103" s="1"/>
      <c r="D103" s="1"/>
      <c r="E103" s="1"/>
      <c r="F103" s="1"/>
      <c r="G103" s="176"/>
      <c r="H103" s="17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6.5" customHeight="1">
      <c r="A104" s="1"/>
      <c r="B104" s="339"/>
      <c r="C104" s="1"/>
      <c r="D104" s="1"/>
      <c r="E104" s="1"/>
      <c r="F104" s="1"/>
      <c r="G104" s="176"/>
      <c r="H104" s="17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6.5" customHeight="1">
      <c r="A105" s="1"/>
      <c r="B105" s="339"/>
      <c r="C105" s="1"/>
      <c r="D105" s="1"/>
      <c r="E105" s="1"/>
      <c r="F105" s="1"/>
      <c r="G105" s="176"/>
      <c r="H105" s="17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6.5" customHeight="1">
      <c r="A106" s="1"/>
      <c r="B106" s="339"/>
      <c r="C106" s="1"/>
      <c r="D106" s="1"/>
      <c r="E106" s="1"/>
      <c r="F106" s="1"/>
      <c r="G106" s="176"/>
      <c r="H106" s="17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6.5" customHeight="1">
      <c r="A107" s="1"/>
      <c r="B107" s="339"/>
      <c r="C107" s="1"/>
      <c r="D107" s="1"/>
      <c r="E107" s="1"/>
      <c r="F107" s="1"/>
      <c r="G107" s="176"/>
      <c r="H107" s="17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6.5" customHeight="1">
      <c r="A108" s="1"/>
      <c r="B108" s="339"/>
      <c r="C108" s="1"/>
      <c r="D108" s="1"/>
      <c r="E108" s="1"/>
      <c r="F108" s="1"/>
      <c r="G108" s="176"/>
      <c r="H108" s="17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6.5" customHeight="1">
      <c r="A109" s="1"/>
      <c r="B109" s="339"/>
      <c r="C109" s="1"/>
      <c r="D109" s="1"/>
      <c r="E109" s="1"/>
      <c r="F109" s="1"/>
      <c r="G109" s="176"/>
      <c r="H109" s="17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6.5" customHeight="1">
      <c r="A110" s="1"/>
      <c r="B110" s="339"/>
      <c r="C110" s="1"/>
      <c r="D110" s="1"/>
      <c r="E110" s="1"/>
      <c r="F110" s="1"/>
      <c r="G110" s="176"/>
      <c r="H110" s="17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6.5" customHeight="1">
      <c r="A111" s="1"/>
      <c r="B111" s="339"/>
      <c r="C111" s="1"/>
      <c r="D111" s="1"/>
      <c r="E111" s="1"/>
      <c r="F111" s="1"/>
      <c r="G111" s="176"/>
      <c r="H111" s="17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6.5" customHeight="1">
      <c r="A112" s="1"/>
      <c r="B112" s="339"/>
      <c r="C112" s="1"/>
      <c r="D112" s="1"/>
      <c r="E112" s="1"/>
      <c r="F112" s="1"/>
      <c r="G112" s="176"/>
      <c r="H112" s="17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6.5" customHeight="1">
      <c r="A113" s="1"/>
      <c r="B113" s="339"/>
      <c r="C113" s="1"/>
      <c r="D113" s="1"/>
      <c r="E113" s="1"/>
      <c r="F113" s="1"/>
      <c r="G113" s="176"/>
      <c r="H113" s="17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6.5" customHeight="1">
      <c r="A114" s="1"/>
      <c r="B114" s="339"/>
      <c r="C114" s="1"/>
      <c r="D114" s="1"/>
      <c r="E114" s="1"/>
      <c r="F114" s="1"/>
      <c r="G114" s="176"/>
      <c r="H114" s="17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6.5" customHeight="1">
      <c r="A115" s="1"/>
      <c r="B115" s="339"/>
      <c r="C115" s="1"/>
      <c r="D115" s="1"/>
      <c r="E115" s="1"/>
      <c r="F115" s="1"/>
      <c r="G115" s="176"/>
      <c r="H115" s="17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6.5" customHeight="1">
      <c r="A116" s="1"/>
      <c r="B116" s="339"/>
      <c r="C116" s="1"/>
      <c r="D116" s="1"/>
      <c r="E116" s="1"/>
      <c r="F116" s="1"/>
      <c r="G116" s="176"/>
      <c r="H116" s="17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6.5" customHeight="1">
      <c r="A117" s="1"/>
      <c r="B117" s="339"/>
      <c r="C117" s="1"/>
      <c r="D117" s="1"/>
      <c r="E117" s="1"/>
      <c r="F117" s="1"/>
      <c r="G117" s="176"/>
      <c r="H117" s="17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6.5" customHeight="1">
      <c r="A118" s="1"/>
      <c r="B118" s="339"/>
      <c r="C118" s="1"/>
      <c r="D118" s="1"/>
      <c r="E118" s="1"/>
      <c r="F118" s="1"/>
      <c r="G118" s="176"/>
      <c r="H118" s="17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6.5" customHeight="1">
      <c r="A119" s="1"/>
      <c r="B119" s="339"/>
      <c r="C119" s="1"/>
      <c r="D119" s="1"/>
      <c r="E119" s="1"/>
      <c r="F119" s="1"/>
      <c r="G119" s="176"/>
      <c r="H119" s="17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6.5" customHeight="1">
      <c r="A120" s="1"/>
      <c r="B120" s="339"/>
      <c r="C120" s="1"/>
      <c r="D120" s="1"/>
      <c r="E120" s="1"/>
      <c r="F120" s="1"/>
      <c r="G120" s="176"/>
      <c r="H120" s="17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6.5" customHeight="1">
      <c r="A121" s="1"/>
      <c r="B121" s="339"/>
      <c r="C121" s="1"/>
      <c r="D121" s="1"/>
      <c r="E121" s="1"/>
      <c r="F121" s="1"/>
      <c r="G121" s="176"/>
      <c r="H121" s="17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6.5" customHeight="1">
      <c r="A122" s="1"/>
      <c r="B122" s="339"/>
      <c r="C122" s="1"/>
      <c r="D122" s="1"/>
      <c r="E122" s="1"/>
      <c r="F122" s="1"/>
      <c r="G122" s="176"/>
      <c r="H122" s="17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6.5" customHeight="1">
      <c r="A123" s="1"/>
      <c r="B123" s="339"/>
      <c r="C123" s="1"/>
      <c r="D123" s="1"/>
      <c r="E123" s="1"/>
      <c r="F123" s="1"/>
      <c r="G123" s="176"/>
      <c r="H123" s="17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6.5" customHeight="1">
      <c r="A124" s="1"/>
      <c r="B124" s="339"/>
      <c r="C124" s="1"/>
      <c r="D124" s="1"/>
      <c r="E124" s="1"/>
      <c r="F124" s="1"/>
      <c r="G124" s="176"/>
      <c r="H124" s="17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6.5" customHeight="1">
      <c r="A125" s="1"/>
      <c r="B125" s="339"/>
      <c r="C125" s="1"/>
      <c r="D125" s="1"/>
      <c r="E125" s="1"/>
      <c r="F125" s="1"/>
      <c r="G125" s="176"/>
      <c r="H125" s="17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6.5" customHeight="1">
      <c r="A126" s="1"/>
      <c r="B126" s="339"/>
      <c r="C126" s="1"/>
      <c r="D126" s="1"/>
      <c r="E126" s="1"/>
      <c r="F126" s="1"/>
      <c r="G126" s="176"/>
      <c r="H126" s="17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6.5" customHeight="1">
      <c r="A127" s="1"/>
      <c r="B127" s="339"/>
      <c r="C127" s="1"/>
      <c r="D127" s="1"/>
      <c r="E127" s="1"/>
      <c r="F127" s="1"/>
      <c r="G127" s="176"/>
      <c r="H127" s="17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6.5" customHeight="1">
      <c r="A128" s="1"/>
      <c r="B128" s="339"/>
      <c r="C128" s="1"/>
      <c r="D128" s="1"/>
      <c r="E128" s="1"/>
      <c r="F128" s="1"/>
      <c r="G128" s="176"/>
      <c r="H128" s="17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6.5" customHeight="1">
      <c r="A129" s="1"/>
      <c r="B129" s="339"/>
      <c r="C129" s="1"/>
      <c r="D129" s="1"/>
      <c r="E129" s="1"/>
      <c r="F129" s="1"/>
      <c r="G129" s="176"/>
      <c r="H129" s="17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6.5" customHeight="1">
      <c r="A130" s="1"/>
      <c r="B130" s="339"/>
      <c r="C130" s="1"/>
      <c r="D130" s="1"/>
      <c r="E130" s="1"/>
      <c r="F130" s="1"/>
      <c r="G130" s="176"/>
      <c r="H130" s="17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6.5" customHeight="1">
      <c r="A131" s="1"/>
      <c r="B131" s="339"/>
      <c r="C131" s="1"/>
      <c r="D131" s="1"/>
      <c r="E131" s="1"/>
      <c r="F131" s="1"/>
      <c r="G131" s="176"/>
      <c r="H131" s="17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6.5" customHeight="1">
      <c r="A132" s="1"/>
      <c r="B132" s="339"/>
      <c r="C132" s="1"/>
      <c r="D132" s="1"/>
      <c r="E132" s="1"/>
      <c r="F132" s="1"/>
      <c r="G132" s="176"/>
      <c r="H132" s="17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6.5" customHeight="1">
      <c r="A133" s="1"/>
      <c r="B133" s="339"/>
      <c r="C133" s="1"/>
      <c r="D133" s="1"/>
      <c r="E133" s="1"/>
      <c r="F133" s="1"/>
      <c r="G133" s="176"/>
      <c r="H133" s="17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6.5" customHeight="1">
      <c r="A134" s="1"/>
      <c r="B134" s="339"/>
      <c r="C134" s="1"/>
      <c r="D134" s="1"/>
      <c r="E134" s="1"/>
      <c r="F134" s="1"/>
      <c r="G134" s="176"/>
      <c r="H134" s="17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6.5" customHeight="1">
      <c r="A135" s="1"/>
      <c r="B135" s="339"/>
      <c r="C135" s="1"/>
      <c r="D135" s="1"/>
      <c r="E135" s="1"/>
      <c r="F135" s="1"/>
      <c r="G135" s="176"/>
      <c r="H135" s="17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6.5" customHeight="1">
      <c r="A136" s="1"/>
      <c r="B136" s="339"/>
      <c r="C136" s="1"/>
      <c r="D136" s="1"/>
      <c r="E136" s="1"/>
      <c r="F136" s="1"/>
      <c r="G136" s="176"/>
      <c r="H136" s="17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6.5" customHeight="1">
      <c r="A137" s="1"/>
      <c r="B137" s="339"/>
      <c r="C137" s="1"/>
      <c r="D137" s="1"/>
      <c r="E137" s="1"/>
      <c r="F137" s="1"/>
      <c r="G137" s="176"/>
      <c r="H137" s="17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6.5" customHeight="1">
      <c r="A138" s="1"/>
      <c r="B138" s="339"/>
      <c r="C138" s="1"/>
      <c r="D138" s="1"/>
      <c r="E138" s="1"/>
      <c r="F138" s="1"/>
      <c r="G138" s="176"/>
      <c r="H138" s="17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6.5" customHeight="1">
      <c r="A139" s="1"/>
      <c r="B139" s="339"/>
      <c r="C139" s="1"/>
      <c r="D139" s="1"/>
      <c r="E139" s="1"/>
      <c r="F139" s="1"/>
      <c r="G139" s="176"/>
      <c r="H139" s="17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6.5" customHeight="1">
      <c r="A140" s="1"/>
      <c r="B140" s="339"/>
      <c r="C140" s="1"/>
      <c r="D140" s="1"/>
      <c r="E140" s="1"/>
      <c r="F140" s="1"/>
      <c r="G140" s="176"/>
      <c r="H140" s="17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6.5" customHeight="1">
      <c r="A141" s="1"/>
      <c r="B141" s="339"/>
      <c r="C141" s="1"/>
      <c r="D141" s="1"/>
      <c r="E141" s="1"/>
      <c r="F141" s="1"/>
      <c r="G141" s="176"/>
      <c r="H141" s="17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6.5" customHeight="1">
      <c r="A142" s="1"/>
      <c r="B142" s="339"/>
      <c r="C142" s="1"/>
      <c r="D142" s="1"/>
      <c r="E142" s="1"/>
      <c r="F142" s="1"/>
      <c r="G142" s="176"/>
      <c r="H142" s="17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6.5" customHeight="1">
      <c r="A143" s="1"/>
      <c r="B143" s="339"/>
      <c r="C143" s="1"/>
      <c r="D143" s="1"/>
      <c r="E143" s="1"/>
      <c r="F143" s="1"/>
      <c r="G143" s="176"/>
      <c r="H143" s="17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6.5" customHeight="1">
      <c r="A144" s="1"/>
      <c r="B144" s="339"/>
      <c r="C144" s="1"/>
      <c r="D144" s="1"/>
      <c r="E144" s="1"/>
      <c r="F144" s="1"/>
      <c r="G144" s="176"/>
      <c r="H144" s="17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6.5" customHeight="1">
      <c r="A145" s="1"/>
      <c r="B145" s="339"/>
      <c r="C145" s="1"/>
      <c r="D145" s="1"/>
      <c r="E145" s="1"/>
      <c r="F145" s="1"/>
      <c r="G145" s="176"/>
      <c r="H145" s="17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6.5" customHeight="1">
      <c r="A146" s="1"/>
      <c r="B146" s="339"/>
      <c r="C146" s="1"/>
      <c r="D146" s="1"/>
      <c r="E146" s="1"/>
      <c r="F146" s="1"/>
      <c r="G146" s="176"/>
      <c r="H146" s="17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6.5" customHeight="1">
      <c r="A147" s="1"/>
      <c r="B147" s="339"/>
      <c r="C147" s="1"/>
      <c r="D147" s="1"/>
      <c r="E147" s="1"/>
      <c r="F147" s="1"/>
      <c r="G147" s="176"/>
      <c r="H147" s="17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6.5" customHeight="1">
      <c r="A148" s="1"/>
      <c r="B148" s="339"/>
      <c r="C148" s="1"/>
      <c r="D148" s="1"/>
      <c r="E148" s="1"/>
      <c r="F148" s="1"/>
      <c r="G148" s="176"/>
      <c r="H148" s="17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6.5" customHeight="1">
      <c r="A149" s="1"/>
      <c r="B149" s="339"/>
      <c r="C149" s="1"/>
      <c r="D149" s="1"/>
      <c r="E149" s="1"/>
      <c r="F149" s="1"/>
      <c r="G149" s="176"/>
      <c r="H149" s="17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6.5" customHeight="1">
      <c r="A150" s="1"/>
      <c r="B150" s="339"/>
      <c r="C150" s="1"/>
      <c r="D150" s="1"/>
      <c r="E150" s="1"/>
      <c r="F150" s="1"/>
      <c r="G150" s="176"/>
      <c r="H150" s="17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6.5" customHeight="1">
      <c r="A151" s="1"/>
      <c r="B151" s="339"/>
      <c r="C151" s="1"/>
      <c r="D151" s="1"/>
      <c r="E151" s="1"/>
      <c r="F151" s="1"/>
      <c r="G151" s="176"/>
      <c r="H151" s="17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6.5" customHeight="1">
      <c r="A152" s="1"/>
      <c r="B152" s="339"/>
      <c r="C152" s="1"/>
      <c r="D152" s="1"/>
      <c r="E152" s="1"/>
      <c r="F152" s="1"/>
      <c r="G152" s="176"/>
      <c r="H152" s="17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6.5" customHeight="1">
      <c r="A153" s="1"/>
      <c r="B153" s="339"/>
      <c r="C153" s="1"/>
      <c r="D153" s="1"/>
      <c r="E153" s="1"/>
      <c r="F153" s="1"/>
      <c r="G153" s="176"/>
      <c r="H153" s="17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6.5" customHeight="1">
      <c r="A154" s="1"/>
      <c r="B154" s="339"/>
      <c r="C154" s="1"/>
      <c r="D154" s="1"/>
      <c r="E154" s="1"/>
      <c r="F154" s="1"/>
      <c r="G154" s="176"/>
      <c r="H154" s="17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6.5" customHeight="1">
      <c r="A155" s="1"/>
      <c r="B155" s="339"/>
      <c r="C155" s="1"/>
      <c r="D155" s="1"/>
      <c r="E155" s="1"/>
      <c r="F155" s="1"/>
      <c r="G155" s="176"/>
      <c r="H155" s="17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6.5" customHeight="1">
      <c r="A156" s="1"/>
      <c r="B156" s="339"/>
      <c r="C156" s="1"/>
      <c r="D156" s="1"/>
      <c r="E156" s="1"/>
      <c r="F156" s="1"/>
      <c r="G156" s="176"/>
      <c r="H156" s="17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6.5" customHeight="1">
      <c r="A157" s="1"/>
      <c r="B157" s="339"/>
      <c r="C157" s="1"/>
      <c r="D157" s="1"/>
      <c r="E157" s="1"/>
      <c r="F157" s="1"/>
      <c r="G157" s="176"/>
      <c r="H157" s="17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6.5" customHeight="1">
      <c r="A158" s="1"/>
      <c r="B158" s="339"/>
      <c r="C158" s="1"/>
      <c r="D158" s="1"/>
      <c r="E158" s="1"/>
      <c r="F158" s="1"/>
      <c r="G158" s="176"/>
      <c r="H158" s="17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6.5" customHeight="1">
      <c r="A159" s="1"/>
      <c r="B159" s="339"/>
      <c r="C159" s="1"/>
      <c r="D159" s="1"/>
      <c r="E159" s="1"/>
      <c r="F159" s="1"/>
      <c r="G159" s="176"/>
      <c r="H159" s="17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6.5" customHeight="1">
      <c r="A160" s="1"/>
      <c r="B160" s="339"/>
      <c r="C160" s="1"/>
      <c r="D160" s="1"/>
      <c r="E160" s="1"/>
      <c r="F160" s="1"/>
      <c r="G160" s="176"/>
      <c r="H160" s="17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6.5" customHeight="1">
      <c r="A161" s="1"/>
      <c r="B161" s="339"/>
      <c r="C161" s="1"/>
      <c r="D161" s="1"/>
      <c r="E161" s="1"/>
      <c r="F161" s="1"/>
      <c r="G161" s="176"/>
      <c r="H161" s="17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6.5" customHeight="1">
      <c r="A162" s="1"/>
      <c r="B162" s="339"/>
      <c r="C162" s="1"/>
      <c r="D162" s="1"/>
      <c r="E162" s="1"/>
      <c r="F162" s="1"/>
      <c r="G162" s="176"/>
      <c r="H162" s="17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6.5" customHeight="1">
      <c r="A163" s="1"/>
      <c r="B163" s="339"/>
      <c r="C163" s="1"/>
      <c r="D163" s="1"/>
      <c r="E163" s="1"/>
      <c r="F163" s="1"/>
      <c r="G163" s="176"/>
      <c r="H163" s="17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6.5" customHeight="1">
      <c r="A164" s="1"/>
      <c r="B164" s="339"/>
      <c r="C164" s="1"/>
      <c r="D164" s="1"/>
      <c r="E164" s="1"/>
      <c r="F164" s="1"/>
      <c r="G164" s="176"/>
      <c r="H164" s="17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6.5" customHeight="1">
      <c r="A165" s="1"/>
      <c r="B165" s="339"/>
      <c r="C165" s="1"/>
      <c r="D165" s="1"/>
      <c r="E165" s="1"/>
      <c r="F165" s="1"/>
      <c r="G165" s="176"/>
      <c r="H165" s="17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6.5" customHeight="1">
      <c r="A166" s="1"/>
      <c r="B166" s="339"/>
      <c r="C166" s="1"/>
      <c r="D166" s="1"/>
      <c r="E166" s="1"/>
      <c r="F166" s="1"/>
      <c r="G166" s="176"/>
      <c r="H166" s="17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6.5" customHeight="1">
      <c r="A167" s="1"/>
      <c r="B167" s="339"/>
      <c r="C167" s="1"/>
      <c r="D167" s="1"/>
      <c r="E167" s="1"/>
      <c r="F167" s="1"/>
      <c r="G167" s="176"/>
      <c r="H167" s="17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6.5" customHeight="1">
      <c r="A168" s="1"/>
      <c r="B168" s="339"/>
      <c r="C168" s="1"/>
      <c r="D168" s="1"/>
      <c r="E168" s="1"/>
      <c r="F168" s="1"/>
      <c r="G168" s="176"/>
      <c r="H168" s="17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6.5" customHeight="1">
      <c r="A169" s="1"/>
      <c r="B169" s="339"/>
      <c r="C169" s="1"/>
      <c r="D169" s="1"/>
      <c r="E169" s="1"/>
      <c r="F169" s="1"/>
      <c r="G169" s="176"/>
      <c r="H169" s="17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6.5" customHeight="1">
      <c r="A170" s="1"/>
      <c r="B170" s="339"/>
      <c r="C170" s="1"/>
      <c r="D170" s="1"/>
      <c r="E170" s="1"/>
      <c r="F170" s="1"/>
      <c r="G170" s="176"/>
      <c r="H170" s="17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6.5" customHeight="1">
      <c r="A171" s="1"/>
      <c r="B171" s="339"/>
      <c r="C171" s="1"/>
      <c r="D171" s="1"/>
      <c r="E171" s="1"/>
      <c r="F171" s="1"/>
      <c r="G171" s="176"/>
      <c r="H171" s="17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6.5" customHeight="1">
      <c r="A172" s="1"/>
      <c r="B172" s="339"/>
      <c r="C172" s="1"/>
      <c r="D172" s="1"/>
      <c r="E172" s="1"/>
      <c r="F172" s="1"/>
      <c r="G172" s="176"/>
      <c r="H172" s="17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6.5" customHeight="1">
      <c r="A173" s="1"/>
      <c r="B173" s="339"/>
      <c r="C173" s="1"/>
      <c r="D173" s="1"/>
      <c r="E173" s="1"/>
      <c r="F173" s="1"/>
      <c r="G173" s="176"/>
      <c r="H173" s="17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6.5" customHeight="1">
      <c r="A174" s="1"/>
      <c r="B174" s="339"/>
      <c r="C174" s="1"/>
      <c r="D174" s="1"/>
      <c r="E174" s="1"/>
      <c r="F174" s="1"/>
      <c r="G174" s="176"/>
      <c r="H174" s="17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6.5" customHeight="1">
      <c r="A175" s="1"/>
      <c r="B175" s="339"/>
      <c r="C175" s="1"/>
      <c r="D175" s="1"/>
      <c r="E175" s="1"/>
      <c r="F175" s="1"/>
      <c r="G175" s="176"/>
      <c r="H175" s="17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6.5" customHeight="1">
      <c r="A176" s="1"/>
      <c r="B176" s="339"/>
      <c r="C176" s="1"/>
      <c r="D176" s="1"/>
      <c r="E176" s="1"/>
      <c r="F176" s="1"/>
      <c r="G176" s="176"/>
      <c r="H176" s="17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6.5" customHeight="1">
      <c r="A177" s="1"/>
      <c r="B177" s="339"/>
      <c r="C177" s="1"/>
      <c r="D177" s="1"/>
      <c r="E177" s="1"/>
      <c r="F177" s="1"/>
      <c r="G177" s="176"/>
      <c r="H177" s="17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6.5" customHeight="1">
      <c r="A178" s="1"/>
      <c r="B178" s="339"/>
      <c r="C178" s="1"/>
      <c r="D178" s="1"/>
      <c r="E178" s="1"/>
      <c r="F178" s="1"/>
      <c r="G178" s="176"/>
      <c r="H178" s="17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6.5" customHeight="1">
      <c r="A179" s="1"/>
      <c r="B179" s="339"/>
      <c r="C179" s="1"/>
      <c r="D179" s="1"/>
      <c r="E179" s="1"/>
      <c r="F179" s="1"/>
      <c r="G179" s="176"/>
      <c r="H179" s="17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6.5" customHeight="1">
      <c r="A180" s="1"/>
      <c r="B180" s="339"/>
      <c r="C180" s="1"/>
      <c r="D180" s="1"/>
      <c r="E180" s="1"/>
      <c r="F180" s="1"/>
      <c r="G180" s="176"/>
      <c r="H180" s="17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6.5" customHeight="1">
      <c r="A181" s="1"/>
      <c r="B181" s="339"/>
      <c r="C181" s="1"/>
      <c r="D181" s="1"/>
      <c r="E181" s="1"/>
      <c r="F181" s="1"/>
      <c r="G181" s="176"/>
      <c r="H181" s="17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6.5" customHeight="1">
      <c r="A182" s="1"/>
      <c r="B182" s="339"/>
      <c r="C182" s="1"/>
      <c r="D182" s="1"/>
      <c r="E182" s="1"/>
      <c r="F182" s="1"/>
      <c r="G182" s="176"/>
      <c r="H182" s="17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6.5" customHeight="1">
      <c r="A183" s="1"/>
      <c r="B183" s="339"/>
      <c r="C183" s="1"/>
      <c r="D183" s="1"/>
      <c r="E183" s="1"/>
      <c r="F183" s="1"/>
      <c r="G183" s="176"/>
      <c r="H183" s="17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6.5" customHeight="1">
      <c r="A184" s="1"/>
      <c r="B184" s="339"/>
      <c r="C184" s="1"/>
      <c r="D184" s="1"/>
      <c r="E184" s="1"/>
      <c r="F184" s="1"/>
      <c r="G184" s="176"/>
      <c r="H184" s="17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6.5" customHeight="1">
      <c r="A185" s="1"/>
      <c r="B185" s="339"/>
      <c r="C185" s="1"/>
      <c r="D185" s="1"/>
      <c r="E185" s="1"/>
      <c r="F185" s="1"/>
      <c r="G185" s="176"/>
      <c r="H185" s="17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6.5" customHeight="1">
      <c r="A186" s="1"/>
      <c r="B186" s="339"/>
      <c r="C186" s="1"/>
      <c r="D186" s="1"/>
      <c r="E186" s="1"/>
      <c r="F186" s="1"/>
      <c r="G186" s="176"/>
      <c r="H186" s="17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6.5" customHeight="1">
      <c r="A187" s="1"/>
      <c r="B187" s="339"/>
      <c r="C187" s="1"/>
      <c r="D187" s="1"/>
      <c r="E187" s="1"/>
      <c r="F187" s="1"/>
      <c r="G187" s="176"/>
      <c r="H187" s="17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6.5" customHeight="1">
      <c r="A188" s="1"/>
      <c r="B188" s="339"/>
      <c r="C188" s="1"/>
      <c r="D188" s="1"/>
      <c r="E188" s="1"/>
      <c r="F188" s="1"/>
      <c r="G188" s="176"/>
      <c r="H188" s="17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6.5" customHeight="1">
      <c r="A189" s="1"/>
      <c r="B189" s="339"/>
      <c r="C189" s="1"/>
      <c r="D189" s="1"/>
      <c r="E189" s="1"/>
      <c r="F189" s="1"/>
      <c r="G189" s="176"/>
      <c r="H189" s="17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6.5" customHeight="1">
      <c r="A190" s="1"/>
      <c r="B190" s="339"/>
      <c r="C190" s="1"/>
      <c r="D190" s="1"/>
      <c r="E190" s="1"/>
      <c r="F190" s="1"/>
      <c r="G190" s="176"/>
      <c r="H190" s="17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6.5" customHeight="1">
      <c r="A191" s="1"/>
      <c r="B191" s="339"/>
      <c r="C191" s="1"/>
      <c r="D191" s="1"/>
      <c r="E191" s="1"/>
      <c r="F191" s="1"/>
      <c r="G191" s="176"/>
      <c r="H191" s="17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6.5" customHeight="1">
      <c r="A192" s="1"/>
      <c r="B192" s="339"/>
      <c r="C192" s="1"/>
      <c r="D192" s="1"/>
      <c r="E192" s="1"/>
      <c r="F192" s="1"/>
      <c r="G192" s="176"/>
      <c r="H192" s="17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6.5" customHeight="1">
      <c r="A193" s="1"/>
      <c r="B193" s="339"/>
      <c r="C193" s="1"/>
      <c r="D193" s="1"/>
      <c r="E193" s="1"/>
      <c r="F193" s="1"/>
      <c r="G193" s="176"/>
      <c r="H193" s="17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6.5" customHeight="1">
      <c r="A194" s="1"/>
      <c r="B194" s="339"/>
      <c r="C194" s="1"/>
      <c r="D194" s="1"/>
      <c r="E194" s="1"/>
      <c r="F194" s="1"/>
      <c r="G194" s="176"/>
      <c r="H194" s="17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6.5" customHeight="1">
      <c r="A195" s="1"/>
      <c r="B195" s="339"/>
      <c r="C195" s="1"/>
      <c r="D195" s="1"/>
      <c r="E195" s="1"/>
      <c r="F195" s="1"/>
      <c r="G195" s="176"/>
      <c r="H195" s="17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6.5" customHeight="1">
      <c r="A196" s="1"/>
      <c r="B196" s="339"/>
      <c r="C196" s="1"/>
      <c r="D196" s="1"/>
      <c r="E196" s="1"/>
      <c r="F196" s="1"/>
      <c r="G196" s="176"/>
      <c r="H196" s="17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6.5" customHeight="1">
      <c r="A197" s="1"/>
      <c r="B197" s="339"/>
      <c r="C197" s="1"/>
      <c r="D197" s="1"/>
      <c r="E197" s="1"/>
      <c r="F197" s="1"/>
      <c r="G197" s="176"/>
      <c r="H197" s="17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6.5" customHeight="1">
      <c r="A198" s="1"/>
      <c r="B198" s="339"/>
      <c r="C198" s="1"/>
      <c r="D198" s="1"/>
      <c r="E198" s="1"/>
      <c r="F198" s="1"/>
      <c r="G198" s="176"/>
      <c r="H198" s="17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6.5" customHeight="1">
      <c r="A199" s="1"/>
      <c r="B199" s="339"/>
      <c r="C199" s="1"/>
      <c r="D199" s="1"/>
      <c r="E199" s="1"/>
      <c r="F199" s="1"/>
      <c r="G199" s="176"/>
      <c r="H199" s="17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6.5" customHeight="1">
      <c r="A200" s="1"/>
      <c r="B200" s="339"/>
      <c r="C200" s="1"/>
      <c r="D200" s="1"/>
      <c r="E200" s="1"/>
      <c r="F200" s="1"/>
      <c r="G200" s="176"/>
      <c r="H200" s="17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6.5" customHeight="1">
      <c r="A201" s="1"/>
      <c r="B201" s="339"/>
      <c r="C201" s="1"/>
      <c r="D201" s="1"/>
      <c r="E201" s="1"/>
      <c r="F201" s="1"/>
      <c r="G201" s="176"/>
      <c r="H201" s="17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6.5" customHeight="1">
      <c r="A202" s="1"/>
      <c r="B202" s="339"/>
      <c r="C202" s="1"/>
      <c r="D202" s="1"/>
      <c r="E202" s="1"/>
      <c r="F202" s="1"/>
      <c r="G202" s="176"/>
      <c r="H202" s="17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6.5" customHeight="1">
      <c r="A203" s="1"/>
      <c r="B203" s="339"/>
      <c r="C203" s="1"/>
      <c r="D203" s="1"/>
      <c r="E203" s="1"/>
      <c r="F203" s="1"/>
      <c r="G203" s="176"/>
      <c r="H203" s="17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6.5" customHeight="1">
      <c r="A204" s="1"/>
      <c r="B204" s="339"/>
      <c r="C204" s="1"/>
      <c r="D204" s="1"/>
      <c r="E204" s="1"/>
      <c r="F204" s="1"/>
      <c r="G204" s="176"/>
      <c r="H204" s="17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6.5" customHeight="1">
      <c r="A205" s="1"/>
      <c r="B205" s="339"/>
      <c r="C205" s="1"/>
      <c r="D205" s="1"/>
      <c r="E205" s="1"/>
      <c r="F205" s="1"/>
      <c r="G205" s="176"/>
      <c r="H205" s="17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6.5" customHeight="1">
      <c r="A206" s="1"/>
      <c r="B206" s="339"/>
      <c r="C206" s="1"/>
      <c r="D206" s="1"/>
      <c r="E206" s="1"/>
      <c r="F206" s="1"/>
      <c r="G206" s="176"/>
      <c r="H206" s="17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6.5" customHeight="1">
      <c r="A207" s="1"/>
      <c r="B207" s="339"/>
      <c r="C207" s="1"/>
      <c r="D207" s="1"/>
      <c r="E207" s="1"/>
      <c r="F207" s="1"/>
      <c r="G207" s="176"/>
      <c r="H207" s="17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6.5" customHeight="1">
      <c r="A208" s="1"/>
      <c r="B208" s="339"/>
      <c r="C208" s="1"/>
      <c r="D208" s="1"/>
      <c r="E208" s="1"/>
      <c r="F208" s="1"/>
      <c r="G208" s="176"/>
      <c r="H208" s="17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6.5" customHeight="1">
      <c r="A209" s="1"/>
      <c r="B209" s="339"/>
      <c r="C209" s="1"/>
      <c r="D209" s="1"/>
      <c r="E209" s="1"/>
      <c r="F209" s="1"/>
      <c r="G209" s="176"/>
      <c r="H209" s="17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6.5" customHeight="1">
      <c r="A210" s="1"/>
      <c r="B210" s="339"/>
      <c r="C210" s="1"/>
      <c r="D210" s="1"/>
      <c r="E210" s="1"/>
      <c r="F210" s="1"/>
      <c r="G210" s="176"/>
      <c r="H210" s="17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6.5" customHeight="1">
      <c r="A211" s="1"/>
      <c r="B211" s="339"/>
      <c r="C211" s="1"/>
      <c r="D211" s="1"/>
      <c r="E211" s="1"/>
      <c r="F211" s="1"/>
      <c r="G211" s="176"/>
      <c r="H211" s="17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6.5" customHeight="1">
      <c r="A212" s="1"/>
      <c r="B212" s="339"/>
      <c r="C212" s="1"/>
      <c r="D212" s="1"/>
      <c r="E212" s="1"/>
      <c r="F212" s="1"/>
      <c r="G212" s="176"/>
      <c r="H212" s="17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6.5" customHeight="1">
      <c r="A213" s="1"/>
      <c r="B213" s="339"/>
      <c r="C213" s="1"/>
      <c r="D213" s="1"/>
      <c r="E213" s="1"/>
      <c r="F213" s="1"/>
      <c r="G213" s="176"/>
      <c r="H213" s="17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6.5" customHeight="1">
      <c r="A214" s="1"/>
      <c r="B214" s="339"/>
      <c r="C214" s="1"/>
      <c r="D214" s="1"/>
      <c r="E214" s="1"/>
      <c r="F214" s="1"/>
      <c r="G214" s="176"/>
      <c r="H214" s="17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6.5" customHeight="1">
      <c r="A215" s="1"/>
      <c r="B215" s="339"/>
      <c r="C215" s="1"/>
      <c r="D215" s="1"/>
      <c r="E215" s="1"/>
      <c r="F215" s="1"/>
      <c r="G215" s="176"/>
      <c r="H215" s="17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6.5" customHeight="1">
      <c r="A216" s="1"/>
      <c r="B216" s="339"/>
      <c r="C216" s="1"/>
      <c r="D216" s="1"/>
      <c r="E216" s="1"/>
      <c r="F216" s="1"/>
      <c r="G216" s="176"/>
      <c r="H216" s="17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6.5" customHeight="1">
      <c r="A217" s="1"/>
      <c r="B217" s="339"/>
      <c r="C217" s="1"/>
      <c r="D217" s="1"/>
      <c r="E217" s="1"/>
      <c r="F217" s="1"/>
      <c r="G217" s="176"/>
      <c r="H217" s="17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6.5" customHeight="1">
      <c r="A218" s="1"/>
      <c r="B218" s="339"/>
      <c r="C218" s="1"/>
      <c r="D218" s="1"/>
      <c r="E218" s="1"/>
      <c r="F218" s="1"/>
      <c r="G218" s="176"/>
      <c r="H218" s="17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6.5" customHeight="1">
      <c r="A219" s="1"/>
      <c r="B219" s="339"/>
      <c r="C219" s="1"/>
      <c r="D219" s="1"/>
      <c r="E219" s="1"/>
      <c r="F219" s="1"/>
      <c r="G219" s="176"/>
      <c r="H219" s="17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6.5" customHeight="1">
      <c r="A220" s="1"/>
      <c r="B220" s="339"/>
      <c r="C220" s="1"/>
      <c r="D220" s="1"/>
      <c r="E220" s="1"/>
      <c r="F220" s="1"/>
      <c r="G220" s="176"/>
      <c r="H220" s="17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6.5" customHeight="1">
      <c r="A221" s="1"/>
      <c r="B221" s="339"/>
      <c r="C221" s="1"/>
      <c r="D221" s="1"/>
      <c r="E221" s="1"/>
      <c r="F221" s="1"/>
      <c r="G221" s="176"/>
      <c r="H221" s="17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6.5" customHeight="1">
      <c r="A222" s="1"/>
      <c r="B222" s="339"/>
      <c r="C222" s="1"/>
      <c r="D222" s="1"/>
      <c r="E222" s="1"/>
      <c r="F222" s="1"/>
      <c r="G222" s="176"/>
      <c r="H222" s="17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6.5" customHeight="1">
      <c r="A223" s="1"/>
      <c r="B223" s="339"/>
      <c r="C223" s="1"/>
      <c r="D223" s="1"/>
      <c r="E223" s="1"/>
      <c r="F223" s="1"/>
      <c r="G223" s="176"/>
      <c r="H223" s="17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6.5" customHeight="1">
      <c r="A224" s="1"/>
      <c r="B224" s="339"/>
      <c r="C224" s="1"/>
      <c r="D224" s="1"/>
      <c r="E224" s="1"/>
      <c r="F224" s="1"/>
      <c r="G224" s="176"/>
      <c r="H224" s="17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339"/>
      <c r="C225" s="1"/>
      <c r="D225" s="1"/>
      <c r="E225" s="1"/>
      <c r="F225" s="1"/>
      <c r="G225" s="176"/>
      <c r="H225" s="17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339"/>
      <c r="C226" s="1"/>
      <c r="D226" s="1"/>
      <c r="E226" s="1"/>
      <c r="F226" s="1"/>
      <c r="G226" s="176"/>
      <c r="H226" s="17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339"/>
      <c r="C227" s="1"/>
      <c r="D227" s="1"/>
      <c r="E227" s="1"/>
      <c r="F227" s="1"/>
      <c r="G227" s="176"/>
      <c r="H227" s="17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339"/>
      <c r="C228" s="1"/>
      <c r="D228" s="1"/>
      <c r="E228" s="1"/>
      <c r="F228" s="1"/>
      <c r="G228" s="176"/>
      <c r="H228" s="17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339"/>
      <c r="C229" s="1"/>
      <c r="D229" s="1"/>
      <c r="E229" s="1"/>
      <c r="F229" s="1"/>
      <c r="G229" s="176"/>
      <c r="H229" s="17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33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33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33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33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33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33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339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N237" s="73"/>
    </row>
    <row r="238" spans="1:2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N238" s="73"/>
    </row>
    <row r="239" spans="1:28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N239" s="73"/>
    </row>
    <row r="240" spans="1:28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N240" s="73"/>
    </row>
    <row r="241" spans="1:14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N241" s="73"/>
    </row>
    <row r="242" spans="1:14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N242" s="73"/>
    </row>
    <row r="243" spans="1:14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N243" s="73"/>
    </row>
    <row r="244" spans="1:1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N244" s="73"/>
    </row>
    <row r="245" spans="1:14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N245" s="73"/>
    </row>
    <row r="246" spans="1:14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N246" s="73"/>
    </row>
    <row r="247" spans="1:14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N247" s="73"/>
    </row>
    <row r="248" spans="1:14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N248" s="73"/>
    </row>
    <row r="249" spans="1:14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N249" s="73"/>
    </row>
    <row r="250" spans="1:14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N250" s="73"/>
    </row>
    <row r="251" spans="1:14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N251" s="73"/>
    </row>
    <row r="252" spans="1:14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N252" s="73"/>
    </row>
    <row r="253" spans="1:14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N253" s="73"/>
    </row>
    <row r="254" spans="1:1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N254" s="73"/>
    </row>
    <row r="255" spans="1:14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N255" s="73"/>
    </row>
    <row r="256" spans="1:14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N256" s="73"/>
    </row>
    <row r="257" spans="1:14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N257" s="73"/>
    </row>
    <row r="258" spans="1:14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N258" s="73"/>
    </row>
    <row r="259" spans="1:14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N259" s="73"/>
    </row>
    <row r="260" spans="1:14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N260" s="73"/>
    </row>
    <row r="261" spans="1:14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N261" s="73"/>
    </row>
    <row r="262" spans="1:14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N262" s="73"/>
    </row>
    <row r="263" spans="1:14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N263" s="73"/>
    </row>
    <row r="264" spans="1:1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N264" s="73"/>
    </row>
    <row r="265" spans="1:14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N265" s="73"/>
    </row>
    <row r="266" spans="1:14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N266" s="73"/>
    </row>
    <row r="267" spans="1:14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N267" s="73"/>
    </row>
    <row r="268" spans="1:14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N268" s="73"/>
    </row>
    <row r="269" spans="1:14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N269" s="73"/>
    </row>
    <row r="270" spans="1:14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N270" s="73"/>
    </row>
    <row r="271" spans="1:14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N271" s="73"/>
    </row>
    <row r="272" spans="1:14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N272" s="73"/>
    </row>
    <row r="273" spans="1:14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N273" s="73"/>
    </row>
    <row r="274" spans="1:1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N274" s="73"/>
    </row>
    <row r="275" spans="1:14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N275" s="73"/>
    </row>
    <row r="276" spans="1:14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N276" s="73"/>
    </row>
    <row r="277" spans="1:14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N277" s="73"/>
    </row>
    <row r="278" spans="1:14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N278" s="73"/>
    </row>
    <row r="279" spans="1:14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N279" s="73"/>
    </row>
    <row r="280" spans="1:14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N280" s="73"/>
    </row>
    <row r="281" spans="1:14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N281" s="73"/>
    </row>
    <row r="282" spans="1:14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N282" s="73"/>
    </row>
    <row r="283" spans="1:14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N283" s="73"/>
    </row>
    <row r="284" spans="1:1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N284" s="73"/>
    </row>
    <row r="285" spans="1:14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N285" s="73"/>
    </row>
    <row r="286" spans="1:14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N286" s="73"/>
    </row>
    <row r="287" spans="1:14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N287" s="73"/>
    </row>
    <row r="288" spans="1:14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N288" s="73"/>
    </row>
    <row r="289" spans="1:14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N289" s="73"/>
    </row>
    <row r="290" spans="1:14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N290" s="73"/>
    </row>
    <row r="291" spans="1:14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N291" s="73"/>
    </row>
    <row r="292" spans="1:14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N292" s="73"/>
    </row>
    <row r="293" spans="1:14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N293" s="73"/>
    </row>
    <row r="294" spans="1:1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N294" s="73"/>
    </row>
    <row r="295" spans="1:14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N295" s="73"/>
    </row>
    <row r="296" spans="1:14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N296" s="73"/>
    </row>
    <row r="297" spans="1:14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N297" s="73"/>
    </row>
    <row r="298" spans="1:14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N298" s="73"/>
    </row>
    <row r="299" spans="1:14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N299" s="73"/>
    </row>
    <row r="300" spans="1:14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N300" s="73"/>
    </row>
    <row r="301" spans="1:14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N301" s="73"/>
    </row>
    <row r="302" spans="1:14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N302" s="73"/>
    </row>
    <row r="303" spans="1:14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N303" s="73"/>
    </row>
    <row r="304" spans="1:1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N304" s="73"/>
    </row>
    <row r="305" spans="1:14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N305" s="73"/>
    </row>
    <row r="306" spans="1:14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N306" s="73"/>
    </row>
    <row r="307" spans="1:14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N307" s="73"/>
    </row>
    <row r="308" spans="1:14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N308" s="73"/>
    </row>
    <row r="309" spans="1:14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N309" s="73"/>
    </row>
    <row r="310" spans="1:14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N310" s="73"/>
    </row>
    <row r="311" spans="1:14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N311" s="73"/>
    </row>
    <row r="312" spans="1:14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N312" s="73"/>
    </row>
    <row r="313" spans="1:14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N313" s="73"/>
    </row>
    <row r="314" spans="1: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N314" s="73"/>
    </row>
    <row r="315" spans="1:14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N315" s="73"/>
    </row>
    <row r="316" spans="1:14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N316" s="73"/>
    </row>
    <row r="317" spans="1:14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N317" s="73"/>
    </row>
    <row r="318" spans="1:14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N318" s="73"/>
    </row>
    <row r="319" spans="1:14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N319" s="73"/>
    </row>
    <row r="320" spans="1:14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N320" s="73"/>
    </row>
    <row r="321" spans="1:14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N321" s="73"/>
    </row>
    <row r="322" spans="1:14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N322" s="73"/>
    </row>
    <row r="323" spans="1:14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N323" s="73"/>
    </row>
    <row r="324" spans="1:1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N324" s="73"/>
    </row>
    <row r="325" spans="1:14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N325" s="73"/>
    </row>
    <row r="326" spans="1:14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N326" s="73"/>
    </row>
    <row r="327" spans="1:14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N327" s="73"/>
    </row>
    <row r="328" spans="1:14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N328" s="73"/>
    </row>
    <row r="329" spans="1:14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N329" s="73"/>
    </row>
    <row r="330" spans="1:14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N330" s="73"/>
    </row>
    <row r="331" spans="1:14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N331" s="73"/>
    </row>
    <row r="332" spans="1:14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N332" s="73"/>
    </row>
    <row r="333" spans="1:14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N333" s="73"/>
    </row>
    <row r="334" spans="1:1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N334" s="73"/>
    </row>
    <row r="335" spans="1:14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N335" s="73"/>
    </row>
    <row r="336" spans="1:14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N336" s="73"/>
    </row>
    <row r="337" spans="1:14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N337" s="73"/>
    </row>
    <row r="338" spans="1:14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N338" s="73"/>
    </row>
    <row r="339" spans="1:14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N339" s="73"/>
    </row>
    <row r="340" spans="1:14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N340" s="73"/>
    </row>
    <row r="341" spans="1:14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N341" s="73"/>
    </row>
    <row r="342" spans="1:14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N342" s="73"/>
    </row>
    <row r="343" spans="1:14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N343" s="73"/>
    </row>
    <row r="344" spans="1:1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N344" s="73"/>
    </row>
    <row r="345" spans="1:14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N345" s="73"/>
    </row>
    <row r="346" spans="1:14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N346" s="73"/>
    </row>
    <row r="347" spans="1:14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N347" s="73"/>
    </row>
    <row r="348" spans="1:14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N348" s="73"/>
    </row>
    <row r="349" spans="1:14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N349" s="73"/>
    </row>
    <row r="350" spans="1:14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N350" s="73"/>
    </row>
    <row r="351" spans="1:14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N351" s="73"/>
    </row>
    <row r="352" spans="1:14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N352" s="73"/>
    </row>
    <row r="353" spans="1:14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N353" s="73"/>
    </row>
    <row r="354" spans="1:1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N354" s="73"/>
    </row>
    <row r="355" spans="1:14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N355" s="73"/>
    </row>
    <row r="356" spans="1:14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N356" s="73"/>
    </row>
    <row r="357" spans="1:14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N357" s="73"/>
    </row>
    <row r="358" spans="1:14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N358" s="73"/>
    </row>
    <row r="359" spans="1:14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N359" s="73"/>
    </row>
    <row r="360" spans="1:14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N360" s="73"/>
    </row>
    <row r="361" spans="1:14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N361" s="73"/>
    </row>
    <row r="362" spans="1:14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N362" s="73"/>
    </row>
    <row r="363" spans="1:14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N363" s="73"/>
    </row>
    <row r="364" spans="1:1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N364" s="73"/>
    </row>
    <row r="365" spans="1:14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N365" s="73"/>
    </row>
    <row r="366" spans="1:14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N366" s="73"/>
    </row>
    <row r="367" spans="1:14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N367" s="73"/>
    </row>
    <row r="368" spans="1:14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N368" s="73"/>
    </row>
    <row r="369" spans="1:14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N369" s="73"/>
    </row>
    <row r="370" spans="1:14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N370" s="73"/>
    </row>
    <row r="371" spans="1:14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N371" s="73"/>
    </row>
    <row r="372" spans="1:14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N372" s="73"/>
    </row>
    <row r="373" spans="1:14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N373" s="73"/>
    </row>
    <row r="374" spans="1:1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N374" s="73"/>
    </row>
    <row r="375" spans="1:14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N375" s="73"/>
    </row>
    <row r="376" spans="1:14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N376" s="73"/>
    </row>
    <row r="377" spans="1:14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N377" s="73"/>
    </row>
    <row r="378" spans="1:14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N378" s="73"/>
    </row>
    <row r="379" spans="1:14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N379" s="73"/>
    </row>
    <row r="380" spans="1:14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N380" s="73"/>
    </row>
    <row r="381" spans="1:14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N381" s="73"/>
    </row>
    <row r="382" spans="1:14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N382" s="73"/>
    </row>
    <row r="383" spans="1:14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N383" s="73"/>
    </row>
    <row r="384" spans="1:1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N384" s="73"/>
    </row>
    <row r="385" spans="1:14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N385" s="73"/>
    </row>
    <row r="386" spans="1:14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N386" s="73"/>
    </row>
    <row r="387" spans="1:14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N387" s="73"/>
    </row>
    <row r="388" spans="1:14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N388" s="73"/>
    </row>
    <row r="389" spans="1:14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N389" s="73"/>
    </row>
    <row r="390" spans="1:14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N390" s="73"/>
    </row>
    <row r="391" spans="1:14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N391" s="73"/>
    </row>
    <row r="392" spans="1:14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N392" s="73"/>
    </row>
    <row r="393" spans="1:14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N393" s="73"/>
    </row>
    <row r="394" spans="1:1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N394" s="73"/>
    </row>
    <row r="395" spans="1:14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N395" s="73"/>
    </row>
    <row r="396" spans="1:14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N396" s="73"/>
    </row>
    <row r="397" spans="1:14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N397" s="73"/>
    </row>
    <row r="398" spans="1:14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N398" s="73"/>
    </row>
    <row r="399" spans="1:14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N399" s="73"/>
    </row>
    <row r="400" spans="1:14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N400" s="73"/>
    </row>
    <row r="401" spans="1:14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N401" s="73"/>
    </row>
    <row r="402" spans="1:14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N402" s="73"/>
    </row>
    <row r="403" spans="1:14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N403" s="73"/>
    </row>
    <row r="404" spans="1:1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N404" s="73"/>
    </row>
    <row r="405" spans="1:14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N405" s="73"/>
    </row>
    <row r="406" spans="1:14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N406" s="73"/>
    </row>
    <row r="407" spans="1:14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N407" s="73"/>
    </row>
    <row r="408" spans="1:14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N408" s="73"/>
    </row>
    <row r="409" spans="1:14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N409" s="73"/>
    </row>
    <row r="410" spans="1:14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N410" s="73"/>
    </row>
    <row r="411" spans="1:14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N411" s="73"/>
    </row>
    <row r="412" spans="1:14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N412" s="73"/>
    </row>
    <row r="413" spans="1:14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N413" s="73"/>
    </row>
    <row r="414" spans="1: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N414" s="73"/>
    </row>
    <row r="415" spans="1:14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N415" s="73"/>
    </row>
    <row r="416" spans="1:14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N416" s="73"/>
    </row>
    <row r="417" spans="1:14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N417" s="73"/>
    </row>
    <row r="418" spans="1:14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N418" s="73"/>
    </row>
    <row r="419" spans="1:14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N419" s="73"/>
    </row>
    <row r="420" spans="1:14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N420" s="73"/>
    </row>
    <row r="421" spans="1:14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N421" s="73"/>
    </row>
    <row r="422" spans="1:14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N422" s="73"/>
    </row>
    <row r="423" spans="1:14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N423" s="73"/>
    </row>
    <row r="424" spans="1:1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N424" s="73"/>
    </row>
    <row r="425" spans="1:14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N425" s="73"/>
    </row>
    <row r="426" spans="1:14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N426" s="73"/>
    </row>
    <row r="427" spans="1:14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N427" s="73"/>
    </row>
    <row r="428" spans="1:14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N428" s="73"/>
    </row>
    <row r="429" spans="1:14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N429" s="73"/>
    </row>
    <row r="430" spans="1:14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N430" s="73"/>
    </row>
    <row r="431" spans="1:14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N431" s="73"/>
    </row>
    <row r="432" spans="1:14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N432" s="73"/>
    </row>
    <row r="433" spans="1:14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N433" s="73"/>
    </row>
    <row r="434" spans="1:1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N434" s="73"/>
    </row>
    <row r="435" spans="1:14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N435" s="73"/>
    </row>
    <row r="436" spans="1:14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N436" s="73"/>
    </row>
    <row r="437" spans="1:14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N437" s="73"/>
    </row>
    <row r="438" spans="1:14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N438" s="73"/>
    </row>
    <row r="439" spans="1:14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N439" s="73"/>
    </row>
    <row r="440" spans="1:14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N440" s="73"/>
    </row>
    <row r="441" spans="1:14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N441" s="73"/>
    </row>
    <row r="442" spans="1:14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N442" s="73"/>
    </row>
    <row r="443" spans="1:14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N443" s="73"/>
    </row>
    <row r="444" spans="1:1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N444" s="73"/>
    </row>
    <row r="445" spans="1:14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N445" s="73"/>
    </row>
    <row r="446" spans="1:14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N446" s="73"/>
    </row>
    <row r="447" spans="1:14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N447" s="73"/>
    </row>
    <row r="448" spans="1:14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N448" s="73"/>
    </row>
    <row r="449" spans="1:14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N449" s="73"/>
    </row>
    <row r="450" spans="1:14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N450" s="73"/>
    </row>
    <row r="451" spans="1:14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N451" s="73"/>
    </row>
    <row r="452" spans="1:14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N452" s="73"/>
    </row>
    <row r="453" spans="1:14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N453" s="73"/>
    </row>
    <row r="454" spans="1:1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N454" s="73"/>
    </row>
    <row r="455" spans="1:14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N455" s="73"/>
    </row>
    <row r="456" spans="1:14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N456" s="73"/>
    </row>
    <row r="457" spans="1:14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N457" s="73"/>
    </row>
    <row r="458" spans="1:14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N458" s="73"/>
    </row>
    <row r="459" spans="1:14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N459" s="73"/>
    </row>
    <row r="460" spans="1:14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N460" s="73"/>
    </row>
    <row r="461" spans="1:14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N461" s="73"/>
    </row>
    <row r="462" spans="1:14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N462" s="73"/>
    </row>
    <row r="463" spans="1:14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N463" s="73"/>
    </row>
    <row r="464" spans="1:1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N464" s="73"/>
    </row>
    <row r="465" spans="1:14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N465" s="73"/>
    </row>
    <row r="466" spans="1:14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N466" s="73"/>
    </row>
    <row r="467" spans="1:14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N467" s="73"/>
    </row>
    <row r="468" spans="1:14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N468" s="73"/>
    </row>
    <row r="469" spans="1:14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N469" s="73"/>
    </row>
    <row r="470" spans="1:14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N470" s="73"/>
    </row>
    <row r="471" spans="1:14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N471" s="73"/>
    </row>
    <row r="472" spans="1:14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N472" s="73"/>
    </row>
    <row r="473" spans="1:14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N473" s="73"/>
    </row>
    <row r="474" spans="1:1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N474" s="73"/>
    </row>
    <row r="475" spans="1:14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N475" s="73"/>
    </row>
    <row r="476" spans="1:14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N476" s="73"/>
    </row>
    <row r="477" spans="1:14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N477" s="73"/>
    </row>
    <row r="478" spans="1:14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N478" s="73"/>
    </row>
    <row r="479" spans="1:14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N479" s="73"/>
    </row>
    <row r="480" spans="1:14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N480" s="73"/>
    </row>
    <row r="481" spans="1:14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N481" s="73"/>
    </row>
    <row r="482" spans="1:14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N482" s="73"/>
    </row>
    <row r="483" spans="1:14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N483" s="73"/>
    </row>
    <row r="484" spans="1:1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N484" s="73"/>
    </row>
    <row r="485" spans="1:14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N485" s="73"/>
    </row>
    <row r="486" spans="1:14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N486" s="73"/>
    </row>
    <row r="487" spans="1:14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N487" s="73"/>
    </row>
    <row r="488" spans="1:14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N488" s="73"/>
    </row>
    <row r="489" spans="1:14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N489" s="73"/>
    </row>
    <row r="490" spans="1:14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N490" s="73"/>
    </row>
    <row r="491" spans="1:14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N491" s="73"/>
    </row>
    <row r="492" spans="1:14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N492" s="73"/>
    </row>
    <row r="493" spans="1:14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N493" s="73"/>
    </row>
    <row r="494" spans="1:1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N494" s="73"/>
    </row>
    <row r="495" spans="1:14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N495" s="73"/>
    </row>
    <row r="496" spans="1:14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N496" s="73"/>
    </row>
    <row r="497" spans="1:14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N497" s="73"/>
    </row>
    <row r="498" spans="1:14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N498" s="73"/>
    </row>
    <row r="499" spans="1:14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N499" s="73"/>
    </row>
    <row r="500" spans="1:14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N500" s="73"/>
    </row>
    <row r="501" spans="1:14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N501" s="73"/>
    </row>
    <row r="502" spans="1:14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N502" s="73"/>
    </row>
    <row r="503" spans="1:14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N503" s="73"/>
    </row>
    <row r="504" spans="1:1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N504" s="73"/>
    </row>
    <row r="505" spans="1:14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N505" s="73"/>
    </row>
    <row r="506" spans="1:14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N506" s="73"/>
    </row>
    <row r="507" spans="1:14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N507" s="73"/>
    </row>
    <row r="508" spans="1:14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N508" s="73"/>
    </row>
    <row r="509" spans="1:14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N509" s="73"/>
    </row>
    <row r="510" spans="1:14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N510" s="73"/>
    </row>
    <row r="511" spans="1:14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N511" s="73"/>
    </row>
    <row r="512" spans="1:14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N512" s="73"/>
    </row>
    <row r="513" spans="1:14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N513" s="73"/>
    </row>
    <row r="514" spans="1: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N514" s="73"/>
    </row>
    <row r="515" spans="1:14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N515" s="73"/>
    </row>
    <row r="516" spans="1:14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N516" s="73"/>
    </row>
    <row r="517" spans="1:14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N517" s="73"/>
    </row>
    <row r="518" spans="1:14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N518" s="73"/>
    </row>
    <row r="519" spans="1:14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N519" s="73"/>
    </row>
    <row r="520" spans="1:14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N520" s="73"/>
    </row>
    <row r="521" spans="1:14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N521" s="73"/>
    </row>
    <row r="522" spans="1:14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N522" s="73"/>
    </row>
    <row r="523" spans="1:14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N523" s="73"/>
    </row>
    <row r="524" spans="1:1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N524" s="73"/>
    </row>
    <row r="525" spans="1:14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N525" s="73"/>
    </row>
    <row r="526" spans="1:14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N526" s="73"/>
    </row>
    <row r="527" spans="1:14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N527" s="73"/>
    </row>
    <row r="528" spans="1:14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N528" s="73"/>
    </row>
    <row r="529" spans="1:14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N529" s="73"/>
    </row>
    <row r="530" spans="1:14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N530" s="73"/>
    </row>
    <row r="531" spans="1:14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N531" s="73"/>
    </row>
    <row r="532" spans="1:14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N532" s="73"/>
    </row>
    <row r="533" spans="1:14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N533" s="73"/>
    </row>
    <row r="534" spans="1:1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N534" s="73"/>
    </row>
    <row r="535" spans="1:14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N535" s="73"/>
    </row>
    <row r="536" spans="1:14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N536" s="73"/>
    </row>
    <row r="537" spans="1:14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N537" s="73"/>
    </row>
    <row r="538" spans="1:14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N538" s="73"/>
    </row>
    <row r="539" spans="1:14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N539" s="73"/>
    </row>
    <row r="540" spans="1:14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N540" s="73"/>
    </row>
    <row r="541" spans="1:14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N541" s="73"/>
    </row>
    <row r="542" spans="1:14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N542" s="73"/>
    </row>
    <row r="543" spans="1:14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N543" s="73"/>
    </row>
    <row r="544" spans="1:1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N544" s="73"/>
    </row>
    <row r="545" spans="1:14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N545" s="73"/>
    </row>
    <row r="546" spans="1:14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N546" s="73"/>
    </row>
    <row r="547" spans="1:14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N547" s="73"/>
    </row>
    <row r="548" spans="1:14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N548" s="73"/>
    </row>
    <row r="549" spans="1:14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N549" s="73"/>
    </row>
    <row r="550" spans="1:14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N550" s="73"/>
    </row>
    <row r="551" spans="1:14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N551" s="73"/>
    </row>
    <row r="552" spans="1:14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N552" s="73"/>
    </row>
    <row r="553" spans="1:14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N553" s="73"/>
    </row>
    <row r="554" spans="1:1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N554" s="73"/>
    </row>
    <row r="555" spans="1:14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N555" s="73"/>
    </row>
    <row r="556" spans="1:14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N556" s="73"/>
    </row>
    <row r="557" spans="1:14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N557" s="73"/>
    </row>
    <row r="558" spans="1:14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N558" s="73"/>
    </row>
    <row r="559" spans="1:14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N559" s="73"/>
    </row>
    <row r="560" spans="1:14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N560" s="73"/>
    </row>
    <row r="561" spans="1:14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N561" s="73"/>
    </row>
    <row r="562" spans="1:14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N562" s="73"/>
    </row>
    <row r="563" spans="1:14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N563" s="73"/>
    </row>
    <row r="564" spans="1:1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N564" s="73"/>
    </row>
    <row r="565" spans="1:14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N565" s="73"/>
    </row>
    <row r="566" spans="1:14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N566" s="73"/>
    </row>
    <row r="567" spans="1:14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N567" s="73"/>
    </row>
    <row r="568" spans="1:14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N568" s="73"/>
    </row>
    <row r="569" spans="1:14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N569" s="73"/>
    </row>
    <row r="570" spans="1:14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N570" s="73"/>
    </row>
    <row r="571" spans="1:14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N571" s="73"/>
    </row>
    <row r="572" spans="1:14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N572" s="73"/>
    </row>
    <row r="573" spans="1:14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N573" s="73"/>
    </row>
    <row r="574" spans="1:1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N574" s="73"/>
    </row>
    <row r="575" spans="1:14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N575" s="73"/>
    </row>
    <row r="576" spans="1:14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N576" s="73"/>
    </row>
    <row r="577" spans="1:14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N577" s="73"/>
    </row>
    <row r="578" spans="1:14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N578" s="73"/>
    </row>
    <row r="579" spans="1:14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N579" s="73"/>
    </row>
    <row r="580" spans="1:14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N580" s="73"/>
    </row>
    <row r="581" spans="1:14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N581" s="73"/>
    </row>
    <row r="582" spans="1:14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N582" s="73"/>
    </row>
    <row r="583" spans="1:14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N583" s="73"/>
    </row>
    <row r="584" spans="1:1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N584" s="73"/>
    </row>
    <row r="585" spans="1:14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N585" s="73"/>
    </row>
    <row r="586" spans="1:14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N586" s="73"/>
    </row>
    <row r="587" spans="1:14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N587" s="73"/>
    </row>
    <row r="588" spans="1:14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N588" s="73"/>
    </row>
    <row r="589" spans="1:14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N589" s="73"/>
    </row>
    <row r="590" spans="1:14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N590" s="73"/>
    </row>
    <row r="591" spans="1:14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N591" s="73"/>
    </row>
    <row r="592" spans="1:14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N592" s="73"/>
    </row>
    <row r="593" spans="1:14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N593" s="73"/>
    </row>
    <row r="594" spans="1:1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N594" s="73"/>
    </row>
    <row r="595" spans="1:14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N595" s="73"/>
    </row>
    <row r="596" spans="1:14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N596" s="73"/>
    </row>
    <row r="597" spans="1:14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N597" s="73"/>
    </row>
    <row r="598" spans="1:14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N598" s="73"/>
    </row>
    <row r="599" spans="1:14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N599" s="73"/>
    </row>
    <row r="600" spans="1:14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N600" s="73"/>
    </row>
    <row r="601" spans="1:14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N601" s="73"/>
    </row>
    <row r="602" spans="1:14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N602" s="73"/>
    </row>
    <row r="603" spans="1:14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N603" s="73"/>
    </row>
    <row r="604" spans="1:1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N604" s="73"/>
    </row>
    <row r="605" spans="1:14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N605" s="73"/>
    </row>
    <row r="606" spans="1:14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N606" s="73"/>
    </row>
    <row r="607" spans="1:14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N607" s="73"/>
    </row>
    <row r="608" spans="1:14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N608" s="73"/>
    </row>
    <row r="609" spans="1:14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N609" s="73"/>
    </row>
    <row r="610" spans="1:14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N610" s="73"/>
    </row>
    <row r="611" spans="1:14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N611" s="73"/>
    </row>
    <row r="612" spans="1:14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N612" s="73"/>
    </row>
    <row r="613" spans="1:14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N613" s="73"/>
    </row>
    <row r="614" spans="1: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N614" s="73"/>
    </row>
    <row r="615" spans="1:14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N615" s="73"/>
    </row>
    <row r="616" spans="1:14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N616" s="73"/>
    </row>
    <row r="617" spans="1:14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N617" s="73"/>
    </row>
    <row r="618" spans="1:14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N618" s="73"/>
    </row>
    <row r="619" spans="1:14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N619" s="73"/>
    </row>
    <row r="620" spans="1:14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N620" s="73"/>
    </row>
    <row r="621" spans="1:14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N621" s="73"/>
    </row>
    <row r="622" spans="1:14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N622" s="73"/>
    </row>
    <row r="623" spans="1:14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N623" s="73"/>
    </row>
    <row r="624" spans="1:1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N624" s="73"/>
    </row>
    <row r="625" spans="1:14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N625" s="73"/>
    </row>
    <row r="626" spans="1:14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N626" s="73"/>
    </row>
    <row r="627" spans="1:14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N627" s="73"/>
    </row>
    <row r="628" spans="1:14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N628" s="73"/>
    </row>
    <row r="629" spans="1:14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N629" s="73"/>
    </row>
    <row r="630" spans="1:14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N630" s="73"/>
    </row>
    <row r="631" spans="1:14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N631" s="73"/>
    </row>
    <row r="632" spans="1:14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N632" s="73"/>
    </row>
    <row r="633" spans="1:14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N633" s="73"/>
    </row>
    <row r="634" spans="1:1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N634" s="73"/>
    </row>
    <row r="635" spans="1:14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N635" s="73"/>
    </row>
    <row r="636" spans="1:14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N636" s="73"/>
    </row>
    <row r="637" spans="1:14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N637" s="73"/>
    </row>
    <row r="638" spans="1:14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N638" s="73"/>
    </row>
    <row r="639" spans="1:14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N639" s="73"/>
    </row>
    <row r="640" spans="1:14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N640" s="73"/>
    </row>
    <row r="641" spans="1:14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N641" s="73"/>
    </row>
    <row r="642" spans="1:14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N642" s="73"/>
    </row>
    <row r="643" spans="1:14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N643" s="73"/>
    </row>
    <row r="644" spans="1:1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N644" s="73"/>
    </row>
    <row r="645" spans="1:14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N645" s="73"/>
    </row>
    <row r="646" spans="1:14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N646" s="73"/>
    </row>
    <row r="647" spans="1:14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N647" s="73"/>
    </row>
    <row r="648" spans="1:14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N648" s="73"/>
    </row>
    <row r="649" spans="1:14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N649" s="73"/>
    </row>
    <row r="650" spans="1:14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N650" s="73"/>
    </row>
    <row r="651" spans="1:14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N651" s="73"/>
    </row>
    <row r="652" spans="1:14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N652" s="73"/>
    </row>
    <row r="653" spans="1:14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N653" s="73"/>
    </row>
    <row r="654" spans="1:1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N654" s="73"/>
    </row>
    <row r="655" spans="1:14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N655" s="73"/>
    </row>
    <row r="656" spans="1:14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N656" s="73"/>
    </row>
    <row r="657" spans="1:14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N657" s="73"/>
    </row>
    <row r="658" spans="1:14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N658" s="73"/>
    </row>
    <row r="659" spans="1:14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N659" s="73"/>
    </row>
    <row r="660" spans="1:14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N660" s="73"/>
    </row>
    <row r="661" spans="1:14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N661" s="73"/>
    </row>
    <row r="662" spans="1:14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N662" s="73"/>
    </row>
    <row r="663" spans="1:14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N663" s="73"/>
    </row>
    <row r="664" spans="1:1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N664" s="73"/>
    </row>
    <row r="665" spans="1:14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N665" s="73"/>
    </row>
    <row r="666" spans="1:14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N666" s="73"/>
    </row>
    <row r="667" spans="1:14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N667" s="73"/>
    </row>
    <row r="668" spans="1:14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N668" s="73"/>
    </row>
    <row r="669" spans="1:14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N669" s="73"/>
    </row>
    <row r="670" spans="1:14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N670" s="73"/>
    </row>
    <row r="671" spans="1:14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N671" s="73"/>
    </row>
    <row r="672" spans="1:14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N672" s="73"/>
    </row>
    <row r="673" spans="1:14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N673" s="73"/>
    </row>
    <row r="674" spans="1:1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N674" s="73"/>
    </row>
    <row r="675" spans="1:14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N675" s="73"/>
    </row>
    <row r="676" spans="1:14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N676" s="73"/>
    </row>
    <row r="677" spans="1:14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N677" s="73"/>
    </row>
    <row r="678" spans="1:14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N678" s="73"/>
    </row>
    <row r="679" spans="1:14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N679" s="73"/>
    </row>
    <row r="680" spans="1:14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N680" s="73"/>
    </row>
    <row r="681" spans="1:14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N681" s="73"/>
    </row>
    <row r="682" spans="1:14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N682" s="73"/>
    </row>
    <row r="683" spans="1:14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N683" s="73"/>
    </row>
    <row r="684" spans="1:1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N684" s="73"/>
    </row>
    <row r="685" spans="1:14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N685" s="73"/>
    </row>
    <row r="686" spans="1:14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N686" s="73"/>
    </row>
    <row r="687" spans="1:14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N687" s="73"/>
    </row>
    <row r="688" spans="1:14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N688" s="73"/>
    </row>
    <row r="689" spans="1:14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N689" s="73"/>
    </row>
    <row r="690" spans="1:14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N690" s="73"/>
    </row>
    <row r="691" spans="1:14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N691" s="73"/>
    </row>
    <row r="692" spans="1:14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N692" s="73"/>
    </row>
    <row r="693" spans="1:14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N693" s="73"/>
    </row>
    <row r="694" spans="1:1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N694" s="73"/>
    </row>
    <row r="695" spans="1:14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N695" s="73"/>
    </row>
    <row r="696" spans="1:14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N696" s="73"/>
    </row>
    <row r="697" spans="1:14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N697" s="73"/>
    </row>
    <row r="698" spans="1:14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N698" s="73"/>
    </row>
    <row r="699" spans="1:14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N699" s="73"/>
    </row>
    <row r="700" spans="1:14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N700" s="73"/>
    </row>
    <row r="701" spans="1:14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N701" s="73"/>
    </row>
    <row r="702" spans="1:14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N702" s="73"/>
    </row>
    <row r="703" spans="1:14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N703" s="73"/>
    </row>
    <row r="704" spans="1:1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N704" s="73"/>
    </row>
    <row r="705" spans="1:14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N705" s="73"/>
    </row>
    <row r="706" spans="1:14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N706" s="73"/>
    </row>
    <row r="707" spans="1:14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N707" s="73"/>
    </row>
    <row r="708" spans="1:14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N708" s="73"/>
    </row>
    <row r="709" spans="1:14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N709" s="73"/>
    </row>
    <row r="710" spans="1:14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N710" s="73"/>
    </row>
    <row r="711" spans="1:14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N711" s="73"/>
    </row>
    <row r="712" spans="1:14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N712" s="73"/>
    </row>
    <row r="713" spans="1:14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N713" s="73"/>
    </row>
    <row r="714" spans="1: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N714" s="73"/>
    </row>
    <row r="715" spans="1:14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N715" s="73"/>
    </row>
    <row r="716" spans="1:14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N716" s="73"/>
    </row>
    <row r="717" spans="1:14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N717" s="73"/>
    </row>
    <row r="718" spans="1:14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N718" s="73"/>
    </row>
    <row r="719" spans="1:14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N719" s="73"/>
    </row>
    <row r="720" spans="1:14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N720" s="73"/>
    </row>
    <row r="721" spans="1:14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N721" s="73"/>
    </row>
    <row r="722" spans="1:14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N722" s="73"/>
    </row>
    <row r="723" spans="1:14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N723" s="73"/>
    </row>
    <row r="724" spans="1:1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N724" s="73"/>
    </row>
    <row r="725" spans="1:14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N725" s="73"/>
    </row>
    <row r="726" spans="1:14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N726" s="73"/>
    </row>
    <row r="727" spans="1:14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N727" s="73"/>
    </row>
    <row r="728" spans="1:14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N728" s="73"/>
    </row>
    <row r="729" spans="1:14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N729" s="73"/>
    </row>
    <row r="730" spans="1:14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N730" s="73"/>
    </row>
    <row r="731" spans="1:14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N731" s="73"/>
    </row>
    <row r="732" spans="1:14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N732" s="73"/>
    </row>
    <row r="733" spans="1:14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N733" s="73"/>
    </row>
    <row r="734" spans="1:1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N734" s="73"/>
    </row>
    <row r="735" spans="1:14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N735" s="73"/>
    </row>
    <row r="736" spans="1:14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N736" s="73"/>
    </row>
    <row r="737" spans="1:14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N737" s="73"/>
    </row>
    <row r="738" spans="1:14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N738" s="73"/>
    </row>
    <row r="739" spans="1:14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N739" s="73"/>
    </row>
    <row r="740" spans="1:14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N740" s="73"/>
    </row>
    <row r="741" spans="1:14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N741" s="73"/>
    </row>
    <row r="742" spans="1:14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N742" s="73"/>
    </row>
    <row r="743" spans="1:14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N743" s="73"/>
    </row>
    <row r="744" spans="1:1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N744" s="73"/>
    </row>
    <row r="745" spans="1:14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N745" s="73"/>
    </row>
    <row r="746" spans="1:14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N746" s="73"/>
    </row>
    <row r="747" spans="1:14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N747" s="73"/>
    </row>
    <row r="748" spans="1:14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N748" s="73"/>
    </row>
    <row r="749" spans="1:14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N749" s="73"/>
    </row>
    <row r="750" spans="1:14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N750" s="73"/>
    </row>
    <row r="751" spans="1:14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N751" s="73"/>
    </row>
    <row r="752" spans="1:14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N752" s="73"/>
    </row>
    <row r="753" spans="1:14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N753" s="73"/>
    </row>
    <row r="754" spans="1:1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N754" s="73"/>
    </row>
    <row r="755" spans="1:14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N755" s="73"/>
    </row>
    <row r="756" spans="1:14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N756" s="73"/>
    </row>
    <row r="757" spans="1:14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N757" s="73"/>
    </row>
    <row r="758" spans="1:14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N758" s="73"/>
    </row>
    <row r="759" spans="1:14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N759" s="73"/>
    </row>
    <row r="760" spans="1:14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N760" s="73"/>
    </row>
    <row r="761" spans="1:14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N761" s="73"/>
    </row>
    <row r="762" spans="1:14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N762" s="73"/>
    </row>
    <row r="763" spans="1:14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N763" s="73"/>
    </row>
    <row r="764" spans="1:1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N764" s="73"/>
    </row>
    <row r="765" spans="1:14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N765" s="73"/>
    </row>
    <row r="766" spans="1:14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N766" s="73"/>
    </row>
    <row r="767" spans="1:14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N767" s="73"/>
    </row>
    <row r="768" spans="1:14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N768" s="73"/>
    </row>
    <row r="769" spans="1:14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N769" s="73"/>
    </row>
    <row r="770" spans="1:14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N770" s="73"/>
    </row>
    <row r="771" spans="1:14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N771" s="73"/>
    </row>
    <row r="772" spans="1:14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N772" s="73"/>
    </row>
    <row r="773" spans="1:14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N773" s="73"/>
    </row>
    <row r="774" spans="1:1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N774" s="73"/>
    </row>
    <row r="775" spans="1:14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N775" s="73"/>
    </row>
    <row r="776" spans="1:14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N776" s="73"/>
    </row>
    <row r="777" spans="1:14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N777" s="73"/>
    </row>
    <row r="778" spans="1:14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N778" s="73"/>
    </row>
    <row r="779" spans="1:14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N779" s="73"/>
    </row>
    <row r="780" spans="1:14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N780" s="73"/>
    </row>
    <row r="781" spans="1:14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N781" s="73"/>
    </row>
    <row r="782" spans="1:14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N782" s="73"/>
    </row>
    <row r="783" spans="1:14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N783" s="73"/>
    </row>
    <row r="784" spans="1:1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N784" s="73"/>
    </row>
    <row r="785" spans="1:14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N785" s="73"/>
    </row>
    <row r="786" spans="1:14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N786" s="73"/>
    </row>
    <row r="787" spans="1:14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N787" s="73"/>
    </row>
    <row r="788" spans="1:14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N788" s="73"/>
    </row>
    <row r="789" spans="1:14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N789" s="73"/>
    </row>
    <row r="790" spans="1:14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N790" s="73"/>
    </row>
    <row r="791" spans="1:14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N791" s="73"/>
    </row>
    <row r="792" spans="1:14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N792" s="73"/>
    </row>
    <row r="793" spans="1:14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N793" s="73"/>
    </row>
    <row r="794" spans="1:1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N794" s="73"/>
    </row>
    <row r="795" spans="1:14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N795" s="73"/>
    </row>
    <row r="796" spans="1:14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N796" s="73"/>
    </row>
    <row r="797" spans="1:14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N797" s="73"/>
    </row>
    <row r="798" spans="1:14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N798" s="73"/>
    </row>
    <row r="799" spans="1:14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N799" s="73"/>
    </row>
    <row r="800" spans="1:14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N800" s="73"/>
    </row>
    <row r="801" spans="1:14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N801" s="73"/>
    </row>
    <row r="802" spans="1:14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N802" s="73"/>
    </row>
    <row r="803" spans="1:14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N803" s="73"/>
    </row>
    <row r="804" spans="1:1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N804" s="73"/>
    </row>
    <row r="805" spans="1:14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N805" s="73"/>
    </row>
    <row r="806" spans="1:14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N806" s="73"/>
    </row>
    <row r="807" spans="1:14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N807" s="73"/>
    </row>
    <row r="808" spans="1:14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N808" s="73"/>
    </row>
    <row r="809" spans="1:14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N809" s="73"/>
    </row>
    <row r="810" spans="1:14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N810" s="73"/>
    </row>
    <row r="811" spans="1:14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N811" s="73"/>
    </row>
    <row r="812" spans="1:14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N812" s="73"/>
    </row>
    <row r="813" spans="1:14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N813" s="73"/>
    </row>
    <row r="814" spans="1: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N814" s="73"/>
    </row>
    <row r="815" spans="1:14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N815" s="73"/>
    </row>
    <row r="816" spans="1:14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N816" s="73"/>
    </row>
    <row r="817" spans="1:14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N817" s="73"/>
    </row>
    <row r="818" spans="1:14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N818" s="73"/>
    </row>
    <row r="819" spans="1:14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N819" s="73"/>
    </row>
    <row r="820" spans="1:14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N820" s="73"/>
    </row>
    <row r="821" spans="1:14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N821" s="73"/>
    </row>
    <row r="822" spans="1:14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N822" s="73"/>
    </row>
    <row r="823" spans="1:14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N823" s="73"/>
    </row>
    <row r="824" spans="1:1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N824" s="73"/>
    </row>
    <row r="825" spans="1:14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N825" s="73"/>
    </row>
    <row r="826" spans="1:14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N826" s="73"/>
    </row>
    <row r="827" spans="1:14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N827" s="73"/>
    </row>
    <row r="828" spans="1:14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N828" s="73"/>
    </row>
    <row r="829" spans="1:14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N829" s="73"/>
    </row>
    <row r="830" spans="1:14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N830" s="73"/>
    </row>
    <row r="831" spans="1:14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N831" s="73"/>
    </row>
    <row r="832" spans="1:14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N832" s="73"/>
    </row>
    <row r="833" spans="1:14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N833" s="73"/>
    </row>
    <row r="834" spans="1:1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N834" s="73"/>
    </row>
    <row r="835" spans="1:14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N835" s="73"/>
    </row>
    <row r="836" spans="1:14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N836" s="73"/>
    </row>
    <row r="837" spans="1:14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N837" s="73"/>
    </row>
    <row r="838" spans="1:14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N838" s="73"/>
    </row>
    <row r="839" spans="1:14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N839" s="73"/>
    </row>
    <row r="840" spans="1:14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N840" s="73"/>
    </row>
    <row r="841" spans="1:14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N841" s="73"/>
    </row>
    <row r="842" spans="1:14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N842" s="73"/>
    </row>
    <row r="843" spans="1:14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N843" s="73"/>
    </row>
    <row r="844" spans="1:1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N844" s="73"/>
    </row>
    <row r="845" spans="1:14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N845" s="73"/>
    </row>
    <row r="846" spans="1:14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N846" s="73"/>
    </row>
    <row r="847" spans="1:14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N847" s="73"/>
    </row>
    <row r="848" spans="1:14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N848" s="73"/>
    </row>
    <row r="849" spans="1:14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N849" s="73"/>
    </row>
    <row r="850" spans="1:14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N850" s="73"/>
    </row>
    <row r="851" spans="1:14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N851" s="73"/>
    </row>
    <row r="852" spans="1:14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N852" s="73"/>
    </row>
    <row r="853" spans="1:14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N853" s="73"/>
    </row>
    <row r="854" spans="1:1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N854" s="73"/>
    </row>
    <row r="855" spans="1:14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N855" s="73"/>
    </row>
    <row r="856" spans="1:14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N856" s="73"/>
    </row>
    <row r="857" spans="1:14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N857" s="73"/>
    </row>
    <row r="858" spans="1:14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N858" s="73"/>
    </row>
    <row r="859" spans="1:14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N859" s="73"/>
    </row>
    <row r="860" spans="1:14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N860" s="73"/>
    </row>
    <row r="861" spans="1:14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N861" s="73"/>
    </row>
    <row r="862" spans="1:14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N862" s="73"/>
    </row>
    <row r="863" spans="1:14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N863" s="73"/>
    </row>
    <row r="864" spans="1:1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N864" s="73"/>
    </row>
    <row r="865" spans="1:14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N865" s="73"/>
    </row>
    <row r="866" spans="1:14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N866" s="73"/>
    </row>
    <row r="867" spans="1:14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N867" s="73"/>
    </row>
    <row r="868" spans="1:14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N868" s="73"/>
    </row>
    <row r="869" spans="1:14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N869" s="73"/>
    </row>
    <row r="870" spans="1:14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N870" s="73"/>
    </row>
    <row r="871" spans="1:14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N871" s="73"/>
    </row>
    <row r="872" spans="1:14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N872" s="73"/>
    </row>
    <row r="873" spans="1:14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N873" s="73"/>
    </row>
    <row r="874" spans="1:1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N874" s="73"/>
    </row>
    <row r="875" spans="1:14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N875" s="73"/>
    </row>
    <row r="876" spans="1:14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N876" s="73"/>
    </row>
    <row r="877" spans="1:14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N877" s="73"/>
    </row>
    <row r="878" spans="1:14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N878" s="73"/>
    </row>
    <row r="879" spans="1:14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N879" s="73"/>
    </row>
    <row r="880" spans="1:14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N880" s="73"/>
    </row>
    <row r="881" spans="1:14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N881" s="73"/>
    </row>
    <row r="882" spans="1:14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N882" s="73"/>
    </row>
    <row r="883" spans="1:14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N883" s="73"/>
    </row>
    <row r="884" spans="1:1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N884" s="73"/>
    </row>
    <row r="885" spans="1:14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N885" s="73"/>
    </row>
    <row r="886" spans="1:14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N886" s="73"/>
    </row>
    <row r="887" spans="1:14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N887" s="73"/>
    </row>
    <row r="888" spans="1:14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N888" s="73"/>
    </row>
    <row r="889" spans="1:14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N889" s="73"/>
    </row>
    <row r="890" spans="1:14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N890" s="73"/>
    </row>
    <row r="891" spans="1:14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N891" s="73"/>
    </row>
    <row r="892" spans="1:14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N892" s="73"/>
    </row>
    <row r="893" spans="1:14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N893" s="73"/>
    </row>
    <row r="894" spans="1:1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N894" s="73"/>
    </row>
    <row r="895" spans="1:14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N895" s="73"/>
    </row>
    <row r="896" spans="1:14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N896" s="73"/>
    </row>
    <row r="897" spans="1:14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N897" s="73"/>
    </row>
    <row r="898" spans="1:14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N898" s="73"/>
    </row>
    <row r="899" spans="1:14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N899" s="73"/>
    </row>
    <row r="900" spans="1:14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N900" s="73"/>
    </row>
    <row r="901" spans="1:14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N901" s="73"/>
    </row>
    <row r="902" spans="1:14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N902" s="73"/>
    </row>
    <row r="903" spans="1:14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N903" s="73"/>
    </row>
    <row r="904" spans="1:1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N904" s="73"/>
    </row>
    <row r="905" spans="1:14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N905" s="73"/>
    </row>
    <row r="906" spans="1:14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N906" s="73"/>
    </row>
    <row r="907" spans="1:14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N907" s="73"/>
    </row>
    <row r="908" spans="1:14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N908" s="73"/>
    </row>
    <row r="909" spans="1:14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N909" s="73"/>
    </row>
    <row r="910" spans="1:14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N910" s="73"/>
    </row>
    <row r="911" spans="1:14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N911" s="73"/>
    </row>
    <row r="912" spans="1:14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N912" s="73"/>
    </row>
    <row r="913" spans="1:14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N913" s="73"/>
    </row>
    <row r="914" spans="1: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N914" s="73"/>
    </row>
    <row r="915" spans="1:14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N915" s="73"/>
    </row>
    <row r="916" spans="1:14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N916" s="73"/>
    </row>
    <row r="917" spans="1:14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N917" s="73"/>
    </row>
    <row r="918" spans="1:14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N918" s="73"/>
    </row>
    <row r="919" spans="1:14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N919" s="73"/>
    </row>
    <row r="920" spans="1:14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N920" s="73"/>
    </row>
    <row r="921" spans="1:14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N921" s="73"/>
    </row>
    <row r="922" spans="1:14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N922" s="73"/>
    </row>
    <row r="923" spans="1:14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N923" s="73"/>
    </row>
    <row r="924" spans="1:1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N924" s="73"/>
    </row>
    <row r="925" spans="1:14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N925" s="73"/>
    </row>
    <row r="926" spans="1:14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N926" s="73"/>
    </row>
    <row r="927" spans="1:14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N927" s="73"/>
    </row>
    <row r="928" spans="1:14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N928" s="73"/>
    </row>
    <row r="929" spans="1:14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N929" s="73"/>
    </row>
    <row r="930" spans="1:14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N930" s="73"/>
    </row>
    <row r="931" spans="1:14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N931" s="73"/>
    </row>
    <row r="932" spans="1:14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N932" s="73"/>
    </row>
    <row r="933" spans="1:14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N933" s="73"/>
    </row>
    <row r="934" spans="1:1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N934" s="73"/>
    </row>
    <row r="935" spans="1:14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N935" s="73"/>
    </row>
    <row r="936" spans="1:14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N936" s="73"/>
    </row>
    <row r="937" spans="1:14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N937" s="73"/>
    </row>
    <row r="938" spans="1:14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N938" s="73"/>
    </row>
    <row r="939" spans="1:14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N939" s="73"/>
    </row>
    <row r="940" spans="1:14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N940" s="73"/>
    </row>
    <row r="941" spans="1:14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N941" s="73"/>
    </row>
    <row r="942" spans="1:14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N942" s="73"/>
    </row>
    <row r="943" spans="1:14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N943" s="73"/>
    </row>
    <row r="944" spans="1:1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N944" s="73"/>
    </row>
    <row r="945" spans="1:14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N945" s="73"/>
    </row>
    <row r="946" spans="1:14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N946" s="73"/>
    </row>
    <row r="947" spans="1:14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N947" s="73"/>
    </row>
    <row r="948" spans="1:14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N948" s="73"/>
    </row>
    <row r="949" spans="1:14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N949" s="73"/>
    </row>
    <row r="950" spans="1:14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N950" s="73"/>
    </row>
    <row r="951" spans="1:14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N951" s="73"/>
    </row>
    <row r="952" spans="1:14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N952" s="73"/>
    </row>
    <row r="953" spans="1:14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N953" s="73"/>
    </row>
    <row r="954" spans="1:1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N954" s="73"/>
    </row>
    <row r="955" spans="1:14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N955" s="73"/>
    </row>
    <row r="956" spans="1:14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N956" s="73"/>
    </row>
    <row r="957" spans="1:14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N957" s="73"/>
    </row>
    <row r="958" spans="1:14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N958" s="73"/>
    </row>
    <row r="959" spans="1:14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N959" s="73"/>
    </row>
    <row r="960" spans="1:14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N960" s="73"/>
    </row>
    <row r="961" spans="1:14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N961" s="73"/>
    </row>
    <row r="962" spans="1:14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N962" s="73"/>
    </row>
    <row r="963" spans="1:14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N963" s="73"/>
    </row>
    <row r="964" spans="1:1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N964" s="73"/>
    </row>
    <row r="965" spans="1:14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N965" s="73"/>
    </row>
    <row r="966" spans="1:14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N966" s="73"/>
    </row>
    <row r="967" spans="1:14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N967" s="73"/>
    </row>
    <row r="968" spans="1:14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N968" s="73"/>
    </row>
    <row r="969" spans="1:14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N969" s="73"/>
    </row>
    <row r="970" spans="1:14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N970" s="73"/>
    </row>
    <row r="971" spans="1:14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N971" s="73"/>
    </row>
    <row r="972" spans="1:14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N972" s="73"/>
    </row>
    <row r="973" spans="1:14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N973" s="73"/>
    </row>
    <row r="974" spans="1:1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N974" s="73"/>
    </row>
    <row r="975" spans="1:14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N975" s="73"/>
    </row>
    <row r="976" spans="1:14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N976" s="73"/>
    </row>
    <row r="977" spans="1:14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N977" s="73"/>
    </row>
    <row r="978" spans="1:14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N978" s="73"/>
    </row>
    <row r="979" spans="1:14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N979" s="73"/>
    </row>
    <row r="980" spans="1:14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N980" s="73"/>
    </row>
    <row r="981" spans="1:14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N981" s="73"/>
    </row>
    <row r="982" spans="1:14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N982" s="73"/>
    </row>
    <row r="983" spans="1:14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N983" s="73"/>
    </row>
    <row r="984" spans="1:1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N984" s="73"/>
    </row>
    <row r="985" spans="1:14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N985" s="73"/>
    </row>
    <row r="986" spans="1:14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N986" s="73"/>
    </row>
    <row r="987" spans="1:14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N987" s="73"/>
    </row>
    <row r="988" spans="1:14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N988" s="73"/>
    </row>
    <row r="989" spans="1:14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N989" s="73"/>
    </row>
    <row r="990" spans="1:14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N990" s="73"/>
    </row>
    <row r="991" spans="1:14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N991" s="73"/>
    </row>
    <row r="992" spans="1:14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N992" s="73"/>
    </row>
    <row r="993" spans="1:14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N993" s="73"/>
    </row>
    <row r="994" spans="1:1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N994" s="73"/>
    </row>
    <row r="995" spans="1:14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N995" s="73"/>
    </row>
    <row r="996" spans="1:14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N996" s="73"/>
    </row>
    <row r="997" spans="1:14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N997" s="73"/>
    </row>
    <row r="998" spans="1:14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N998" s="73"/>
    </row>
    <row r="999" spans="1:14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N999" s="73"/>
    </row>
    <row r="1000" spans="1:14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N1000" s="73"/>
    </row>
  </sheetData>
  <mergeCells count="46">
    <mergeCell ref="I28:J28"/>
    <mergeCell ref="I29:J31"/>
    <mergeCell ref="I32:J35"/>
    <mergeCell ref="A36:J40"/>
    <mergeCell ref="I17:J17"/>
    <mergeCell ref="I18:J18"/>
    <mergeCell ref="I19:J19"/>
    <mergeCell ref="I20:J20"/>
    <mergeCell ref="I21:J21"/>
    <mergeCell ref="I22:J22"/>
    <mergeCell ref="I23:J23"/>
    <mergeCell ref="A29:A31"/>
    <mergeCell ref="A32:A35"/>
    <mergeCell ref="A1:H2"/>
    <mergeCell ref="A3:B3"/>
    <mergeCell ref="C3:C4"/>
    <mergeCell ref="D3:D4"/>
    <mergeCell ref="E3:E4"/>
    <mergeCell ref="F3:F4"/>
    <mergeCell ref="A5:A9"/>
    <mergeCell ref="I7:J7"/>
    <mergeCell ref="I9:J9"/>
    <mergeCell ref="A11:A15"/>
    <mergeCell ref="A16:A21"/>
    <mergeCell ref="A22:A28"/>
    <mergeCell ref="I10:J10"/>
    <mergeCell ref="I11:J11"/>
    <mergeCell ref="I12:J12"/>
    <mergeCell ref="I13:J13"/>
    <mergeCell ref="I14:J14"/>
    <mergeCell ref="I15:J15"/>
    <mergeCell ref="I16:J16"/>
    <mergeCell ref="I24:J24"/>
    <mergeCell ref="I25:J25"/>
    <mergeCell ref="I26:J26"/>
    <mergeCell ref="I27:J27"/>
    <mergeCell ref="I3:J4"/>
    <mergeCell ref="K3:K4"/>
    <mergeCell ref="L3:L4"/>
    <mergeCell ref="I5:J5"/>
    <mergeCell ref="I6:J6"/>
    <mergeCell ref="H3:H4"/>
    <mergeCell ref="H5:H9"/>
    <mergeCell ref="H10:H15"/>
    <mergeCell ref="H16:H21"/>
    <mergeCell ref="H32:H35"/>
  </mergeCells>
  <phoneticPr fontId="30" type="noConversion"/>
  <pageMargins left="0.25" right="0.25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A1000"/>
  <sheetViews>
    <sheetView workbookViewId="0"/>
  </sheetViews>
  <sheetFormatPr defaultColWidth="14.42578125" defaultRowHeight="15" customHeight="1"/>
  <cols>
    <col min="1" max="1" width="33.140625" customWidth="1"/>
    <col min="2" max="2" width="99.85546875" customWidth="1"/>
    <col min="3" max="3" width="11.85546875" customWidth="1"/>
    <col min="4" max="4" width="13.5703125" hidden="1" customWidth="1"/>
    <col min="5" max="5" width="18.28515625" customWidth="1"/>
    <col min="6" max="6" width="12.85546875" customWidth="1"/>
    <col min="7" max="7" width="12.42578125" customWidth="1"/>
    <col min="8" max="8" width="21.140625" customWidth="1"/>
    <col min="9" max="10" width="8.85546875" customWidth="1"/>
    <col min="14" max="14" width="35.5703125" customWidth="1"/>
  </cols>
  <sheetData>
    <row r="1" spans="1:27" ht="16.5" customHeight="1">
      <c r="A1" s="625" t="s">
        <v>93</v>
      </c>
      <c r="B1" s="611"/>
      <c r="C1" s="611"/>
      <c r="D1" s="611"/>
      <c r="E1" s="611"/>
      <c r="F1" s="611"/>
      <c r="G1" s="611"/>
      <c r="H1" s="6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>
      <c r="A2" s="610"/>
      <c r="B2" s="615"/>
      <c r="C2" s="615"/>
      <c r="D2" s="615"/>
      <c r="E2" s="615"/>
      <c r="F2" s="615"/>
      <c r="G2" s="615"/>
      <c r="H2" s="6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>
      <c r="A3" s="699" t="s">
        <v>513</v>
      </c>
      <c r="B3" s="711"/>
      <c r="C3" s="678" t="s">
        <v>462</v>
      </c>
      <c r="D3" s="688" t="s">
        <v>463</v>
      </c>
      <c r="E3" s="688" t="s">
        <v>585</v>
      </c>
      <c r="F3" s="678" t="s">
        <v>586</v>
      </c>
      <c r="G3" s="341" t="s">
        <v>544</v>
      </c>
      <c r="H3" s="679" t="s">
        <v>6</v>
      </c>
      <c r="I3" s="707" t="s">
        <v>7</v>
      </c>
      <c r="J3" s="612"/>
      <c r="K3" s="678" t="s">
        <v>514</v>
      </c>
      <c r="L3" s="688" t="s">
        <v>515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>
      <c r="A4" s="342" t="s">
        <v>8</v>
      </c>
      <c r="B4" s="41" t="s">
        <v>9</v>
      </c>
      <c r="C4" s="636"/>
      <c r="D4" s="601"/>
      <c r="E4" s="601"/>
      <c r="F4" s="636"/>
      <c r="G4" s="213" t="s">
        <v>10</v>
      </c>
      <c r="H4" s="618"/>
      <c r="I4" s="610"/>
      <c r="J4" s="616"/>
      <c r="K4" s="606"/>
      <c r="L4" s="62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customHeight="1">
      <c r="A5" s="661" t="s">
        <v>587</v>
      </c>
      <c r="B5" s="483" t="s">
        <v>588</v>
      </c>
      <c r="C5" s="344">
        <v>97000</v>
      </c>
      <c r="D5" s="346">
        <v>69000</v>
      </c>
      <c r="E5" s="344">
        <v>49000</v>
      </c>
      <c r="F5" s="484">
        <f t="shared" ref="F5:F33" si="0">1-E5/C5</f>
        <v>0.49484536082474229</v>
      </c>
      <c r="G5" s="465"/>
      <c r="H5" s="7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>
      <c r="A6" s="654"/>
      <c r="B6" s="485" t="s">
        <v>589</v>
      </c>
      <c r="C6" s="352">
        <v>117000</v>
      </c>
      <c r="D6" s="354">
        <v>89000</v>
      </c>
      <c r="E6" s="352">
        <v>59000</v>
      </c>
      <c r="F6" s="484">
        <f t="shared" si="0"/>
        <v>0.49572649572649574</v>
      </c>
      <c r="G6" s="486"/>
      <c r="H6" s="60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>
      <c r="A7" s="654"/>
      <c r="B7" s="485" t="s">
        <v>590</v>
      </c>
      <c r="C7" s="352">
        <v>219000</v>
      </c>
      <c r="D7" s="354">
        <f>59000+69000</f>
        <v>128000</v>
      </c>
      <c r="E7" s="352">
        <v>110000</v>
      </c>
      <c r="F7" s="484">
        <f t="shared" si="0"/>
        <v>0.49771689497716898</v>
      </c>
      <c r="G7" s="469"/>
      <c r="H7" s="60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>
      <c r="A8" s="655"/>
      <c r="B8" s="487" t="s">
        <v>591</v>
      </c>
      <c r="C8" s="359">
        <v>317000</v>
      </c>
      <c r="D8" s="361">
        <f>69000*3</f>
        <v>207000</v>
      </c>
      <c r="E8" s="359">
        <v>159000</v>
      </c>
      <c r="F8" s="484">
        <f t="shared" si="0"/>
        <v>0.49842271293375395</v>
      </c>
      <c r="G8" s="488"/>
      <c r="H8" s="62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>
      <c r="A9" s="690" t="s">
        <v>592</v>
      </c>
      <c r="B9" s="489" t="s">
        <v>593</v>
      </c>
      <c r="C9" s="353">
        <v>177000</v>
      </c>
      <c r="D9" s="344">
        <v>129000</v>
      </c>
      <c r="E9" s="344">
        <v>89000</v>
      </c>
      <c r="F9" s="484">
        <f t="shared" si="0"/>
        <v>0.49717514124293782</v>
      </c>
      <c r="G9" s="490"/>
      <c r="H9" s="44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>
      <c r="A10" s="654"/>
      <c r="B10" s="491" t="s">
        <v>99</v>
      </c>
      <c r="C10" s="353">
        <v>217000</v>
      </c>
      <c r="D10" s="352">
        <f>129000+59000</f>
        <v>188000</v>
      </c>
      <c r="E10" s="352">
        <v>119000</v>
      </c>
      <c r="F10" s="484">
        <f t="shared" si="0"/>
        <v>0.45161290322580649</v>
      </c>
      <c r="G10" s="486"/>
      <c r="H10" s="44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3.5" customHeight="1">
      <c r="A11" s="654"/>
      <c r="B11" s="492" t="s">
        <v>594</v>
      </c>
      <c r="C11" s="353">
        <v>357000</v>
      </c>
      <c r="D11" s="352">
        <v>249000</v>
      </c>
      <c r="E11" s="352">
        <v>199000</v>
      </c>
      <c r="F11" s="484">
        <f t="shared" si="0"/>
        <v>0.44257703081232491</v>
      </c>
      <c r="G11" s="486"/>
      <c r="H11" s="44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>
      <c r="A12" s="618"/>
      <c r="B12" s="173" t="s">
        <v>595</v>
      </c>
      <c r="C12" s="353">
        <v>517000</v>
      </c>
      <c r="D12" s="359">
        <v>329000</v>
      </c>
      <c r="E12" s="493">
        <v>259000</v>
      </c>
      <c r="F12" s="484">
        <f t="shared" si="0"/>
        <v>0.49903288201160545</v>
      </c>
      <c r="G12" s="486"/>
      <c r="H12" s="44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>
      <c r="A13" s="661" t="s">
        <v>596</v>
      </c>
      <c r="B13" s="489" t="s">
        <v>597</v>
      </c>
      <c r="C13" s="344">
        <v>177000</v>
      </c>
      <c r="D13" s="346">
        <v>128000</v>
      </c>
      <c r="E13" s="344">
        <v>99000</v>
      </c>
      <c r="F13" s="484">
        <f t="shared" si="0"/>
        <v>0.44067796610169496</v>
      </c>
      <c r="G13" s="494"/>
      <c r="H13" s="712"/>
      <c r="I13" s="1"/>
      <c r="J13" s="1"/>
      <c r="K13" s="1"/>
      <c r="L13" s="1"/>
      <c r="M13" s="1"/>
      <c r="N13" s="49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>
      <c r="A14" s="654"/>
      <c r="B14" s="491" t="s">
        <v>80</v>
      </c>
      <c r="C14" s="352">
        <v>337000</v>
      </c>
      <c r="D14" s="354">
        <f>129000+89000</f>
        <v>218000</v>
      </c>
      <c r="E14" s="352">
        <v>179000</v>
      </c>
      <c r="F14" s="484">
        <f t="shared" si="0"/>
        <v>0.46884272997032639</v>
      </c>
      <c r="G14" s="496"/>
      <c r="H14" s="60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>
      <c r="A15" s="654"/>
      <c r="B15" s="491" t="s">
        <v>598</v>
      </c>
      <c r="C15" s="352">
        <v>537000</v>
      </c>
      <c r="D15" s="354">
        <f>280000+59000</f>
        <v>339000</v>
      </c>
      <c r="E15" s="352">
        <v>269000</v>
      </c>
      <c r="F15" s="484">
        <f t="shared" si="0"/>
        <v>0.4990689013035382</v>
      </c>
      <c r="G15" s="496"/>
      <c r="H15" s="60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>
      <c r="A16" s="654"/>
      <c r="B16" s="491" t="s">
        <v>599</v>
      </c>
      <c r="C16" s="352">
        <v>917000</v>
      </c>
      <c r="D16" s="354">
        <v>549000</v>
      </c>
      <c r="E16" s="352">
        <v>459000</v>
      </c>
      <c r="F16" s="484">
        <f t="shared" si="0"/>
        <v>0.4994547437295529</v>
      </c>
      <c r="G16" s="496"/>
      <c r="H16" s="60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>
      <c r="A17" s="654"/>
      <c r="B17" s="491" t="s">
        <v>600</v>
      </c>
      <c r="C17" s="352">
        <v>1099000</v>
      </c>
      <c r="D17" s="354">
        <v>600000</v>
      </c>
      <c r="E17" s="352">
        <v>550000</v>
      </c>
      <c r="F17" s="484">
        <f t="shared" si="0"/>
        <v>0.4995450409463148</v>
      </c>
      <c r="G17" s="486"/>
      <c r="H17" s="60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>
      <c r="A18" s="655"/>
      <c r="B18" s="497" t="s">
        <v>601</v>
      </c>
      <c r="C18" s="359">
        <v>1299000</v>
      </c>
      <c r="D18" s="361">
        <v>750000</v>
      </c>
      <c r="E18" s="359">
        <v>650000</v>
      </c>
      <c r="F18" s="484">
        <f t="shared" si="0"/>
        <v>0.49961508852963821</v>
      </c>
      <c r="G18" s="488"/>
      <c r="H18" s="62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>
      <c r="A19" s="723" t="s">
        <v>435</v>
      </c>
      <c r="B19" s="498" t="s">
        <v>602</v>
      </c>
      <c r="C19" s="345">
        <v>97000</v>
      </c>
      <c r="D19" s="344">
        <v>73000</v>
      </c>
      <c r="E19" s="464">
        <v>59000</v>
      </c>
      <c r="F19" s="484">
        <f t="shared" si="0"/>
        <v>0.39175257731958768</v>
      </c>
      <c r="G19" s="499"/>
      <c r="H19" s="43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>
      <c r="A20" s="654"/>
      <c r="B20" s="492" t="s">
        <v>603</v>
      </c>
      <c r="C20" s="353">
        <v>117000</v>
      </c>
      <c r="D20" s="352">
        <f>59000+29000</f>
        <v>88000</v>
      </c>
      <c r="E20" s="218">
        <v>69000</v>
      </c>
      <c r="F20" s="484">
        <f t="shared" si="0"/>
        <v>0.41025641025641024</v>
      </c>
      <c r="G20" s="500"/>
      <c r="H20" s="44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>
      <c r="A21" s="654"/>
      <c r="B21" s="492" t="s">
        <v>604</v>
      </c>
      <c r="C21" s="353">
        <v>197000</v>
      </c>
      <c r="D21" s="352">
        <v>149000</v>
      </c>
      <c r="E21" s="467">
        <v>99000</v>
      </c>
      <c r="F21" s="484">
        <f t="shared" si="0"/>
        <v>0.4974619289340102</v>
      </c>
      <c r="G21" s="500"/>
      <c r="H21" s="44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>
      <c r="A22" s="654"/>
      <c r="B22" s="492" t="s">
        <v>605</v>
      </c>
      <c r="C22" s="353">
        <v>357000</v>
      </c>
      <c r="D22" s="352">
        <v>229000</v>
      </c>
      <c r="E22" s="467">
        <v>179000</v>
      </c>
      <c r="F22" s="484">
        <f t="shared" si="0"/>
        <v>0.49859943977591037</v>
      </c>
      <c r="G22" s="500"/>
      <c r="H22" s="44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>
      <c r="A23" s="654"/>
      <c r="B23" s="492" t="s">
        <v>606</v>
      </c>
      <c r="C23" s="353">
        <v>557000</v>
      </c>
      <c r="D23" s="352">
        <v>349000</v>
      </c>
      <c r="E23" s="218">
        <v>279000</v>
      </c>
      <c r="F23" s="484">
        <f t="shared" si="0"/>
        <v>0.49910233393177739</v>
      </c>
      <c r="G23" s="500"/>
      <c r="H23" s="44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>
      <c r="A24" s="654"/>
      <c r="B24" s="492" t="s">
        <v>607</v>
      </c>
      <c r="C24" s="353">
        <v>579000</v>
      </c>
      <c r="D24" s="352">
        <v>360000</v>
      </c>
      <c r="E24" s="467">
        <v>299000</v>
      </c>
      <c r="F24" s="484">
        <f t="shared" si="0"/>
        <v>0.4835924006908463</v>
      </c>
      <c r="G24" s="500"/>
      <c r="H24" s="44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>
      <c r="A25" s="618"/>
      <c r="B25" s="492" t="s">
        <v>608</v>
      </c>
      <c r="C25" s="353">
        <v>1397000</v>
      </c>
      <c r="D25" s="352">
        <f>549000+289000</f>
        <v>838000</v>
      </c>
      <c r="E25" s="467">
        <v>699000</v>
      </c>
      <c r="F25" s="484">
        <f t="shared" si="0"/>
        <v>0.49964209019327133</v>
      </c>
      <c r="G25" s="501"/>
      <c r="H25" s="44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6" customHeight="1">
      <c r="A26" s="660" t="s">
        <v>609</v>
      </c>
      <c r="B26" s="502" t="s">
        <v>610</v>
      </c>
      <c r="C26" s="503">
        <f t="shared" ref="C26:C37" si="1">E26*2-1000</f>
        <v>237000</v>
      </c>
      <c r="D26" s="504">
        <v>149000</v>
      </c>
      <c r="E26" s="505">
        <v>119000</v>
      </c>
      <c r="F26" s="484">
        <f t="shared" si="0"/>
        <v>0.49789029535864981</v>
      </c>
      <c r="G26" s="83"/>
      <c r="H26" s="506"/>
      <c r="I26" s="652" t="s">
        <v>611</v>
      </c>
      <c r="J26" s="6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6.75" customHeight="1">
      <c r="A27" s="605"/>
      <c r="B27" s="507" t="s">
        <v>612</v>
      </c>
      <c r="C27" s="508">
        <f t="shared" si="1"/>
        <v>257000</v>
      </c>
      <c r="D27" s="509">
        <v>200000</v>
      </c>
      <c r="E27" s="108">
        <v>129000</v>
      </c>
      <c r="F27" s="484">
        <f t="shared" si="0"/>
        <v>0.49805447470817121</v>
      </c>
      <c r="G27" s="369"/>
      <c r="H27" s="137"/>
      <c r="I27" s="608"/>
      <c r="J27" s="6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60" customHeight="1">
      <c r="A28" s="605"/>
      <c r="B28" s="507" t="s">
        <v>613</v>
      </c>
      <c r="C28" s="508">
        <f t="shared" si="1"/>
        <v>297000</v>
      </c>
      <c r="D28" s="508"/>
      <c r="E28" s="508">
        <v>149000</v>
      </c>
      <c r="F28" s="484">
        <f t="shared" si="0"/>
        <v>0.49831649831649827</v>
      </c>
      <c r="G28" s="369"/>
      <c r="H28" s="137"/>
      <c r="I28" s="608"/>
      <c r="J28" s="614"/>
      <c r="K28" s="1"/>
      <c r="L28" s="1"/>
      <c r="M28" s="451"/>
      <c r="N28" s="354"/>
      <c r="O28" s="35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>
      <c r="A29" s="605"/>
      <c r="B29" s="507" t="s">
        <v>614</v>
      </c>
      <c r="C29" s="508">
        <f t="shared" si="1"/>
        <v>367000</v>
      </c>
      <c r="D29" s="509">
        <v>209000</v>
      </c>
      <c r="E29" s="510">
        <v>184000</v>
      </c>
      <c r="F29" s="484">
        <f t="shared" si="0"/>
        <v>0.49863760217983655</v>
      </c>
      <c r="G29" s="369"/>
      <c r="H29" s="137"/>
      <c r="I29" s="608"/>
      <c r="J29" s="6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>
      <c r="A30" s="605"/>
      <c r="B30" s="507" t="s">
        <v>615</v>
      </c>
      <c r="C30" s="508">
        <f t="shared" si="1"/>
        <v>599000</v>
      </c>
      <c r="D30" s="509">
        <v>390000</v>
      </c>
      <c r="E30" s="510">
        <v>300000</v>
      </c>
      <c r="F30" s="484">
        <f t="shared" si="0"/>
        <v>0.4991652754590985</v>
      </c>
      <c r="G30" s="369"/>
      <c r="H30" s="137"/>
      <c r="I30" s="610"/>
      <c r="J30" s="6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>
      <c r="A31" s="652" t="s">
        <v>442</v>
      </c>
      <c r="B31" s="445" t="s">
        <v>169</v>
      </c>
      <c r="C31" s="344">
        <f t="shared" si="1"/>
        <v>117000</v>
      </c>
      <c r="D31" s="345">
        <v>70000</v>
      </c>
      <c r="E31" s="345">
        <v>59000</v>
      </c>
      <c r="F31" s="484">
        <f t="shared" si="0"/>
        <v>0.49572649572649574</v>
      </c>
      <c r="G31" s="511"/>
      <c r="H31" s="439"/>
      <c r="I31" s="715"/>
      <c r="J31" s="6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>
      <c r="A32" s="608"/>
      <c r="B32" s="447" t="s">
        <v>170</v>
      </c>
      <c r="C32" s="352">
        <f t="shared" si="1"/>
        <v>177000</v>
      </c>
      <c r="D32" s="353">
        <v>99000</v>
      </c>
      <c r="E32" s="353">
        <v>89000</v>
      </c>
      <c r="F32" s="484">
        <f t="shared" si="0"/>
        <v>0.49717514124293782</v>
      </c>
      <c r="G32" s="512"/>
      <c r="H32" s="441"/>
      <c r="I32" s="613"/>
      <c r="J32" s="614"/>
      <c r="K32" s="1"/>
      <c r="L32" s="1"/>
      <c r="M32" s="480"/>
      <c r="N32" s="480"/>
      <c r="O32" s="480"/>
      <c r="P32" s="480"/>
      <c r="Q32" s="480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>
      <c r="A33" s="608"/>
      <c r="B33" s="447" t="s">
        <v>541</v>
      </c>
      <c r="C33" s="352">
        <f t="shared" si="1"/>
        <v>197000</v>
      </c>
      <c r="D33" s="353">
        <v>157000</v>
      </c>
      <c r="E33" s="513">
        <v>99000</v>
      </c>
      <c r="F33" s="484">
        <f t="shared" si="0"/>
        <v>0.4974619289340102</v>
      </c>
      <c r="G33" s="512"/>
      <c r="H33" s="441"/>
      <c r="I33" s="613"/>
      <c r="J33" s="614"/>
      <c r="K33" s="1"/>
      <c r="L33" s="1"/>
      <c r="M33" s="480"/>
      <c r="N33" s="480"/>
      <c r="O33" s="480"/>
      <c r="P33" s="480"/>
      <c r="Q33" s="480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660" t="s">
        <v>616</v>
      </c>
      <c r="B34" s="502" t="s">
        <v>617</v>
      </c>
      <c r="C34" s="344">
        <f t="shared" si="1"/>
        <v>1999000</v>
      </c>
      <c r="D34" s="344"/>
      <c r="E34" s="344">
        <v>1000000</v>
      </c>
      <c r="F34" s="725"/>
      <c r="G34" s="511"/>
      <c r="H34" s="439"/>
      <c r="I34" s="715"/>
      <c r="J34" s="612"/>
      <c r="K34" s="1"/>
      <c r="L34" s="1"/>
      <c r="M34" s="481"/>
      <c r="N34" s="482"/>
      <c r="O34" s="482"/>
      <c r="P34" s="480"/>
      <c r="Q34" s="480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>
      <c r="A35" s="605"/>
      <c r="B35" s="507" t="s">
        <v>274</v>
      </c>
      <c r="C35" s="352">
        <f t="shared" si="1"/>
        <v>3599000</v>
      </c>
      <c r="D35" s="352"/>
      <c r="E35" s="352">
        <v>1800000</v>
      </c>
      <c r="F35" s="613"/>
      <c r="G35" s="512"/>
      <c r="H35" s="441"/>
      <c r="I35" s="613"/>
      <c r="J35" s="614"/>
      <c r="K35" s="1"/>
      <c r="L35" s="1"/>
      <c r="M35" s="481"/>
      <c r="N35" s="482"/>
      <c r="O35" s="482"/>
      <c r="P35" s="480"/>
      <c r="Q35" s="480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>
      <c r="A36" s="605"/>
      <c r="B36" s="507" t="s">
        <v>618</v>
      </c>
      <c r="C36" s="352">
        <f t="shared" si="1"/>
        <v>3799000</v>
      </c>
      <c r="D36" s="352"/>
      <c r="E36" s="352">
        <v>1900000</v>
      </c>
      <c r="F36" s="613"/>
      <c r="G36" s="512"/>
      <c r="H36" s="441"/>
      <c r="I36" s="613"/>
      <c r="J36" s="614"/>
      <c r="K36" s="1"/>
      <c r="L36" s="1"/>
      <c r="M36" s="481"/>
      <c r="N36" s="482"/>
      <c r="O36" s="482"/>
      <c r="P36" s="480"/>
      <c r="Q36" s="480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>
      <c r="A37" s="605"/>
      <c r="B37" s="470" t="s">
        <v>619</v>
      </c>
      <c r="C37" s="359">
        <f t="shared" si="1"/>
        <v>5399000</v>
      </c>
      <c r="D37" s="359"/>
      <c r="E37" s="359">
        <v>2700000</v>
      </c>
      <c r="F37" s="613"/>
      <c r="G37" s="512"/>
      <c r="H37" s="441"/>
      <c r="I37" s="613"/>
      <c r="J37" s="614"/>
      <c r="K37" s="1"/>
      <c r="L37" s="1"/>
      <c r="M37" s="480"/>
      <c r="N37" s="480"/>
      <c r="O37" s="480"/>
      <c r="P37" s="480"/>
      <c r="Q37" s="480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>
      <c r="A38" s="606"/>
      <c r="B38" s="726" t="s">
        <v>620</v>
      </c>
      <c r="C38" s="727"/>
      <c r="D38" s="727"/>
      <c r="E38" s="634"/>
      <c r="F38" s="615"/>
      <c r="G38" s="514"/>
      <c r="H38" s="444"/>
      <c r="I38" s="615"/>
      <c r="J38" s="616"/>
      <c r="K38" s="1"/>
      <c r="L38" s="1"/>
      <c r="M38" s="480"/>
      <c r="N38" s="480"/>
      <c r="O38" s="480"/>
      <c r="P38" s="480"/>
      <c r="Q38" s="480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>
      <c r="A39" s="668" t="s">
        <v>621</v>
      </c>
      <c r="B39" s="613"/>
      <c r="C39" s="613"/>
      <c r="D39" s="613"/>
      <c r="E39" s="613"/>
      <c r="F39" s="613"/>
      <c r="G39" s="613"/>
      <c r="H39" s="613"/>
      <c r="I39" s="613"/>
      <c r="J39" s="614"/>
      <c r="K39" s="1"/>
      <c r="L39" s="1"/>
      <c r="M39" s="480"/>
      <c r="N39" s="480"/>
      <c r="O39" s="480"/>
      <c r="P39" s="480"/>
      <c r="Q39" s="480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>
      <c r="A40" s="608"/>
      <c r="B40" s="613"/>
      <c r="C40" s="613"/>
      <c r="D40" s="613"/>
      <c r="E40" s="613"/>
      <c r="F40" s="613"/>
      <c r="G40" s="613"/>
      <c r="H40" s="613"/>
      <c r="I40" s="613"/>
      <c r="J40" s="614"/>
      <c r="K40" s="1"/>
      <c r="L40" s="1"/>
      <c r="M40" s="480"/>
      <c r="N40" s="480"/>
      <c r="O40" s="480"/>
      <c r="P40" s="480"/>
      <c r="Q40" s="480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>
      <c r="A41" s="608"/>
      <c r="B41" s="613"/>
      <c r="C41" s="613"/>
      <c r="D41" s="613"/>
      <c r="E41" s="613"/>
      <c r="F41" s="613"/>
      <c r="G41" s="613"/>
      <c r="H41" s="613"/>
      <c r="I41" s="613"/>
      <c r="J41" s="614"/>
      <c r="K41" s="1"/>
      <c r="L41" s="1"/>
      <c r="M41" s="480"/>
      <c r="N41" s="480"/>
      <c r="O41" s="480"/>
      <c r="P41" s="480"/>
      <c r="Q41" s="480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>
      <c r="A42" s="608"/>
      <c r="B42" s="613"/>
      <c r="C42" s="613"/>
      <c r="D42" s="613"/>
      <c r="E42" s="613"/>
      <c r="F42" s="613"/>
      <c r="G42" s="613"/>
      <c r="H42" s="613"/>
      <c r="I42" s="613"/>
      <c r="J42" s="6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>
      <c r="A43" s="610"/>
      <c r="B43" s="615"/>
      <c r="C43" s="615"/>
      <c r="D43" s="615"/>
      <c r="E43" s="615"/>
      <c r="F43" s="615"/>
      <c r="G43" s="615"/>
      <c r="H43" s="615"/>
      <c r="I43" s="615"/>
      <c r="J43" s="6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>
      <c r="A44" s="1"/>
      <c r="B44" s="33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>
      <c r="A45" s="1"/>
      <c r="B45" s="33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>
      <c r="A46" s="1"/>
      <c r="B46" s="33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>
      <c r="A47" s="1"/>
      <c r="B47" s="33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>
      <c r="A48" s="1"/>
      <c r="B48" s="33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>
      <c r="A49" s="1"/>
      <c r="B49" s="339"/>
      <c r="C49" s="1"/>
      <c r="D49" s="1"/>
      <c r="E49" s="1"/>
      <c r="F49" s="1"/>
      <c r="G49" s="176"/>
      <c r="H49" s="17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>
      <c r="A50" s="1"/>
      <c r="B50" s="339"/>
      <c r="C50" s="1"/>
      <c r="D50" s="1"/>
      <c r="E50" s="1"/>
      <c r="F50" s="1"/>
      <c r="G50" s="176"/>
      <c r="H50" s="17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>
      <c r="A51" s="1"/>
      <c r="B51" s="339"/>
      <c r="C51" s="1"/>
      <c r="D51" s="1"/>
      <c r="E51" s="1"/>
      <c r="F51" s="1"/>
      <c r="G51" s="176"/>
      <c r="H51" s="17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>
      <c r="A52" s="1"/>
      <c r="B52" s="339"/>
      <c r="C52" s="1"/>
      <c r="D52" s="1"/>
      <c r="E52" s="1"/>
      <c r="F52" s="1"/>
      <c r="G52" s="176"/>
      <c r="H52" s="17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>
      <c r="A53" s="1"/>
      <c r="B53" s="339"/>
      <c r="C53" s="1"/>
      <c r="D53" s="1"/>
      <c r="E53" s="1"/>
      <c r="F53" s="1"/>
      <c r="G53" s="176"/>
      <c r="H53" s="17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>
      <c r="A54" s="1"/>
      <c r="B54" s="339"/>
      <c r="C54" s="1"/>
      <c r="D54" s="1"/>
      <c r="E54" s="1"/>
      <c r="F54" s="1"/>
      <c r="G54" s="176"/>
      <c r="H54" s="17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>
      <c r="A55" s="1"/>
      <c r="B55" s="339"/>
      <c r="C55" s="1"/>
      <c r="D55" s="1"/>
      <c r="E55" s="1"/>
      <c r="F55" s="1"/>
      <c r="G55" s="176"/>
      <c r="H55" s="17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>
      <c r="A56" s="1"/>
      <c r="B56" s="339"/>
      <c r="C56" s="1"/>
      <c r="D56" s="1"/>
      <c r="E56" s="1"/>
      <c r="F56" s="1"/>
      <c r="G56" s="176"/>
      <c r="H56" s="17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>
      <c r="A57" s="1"/>
      <c r="B57" s="339"/>
      <c r="C57" s="1"/>
      <c r="D57" s="1"/>
      <c r="E57" s="1"/>
      <c r="F57" s="1"/>
      <c r="G57" s="176"/>
      <c r="H57" s="17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>
      <c r="A58" s="1"/>
      <c r="B58" s="339"/>
      <c r="C58" s="1"/>
      <c r="D58" s="1"/>
      <c r="E58" s="1"/>
      <c r="F58" s="1"/>
      <c r="G58" s="176"/>
      <c r="H58" s="17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>
      <c r="A59" s="1"/>
      <c r="B59" s="339"/>
      <c r="C59" s="1"/>
      <c r="D59" s="1"/>
      <c r="E59" s="1"/>
      <c r="F59" s="1"/>
      <c r="G59" s="176"/>
      <c r="H59" s="17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>
      <c r="A60" s="1"/>
      <c r="B60" s="339"/>
      <c r="C60" s="1"/>
      <c r="D60" s="1"/>
      <c r="E60" s="1"/>
      <c r="F60" s="1"/>
      <c r="G60" s="176"/>
      <c r="H60" s="17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>
      <c r="A61" s="1"/>
      <c r="B61" s="339"/>
      <c r="C61" s="1"/>
      <c r="D61" s="1"/>
      <c r="E61" s="1"/>
      <c r="F61" s="1"/>
      <c r="G61" s="176"/>
      <c r="H61" s="17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>
      <c r="A62" s="1"/>
      <c r="B62" s="339"/>
      <c r="C62" s="1"/>
      <c r="D62" s="1"/>
      <c r="E62" s="1"/>
      <c r="F62" s="1"/>
      <c r="G62" s="176"/>
      <c r="H62" s="17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>
      <c r="A63" s="1"/>
      <c r="B63" s="339"/>
      <c r="C63" s="1"/>
      <c r="D63" s="1"/>
      <c r="E63" s="1"/>
      <c r="F63" s="1"/>
      <c r="G63" s="176"/>
      <c r="H63" s="17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>
      <c r="A64" s="1"/>
      <c r="B64" s="339"/>
      <c r="C64" s="1"/>
      <c r="D64" s="1"/>
      <c r="E64" s="1"/>
      <c r="F64" s="1"/>
      <c r="G64" s="176"/>
      <c r="H64" s="17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>
      <c r="A65" s="1"/>
      <c r="B65" s="339"/>
      <c r="C65" s="1"/>
      <c r="D65" s="1"/>
      <c r="E65" s="1"/>
      <c r="F65" s="1"/>
      <c r="G65" s="176"/>
      <c r="H65" s="17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>
      <c r="A66" s="1"/>
      <c r="B66" s="339"/>
      <c r="C66" s="1"/>
      <c r="D66" s="1"/>
      <c r="E66" s="1"/>
      <c r="F66" s="1"/>
      <c r="G66" s="176"/>
      <c r="H66" s="17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>
      <c r="A67" s="1"/>
      <c r="B67" s="339"/>
      <c r="C67" s="1"/>
      <c r="D67" s="1"/>
      <c r="E67" s="1"/>
      <c r="F67" s="1"/>
      <c r="G67" s="176"/>
      <c r="H67" s="17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>
      <c r="A68" s="1"/>
      <c r="B68" s="339"/>
      <c r="C68" s="1"/>
      <c r="D68" s="1"/>
      <c r="E68" s="1"/>
      <c r="F68" s="1"/>
      <c r="G68" s="176"/>
      <c r="H68" s="17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>
      <c r="A69" s="1"/>
      <c r="B69" s="339"/>
      <c r="C69" s="1"/>
      <c r="D69" s="1"/>
      <c r="E69" s="1"/>
      <c r="F69" s="1"/>
      <c r="G69" s="176"/>
      <c r="H69" s="17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>
      <c r="A70" s="1"/>
      <c r="B70" s="339"/>
      <c r="C70" s="1"/>
      <c r="D70" s="1"/>
      <c r="E70" s="1"/>
      <c r="F70" s="1"/>
      <c r="G70" s="176"/>
      <c r="H70" s="17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>
      <c r="A71" s="1"/>
      <c r="B71" s="339"/>
      <c r="C71" s="1"/>
      <c r="D71" s="1"/>
      <c r="E71" s="1"/>
      <c r="F71" s="1"/>
      <c r="G71" s="176"/>
      <c r="H71" s="17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>
      <c r="A72" s="1"/>
      <c r="B72" s="339"/>
      <c r="C72" s="1"/>
      <c r="D72" s="1"/>
      <c r="E72" s="1"/>
      <c r="F72" s="1"/>
      <c r="G72" s="176"/>
      <c r="H72" s="17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>
      <c r="A73" s="1"/>
      <c r="B73" s="339"/>
      <c r="C73" s="1"/>
      <c r="D73" s="1"/>
      <c r="E73" s="1"/>
      <c r="F73" s="1"/>
      <c r="G73" s="176"/>
      <c r="H73" s="17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>
      <c r="A74" s="1"/>
      <c r="B74" s="339"/>
      <c r="C74" s="1"/>
      <c r="D74" s="1"/>
      <c r="E74" s="1"/>
      <c r="F74" s="1"/>
      <c r="G74" s="176"/>
      <c r="H74" s="17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>
      <c r="A75" s="1"/>
      <c r="B75" s="339"/>
      <c r="C75" s="1"/>
      <c r="D75" s="1"/>
      <c r="E75" s="1"/>
      <c r="F75" s="1"/>
      <c r="G75" s="176"/>
      <c r="H75" s="17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>
      <c r="A76" s="1"/>
      <c r="B76" s="339"/>
      <c r="C76" s="1"/>
      <c r="D76" s="1"/>
      <c r="E76" s="1"/>
      <c r="F76" s="1"/>
      <c r="G76" s="176"/>
      <c r="H76" s="17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>
      <c r="A77" s="1"/>
      <c r="B77" s="339"/>
      <c r="C77" s="1"/>
      <c r="D77" s="1"/>
      <c r="E77" s="1"/>
      <c r="F77" s="1"/>
      <c r="G77" s="176"/>
      <c r="H77" s="17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>
      <c r="A78" s="1"/>
      <c r="B78" s="339"/>
      <c r="C78" s="1"/>
      <c r="D78" s="1"/>
      <c r="E78" s="1"/>
      <c r="F78" s="1"/>
      <c r="G78" s="176"/>
      <c r="H78" s="17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>
      <c r="A79" s="1"/>
      <c r="B79" s="339"/>
      <c r="C79" s="1"/>
      <c r="D79" s="1"/>
      <c r="E79" s="1"/>
      <c r="F79" s="1"/>
      <c r="G79" s="176"/>
      <c r="H79" s="17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>
      <c r="A80" s="1"/>
      <c r="B80" s="339"/>
      <c r="C80" s="1"/>
      <c r="D80" s="1"/>
      <c r="E80" s="1"/>
      <c r="F80" s="1"/>
      <c r="G80" s="176"/>
      <c r="H80" s="17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>
      <c r="A81" s="1"/>
      <c r="B81" s="339"/>
      <c r="C81" s="1"/>
      <c r="D81" s="1"/>
      <c r="E81" s="1"/>
      <c r="F81" s="1"/>
      <c r="G81" s="176"/>
      <c r="H81" s="17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>
      <c r="A82" s="1"/>
      <c r="B82" s="339"/>
      <c r="C82" s="1"/>
      <c r="D82" s="1"/>
      <c r="E82" s="1"/>
      <c r="F82" s="1"/>
      <c r="G82" s="176"/>
      <c r="H82" s="17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>
      <c r="A83" s="1"/>
      <c r="B83" s="339"/>
      <c r="C83" s="1"/>
      <c r="D83" s="1"/>
      <c r="E83" s="1"/>
      <c r="F83" s="1"/>
      <c r="G83" s="176"/>
      <c r="H83" s="17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>
      <c r="A84" s="1"/>
      <c r="B84" s="339"/>
      <c r="C84" s="1"/>
      <c r="D84" s="1"/>
      <c r="E84" s="1"/>
      <c r="F84" s="1"/>
      <c r="G84" s="176"/>
      <c r="H84" s="17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>
      <c r="A85" s="1"/>
      <c r="B85" s="339"/>
      <c r="C85" s="1"/>
      <c r="D85" s="1"/>
      <c r="E85" s="1"/>
      <c r="F85" s="1"/>
      <c r="G85" s="176"/>
      <c r="H85" s="17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>
      <c r="A86" s="1"/>
      <c r="B86" s="339"/>
      <c r="C86" s="1"/>
      <c r="D86" s="1"/>
      <c r="E86" s="1"/>
      <c r="F86" s="1"/>
      <c r="G86" s="176"/>
      <c r="H86" s="17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>
      <c r="A87" s="1"/>
      <c r="B87" s="339"/>
      <c r="C87" s="1"/>
      <c r="D87" s="1"/>
      <c r="E87" s="1"/>
      <c r="F87" s="1"/>
      <c r="G87" s="176"/>
      <c r="H87" s="17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>
      <c r="A88" s="1"/>
      <c r="B88" s="339"/>
      <c r="C88" s="1"/>
      <c r="D88" s="1"/>
      <c r="E88" s="1"/>
      <c r="F88" s="1"/>
      <c r="G88" s="176"/>
      <c r="H88" s="17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>
      <c r="A89" s="1"/>
      <c r="B89" s="339"/>
      <c r="C89" s="1"/>
      <c r="D89" s="1"/>
      <c r="E89" s="1"/>
      <c r="F89" s="1"/>
      <c r="G89" s="176"/>
      <c r="H89" s="17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>
      <c r="A90" s="1"/>
      <c r="B90" s="339"/>
      <c r="C90" s="1"/>
      <c r="D90" s="1"/>
      <c r="E90" s="1"/>
      <c r="F90" s="1"/>
      <c r="G90" s="176"/>
      <c r="H90" s="17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>
      <c r="A91" s="1"/>
      <c r="B91" s="339"/>
      <c r="C91" s="1"/>
      <c r="D91" s="1"/>
      <c r="E91" s="1"/>
      <c r="F91" s="1"/>
      <c r="G91" s="176"/>
      <c r="H91" s="17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>
      <c r="A92" s="1"/>
      <c r="B92" s="339"/>
      <c r="C92" s="1"/>
      <c r="D92" s="1"/>
      <c r="E92" s="1"/>
      <c r="F92" s="1"/>
      <c r="G92" s="176"/>
      <c r="H92" s="17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>
      <c r="A93" s="1"/>
      <c r="B93" s="339"/>
      <c r="C93" s="1"/>
      <c r="D93" s="1"/>
      <c r="E93" s="1"/>
      <c r="F93" s="1"/>
      <c r="G93" s="176"/>
      <c r="H93" s="17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>
      <c r="A94" s="1"/>
      <c r="B94" s="339"/>
      <c r="C94" s="1"/>
      <c r="D94" s="1"/>
      <c r="E94" s="1"/>
      <c r="F94" s="1"/>
      <c r="G94" s="176"/>
      <c r="H94" s="17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>
      <c r="A95" s="1"/>
      <c r="B95" s="339"/>
      <c r="C95" s="1"/>
      <c r="D95" s="1"/>
      <c r="E95" s="1"/>
      <c r="F95" s="1"/>
      <c r="G95" s="176"/>
      <c r="H95" s="17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>
      <c r="A96" s="1"/>
      <c r="B96" s="339"/>
      <c r="C96" s="1"/>
      <c r="D96" s="1"/>
      <c r="E96" s="1"/>
      <c r="F96" s="1"/>
      <c r="G96" s="176"/>
      <c r="H96" s="17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>
      <c r="A97" s="1"/>
      <c r="B97" s="339"/>
      <c r="C97" s="1"/>
      <c r="D97" s="1"/>
      <c r="E97" s="1"/>
      <c r="F97" s="1"/>
      <c r="G97" s="176"/>
      <c r="H97" s="17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>
      <c r="A98" s="1"/>
      <c r="B98" s="339"/>
      <c r="C98" s="1"/>
      <c r="D98" s="1"/>
      <c r="E98" s="1"/>
      <c r="F98" s="1"/>
      <c r="G98" s="176"/>
      <c r="H98" s="17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>
      <c r="A99" s="1"/>
      <c r="B99" s="339"/>
      <c r="C99" s="1"/>
      <c r="D99" s="1"/>
      <c r="E99" s="1"/>
      <c r="F99" s="1"/>
      <c r="G99" s="176"/>
      <c r="H99" s="17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>
      <c r="A100" s="1"/>
      <c r="B100" s="339"/>
      <c r="C100" s="1"/>
      <c r="D100" s="1"/>
      <c r="E100" s="1"/>
      <c r="F100" s="1"/>
      <c r="G100" s="176"/>
      <c r="H100" s="17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>
      <c r="A101" s="1"/>
      <c r="B101" s="339"/>
      <c r="C101" s="1"/>
      <c r="D101" s="1"/>
      <c r="E101" s="1"/>
      <c r="F101" s="1"/>
      <c r="G101" s="176"/>
      <c r="H101" s="17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>
      <c r="A102" s="1"/>
      <c r="B102" s="339"/>
      <c r="C102" s="1"/>
      <c r="D102" s="1"/>
      <c r="E102" s="1"/>
      <c r="F102" s="1"/>
      <c r="G102" s="176"/>
      <c r="H102" s="17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339"/>
      <c r="C103" s="1"/>
      <c r="D103" s="1"/>
      <c r="E103" s="1"/>
      <c r="F103" s="1"/>
      <c r="G103" s="176"/>
      <c r="H103" s="17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>
      <c r="A104" s="1"/>
      <c r="B104" s="339"/>
      <c r="C104" s="1"/>
      <c r="D104" s="1"/>
      <c r="E104" s="1"/>
      <c r="F104" s="1"/>
      <c r="G104" s="176"/>
      <c r="H104" s="17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>
      <c r="A105" s="1"/>
      <c r="B105" s="339"/>
      <c r="C105" s="1"/>
      <c r="D105" s="1"/>
      <c r="E105" s="1"/>
      <c r="F105" s="1"/>
      <c r="G105" s="176"/>
      <c r="H105" s="17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>
      <c r="A106" s="1"/>
      <c r="B106" s="339"/>
      <c r="C106" s="1"/>
      <c r="D106" s="1"/>
      <c r="E106" s="1"/>
      <c r="F106" s="1"/>
      <c r="G106" s="176"/>
      <c r="H106" s="17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>
      <c r="A107" s="1"/>
      <c r="B107" s="339"/>
      <c r="C107" s="1"/>
      <c r="D107" s="1"/>
      <c r="E107" s="1"/>
      <c r="F107" s="1"/>
      <c r="G107" s="176"/>
      <c r="H107" s="17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>
      <c r="A108" s="1"/>
      <c r="B108" s="339"/>
      <c r="C108" s="1"/>
      <c r="D108" s="1"/>
      <c r="E108" s="1"/>
      <c r="F108" s="1"/>
      <c r="G108" s="176"/>
      <c r="H108" s="17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>
      <c r="A109" s="1"/>
      <c r="B109" s="339"/>
      <c r="C109" s="1"/>
      <c r="D109" s="1"/>
      <c r="E109" s="1"/>
      <c r="F109" s="1"/>
      <c r="G109" s="176"/>
      <c r="H109" s="17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>
      <c r="A110" s="1"/>
      <c r="B110" s="339"/>
      <c r="C110" s="1"/>
      <c r="D110" s="1"/>
      <c r="E110" s="1"/>
      <c r="F110" s="1"/>
      <c r="G110" s="176"/>
      <c r="H110" s="17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>
      <c r="A111" s="1"/>
      <c r="B111" s="339"/>
      <c r="C111" s="1"/>
      <c r="D111" s="1"/>
      <c r="E111" s="1"/>
      <c r="F111" s="1"/>
      <c r="G111" s="176"/>
      <c r="H111" s="17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>
      <c r="A112" s="1"/>
      <c r="B112" s="339"/>
      <c r="C112" s="1"/>
      <c r="D112" s="1"/>
      <c r="E112" s="1"/>
      <c r="F112" s="1"/>
      <c r="G112" s="176"/>
      <c r="H112" s="17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>
      <c r="A113" s="1"/>
      <c r="B113" s="339"/>
      <c r="C113" s="1"/>
      <c r="D113" s="1"/>
      <c r="E113" s="1"/>
      <c r="F113" s="1"/>
      <c r="G113" s="176"/>
      <c r="H113" s="17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>
      <c r="A114" s="1"/>
      <c r="B114" s="339"/>
      <c r="C114" s="1"/>
      <c r="D114" s="1"/>
      <c r="E114" s="1"/>
      <c r="F114" s="1"/>
      <c r="G114" s="176"/>
      <c r="H114" s="17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>
      <c r="A115" s="1"/>
      <c r="B115" s="339"/>
      <c r="C115" s="1"/>
      <c r="D115" s="1"/>
      <c r="E115" s="1"/>
      <c r="F115" s="1"/>
      <c r="G115" s="176"/>
      <c r="H115" s="17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>
      <c r="A116" s="1"/>
      <c r="B116" s="339"/>
      <c r="C116" s="1"/>
      <c r="D116" s="1"/>
      <c r="E116" s="1"/>
      <c r="F116" s="1"/>
      <c r="G116" s="176"/>
      <c r="H116" s="17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>
      <c r="A117" s="1"/>
      <c r="B117" s="339"/>
      <c r="C117" s="1"/>
      <c r="D117" s="1"/>
      <c r="E117" s="1"/>
      <c r="F117" s="1"/>
      <c r="G117" s="176"/>
      <c r="H117" s="17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>
      <c r="A118" s="1"/>
      <c r="B118" s="339"/>
      <c r="C118" s="1"/>
      <c r="D118" s="1"/>
      <c r="E118" s="1"/>
      <c r="F118" s="1"/>
      <c r="G118" s="176"/>
      <c r="H118" s="17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>
      <c r="A119" s="1"/>
      <c r="B119" s="339"/>
      <c r="C119" s="1"/>
      <c r="D119" s="1"/>
      <c r="E119" s="1"/>
      <c r="F119" s="1"/>
      <c r="G119" s="176"/>
      <c r="H119" s="17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>
      <c r="A120" s="1"/>
      <c r="B120" s="339"/>
      <c r="C120" s="1"/>
      <c r="D120" s="1"/>
      <c r="E120" s="1"/>
      <c r="F120" s="1"/>
      <c r="G120" s="176"/>
      <c r="H120" s="17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>
      <c r="A121" s="1"/>
      <c r="B121" s="339"/>
      <c r="C121" s="1"/>
      <c r="D121" s="1"/>
      <c r="E121" s="1"/>
      <c r="F121" s="1"/>
      <c r="G121" s="176"/>
      <c r="H121" s="17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>
      <c r="A122" s="1"/>
      <c r="B122" s="339"/>
      <c r="C122" s="1"/>
      <c r="D122" s="1"/>
      <c r="E122" s="1"/>
      <c r="F122" s="1"/>
      <c r="G122" s="176"/>
      <c r="H122" s="17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>
      <c r="A123" s="1"/>
      <c r="B123" s="339"/>
      <c r="C123" s="1"/>
      <c r="D123" s="1"/>
      <c r="E123" s="1"/>
      <c r="F123" s="1"/>
      <c r="G123" s="176"/>
      <c r="H123" s="17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>
      <c r="A124" s="1"/>
      <c r="B124" s="339"/>
      <c r="C124" s="1"/>
      <c r="D124" s="1"/>
      <c r="E124" s="1"/>
      <c r="F124" s="1"/>
      <c r="G124" s="176"/>
      <c r="H124" s="17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>
      <c r="A125" s="1"/>
      <c r="B125" s="339"/>
      <c r="C125" s="1"/>
      <c r="D125" s="1"/>
      <c r="E125" s="1"/>
      <c r="F125" s="1"/>
      <c r="G125" s="176"/>
      <c r="H125" s="17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>
      <c r="A126" s="1"/>
      <c r="B126" s="339"/>
      <c r="C126" s="1"/>
      <c r="D126" s="1"/>
      <c r="E126" s="1"/>
      <c r="F126" s="1"/>
      <c r="G126" s="176"/>
      <c r="H126" s="17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>
      <c r="A127" s="1"/>
      <c r="B127" s="339"/>
      <c r="C127" s="1"/>
      <c r="D127" s="1"/>
      <c r="E127" s="1"/>
      <c r="F127" s="1"/>
      <c r="G127" s="176"/>
      <c r="H127" s="17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>
      <c r="A128" s="1"/>
      <c r="B128" s="339"/>
      <c r="C128" s="1"/>
      <c r="D128" s="1"/>
      <c r="E128" s="1"/>
      <c r="F128" s="1"/>
      <c r="G128" s="176"/>
      <c r="H128" s="17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>
      <c r="A129" s="1"/>
      <c r="B129" s="339"/>
      <c r="C129" s="1"/>
      <c r="D129" s="1"/>
      <c r="E129" s="1"/>
      <c r="F129" s="1"/>
      <c r="G129" s="176"/>
      <c r="H129" s="17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>
      <c r="A130" s="1"/>
      <c r="B130" s="339"/>
      <c r="C130" s="1"/>
      <c r="D130" s="1"/>
      <c r="E130" s="1"/>
      <c r="F130" s="1"/>
      <c r="G130" s="176"/>
      <c r="H130" s="17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>
      <c r="A131" s="1"/>
      <c r="B131" s="339"/>
      <c r="C131" s="1"/>
      <c r="D131" s="1"/>
      <c r="E131" s="1"/>
      <c r="F131" s="1"/>
      <c r="G131" s="176"/>
      <c r="H131" s="17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>
      <c r="A132" s="1"/>
      <c r="B132" s="339"/>
      <c r="C132" s="1"/>
      <c r="D132" s="1"/>
      <c r="E132" s="1"/>
      <c r="F132" s="1"/>
      <c r="G132" s="176"/>
      <c r="H132" s="17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>
      <c r="A133" s="1"/>
      <c r="B133" s="339"/>
      <c r="C133" s="1"/>
      <c r="D133" s="1"/>
      <c r="E133" s="1"/>
      <c r="F133" s="1"/>
      <c r="G133" s="176"/>
      <c r="H133" s="17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>
      <c r="A134" s="1"/>
      <c r="B134" s="339"/>
      <c r="C134" s="1"/>
      <c r="D134" s="1"/>
      <c r="E134" s="1"/>
      <c r="F134" s="1"/>
      <c r="G134" s="176"/>
      <c r="H134" s="17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>
      <c r="A135" s="1"/>
      <c r="B135" s="339"/>
      <c r="C135" s="1"/>
      <c r="D135" s="1"/>
      <c r="E135" s="1"/>
      <c r="F135" s="1"/>
      <c r="G135" s="176"/>
      <c r="H135" s="17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>
      <c r="A136" s="1"/>
      <c r="B136" s="339"/>
      <c r="C136" s="1"/>
      <c r="D136" s="1"/>
      <c r="E136" s="1"/>
      <c r="F136" s="1"/>
      <c r="G136" s="176"/>
      <c r="H136" s="17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>
      <c r="A137" s="1"/>
      <c r="B137" s="339"/>
      <c r="C137" s="1"/>
      <c r="D137" s="1"/>
      <c r="E137" s="1"/>
      <c r="F137" s="1"/>
      <c r="G137" s="176"/>
      <c r="H137" s="17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>
      <c r="A138" s="1"/>
      <c r="B138" s="339"/>
      <c r="C138" s="1"/>
      <c r="D138" s="1"/>
      <c r="E138" s="1"/>
      <c r="F138" s="1"/>
      <c r="G138" s="176"/>
      <c r="H138" s="17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>
      <c r="A139" s="1"/>
      <c r="B139" s="339"/>
      <c r="C139" s="1"/>
      <c r="D139" s="1"/>
      <c r="E139" s="1"/>
      <c r="F139" s="1"/>
      <c r="G139" s="176"/>
      <c r="H139" s="17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>
      <c r="A140" s="1"/>
      <c r="B140" s="339"/>
      <c r="C140" s="1"/>
      <c r="D140" s="1"/>
      <c r="E140" s="1"/>
      <c r="F140" s="1"/>
      <c r="G140" s="176"/>
      <c r="H140" s="17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>
      <c r="A141" s="1"/>
      <c r="B141" s="339"/>
      <c r="C141" s="1"/>
      <c r="D141" s="1"/>
      <c r="E141" s="1"/>
      <c r="F141" s="1"/>
      <c r="G141" s="176"/>
      <c r="H141" s="17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>
      <c r="A142" s="1"/>
      <c r="B142" s="339"/>
      <c r="C142" s="1"/>
      <c r="D142" s="1"/>
      <c r="E142" s="1"/>
      <c r="F142" s="1"/>
      <c r="G142" s="176"/>
      <c r="H142" s="17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>
      <c r="A143" s="1"/>
      <c r="B143" s="339"/>
      <c r="C143" s="1"/>
      <c r="D143" s="1"/>
      <c r="E143" s="1"/>
      <c r="F143" s="1"/>
      <c r="G143" s="176"/>
      <c r="H143" s="17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>
      <c r="A144" s="1"/>
      <c r="B144" s="339"/>
      <c r="C144" s="1"/>
      <c r="D144" s="1"/>
      <c r="E144" s="1"/>
      <c r="F144" s="1"/>
      <c r="G144" s="176"/>
      <c r="H144" s="17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>
      <c r="A145" s="1"/>
      <c r="B145" s="339"/>
      <c r="C145" s="1"/>
      <c r="D145" s="1"/>
      <c r="E145" s="1"/>
      <c r="F145" s="1"/>
      <c r="G145" s="176"/>
      <c r="H145" s="17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>
      <c r="A146" s="1"/>
      <c r="B146" s="339"/>
      <c r="C146" s="1"/>
      <c r="D146" s="1"/>
      <c r="E146" s="1"/>
      <c r="F146" s="1"/>
      <c r="G146" s="176"/>
      <c r="H146" s="17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>
      <c r="A147" s="1"/>
      <c r="B147" s="339"/>
      <c r="C147" s="1"/>
      <c r="D147" s="1"/>
      <c r="E147" s="1"/>
      <c r="F147" s="1"/>
      <c r="G147" s="176"/>
      <c r="H147" s="17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>
      <c r="A148" s="1"/>
      <c r="B148" s="339"/>
      <c r="C148" s="1"/>
      <c r="D148" s="1"/>
      <c r="E148" s="1"/>
      <c r="F148" s="1"/>
      <c r="G148" s="176"/>
      <c r="H148" s="17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>
      <c r="A149" s="1"/>
      <c r="B149" s="339"/>
      <c r="C149" s="1"/>
      <c r="D149" s="1"/>
      <c r="E149" s="1"/>
      <c r="F149" s="1"/>
      <c r="G149" s="176"/>
      <c r="H149" s="17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>
      <c r="A150" s="1"/>
      <c r="B150" s="339"/>
      <c r="C150" s="1"/>
      <c r="D150" s="1"/>
      <c r="E150" s="1"/>
      <c r="F150" s="1"/>
      <c r="G150" s="176"/>
      <c r="H150" s="17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>
      <c r="A151" s="1"/>
      <c r="B151" s="339"/>
      <c r="C151" s="1"/>
      <c r="D151" s="1"/>
      <c r="E151" s="1"/>
      <c r="F151" s="1"/>
      <c r="G151" s="176"/>
      <c r="H151" s="17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>
      <c r="A152" s="1"/>
      <c r="B152" s="339"/>
      <c r="C152" s="1"/>
      <c r="D152" s="1"/>
      <c r="E152" s="1"/>
      <c r="F152" s="1"/>
      <c r="G152" s="176"/>
      <c r="H152" s="17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>
      <c r="A153" s="1"/>
      <c r="B153" s="339"/>
      <c r="C153" s="1"/>
      <c r="D153" s="1"/>
      <c r="E153" s="1"/>
      <c r="F153" s="1"/>
      <c r="G153" s="176"/>
      <c r="H153" s="17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>
      <c r="A154" s="1"/>
      <c r="B154" s="339"/>
      <c r="C154" s="1"/>
      <c r="D154" s="1"/>
      <c r="E154" s="1"/>
      <c r="F154" s="1"/>
      <c r="G154" s="176"/>
      <c r="H154" s="17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>
      <c r="A155" s="1"/>
      <c r="B155" s="339"/>
      <c r="C155" s="1"/>
      <c r="D155" s="1"/>
      <c r="E155" s="1"/>
      <c r="F155" s="1"/>
      <c r="G155" s="176"/>
      <c r="H155" s="17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>
      <c r="A156" s="1"/>
      <c r="B156" s="339"/>
      <c r="C156" s="1"/>
      <c r="D156" s="1"/>
      <c r="E156" s="1"/>
      <c r="F156" s="1"/>
      <c r="G156" s="176"/>
      <c r="H156" s="17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>
      <c r="A157" s="1"/>
      <c r="B157" s="339"/>
      <c r="C157" s="1"/>
      <c r="D157" s="1"/>
      <c r="E157" s="1"/>
      <c r="F157" s="1"/>
      <c r="G157" s="176"/>
      <c r="H157" s="17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>
      <c r="A158" s="1"/>
      <c r="B158" s="339"/>
      <c r="C158" s="1"/>
      <c r="D158" s="1"/>
      <c r="E158" s="1"/>
      <c r="F158" s="1"/>
      <c r="G158" s="176"/>
      <c r="H158" s="17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>
      <c r="A159" s="1"/>
      <c r="B159" s="339"/>
      <c r="C159" s="1"/>
      <c r="D159" s="1"/>
      <c r="E159" s="1"/>
      <c r="F159" s="1"/>
      <c r="G159" s="176"/>
      <c r="H159" s="17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>
      <c r="A160" s="1"/>
      <c r="B160" s="339"/>
      <c r="C160" s="1"/>
      <c r="D160" s="1"/>
      <c r="E160" s="1"/>
      <c r="F160" s="1"/>
      <c r="G160" s="176"/>
      <c r="H160" s="17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>
      <c r="A161" s="1"/>
      <c r="B161" s="339"/>
      <c r="C161" s="1"/>
      <c r="D161" s="1"/>
      <c r="E161" s="1"/>
      <c r="F161" s="1"/>
      <c r="G161" s="176"/>
      <c r="H161" s="17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>
      <c r="A162" s="1"/>
      <c r="B162" s="339"/>
      <c r="C162" s="1"/>
      <c r="D162" s="1"/>
      <c r="E162" s="1"/>
      <c r="F162" s="1"/>
      <c r="G162" s="176"/>
      <c r="H162" s="17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>
      <c r="A163" s="1"/>
      <c r="B163" s="339"/>
      <c r="C163" s="1"/>
      <c r="D163" s="1"/>
      <c r="E163" s="1"/>
      <c r="F163" s="1"/>
      <c r="G163" s="176"/>
      <c r="H163" s="17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>
      <c r="A164" s="1"/>
      <c r="B164" s="339"/>
      <c r="C164" s="1"/>
      <c r="D164" s="1"/>
      <c r="E164" s="1"/>
      <c r="F164" s="1"/>
      <c r="G164" s="176"/>
      <c r="H164" s="17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>
      <c r="A165" s="1"/>
      <c r="B165" s="339"/>
      <c r="C165" s="1"/>
      <c r="D165" s="1"/>
      <c r="E165" s="1"/>
      <c r="F165" s="1"/>
      <c r="G165" s="176"/>
      <c r="H165" s="17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>
      <c r="A166" s="1"/>
      <c r="B166" s="339"/>
      <c r="C166" s="1"/>
      <c r="D166" s="1"/>
      <c r="E166" s="1"/>
      <c r="F166" s="1"/>
      <c r="G166" s="176"/>
      <c r="H166" s="17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>
      <c r="A167" s="1"/>
      <c r="B167" s="339"/>
      <c r="C167" s="1"/>
      <c r="D167" s="1"/>
      <c r="E167" s="1"/>
      <c r="F167" s="1"/>
      <c r="G167" s="176"/>
      <c r="H167" s="17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>
      <c r="A168" s="1"/>
      <c r="B168" s="339"/>
      <c r="C168" s="1"/>
      <c r="D168" s="1"/>
      <c r="E168" s="1"/>
      <c r="F168" s="1"/>
      <c r="G168" s="176"/>
      <c r="H168" s="17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>
      <c r="A169" s="1"/>
      <c r="B169" s="339"/>
      <c r="C169" s="1"/>
      <c r="D169" s="1"/>
      <c r="E169" s="1"/>
      <c r="F169" s="1"/>
      <c r="G169" s="176"/>
      <c r="H169" s="17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>
      <c r="A170" s="1"/>
      <c r="B170" s="339"/>
      <c r="C170" s="1"/>
      <c r="D170" s="1"/>
      <c r="E170" s="1"/>
      <c r="F170" s="1"/>
      <c r="G170" s="176"/>
      <c r="H170" s="17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>
      <c r="A171" s="1"/>
      <c r="B171" s="339"/>
      <c r="C171" s="1"/>
      <c r="D171" s="1"/>
      <c r="E171" s="1"/>
      <c r="F171" s="1"/>
      <c r="G171" s="176"/>
      <c r="H171" s="17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>
      <c r="A172" s="1"/>
      <c r="B172" s="339"/>
      <c r="C172" s="1"/>
      <c r="D172" s="1"/>
      <c r="E172" s="1"/>
      <c r="F172" s="1"/>
      <c r="G172" s="176"/>
      <c r="H172" s="17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>
      <c r="A173" s="1"/>
      <c r="B173" s="339"/>
      <c r="C173" s="1"/>
      <c r="D173" s="1"/>
      <c r="E173" s="1"/>
      <c r="F173" s="1"/>
      <c r="G173" s="176"/>
      <c r="H173" s="17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>
      <c r="A174" s="1"/>
      <c r="B174" s="339"/>
      <c r="C174" s="1"/>
      <c r="D174" s="1"/>
      <c r="E174" s="1"/>
      <c r="F174" s="1"/>
      <c r="G174" s="176"/>
      <c r="H174" s="17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>
      <c r="A175" s="1"/>
      <c r="B175" s="339"/>
      <c r="C175" s="1"/>
      <c r="D175" s="1"/>
      <c r="E175" s="1"/>
      <c r="F175" s="1"/>
      <c r="G175" s="176"/>
      <c r="H175" s="17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>
      <c r="A176" s="1"/>
      <c r="B176" s="339"/>
      <c r="C176" s="1"/>
      <c r="D176" s="1"/>
      <c r="E176" s="1"/>
      <c r="F176" s="1"/>
      <c r="G176" s="176"/>
      <c r="H176" s="17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>
      <c r="A177" s="1"/>
      <c r="B177" s="339"/>
      <c r="C177" s="1"/>
      <c r="D177" s="1"/>
      <c r="E177" s="1"/>
      <c r="F177" s="1"/>
      <c r="G177" s="176"/>
      <c r="H177" s="17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>
      <c r="A178" s="1"/>
      <c r="B178" s="339"/>
      <c r="C178" s="1"/>
      <c r="D178" s="1"/>
      <c r="E178" s="1"/>
      <c r="F178" s="1"/>
      <c r="G178" s="176"/>
      <c r="H178" s="17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>
      <c r="A179" s="1"/>
      <c r="B179" s="339"/>
      <c r="C179" s="1"/>
      <c r="D179" s="1"/>
      <c r="E179" s="1"/>
      <c r="F179" s="1"/>
      <c r="G179" s="176"/>
      <c r="H179" s="17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>
      <c r="A180" s="1"/>
      <c r="B180" s="339"/>
      <c r="C180" s="1"/>
      <c r="D180" s="1"/>
      <c r="E180" s="1"/>
      <c r="F180" s="1"/>
      <c r="G180" s="176"/>
      <c r="H180" s="17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>
      <c r="A181" s="1"/>
      <c r="B181" s="339"/>
      <c r="C181" s="1"/>
      <c r="D181" s="1"/>
      <c r="E181" s="1"/>
      <c r="F181" s="1"/>
      <c r="G181" s="176"/>
      <c r="H181" s="17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>
      <c r="A182" s="1"/>
      <c r="B182" s="339"/>
      <c r="C182" s="1"/>
      <c r="D182" s="1"/>
      <c r="E182" s="1"/>
      <c r="F182" s="1"/>
      <c r="G182" s="176"/>
      <c r="H182" s="17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>
      <c r="A183" s="1"/>
      <c r="B183" s="339"/>
      <c r="C183" s="1"/>
      <c r="D183" s="1"/>
      <c r="E183" s="1"/>
      <c r="F183" s="1"/>
      <c r="G183" s="176"/>
      <c r="H183" s="17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>
      <c r="A184" s="1"/>
      <c r="B184" s="339"/>
      <c r="C184" s="1"/>
      <c r="D184" s="1"/>
      <c r="E184" s="1"/>
      <c r="F184" s="1"/>
      <c r="G184" s="176"/>
      <c r="H184" s="17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>
      <c r="A185" s="1"/>
      <c r="B185" s="339"/>
      <c r="C185" s="1"/>
      <c r="D185" s="1"/>
      <c r="E185" s="1"/>
      <c r="F185" s="1"/>
      <c r="G185" s="176"/>
      <c r="H185" s="17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>
      <c r="A186" s="1"/>
      <c r="B186" s="339"/>
      <c r="C186" s="1"/>
      <c r="D186" s="1"/>
      <c r="E186" s="1"/>
      <c r="F186" s="1"/>
      <c r="G186" s="176"/>
      <c r="H186" s="17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>
      <c r="A187" s="1"/>
      <c r="B187" s="339"/>
      <c r="C187" s="1"/>
      <c r="D187" s="1"/>
      <c r="E187" s="1"/>
      <c r="F187" s="1"/>
      <c r="G187" s="176"/>
      <c r="H187" s="17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>
      <c r="A188" s="1"/>
      <c r="B188" s="339"/>
      <c r="C188" s="1"/>
      <c r="D188" s="1"/>
      <c r="E188" s="1"/>
      <c r="F188" s="1"/>
      <c r="G188" s="176"/>
      <c r="H188" s="17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>
      <c r="A189" s="1"/>
      <c r="B189" s="339"/>
      <c r="C189" s="1"/>
      <c r="D189" s="1"/>
      <c r="E189" s="1"/>
      <c r="F189" s="1"/>
      <c r="G189" s="176"/>
      <c r="H189" s="17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>
      <c r="A190" s="1"/>
      <c r="B190" s="339"/>
      <c r="C190" s="1"/>
      <c r="D190" s="1"/>
      <c r="E190" s="1"/>
      <c r="F190" s="1"/>
      <c r="G190" s="176"/>
      <c r="H190" s="17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>
      <c r="A191" s="1"/>
      <c r="B191" s="339"/>
      <c r="C191" s="1"/>
      <c r="D191" s="1"/>
      <c r="E191" s="1"/>
      <c r="F191" s="1"/>
      <c r="G191" s="176"/>
      <c r="H191" s="17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>
      <c r="A192" s="1"/>
      <c r="B192" s="339"/>
      <c r="C192" s="1"/>
      <c r="D192" s="1"/>
      <c r="E192" s="1"/>
      <c r="F192" s="1"/>
      <c r="G192" s="176"/>
      <c r="H192" s="17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>
      <c r="A193" s="1"/>
      <c r="B193" s="339"/>
      <c r="C193" s="1"/>
      <c r="D193" s="1"/>
      <c r="E193" s="1"/>
      <c r="F193" s="1"/>
      <c r="G193" s="176"/>
      <c r="H193" s="17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>
      <c r="A194" s="1"/>
      <c r="B194" s="339"/>
      <c r="C194" s="1"/>
      <c r="D194" s="1"/>
      <c r="E194" s="1"/>
      <c r="F194" s="1"/>
      <c r="G194" s="176"/>
      <c r="H194" s="17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>
      <c r="A195" s="1"/>
      <c r="B195" s="339"/>
      <c r="C195" s="1"/>
      <c r="D195" s="1"/>
      <c r="E195" s="1"/>
      <c r="F195" s="1"/>
      <c r="G195" s="176"/>
      <c r="H195" s="17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>
      <c r="A196" s="1"/>
      <c r="B196" s="339"/>
      <c r="C196" s="1"/>
      <c r="D196" s="1"/>
      <c r="E196" s="1"/>
      <c r="F196" s="1"/>
      <c r="G196" s="176"/>
      <c r="H196" s="17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>
      <c r="A197" s="1"/>
      <c r="B197" s="339"/>
      <c r="C197" s="1"/>
      <c r="D197" s="1"/>
      <c r="E197" s="1"/>
      <c r="F197" s="1"/>
      <c r="G197" s="176"/>
      <c r="H197" s="17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>
      <c r="A198" s="1"/>
      <c r="B198" s="339"/>
      <c r="C198" s="1"/>
      <c r="D198" s="1"/>
      <c r="E198" s="1"/>
      <c r="F198" s="1"/>
      <c r="G198" s="176"/>
      <c r="H198" s="17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>
      <c r="A199" s="1"/>
      <c r="B199" s="339"/>
      <c r="C199" s="1"/>
      <c r="D199" s="1"/>
      <c r="E199" s="1"/>
      <c r="F199" s="1"/>
      <c r="G199" s="176"/>
      <c r="H199" s="17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>
      <c r="A200" s="1"/>
      <c r="B200" s="339"/>
      <c r="C200" s="1"/>
      <c r="D200" s="1"/>
      <c r="E200" s="1"/>
      <c r="F200" s="1"/>
      <c r="G200" s="176"/>
      <c r="H200" s="17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>
      <c r="A201" s="1"/>
      <c r="B201" s="339"/>
      <c r="C201" s="1"/>
      <c r="D201" s="1"/>
      <c r="E201" s="1"/>
      <c r="F201" s="1"/>
      <c r="G201" s="176"/>
      <c r="H201" s="17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>
      <c r="A202" s="1"/>
      <c r="B202" s="339"/>
      <c r="C202" s="1"/>
      <c r="D202" s="1"/>
      <c r="E202" s="1"/>
      <c r="F202" s="1"/>
      <c r="G202" s="176"/>
      <c r="H202" s="17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>
      <c r="A203" s="1"/>
      <c r="B203" s="339"/>
      <c r="C203" s="1"/>
      <c r="D203" s="1"/>
      <c r="E203" s="1"/>
      <c r="F203" s="1"/>
      <c r="G203" s="176"/>
      <c r="H203" s="17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>
      <c r="A204" s="1"/>
      <c r="B204" s="339"/>
      <c r="C204" s="1"/>
      <c r="D204" s="1"/>
      <c r="E204" s="1"/>
      <c r="F204" s="1"/>
      <c r="G204" s="176"/>
      <c r="H204" s="17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>
      <c r="A205" s="1"/>
      <c r="B205" s="339"/>
      <c r="C205" s="1"/>
      <c r="D205" s="1"/>
      <c r="E205" s="1"/>
      <c r="F205" s="1"/>
      <c r="G205" s="176"/>
      <c r="H205" s="17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>
      <c r="A206" s="1"/>
      <c r="B206" s="339"/>
      <c r="C206" s="1"/>
      <c r="D206" s="1"/>
      <c r="E206" s="1"/>
      <c r="F206" s="1"/>
      <c r="G206" s="176"/>
      <c r="H206" s="17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>
      <c r="A207" s="1"/>
      <c r="B207" s="339"/>
      <c r="C207" s="1"/>
      <c r="D207" s="1"/>
      <c r="E207" s="1"/>
      <c r="F207" s="1"/>
      <c r="G207" s="176"/>
      <c r="H207" s="17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>
      <c r="A208" s="1"/>
      <c r="B208" s="339"/>
      <c r="C208" s="1"/>
      <c r="D208" s="1"/>
      <c r="E208" s="1"/>
      <c r="F208" s="1"/>
      <c r="G208" s="176"/>
      <c r="H208" s="17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>
      <c r="A209" s="1"/>
      <c r="B209" s="339"/>
      <c r="C209" s="1"/>
      <c r="D209" s="1"/>
      <c r="E209" s="1"/>
      <c r="F209" s="1"/>
      <c r="G209" s="176"/>
      <c r="H209" s="17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>
      <c r="A210" s="1"/>
      <c r="B210" s="339"/>
      <c r="C210" s="1"/>
      <c r="D210" s="1"/>
      <c r="E210" s="1"/>
      <c r="F210" s="1"/>
      <c r="G210" s="176"/>
      <c r="H210" s="17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>
      <c r="A211" s="1"/>
      <c r="B211" s="339"/>
      <c r="C211" s="1"/>
      <c r="D211" s="1"/>
      <c r="E211" s="1"/>
      <c r="F211" s="1"/>
      <c r="G211" s="176"/>
      <c r="H211" s="17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>
      <c r="A212" s="1"/>
      <c r="B212" s="339"/>
      <c r="C212" s="1"/>
      <c r="D212" s="1"/>
      <c r="E212" s="1"/>
      <c r="F212" s="1"/>
      <c r="G212" s="176"/>
      <c r="H212" s="17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>
      <c r="A213" s="1"/>
      <c r="B213" s="339"/>
      <c r="C213" s="1"/>
      <c r="D213" s="1"/>
      <c r="E213" s="1"/>
      <c r="F213" s="1"/>
      <c r="G213" s="176"/>
      <c r="H213" s="17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>
      <c r="A214" s="1"/>
      <c r="B214" s="339"/>
      <c r="C214" s="1"/>
      <c r="D214" s="1"/>
      <c r="E214" s="1"/>
      <c r="F214" s="1"/>
      <c r="G214" s="176"/>
      <c r="H214" s="17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>
      <c r="A215" s="1"/>
      <c r="B215" s="339"/>
      <c r="C215" s="1"/>
      <c r="D215" s="1"/>
      <c r="E215" s="1"/>
      <c r="F215" s="1"/>
      <c r="G215" s="176"/>
      <c r="H215" s="17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.5" customHeight="1">
      <c r="A216" s="1"/>
      <c r="B216" s="339"/>
      <c r="C216" s="1"/>
      <c r="D216" s="1"/>
      <c r="E216" s="1"/>
      <c r="F216" s="1"/>
      <c r="G216" s="176"/>
      <c r="H216" s="17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.5" customHeight="1">
      <c r="A217" s="1"/>
      <c r="B217" s="339"/>
      <c r="C217" s="1"/>
      <c r="D217" s="1"/>
      <c r="E217" s="1"/>
      <c r="F217" s="1"/>
      <c r="G217" s="176"/>
      <c r="H217" s="17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.5" customHeight="1">
      <c r="A218" s="1"/>
      <c r="B218" s="339"/>
      <c r="C218" s="1"/>
      <c r="D218" s="1"/>
      <c r="E218" s="1"/>
      <c r="F218" s="1"/>
      <c r="G218" s="176"/>
      <c r="H218" s="17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.5" customHeight="1">
      <c r="A219" s="1"/>
      <c r="B219" s="339"/>
      <c r="C219" s="1"/>
      <c r="D219" s="1"/>
      <c r="E219" s="1"/>
      <c r="F219" s="1"/>
      <c r="G219" s="176"/>
      <c r="H219" s="17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.5" customHeight="1">
      <c r="A220" s="1"/>
      <c r="B220" s="339"/>
      <c r="C220" s="1"/>
      <c r="D220" s="1"/>
      <c r="E220" s="1"/>
      <c r="F220" s="1"/>
      <c r="G220" s="176"/>
      <c r="H220" s="17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.5" customHeight="1">
      <c r="A221" s="1"/>
      <c r="B221" s="339"/>
      <c r="C221" s="1"/>
      <c r="D221" s="1"/>
      <c r="E221" s="1"/>
      <c r="F221" s="1"/>
      <c r="G221" s="176"/>
      <c r="H221" s="17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.5" customHeight="1">
      <c r="A222" s="1"/>
      <c r="B222" s="339"/>
      <c r="C222" s="1"/>
      <c r="D222" s="1"/>
      <c r="E222" s="1"/>
      <c r="F222" s="1"/>
      <c r="G222" s="176"/>
      <c r="H222" s="17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.5" customHeight="1">
      <c r="A223" s="1"/>
      <c r="B223" s="339"/>
      <c r="C223" s="1"/>
      <c r="D223" s="1"/>
      <c r="E223" s="1"/>
      <c r="F223" s="1"/>
      <c r="G223" s="176"/>
      <c r="H223" s="17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.5" customHeight="1">
      <c r="A224" s="1"/>
      <c r="B224" s="339"/>
      <c r="C224" s="1"/>
      <c r="D224" s="1"/>
      <c r="E224" s="1"/>
      <c r="F224" s="1"/>
      <c r="G224" s="176"/>
      <c r="H224" s="17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 customHeight="1">
      <c r="A225" s="1"/>
      <c r="B225" s="339"/>
      <c r="C225" s="1"/>
      <c r="D225" s="1"/>
      <c r="E225" s="1"/>
      <c r="F225" s="1"/>
      <c r="G225" s="176"/>
      <c r="H225" s="17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 customHeight="1">
      <c r="A226" s="1"/>
      <c r="B226" s="339"/>
      <c r="C226" s="1"/>
      <c r="D226" s="1"/>
      <c r="E226" s="1"/>
      <c r="F226" s="1"/>
      <c r="G226" s="176"/>
      <c r="H226" s="17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 customHeight="1">
      <c r="A227" s="1"/>
      <c r="B227" s="339"/>
      <c r="C227" s="1"/>
      <c r="D227" s="1"/>
      <c r="E227" s="1"/>
      <c r="F227" s="1"/>
      <c r="G227" s="176"/>
      <c r="H227" s="17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339"/>
      <c r="C228" s="1"/>
      <c r="D228" s="1"/>
      <c r="E228" s="1"/>
      <c r="F228" s="1"/>
      <c r="G228" s="176"/>
      <c r="H228" s="17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339"/>
      <c r="C229" s="1"/>
      <c r="D229" s="1"/>
      <c r="E229" s="1"/>
      <c r="F229" s="1"/>
      <c r="G229" s="176"/>
      <c r="H229" s="17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339"/>
      <c r="C230" s="1"/>
      <c r="D230" s="1"/>
      <c r="E230" s="1"/>
      <c r="F230" s="1"/>
      <c r="G230" s="176"/>
      <c r="H230" s="17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339"/>
      <c r="C231" s="1"/>
      <c r="D231" s="1"/>
      <c r="E231" s="1"/>
      <c r="F231" s="1"/>
      <c r="G231" s="176"/>
      <c r="H231" s="17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339"/>
      <c r="C232" s="1"/>
      <c r="D232" s="1"/>
      <c r="E232" s="1"/>
      <c r="F232" s="1"/>
      <c r="G232" s="176"/>
      <c r="H232" s="17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33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33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33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339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339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339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339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N240" s="73"/>
    </row>
    <row r="241" spans="1:14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N241" s="73"/>
    </row>
    <row r="242" spans="1:14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N242" s="73"/>
    </row>
    <row r="243" spans="1:14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N243" s="73"/>
    </row>
    <row r="244" spans="1:1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N244" s="73"/>
    </row>
    <row r="245" spans="1:14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N245" s="73"/>
    </row>
    <row r="246" spans="1:14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N246" s="73"/>
    </row>
    <row r="247" spans="1:14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N247" s="73"/>
    </row>
    <row r="248" spans="1:14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N248" s="73"/>
    </row>
    <row r="249" spans="1:14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N249" s="73"/>
    </row>
    <row r="250" spans="1:14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N250" s="73"/>
    </row>
    <row r="251" spans="1:14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N251" s="73"/>
    </row>
    <row r="252" spans="1:14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N252" s="73"/>
    </row>
    <row r="253" spans="1:14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N253" s="73"/>
    </row>
    <row r="254" spans="1:1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N254" s="73"/>
    </row>
    <row r="255" spans="1:14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N255" s="73"/>
    </row>
    <row r="256" spans="1:14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N256" s="73"/>
    </row>
    <row r="257" spans="1:14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N257" s="73"/>
    </row>
    <row r="258" spans="1:14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N258" s="73"/>
    </row>
    <row r="259" spans="1:14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N259" s="73"/>
    </row>
    <row r="260" spans="1:14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N260" s="73"/>
    </row>
    <row r="261" spans="1:14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N261" s="73"/>
    </row>
    <row r="262" spans="1:14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N262" s="73"/>
    </row>
    <row r="263" spans="1:14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N263" s="73"/>
    </row>
    <row r="264" spans="1:1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N264" s="73"/>
    </row>
    <row r="265" spans="1:14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N265" s="73"/>
    </row>
    <row r="266" spans="1:14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N266" s="73"/>
    </row>
    <row r="267" spans="1:14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N267" s="73"/>
    </row>
    <row r="268" spans="1:14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N268" s="73"/>
    </row>
    <row r="269" spans="1:14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N269" s="73"/>
    </row>
    <row r="270" spans="1:14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N270" s="73"/>
    </row>
    <row r="271" spans="1:14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N271" s="73"/>
    </row>
    <row r="272" spans="1:14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N272" s="73"/>
    </row>
    <row r="273" spans="1:14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N273" s="73"/>
    </row>
    <row r="274" spans="1:1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N274" s="73"/>
    </row>
    <row r="275" spans="1:14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N275" s="73"/>
    </row>
    <row r="276" spans="1:14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N276" s="73"/>
    </row>
    <row r="277" spans="1:14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N277" s="73"/>
    </row>
    <row r="278" spans="1:14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N278" s="73"/>
    </row>
    <row r="279" spans="1:14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N279" s="73"/>
    </row>
    <row r="280" spans="1:14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N280" s="73"/>
    </row>
    <row r="281" spans="1:14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N281" s="73"/>
    </row>
    <row r="282" spans="1:14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N282" s="73"/>
    </row>
    <row r="283" spans="1:14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N283" s="73"/>
    </row>
    <row r="284" spans="1:1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N284" s="73"/>
    </row>
    <row r="285" spans="1:14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N285" s="73"/>
    </row>
    <row r="286" spans="1:14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N286" s="73"/>
    </row>
    <row r="287" spans="1:14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N287" s="73"/>
    </row>
    <row r="288" spans="1:14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N288" s="73"/>
    </row>
    <row r="289" spans="1:14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N289" s="73"/>
    </row>
    <row r="290" spans="1:14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N290" s="73"/>
    </row>
    <row r="291" spans="1:14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N291" s="73"/>
    </row>
    <row r="292" spans="1:14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N292" s="73"/>
    </row>
    <row r="293" spans="1:14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N293" s="73"/>
    </row>
    <row r="294" spans="1:1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N294" s="73"/>
    </row>
    <row r="295" spans="1:14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N295" s="73"/>
    </row>
    <row r="296" spans="1:14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N296" s="73"/>
    </row>
    <row r="297" spans="1:14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N297" s="73"/>
    </row>
    <row r="298" spans="1:14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N298" s="73"/>
    </row>
    <row r="299" spans="1:14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N299" s="73"/>
    </row>
    <row r="300" spans="1:14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N300" s="73"/>
    </row>
    <row r="301" spans="1:14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N301" s="73"/>
    </row>
    <row r="302" spans="1:14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N302" s="73"/>
    </row>
    <row r="303" spans="1:14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N303" s="73"/>
    </row>
    <row r="304" spans="1:1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N304" s="73"/>
    </row>
    <row r="305" spans="1:14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N305" s="73"/>
    </row>
    <row r="306" spans="1:14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N306" s="73"/>
    </row>
    <row r="307" spans="1:14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N307" s="73"/>
    </row>
    <row r="308" spans="1:14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N308" s="73"/>
    </row>
    <row r="309" spans="1:14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N309" s="73"/>
    </row>
    <row r="310" spans="1:14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N310" s="73"/>
    </row>
    <row r="311" spans="1:14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N311" s="73"/>
    </row>
    <row r="312" spans="1:14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N312" s="73"/>
    </row>
    <row r="313" spans="1:14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N313" s="73"/>
    </row>
    <row r="314" spans="1: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N314" s="73"/>
    </row>
    <row r="315" spans="1:14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N315" s="73"/>
    </row>
    <row r="316" spans="1:14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N316" s="73"/>
    </row>
    <row r="317" spans="1:14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N317" s="73"/>
    </row>
    <row r="318" spans="1:14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N318" s="73"/>
    </row>
    <row r="319" spans="1:14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N319" s="73"/>
    </row>
    <row r="320" spans="1:14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N320" s="73"/>
    </row>
    <row r="321" spans="1:14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N321" s="73"/>
    </row>
    <row r="322" spans="1:14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N322" s="73"/>
    </row>
    <row r="323" spans="1:14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N323" s="73"/>
    </row>
    <row r="324" spans="1:1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N324" s="73"/>
    </row>
    <row r="325" spans="1:14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N325" s="73"/>
    </row>
    <row r="326" spans="1:14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N326" s="73"/>
    </row>
    <row r="327" spans="1:14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N327" s="73"/>
    </row>
    <row r="328" spans="1:14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N328" s="73"/>
    </row>
    <row r="329" spans="1:14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N329" s="73"/>
    </row>
    <row r="330" spans="1:14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N330" s="73"/>
    </row>
    <row r="331" spans="1:14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N331" s="73"/>
    </row>
    <row r="332" spans="1:14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N332" s="73"/>
    </row>
    <row r="333" spans="1:14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N333" s="73"/>
    </row>
    <row r="334" spans="1:1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N334" s="73"/>
    </row>
    <row r="335" spans="1:14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N335" s="73"/>
    </row>
    <row r="336" spans="1:14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N336" s="73"/>
    </row>
    <row r="337" spans="1:14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N337" s="73"/>
    </row>
    <row r="338" spans="1:14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N338" s="73"/>
    </row>
    <row r="339" spans="1:14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N339" s="73"/>
    </row>
    <row r="340" spans="1:14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N340" s="73"/>
    </row>
    <row r="341" spans="1:14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N341" s="73"/>
    </row>
    <row r="342" spans="1:14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N342" s="73"/>
    </row>
    <row r="343" spans="1:14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N343" s="73"/>
    </row>
    <row r="344" spans="1:1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N344" s="73"/>
    </row>
    <row r="345" spans="1:14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N345" s="73"/>
    </row>
    <row r="346" spans="1:14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N346" s="73"/>
    </row>
    <row r="347" spans="1:14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N347" s="73"/>
    </row>
    <row r="348" spans="1:14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N348" s="73"/>
    </row>
    <row r="349" spans="1:14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N349" s="73"/>
    </row>
    <row r="350" spans="1:14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N350" s="73"/>
    </row>
    <row r="351" spans="1:14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N351" s="73"/>
    </row>
    <row r="352" spans="1:14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N352" s="73"/>
    </row>
    <row r="353" spans="1:14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N353" s="73"/>
    </row>
    <row r="354" spans="1:1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N354" s="73"/>
    </row>
    <row r="355" spans="1:14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N355" s="73"/>
    </row>
    <row r="356" spans="1:14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N356" s="73"/>
    </row>
    <row r="357" spans="1:14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N357" s="73"/>
    </row>
    <row r="358" spans="1:14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N358" s="73"/>
    </row>
    <row r="359" spans="1:14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N359" s="73"/>
    </row>
    <row r="360" spans="1:14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N360" s="73"/>
    </row>
    <row r="361" spans="1:14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N361" s="73"/>
    </row>
    <row r="362" spans="1:14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N362" s="73"/>
    </row>
    <row r="363" spans="1:14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N363" s="73"/>
    </row>
    <row r="364" spans="1:1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N364" s="73"/>
    </row>
    <row r="365" spans="1:14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N365" s="73"/>
    </row>
    <row r="366" spans="1:14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N366" s="73"/>
    </row>
    <row r="367" spans="1:14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N367" s="73"/>
    </row>
    <row r="368" spans="1:14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N368" s="73"/>
    </row>
    <row r="369" spans="1:14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N369" s="73"/>
    </row>
    <row r="370" spans="1:14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N370" s="73"/>
    </row>
    <row r="371" spans="1:14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N371" s="73"/>
    </row>
    <row r="372" spans="1:14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N372" s="73"/>
    </row>
    <row r="373" spans="1:14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N373" s="73"/>
    </row>
    <row r="374" spans="1:1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N374" s="73"/>
    </row>
    <row r="375" spans="1:14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N375" s="73"/>
    </row>
    <row r="376" spans="1:14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N376" s="73"/>
    </row>
    <row r="377" spans="1:14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N377" s="73"/>
    </row>
    <row r="378" spans="1:14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N378" s="73"/>
    </row>
    <row r="379" spans="1:14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N379" s="73"/>
    </row>
    <row r="380" spans="1:14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N380" s="73"/>
    </row>
    <row r="381" spans="1:14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N381" s="73"/>
    </row>
    <row r="382" spans="1:14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N382" s="73"/>
    </row>
    <row r="383" spans="1:14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N383" s="73"/>
    </row>
    <row r="384" spans="1:1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N384" s="73"/>
    </row>
    <row r="385" spans="1:14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N385" s="73"/>
    </row>
    <row r="386" spans="1:14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N386" s="73"/>
    </row>
    <row r="387" spans="1:14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N387" s="73"/>
    </row>
    <row r="388" spans="1:14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N388" s="73"/>
    </row>
    <row r="389" spans="1:14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N389" s="73"/>
    </row>
    <row r="390" spans="1:14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N390" s="73"/>
    </row>
    <row r="391" spans="1:14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N391" s="73"/>
    </row>
    <row r="392" spans="1:14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N392" s="73"/>
    </row>
    <row r="393" spans="1:14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N393" s="73"/>
    </row>
    <row r="394" spans="1:1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N394" s="73"/>
    </row>
    <row r="395" spans="1:14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N395" s="73"/>
    </row>
    <row r="396" spans="1:14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N396" s="73"/>
    </row>
    <row r="397" spans="1:14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N397" s="73"/>
    </row>
    <row r="398" spans="1:14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N398" s="73"/>
    </row>
    <row r="399" spans="1:14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N399" s="73"/>
    </row>
    <row r="400" spans="1:14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N400" s="73"/>
    </row>
    <row r="401" spans="1:14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N401" s="73"/>
    </row>
    <row r="402" spans="1:14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N402" s="73"/>
    </row>
    <row r="403" spans="1:14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N403" s="73"/>
    </row>
    <row r="404" spans="1:1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N404" s="73"/>
    </row>
    <row r="405" spans="1:14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N405" s="73"/>
    </row>
    <row r="406" spans="1:14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N406" s="73"/>
    </row>
    <row r="407" spans="1:14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N407" s="73"/>
    </row>
    <row r="408" spans="1:14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N408" s="73"/>
    </row>
    <row r="409" spans="1:14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N409" s="73"/>
    </row>
    <row r="410" spans="1:14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N410" s="73"/>
    </row>
    <row r="411" spans="1:14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N411" s="73"/>
    </row>
    <row r="412" spans="1:14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N412" s="73"/>
    </row>
    <row r="413" spans="1:14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N413" s="73"/>
    </row>
    <row r="414" spans="1: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N414" s="73"/>
    </row>
    <row r="415" spans="1:14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N415" s="73"/>
    </row>
    <row r="416" spans="1:14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N416" s="73"/>
    </row>
    <row r="417" spans="1:14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N417" s="73"/>
    </row>
    <row r="418" spans="1:14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N418" s="73"/>
    </row>
    <row r="419" spans="1:14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N419" s="73"/>
    </row>
    <row r="420" spans="1:14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N420" s="73"/>
    </row>
    <row r="421" spans="1:14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N421" s="73"/>
    </row>
    <row r="422" spans="1:14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N422" s="73"/>
    </row>
    <row r="423" spans="1:14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N423" s="73"/>
    </row>
    <row r="424" spans="1:1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N424" s="73"/>
    </row>
    <row r="425" spans="1:14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N425" s="73"/>
    </row>
    <row r="426" spans="1:14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N426" s="73"/>
    </row>
    <row r="427" spans="1:14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N427" s="73"/>
    </row>
    <row r="428" spans="1:14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N428" s="73"/>
    </row>
    <row r="429" spans="1:14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N429" s="73"/>
    </row>
    <row r="430" spans="1:14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N430" s="73"/>
    </row>
    <row r="431" spans="1:14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N431" s="73"/>
    </row>
    <row r="432" spans="1:14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N432" s="73"/>
    </row>
    <row r="433" spans="1:14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N433" s="73"/>
    </row>
    <row r="434" spans="1:1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N434" s="73"/>
    </row>
    <row r="435" spans="1:14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N435" s="73"/>
    </row>
    <row r="436" spans="1:14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N436" s="73"/>
    </row>
    <row r="437" spans="1:14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N437" s="73"/>
    </row>
    <row r="438" spans="1:14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N438" s="73"/>
    </row>
    <row r="439" spans="1:14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N439" s="73"/>
    </row>
    <row r="440" spans="1:14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N440" s="73"/>
    </row>
    <row r="441" spans="1:14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N441" s="73"/>
    </row>
    <row r="442" spans="1:14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N442" s="73"/>
    </row>
    <row r="443" spans="1:14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N443" s="73"/>
    </row>
    <row r="444" spans="1:1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N444" s="73"/>
    </row>
    <row r="445" spans="1:14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N445" s="73"/>
    </row>
    <row r="446" spans="1:14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N446" s="73"/>
    </row>
    <row r="447" spans="1:14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N447" s="73"/>
    </row>
    <row r="448" spans="1:14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N448" s="73"/>
    </row>
    <row r="449" spans="1:14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N449" s="73"/>
    </row>
    <row r="450" spans="1:14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N450" s="73"/>
    </row>
    <row r="451" spans="1:14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N451" s="73"/>
    </row>
    <row r="452" spans="1:14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N452" s="73"/>
    </row>
    <row r="453" spans="1:14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N453" s="73"/>
    </row>
    <row r="454" spans="1:1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N454" s="73"/>
    </row>
    <row r="455" spans="1:14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N455" s="73"/>
    </row>
    <row r="456" spans="1:14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N456" s="73"/>
    </row>
    <row r="457" spans="1:14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N457" s="73"/>
    </row>
    <row r="458" spans="1:14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N458" s="73"/>
    </row>
    <row r="459" spans="1:14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N459" s="73"/>
    </row>
    <row r="460" spans="1:14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N460" s="73"/>
    </row>
    <row r="461" spans="1:14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N461" s="73"/>
    </row>
    <row r="462" spans="1:14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N462" s="73"/>
    </row>
    <row r="463" spans="1:14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N463" s="73"/>
    </row>
    <row r="464" spans="1:1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N464" s="73"/>
    </row>
    <row r="465" spans="1:14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N465" s="73"/>
    </row>
    <row r="466" spans="1:14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N466" s="73"/>
    </row>
    <row r="467" spans="1:14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N467" s="73"/>
    </row>
    <row r="468" spans="1:14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N468" s="73"/>
    </row>
    <row r="469" spans="1:14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N469" s="73"/>
    </row>
    <row r="470" spans="1:14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N470" s="73"/>
    </row>
    <row r="471" spans="1:14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N471" s="73"/>
    </row>
    <row r="472" spans="1:14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N472" s="73"/>
    </row>
    <row r="473" spans="1:14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N473" s="73"/>
    </row>
    <row r="474" spans="1:1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N474" s="73"/>
    </row>
    <row r="475" spans="1:14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N475" s="73"/>
    </row>
    <row r="476" spans="1:14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N476" s="73"/>
    </row>
    <row r="477" spans="1:14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N477" s="73"/>
    </row>
    <row r="478" spans="1:14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N478" s="73"/>
    </row>
    <row r="479" spans="1:14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N479" s="73"/>
    </row>
    <row r="480" spans="1:14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N480" s="73"/>
    </row>
    <row r="481" spans="1:14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N481" s="73"/>
    </row>
    <row r="482" spans="1:14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N482" s="73"/>
    </row>
    <row r="483" spans="1:14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N483" s="73"/>
    </row>
    <row r="484" spans="1:1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N484" s="73"/>
    </row>
    <row r="485" spans="1:14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N485" s="73"/>
    </row>
    <row r="486" spans="1:14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N486" s="73"/>
    </row>
    <row r="487" spans="1:14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N487" s="73"/>
    </row>
    <row r="488" spans="1:14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N488" s="73"/>
    </row>
    <row r="489" spans="1:14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N489" s="73"/>
    </row>
    <row r="490" spans="1:14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N490" s="73"/>
    </row>
    <row r="491" spans="1:14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N491" s="73"/>
    </row>
    <row r="492" spans="1:14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N492" s="73"/>
    </row>
    <row r="493" spans="1:14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N493" s="73"/>
    </row>
    <row r="494" spans="1:1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N494" s="73"/>
    </row>
    <row r="495" spans="1:14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N495" s="73"/>
    </row>
    <row r="496" spans="1:14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N496" s="73"/>
    </row>
    <row r="497" spans="1:14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N497" s="73"/>
    </row>
    <row r="498" spans="1:14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N498" s="73"/>
    </row>
    <row r="499" spans="1:14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N499" s="73"/>
    </row>
    <row r="500" spans="1:14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N500" s="73"/>
    </row>
    <row r="501" spans="1:14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N501" s="73"/>
    </row>
    <row r="502" spans="1:14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N502" s="73"/>
    </row>
    <row r="503" spans="1:14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N503" s="73"/>
    </row>
    <row r="504" spans="1:1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N504" s="73"/>
    </row>
    <row r="505" spans="1:14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N505" s="73"/>
    </row>
    <row r="506" spans="1:14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N506" s="73"/>
    </row>
    <row r="507" spans="1:14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N507" s="73"/>
    </row>
    <row r="508" spans="1:14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N508" s="73"/>
    </row>
    <row r="509" spans="1:14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N509" s="73"/>
    </row>
    <row r="510" spans="1:14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N510" s="73"/>
    </row>
    <row r="511" spans="1:14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N511" s="73"/>
    </row>
    <row r="512" spans="1:14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N512" s="73"/>
    </row>
    <row r="513" spans="1:14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N513" s="73"/>
    </row>
    <row r="514" spans="1: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N514" s="73"/>
    </row>
    <row r="515" spans="1:14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N515" s="73"/>
    </row>
    <row r="516" spans="1:14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N516" s="73"/>
    </row>
    <row r="517" spans="1:14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N517" s="73"/>
    </row>
    <row r="518" spans="1:14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N518" s="73"/>
    </row>
    <row r="519" spans="1:14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N519" s="73"/>
    </row>
    <row r="520" spans="1:14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N520" s="73"/>
    </row>
    <row r="521" spans="1:14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N521" s="73"/>
    </row>
    <row r="522" spans="1:14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N522" s="73"/>
    </row>
    <row r="523" spans="1:14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N523" s="73"/>
    </row>
    <row r="524" spans="1:1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N524" s="73"/>
    </row>
    <row r="525" spans="1:14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N525" s="73"/>
    </row>
    <row r="526" spans="1:14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N526" s="73"/>
    </row>
    <row r="527" spans="1:14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N527" s="73"/>
    </row>
    <row r="528" spans="1:14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N528" s="73"/>
    </row>
    <row r="529" spans="1:14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N529" s="73"/>
    </row>
    <row r="530" spans="1:14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N530" s="73"/>
    </row>
    <row r="531" spans="1:14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N531" s="73"/>
    </row>
    <row r="532" spans="1:14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N532" s="73"/>
    </row>
    <row r="533" spans="1:14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N533" s="73"/>
    </row>
    <row r="534" spans="1:1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N534" s="73"/>
    </row>
    <row r="535" spans="1:14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N535" s="73"/>
    </row>
    <row r="536" spans="1:14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N536" s="73"/>
    </row>
    <row r="537" spans="1:14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N537" s="73"/>
    </row>
    <row r="538" spans="1:14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N538" s="73"/>
    </row>
    <row r="539" spans="1:14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N539" s="73"/>
    </row>
    <row r="540" spans="1:14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N540" s="73"/>
    </row>
    <row r="541" spans="1:14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N541" s="73"/>
    </row>
    <row r="542" spans="1:14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N542" s="73"/>
    </row>
    <row r="543" spans="1:14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N543" s="73"/>
    </row>
    <row r="544" spans="1:1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N544" s="73"/>
    </row>
    <row r="545" spans="1:14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N545" s="73"/>
    </row>
    <row r="546" spans="1:14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N546" s="73"/>
    </row>
    <row r="547" spans="1:14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N547" s="73"/>
    </row>
    <row r="548" spans="1:14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N548" s="73"/>
    </row>
    <row r="549" spans="1:14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N549" s="73"/>
    </row>
    <row r="550" spans="1:14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N550" s="73"/>
    </row>
    <row r="551" spans="1:14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N551" s="73"/>
    </row>
    <row r="552" spans="1:14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N552" s="73"/>
    </row>
    <row r="553" spans="1:14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N553" s="73"/>
    </row>
    <row r="554" spans="1:1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N554" s="73"/>
    </row>
    <row r="555" spans="1:14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N555" s="73"/>
    </row>
    <row r="556" spans="1:14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N556" s="73"/>
    </row>
    <row r="557" spans="1:14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N557" s="73"/>
    </row>
    <row r="558" spans="1:14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N558" s="73"/>
    </row>
    <row r="559" spans="1:14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N559" s="73"/>
    </row>
    <row r="560" spans="1:14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N560" s="73"/>
    </row>
    <row r="561" spans="1:14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N561" s="73"/>
    </row>
    <row r="562" spans="1:14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N562" s="73"/>
    </row>
    <row r="563" spans="1:14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N563" s="73"/>
    </row>
    <row r="564" spans="1:1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N564" s="73"/>
    </row>
    <row r="565" spans="1:14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N565" s="73"/>
    </row>
    <row r="566" spans="1:14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N566" s="73"/>
    </row>
    <row r="567" spans="1:14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N567" s="73"/>
    </row>
    <row r="568" spans="1:14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N568" s="73"/>
    </row>
    <row r="569" spans="1:14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N569" s="73"/>
    </row>
    <row r="570" spans="1:14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N570" s="73"/>
    </row>
    <row r="571" spans="1:14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N571" s="73"/>
    </row>
    <row r="572" spans="1:14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N572" s="73"/>
    </row>
    <row r="573" spans="1:14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N573" s="73"/>
    </row>
    <row r="574" spans="1:1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N574" s="73"/>
    </row>
    <row r="575" spans="1:14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N575" s="73"/>
    </row>
    <row r="576" spans="1:14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N576" s="73"/>
    </row>
    <row r="577" spans="1:14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N577" s="73"/>
    </row>
    <row r="578" spans="1:14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N578" s="73"/>
    </row>
    <row r="579" spans="1:14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N579" s="73"/>
    </row>
    <row r="580" spans="1:14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N580" s="73"/>
    </row>
    <row r="581" spans="1:14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N581" s="73"/>
    </row>
    <row r="582" spans="1:14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N582" s="73"/>
    </row>
    <row r="583" spans="1:14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N583" s="73"/>
    </row>
    <row r="584" spans="1:1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N584" s="73"/>
    </row>
    <row r="585" spans="1:14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N585" s="73"/>
    </row>
    <row r="586" spans="1:14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N586" s="73"/>
    </row>
    <row r="587" spans="1:14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N587" s="73"/>
    </row>
    <row r="588" spans="1:14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N588" s="73"/>
    </row>
    <row r="589" spans="1:14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N589" s="73"/>
    </row>
    <row r="590" spans="1:14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N590" s="73"/>
    </row>
    <row r="591" spans="1:14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N591" s="73"/>
    </row>
    <row r="592" spans="1:14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N592" s="73"/>
    </row>
    <row r="593" spans="1:14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N593" s="73"/>
    </row>
    <row r="594" spans="1:1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N594" s="73"/>
    </row>
    <row r="595" spans="1:14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N595" s="73"/>
    </row>
    <row r="596" spans="1:14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N596" s="73"/>
    </row>
    <row r="597" spans="1:14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N597" s="73"/>
    </row>
    <row r="598" spans="1:14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N598" s="73"/>
    </row>
    <row r="599" spans="1:14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N599" s="73"/>
    </row>
    <row r="600" spans="1:14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N600" s="73"/>
    </row>
    <row r="601" spans="1:14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N601" s="73"/>
    </row>
    <row r="602" spans="1:14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N602" s="73"/>
    </row>
    <row r="603" spans="1:14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N603" s="73"/>
    </row>
    <row r="604" spans="1:1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N604" s="73"/>
    </row>
    <row r="605" spans="1:14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N605" s="73"/>
    </row>
    <row r="606" spans="1:14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N606" s="73"/>
    </row>
    <row r="607" spans="1:14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N607" s="73"/>
    </row>
    <row r="608" spans="1:14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N608" s="73"/>
    </row>
    <row r="609" spans="1:14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N609" s="73"/>
    </row>
    <row r="610" spans="1:14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N610" s="73"/>
    </row>
    <row r="611" spans="1:14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N611" s="73"/>
    </row>
    <row r="612" spans="1:14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N612" s="73"/>
    </row>
    <row r="613" spans="1:14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N613" s="73"/>
    </row>
    <row r="614" spans="1: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N614" s="73"/>
    </row>
    <row r="615" spans="1:14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N615" s="73"/>
    </row>
    <row r="616" spans="1:14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N616" s="73"/>
    </row>
    <row r="617" spans="1:14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N617" s="73"/>
    </row>
    <row r="618" spans="1:14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N618" s="73"/>
    </row>
    <row r="619" spans="1:14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N619" s="73"/>
    </row>
    <row r="620" spans="1:14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N620" s="73"/>
    </row>
    <row r="621" spans="1:14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N621" s="73"/>
    </row>
    <row r="622" spans="1:14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N622" s="73"/>
    </row>
    <row r="623" spans="1:14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N623" s="73"/>
    </row>
    <row r="624" spans="1:1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N624" s="73"/>
    </row>
    <row r="625" spans="1:14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N625" s="73"/>
    </row>
    <row r="626" spans="1:14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N626" s="73"/>
    </row>
    <row r="627" spans="1:14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N627" s="73"/>
    </row>
    <row r="628" spans="1:14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N628" s="73"/>
    </row>
    <row r="629" spans="1:14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N629" s="73"/>
    </row>
    <row r="630" spans="1:14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N630" s="73"/>
    </row>
    <row r="631" spans="1:14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N631" s="73"/>
    </row>
    <row r="632" spans="1:14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N632" s="73"/>
    </row>
    <row r="633" spans="1:14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N633" s="73"/>
    </row>
    <row r="634" spans="1:1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N634" s="73"/>
    </row>
    <row r="635" spans="1:14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N635" s="73"/>
    </row>
    <row r="636" spans="1:14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N636" s="73"/>
    </row>
    <row r="637" spans="1:14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N637" s="73"/>
    </row>
    <row r="638" spans="1:14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N638" s="73"/>
    </row>
    <row r="639" spans="1:14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N639" s="73"/>
    </row>
    <row r="640" spans="1:14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N640" s="73"/>
    </row>
    <row r="641" spans="1:14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N641" s="73"/>
    </row>
    <row r="642" spans="1:14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N642" s="73"/>
    </row>
    <row r="643" spans="1:14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N643" s="73"/>
    </row>
    <row r="644" spans="1:1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N644" s="73"/>
    </row>
    <row r="645" spans="1:14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N645" s="73"/>
    </row>
    <row r="646" spans="1:14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N646" s="73"/>
    </row>
    <row r="647" spans="1:14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N647" s="73"/>
    </row>
    <row r="648" spans="1:14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N648" s="73"/>
    </row>
    <row r="649" spans="1:14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N649" s="73"/>
    </row>
    <row r="650" spans="1:14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N650" s="73"/>
    </row>
    <row r="651" spans="1:14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N651" s="73"/>
    </row>
    <row r="652" spans="1:14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N652" s="73"/>
    </row>
    <row r="653" spans="1:14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N653" s="73"/>
    </row>
    <row r="654" spans="1:1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N654" s="73"/>
    </row>
    <row r="655" spans="1:14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N655" s="73"/>
    </row>
    <row r="656" spans="1:14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N656" s="73"/>
    </row>
    <row r="657" spans="1:14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N657" s="73"/>
    </row>
    <row r="658" spans="1:14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N658" s="73"/>
    </row>
    <row r="659" spans="1:14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N659" s="73"/>
    </row>
    <row r="660" spans="1:14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N660" s="73"/>
    </row>
    <row r="661" spans="1:14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N661" s="73"/>
    </row>
    <row r="662" spans="1:14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N662" s="73"/>
    </row>
    <row r="663" spans="1:14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N663" s="73"/>
    </row>
    <row r="664" spans="1:1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N664" s="73"/>
    </row>
    <row r="665" spans="1:14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N665" s="73"/>
    </row>
    <row r="666" spans="1:14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N666" s="73"/>
    </row>
    <row r="667" spans="1:14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N667" s="73"/>
    </row>
    <row r="668" spans="1:14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N668" s="73"/>
    </row>
    <row r="669" spans="1:14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N669" s="73"/>
    </row>
    <row r="670" spans="1:14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N670" s="73"/>
    </row>
    <row r="671" spans="1:14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N671" s="73"/>
    </row>
    <row r="672" spans="1:14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N672" s="73"/>
    </row>
    <row r="673" spans="1:14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N673" s="73"/>
    </row>
    <row r="674" spans="1:1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N674" s="73"/>
    </row>
    <row r="675" spans="1:14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N675" s="73"/>
    </row>
    <row r="676" spans="1:14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N676" s="73"/>
    </row>
    <row r="677" spans="1:14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N677" s="73"/>
    </row>
    <row r="678" spans="1:14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N678" s="73"/>
    </row>
    <row r="679" spans="1:14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N679" s="73"/>
    </row>
    <row r="680" spans="1:14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N680" s="73"/>
    </row>
    <row r="681" spans="1:14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N681" s="73"/>
    </row>
    <row r="682" spans="1:14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N682" s="73"/>
    </row>
    <row r="683" spans="1:14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N683" s="73"/>
    </row>
    <row r="684" spans="1:1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N684" s="73"/>
    </row>
    <row r="685" spans="1:14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N685" s="73"/>
    </row>
    <row r="686" spans="1:14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N686" s="73"/>
    </row>
    <row r="687" spans="1:14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N687" s="73"/>
    </row>
    <row r="688" spans="1:14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N688" s="73"/>
    </row>
    <row r="689" spans="1:14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N689" s="73"/>
    </row>
    <row r="690" spans="1:14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N690" s="73"/>
    </row>
    <row r="691" spans="1:14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N691" s="73"/>
    </row>
    <row r="692" spans="1:14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N692" s="73"/>
    </row>
    <row r="693" spans="1:14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N693" s="73"/>
    </row>
    <row r="694" spans="1:1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N694" s="73"/>
    </row>
    <row r="695" spans="1:14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N695" s="73"/>
    </row>
    <row r="696" spans="1:14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N696" s="73"/>
    </row>
    <row r="697" spans="1:14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N697" s="73"/>
    </row>
    <row r="698" spans="1:14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N698" s="73"/>
    </row>
    <row r="699" spans="1:14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N699" s="73"/>
    </row>
    <row r="700" spans="1:14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N700" s="73"/>
    </row>
    <row r="701" spans="1:14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N701" s="73"/>
    </row>
    <row r="702" spans="1:14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N702" s="73"/>
    </row>
    <row r="703" spans="1:14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N703" s="73"/>
    </row>
    <row r="704" spans="1:1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N704" s="73"/>
    </row>
    <row r="705" spans="1:14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N705" s="73"/>
    </row>
    <row r="706" spans="1:14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N706" s="73"/>
    </row>
    <row r="707" spans="1:14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N707" s="73"/>
    </row>
    <row r="708" spans="1:14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N708" s="73"/>
    </row>
    <row r="709" spans="1:14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N709" s="73"/>
    </row>
    <row r="710" spans="1:14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N710" s="73"/>
    </row>
    <row r="711" spans="1:14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N711" s="73"/>
    </row>
    <row r="712" spans="1:14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N712" s="73"/>
    </row>
    <row r="713" spans="1:14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N713" s="73"/>
    </row>
    <row r="714" spans="1: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N714" s="73"/>
    </row>
    <row r="715" spans="1:14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N715" s="73"/>
    </row>
    <row r="716" spans="1:14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N716" s="73"/>
    </row>
    <row r="717" spans="1:14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N717" s="73"/>
    </row>
    <row r="718" spans="1:14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N718" s="73"/>
    </row>
    <row r="719" spans="1:14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N719" s="73"/>
    </row>
    <row r="720" spans="1:14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N720" s="73"/>
    </row>
    <row r="721" spans="1:14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N721" s="73"/>
    </row>
    <row r="722" spans="1:14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N722" s="73"/>
    </row>
    <row r="723" spans="1:14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N723" s="73"/>
    </row>
    <row r="724" spans="1:1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N724" s="73"/>
    </row>
    <row r="725" spans="1:14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N725" s="73"/>
    </row>
    <row r="726" spans="1:14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N726" s="73"/>
    </row>
    <row r="727" spans="1:14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N727" s="73"/>
    </row>
    <row r="728" spans="1:14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N728" s="73"/>
    </row>
    <row r="729" spans="1:14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N729" s="73"/>
    </row>
    <row r="730" spans="1:14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N730" s="73"/>
    </row>
    <row r="731" spans="1:14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N731" s="73"/>
    </row>
    <row r="732" spans="1:14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N732" s="73"/>
    </row>
    <row r="733" spans="1:14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N733" s="73"/>
    </row>
    <row r="734" spans="1:1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N734" s="73"/>
    </row>
    <row r="735" spans="1:14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N735" s="73"/>
    </row>
    <row r="736" spans="1:14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N736" s="73"/>
    </row>
    <row r="737" spans="1:14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N737" s="73"/>
    </row>
    <row r="738" spans="1:14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N738" s="73"/>
    </row>
    <row r="739" spans="1:14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N739" s="73"/>
    </row>
    <row r="740" spans="1:14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N740" s="73"/>
    </row>
    <row r="741" spans="1:14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N741" s="73"/>
    </row>
    <row r="742" spans="1:14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N742" s="73"/>
    </row>
    <row r="743" spans="1:14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N743" s="73"/>
    </row>
    <row r="744" spans="1:1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N744" s="73"/>
    </row>
    <row r="745" spans="1:14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N745" s="73"/>
    </row>
    <row r="746" spans="1:14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N746" s="73"/>
    </row>
    <row r="747" spans="1:14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N747" s="73"/>
    </row>
    <row r="748" spans="1:14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N748" s="73"/>
    </row>
    <row r="749" spans="1:14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N749" s="73"/>
    </row>
    <row r="750" spans="1:14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N750" s="73"/>
    </row>
    <row r="751" spans="1:14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N751" s="73"/>
    </row>
    <row r="752" spans="1:14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N752" s="73"/>
    </row>
    <row r="753" spans="1:14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N753" s="73"/>
    </row>
    <row r="754" spans="1:1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N754" s="73"/>
    </row>
    <row r="755" spans="1:14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N755" s="73"/>
    </row>
    <row r="756" spans="1:14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N756" s="73"/>
    </row>
    <row r="757" spans="1:14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N757" s="73"/>
    </row>
    <row r="758" spans="1:14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N758" s="73"/>
    </row>
    <row r="759" spans="1:14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N759" s="73"/>
    </row>
    <row r="760" spans="1:14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N760" s="73"/>
    </row>
    <row r="761" spans="1:14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N761" s="73"/>
    </row>
    <row r="762" spans="1:14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N762" s="73"/>
    </row>
    <row r="763" spans="1:14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N763" s="73"/>
    </row>
    <row r="764" spans="1:1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N764" s="73"/>
    </row>
    <row r="765" spans="1:14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N765" s="73"/>
    </row>
    <row r="766" spans="1:14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N766" s="73"/>
    </row>
    <row r="767" spans="1:14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N767" s="73"/>
    </row>
    <row r="768" spans="1:14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N768" s="73"/>
    </row>
    <row r="769" spans="1:14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N769" s="73"/>
    </row>
    <row r="770" spans="1:14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N770" s="73"/>
    </row>
    <row r="771" spans="1:14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N771" s="73"/>
    </row>
    <row r="772" spans="1:14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N772" s="73"/>
    </row>
    <row r="773" spans="1:14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N773" s="73"/>
    </row>
    <row r="774" spans="1:1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N774" s="73"/>
    </row>
    <row r="775" spans="1:14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N775" s="73"/>
    </row>
    <row r="776" spans="1:14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N776" s="73"/>
    </row>
    <row r="777" spans="1:14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N777" s="73"/>
    </row>
    <row r="778" spans="1:14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N778" s="73"/>
    </row>
    <row r="779" spans="1:14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N779" s="73"/>
    </row>
    <row r="780" spans="1:14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N780" s="73"/>
    </row>
    <row r="781" spans="1:14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N781" s="73"/>
    </row>
    <row r="782" spans="1:14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N782" s="73"/>
    </row>
    <row r="783" spans="1:14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N783" s="73"/>
    </row>
    <row r="784" spans="1:1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N784" s="73"/>
    </row>
    <row r="785" spans="1:14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N785" s="73"/>
    </row>
    <row r="786" spans="1:14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N786" s="73"/>
    </row>
    <row r="787" spans="1:14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N787" s="73"/>
    </row>
    <row r="788" spans="1:14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N788" s="73"/>
    </row>
    <row r="789" spans="1:14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N789" s="73"/>
    </row>
    <row r="790" spans="1:14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N790" s="73"/>
    </row>
    <row r="791" spans="1:14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N791" s="73"/>
    </row>
    <row r="792" spans="1:14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N792" s="73"/>
    </row>
    <row r="793" spans="1:14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N793" s="73"/>
    </row>
    <row r="794" spans="1:1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N794" s="73"/>
    </row>
    <row r="795" spans="1:14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N795" s="73"/>
    </row>
    <row r="796" spans="1:14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N796" s="73"/>
    </row>
    <row r="797" spans="1:14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N797" s="73"/>
    </row>
    <row r="798" spans="1:14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N798" s="73"/>
    </row>
    <row r="799" spans="1:14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N799" s="73"/>
    </row>
    <row r="800" spans="1:14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N800" s="73"/>
    </row>
    <row r="801" spans="1:14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N801" s="73"/>
    </row>
    <row r="802" spans="1:14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N802" s="73"/>
    </row>
    <row r="803" spans="1:14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N803" s="73"/>
    </row>
    <row r="804" spans="1:1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N804" s="73"/>
    </row>
    <row r="805" spans="1:14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N805" s="73"/>
    </row>
    <row r="806" spans="1:14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N806" s="73"/>
    </row>
    <row r="807" spans="1:14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N807" s="73"/>
    </row>
    <row r="808" spans="1:14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N808" s="73"/>
    </row>
    <row r="809" spans="1:14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N809" s="73"/>
    </row>
    <row r="810" spans="1:14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N810" s="73"/>
    </row>
    <row r="811" spans="1:14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N811" s="73"/>
    </row>
    <row r="812" spans="1:14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N812" s="73"/>
    </row>
    <row r="813" spans="1:14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N813" s="73"/>
    </row>
    <row r="814" spans="1: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N814" s="73"/>
    </row>
    <row r="815" spans="1:14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N815" s="73"/>
    </row>
    <row r="816" spans="1:14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N816" s="73"/>
    </row>
    <row r="817" spans="1:14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N817" s="73"/>
    </row>
    <row r="818" spans="1:14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N818" s="73"/>
    </row>
    <row r="819" spans="1:14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N819" s="73"/>
    </row>
    <row r="820" spans="1:14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N820" s="73"/>
    </row>
    <row r="821" spans="1:14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N821" s="73"/>
    </row>
    <row r="822" spans="1:14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N822" s="73"/>
    </row>
    <row r="823" spans="1:14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N823" s="73"/>
    </row>
    <row r="824" spans="1:1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N824" s="73"/>
    </row>
    <row r="825" spans="1:14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N825" s="73"/>
    </row>
    <row r="826" spans="1:14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N826" s="73"/>
    </row>
    <row r="827" spans="1:14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N827" s="73"/>
    </row>
    <row r="828" spans="1:14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N828" s="73"/>
    </row>
    <row r="829" spans="1:14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N829" s="73"/>
    </row>
    <row r="830" spans="1:14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N830" s="73"/>
    </row>
    <row r="831" spans="1:14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N831" s="73"/>
    </row>
    <row r="832" spans="1:14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N832" s="73"/>
    </row>
    <row r="833" spans="1:14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N833" s="73"/>
    </row>
    <row r="834" spans="1:1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N834" s="73"/>
    </row>
    <row r="835" spans="1:14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N835" s="73"/>
    </row>
    <row r="836" spans="1:14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N836" s="73"/>
    </row>
    <row r="837" spans="1:14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N837" s="73"/>
    </row>
    <row r="838" spans="1:14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N838" s="73"/>
    </row>
    <row r="839" spans="1:14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N839" s="73"/>
    </row>
    <row r="840" spans="1:14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N840" s="73"/>
    </row>
    <row r="841" spans="1:14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N841" s="73"/>
    </row>
    <row r="842" spans="1:14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N842" s="73"/>
    </row>
    <row r="843" spans="1:14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N843" s="73"/>
    </row>
    <row r="844" spans="1:1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N844" s="73"/>
    </row>
    <row r="845" spans="1:14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N845" s="73"/>
    </row>
    <row r="846" spans="1:14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N846" s="73"/>
    </row>
    <row r="847" spans="1:14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N847" s="73"/>
    </row>
    <row r="848" spans="1:14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N848" s="73"/>
    </row>
    <row r="849" spans="1:14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N849" s="73"/>
    </row>
    <row r="850" spans="1:14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N850" s="73"/>
    </row>
    <row r="851" spans="1:14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N851" s="73"/>
    </row>
    <row r="852" spans="1:14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N852" s="73"/>
    </row>
    <row r="853" spans="1:14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N853" s="73"/>
    </row>
    <row r="854" spans="1:1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N854" s="73"/>
    </row>
    <row r="855" spans="1:14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N855" s="73"/>
    </row>
    <row r="856" spans="1:14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N856" s="73"/>
    </row>
    <row r="857" spans="1:14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N857" s="73"/>
    </row>
    <row r="858" spans="1:14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N858" s="73"/>
    </row>
    <row r="859" spans="1:14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N859" s="73"/>
    </row>
    <row r="860" spans="1:14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N860" s="73"/>
    </row>
    <row r="861" spans="1:14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N861" s="73"/>
    </row>
    <row r="862" spans="1:14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N862" s="73"/>
    </row>
    <row r="863" spans="1:14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N863" s="73"/>
    </row>
    <row r="864" spans="1:1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N864" s="73"/>
    </row>
    <row r="865" spans="1:14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N865" s="73"/>
    </row>
    <row r="866" spans="1:14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N866" s="73"/>
    </row>
    <row r="867" spans="1:14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N867" s="73"/>
    </row>
    <row r="868" spans="1:14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N868" s="73"/>
    </row>
    <row r="869" spans="1:14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N869" s="73"/>
    </row>
    <row r="870" spans="1:14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N870" s="73"/>
    </row>
    <row r="871" spans="1:14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N871" s="73"/>
    </row>
    <row r="872" spans="1:14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N872" s="73"/>
    </row>
    <row r="873" spans="1:14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N873" s="73"/>
    </row>
    <row r="874" spans="1:1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N874" s="73"/>
    </row>
    <row r="875" spans="1:14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N875" s="73"/>
    </row>
    <row r="876" spans="1:14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N876" s="73"/>
    </row>
    <row r="877" spans="1:14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N877" s="73"/>
    </row>
    <row r="878" spans="1:14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N878" s="73"/>
    </row>
    <row r="879" spans="1:14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N879" s="73"/>
    </row>
    <row r="880" spans="1:14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N880" s="73"/>
    </row>
    <row r="881" spans="1:14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N881" s="73"/>
    </row>
    <row r="882" spans="1:14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N882" s="73"/>
    </row>
    <row r="883" spans="1:14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N883" s="73"/>
    </row>
    <row r="884" spans="1:1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N884" s="73"/>
    </row>
    <row r="885" spans="1:14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N885" s="73"/>
    </row>
    <row r="886" spans="1:14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N886" s="73"/>
    </row>
    <row r="887" spans="1:14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N887" s="73"/>
    </row>
    <row r="888" spans="1:14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N888" s="73"/>
    </row>
    <row r="889" spans="1:14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N889" s="73"/>
    </row>
    <row r="890" spans="1:14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N890" s="73"/>
    </row>
    <row r="891" spans="1:14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N891" s="73"/>
    </row>
    <row r="892" spans="1:14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N892" s="73"/>
    </row>
    <row r="893" spans="1:14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N893" s="73"/>
    </row>
    <row r="894" spans="1:1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N894" s="73"/>
    </row>
    <row r="895" spans="1:14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N895" s="73"/>
    </row>
    <row r="896" spans="1:14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N896" s="73"/>
    </row>
    <row r="897" spans="1:14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N897" s="73"/>
    </row>
    <row r="898" spans="1:14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N898" s="73"/>
    </row>
    <row r="899" spans="1:14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N899" s="73"/>
    </row>
    <row r="900" spans="1:14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N900" s="73"/>
    </row>
    <row r="901" spans="1:14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N901" s="73"/>
    </row>
    <row r="902" spans="1:14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N902" s="73"/>
    </row>
    <row r="903" spans="1:14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N903" s="73"/>
    </row>
    <row r="904" spans="1:1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N904" s="73"/>
    </row>
    <row r="905" spans="1:14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N905" s="73"/>
    </row>
    <row r="906" spans="1:14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N906" s="73"/>
    </row>
    <row r="907" spans="1:14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N907" s="73"/>
    </row>
    <row r="908" spans="1:14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N908" s="73"/>
    </row>
    <row r="909" spans="1:14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N909" s="73"/>
    </row>
    <row r="910" spans="1:14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N910" s="73"/>
    </row>
    <row r="911" spans="1:14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N911" s="73"/>
    </row>
    <row r="912" spans="1:14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N912" s="73"/>
    </row>
    <row r="913" spans="1:14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N913" s="73"/>
    </row>
    <row r="914" spans="1: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N914" s="73"/>
    </row>
    <row r="915" spans="1:14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N915" s="73"/>
    </row>
    <row r="916" spans="1:14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N916" s="73"/>
    </row>
    <row r="917" spans="1:14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N917" s="73"/>
    </row>
    <row r="918" spans="1:14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N918" s="73"/>
    </row>
    <row r="919" spans="1:14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N919" s="73"/>
    </row>
    <row r="920" spans="1:14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N920" s="73"/>
    </row>
    <row r="921" spans="1:14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N921" s="73"/>
    </row>
    <row r="922" spans="1:14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N922" s="73"/>
    </row>
    <row r="923" spans="1:14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N923" s="73"/>
    </row>
    <row r="924" spans="1:1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N924" s="73"/>
    </row>
    <row r="925" spans="1:14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N925" s="73"/>
    </row>
    <row r="926" spans="1:14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N926" s="73"/>
    </row>
    <row r="927" spans="1:14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N927" s="73"/>
    </row>
    <row r="928" spans="1:14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N928" s="73"/>
    </row>
    <row r="929" spans="1:14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N929" s="73"/>
    </row>
    <row r="930" spans="1:14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N930" s="73"/>
    </row>
    <row r="931" spans="1:14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N931" s="73"/>
    </row>
    <row r="932" spans="1:14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N932" s="73"/>
    </row>
    <row r="933" spans="1:14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N933" s="73"/>
    </row>
    <row r="934" spans="1:1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N934" s="73"/>
    </row>
    <row r="935" spans="1:14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N935" s="73"/>
    </row>
    <row r="936" spans="1:14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N936" s="73"/>
    </row>
    <row r="937" spans="1:14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N937" s="73"/>
    </row>
    <row r="938" spans="1:14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N938" s="73"/>
    </row>
    <row r="939" spans="1:14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N939" s="73"/>
    </row>
    <row r="940" spans="1:14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N940" s="73"/>
    </row>
    <row r="941" spans="1:14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N941" s="73"/>
    </row>
    <row r="942" spans="1:14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N942" s="73"/>
    </row>
    <row r="943" spans="1:14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N943" s="73"/>
    </row>
    <row r="944" spans="1:1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N944" s="73"/>
    </row>
    <row r="945" spans="1:14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N945" s="73"/>
    </row>
    <row r="946" spans="1:14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N946" s="73"/>
    </row>
    <row r="947" spans="1:14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N947" s="73"/>
    </row>
    <row r="948" spans="1:14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N948" s="73"/>
    </row>
    <row r="949" spans="1:14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N949" s="73"/>
    </row>
    <row r="950" spans="1:14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N950" s="73"/>
    </row>
    <row r="951" spans="1:14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N951" s="73"/>
    </row>
    <row r="952" spans="1:14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N952" s="73"/>
    </row>
    <row r="953" spans="1:14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N953" s="73"/>
    </row>
    <row r="954" spans="1:1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N954" s="73"/>
    </row>
    <row r="955" spans="1:14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N955" s="73"/>
    </row>
    <row r="956" spans="1:14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N956" s="73"/>
    </row>
    <row r="957" spans="1:14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N957" s="73"/>
    </row>
    <row r="958" spans="1:14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N958" s="73"/>
    </row>
    <row r="959" spans="1:14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N959" s="73"/>
    </row>
    <row r="960" spans="1:14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N960" s="73"/>
    </row>
    <row r="961" spans="1:14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N961" s="73"/>
    </row>
    <row r="962" spans="1:14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N962" s="73"/>
    </row>
    <row r="963" spans="1:14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N963" s="73"/>
    </row>
    <row r="964" spans="1:1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N964" s="73"/>
    </row>
    <row r="965" spans="1:14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N965" s="73"/>
    </row>
    <row r="966" spans="1:14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N966" s="73"/>
    </row>
    <row r="967" spans="1:14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N967" s="73"/>
    </row>
    <row r="968" spans="1:14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N968" s="73"/>
    </row>
    <row r="969" spans="1:14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N969" s="73"/>
    </row>
    <row r="970" spans="1:14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N970" s="73"/>
    </row>
    <row r="971" spans="1:14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N971" s="73"/>
    </row>
    <row r="972" spans="1:14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N972" s="73"/>
    </row>
    <row r="973" spans="1:14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N973" s="73"/>
    </row>
    <row r="974" spans="1:1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N974" s="73"/>
    </row>
    <row r="975" spans="1:14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N975" s="73"/>
    </row>
    <row r="976" spans="1:14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N976" s="73"/>
    </row>
    <row r="977" spans="1:14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N977" s="73"/>
    </row>
    <row r="978" spans="1:14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N978" s="73"/>
    </row>
    <row r="979" spans="1:14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N979" s="73"/>
    </row>
    <row r="980" spans="1:14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N980" s="73"/>
    </row>
    <row r="981" spans="1:14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N981" s="73"/>
    </row>
    <row r="982" spans="1:14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N982" s="73"/>
    </row>
    <row r="983" spans="1:14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N983" s="73"/>
    </row>
    <row r="984" spans="1:1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N984" s="73"/>
    </row>
    <row r="985" spans="1:14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N985" s="73"/>
    </row>
    <row r="986" spans="1:14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N986" s="73"/>
    </row>
    <row r="987" spans="1:14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N987" s="73"/>
    </row>
    <row r="988" spans="1:14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N988" s="73"/>
    </row>
    <row r="989" spans="1:14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N989" s="73"/>
    </row>
    <row r="990" spans="1:14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N990" s="73"/>
    </row>
    <row r="991" spans="1:14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N991" s="73"/>
    </row>
    <row r="992" spans="1:14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N992" s="73"/>
    </row>
    <row r="993" spans="1:14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N993" s="73"/>
    </row>
    <row r="994" spans="1:1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N994" s="73"/>
    </row>
    <row r="995" spans="1:14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N995" s="73"/>
    </row>
    <row r="996" spans="1:14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N996" s="73"/>
    </row>
    <row r="997" spans="1:14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N997" s="73"/>
    </row>
    <row r="998" spans="1:14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N998" s="73"/>
    </row>
    <row r="999" spans="1:14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N999" s="73"/>
    </row>
    <row r="1000" spans="1:14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N1000" s="73"/>
    </row>
  </sheetData>
  <mergeCells count="25">
    <mergeCell ref="A34:A38"/>
    <mergeCell ref="B38:E38"/>
    <mergeCell ref="A39:J43"/>
    <mergeCell ref="A1:H2"/>
    <mergeCell ref="A3:B3"/>
    <mergeCell ref="C3:C4"/>
    <mergeCell ref="D3:D4"/>
    <mergeCell ref="E3:E4"/>
    <mergeCell ref="F3:F4"/>
    <mergeCell ref="A5:A8"/>
    <mergeCell ref="A9:A12"/>
    <mergeCell ref="A13:A18"/>
    <mergeCell ref="A19:A25"/>
    <mergeCell ref="A26:A30"/>
    <mergeCell ref="A31:A33"/>
    <mergeCell ref="H13:H18"/>
    <mergeCell ref="I26:J30"/>
    <mergeCell ref="I31:J33"/>
    <mergeCell ref="F34:F38"/>
    <mergeCell ref="I34:J38"/>
    <mergeCell ref="I3:J4"/>
    <mergeCell ref="K3:K4"/>
    <mergeCell ref="L3:L4"/>
    <mergeCell ref="H3:H4"/>
    <mergeCell ref="H5:H8"/>
  </mergeCells>
  <phoneticPr fontId="30" type="noConversion"/>
  <pageMargins left="0.25" right="0.25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workbookViewId="0"/>
  </sheetViews>
  <sheetFormatPr defaultColWidth="14.42578125" defaultRowHeight="15" customHeight="1"/>
  <cols>
    <col min="1" max="1" width="33.140625" customWidth="1"/>
    <col min="2" max="2" width="82.5703125" customWidth="1"/>
    <col min="3" max="3" width="11.85546875" customWidth="1"/>
    <col min="4" max="4" width="18.28515625" customWidth="1"/>
    <col min="5" max="5" width="12.85546875" hidden="1" customWidth="1"/>
    <col min="6" max="6" width="12.42578125" customWidth="1"/>
    <col min="7" max="7" width="21.140625" customWidth="1"/>
    <col min="8" max="9" width="8.85546875" customWidth="1"/>
    <col min="13" max="13" width="35.5703125" customWidth="1"/>
  </cols>
  <sheetData>
    <row r="1" spans="1:26" ht="16.5" customHeight="1">
      <c r="A1" s="625" t="s">
        <v>146</v>
      </c>
      <c r="B1" s="611"/>
      <c r="C1" s="611"/>
      <c r="D1" s="611"/>
      <c r="E1" s="611"/>
      <c r="F1" s="611"/>
      <c r="G1" s="6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610"/>
      <c r="B2" s="615"/>
      <c r="C2" s="615"/>
      <c r="D2" s="615"/>
      <c r="E2" s="615"/>
      <c r="F2" s="615"/>
      <c r="G2" s="6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699" t="s">
        <v>513</v>
      </c>
      <c r="B3" s="711"/>
      <c r="C3" s="678" t="s">
        <v>462</v>
      </c>
      <c r="D3" s="688" t="s">
        <v>585</v>
      </c>
      <c r="E3" s="678" t="s">
        <v>622</v>
      </c>
      <c r="F3" s="341" t="s">
        <v>544</v>
      </c>
      <c r="G3" s="679" t="s">
        <v>623</v>
      </c>
      <c r="H3" s="707" t="s">
        <v>7</v>
      </c>
      <c r="I3" s="612"/>
      <c r="J3" s="678" t="s">
        <v>514</v>
      </c>
      <c r="K3" s="688" t="s">
        <v>515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342" t="s">
        <v>8</v>
      </c>
      <c r="B4" s="41" t="s">
        <v>9</v>
      </c>
      <c r="C4" s="636"/>
      <c r="D4" s="601"/>
      <c r="E4" s="636"/>
      <c r="F4" s="213" t="s">
        <v>10</v>
      </c>
      <c r="G4" s="618"/>
      <c r="H4" s="610"/>
      <c r="I4" s="616"/>
      <c r="J4" s="606"/>
      <c r="K4" s="62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661" t="s">
        <v>624</v>
      </c>
      <c r="B5" s="445" t="s">
        <v>625</v>
      </c>
      <c r="C5" s="371">
        <f t="shared" ref="C5:C15" si="0">D5*2-1000</f>
        <v>97000</v>
      </c>
      <c r="D5" s="344">
        <v>49000</v>
      </c>
      <c r="E5" s="484">
        <f t="shared" ref="E5:E6" si="1">1-(D5/C5)</f>
        <v>0.49484536082474229</v>
      </c>
      <c r="F5" s="465"/>
      <c r="G5" s="7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654"/>
      <c r="B6" s="447" t="s">
        <v>626</v>
      </c>
      <c r="C6" s="372">
        <f t="shared" si="0"/>
        <v>257000</v>
      </c>
      <c r="D6" s="352">
        <v>129000</v>
      </c>
      <c r="E6" s="452">
        <f t="shared" si="1"/>
        <v>0.49805447470817121</v>
      </c>
      <c r="F6" s="486"/>
      <c r="G6" s="60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654"/>
      <c r="B7" s="447" t="s">
        <v>627</v>
      </c>
      <c r="C7" s="372">
        <f t="shared" si="0"/>
        <v>357000</v>
      </c>
      <c r="D7" s="352">
        <v>179000</v>
      </c>
      <c r="E7" s="452"/>
      <c r="F7" s="486"/>
      <c r="G7" s="60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618"/>
      <c r="B8" s="447" t="s">
        <v>628</v>
      </c>
      <c r="C8" s="372">
        <f t="shared" si="0"/>
        <v>497000</v>
      </c>
      <c r="D8" s="352">
        <v>249000</v>
      </c>
      <c r="E8" s="452">
        <f t="shared" ref="E8:E10" si="2">1-(D8/C8)</f>
        <v>0.49899396378269623</v>
      </c>
      <c r="F8" s="515"/>
      <c r="G8" s="60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661" t="s">
        <v>629</v>
      </c>
      <c r="B9" s="516" t="s">
        <v>630</v>
      </c>
      <c r="C9" s="344">
        <f t="shared" si="0"/>
        <v>217000</v>
      </c>
      <c r="D9" s="345">
        <v>109000</v>
      </c>
      <c r="E9" s="484">
        <f t="shared" si="2"/>
        <v>0.49769585253456217</v>
      </c>
      <c r="F9" s="494"/>
      <c r="G9" s="43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654"/>
      <c r="B10" s="517" t="s">
        <v>631</v>
      </c>
      <c r="C10" s="352">
        <f t="shared" si="0"/>
        <v>337000</v>
      </c>
      <c r="D10" s="353">
        <v>169000</v>
      </c>
      <c r="E10" s="452">
        <f t="shared" si="2"/>
        <v>0.49851632047477745</v>
      </c>
      <c r="F10" s="486"/>
      <c r="G10" s="44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654"/>
      <c r="B11" s="518" t="s">
        <v>632</v>
      </c>
      <c r="C11" s="352">
        <f t="shared" si="0"/>
        <v>397000</v>
      </c>
      <c r="D11" s="353">
        <v>199000</v>
      </c>
      <c r="E11" s="452">
        <f>1-(D15/C15)</f>
        <v>0.49930264993026496</v>
      </c>
      <c r="F11" s="469"/>
      <c r="G11" s="44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654"/>
      <c r="B12" s="519" t="s">
        <v>633</v>
      </c>
      <c r="C12" s="352">
        <f t="shared" si="0"/>
        <v>717000</v>
      </c>
      <c r="D12" s="353">
        <v>359000</v>
      </c>
      <c r="E12" s="452" t="e">
        <f>1-(N38/M38)</f>
        <v>#DIV/0!</v>
      </c>
      <c r="F12" s="486"/>
      <c r="G12" s="44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54"/>
      <c r="B13" s="517" t="s">
        <v>634</v>
      </c>
      <c r="C13" s="352">
        <f t="shared" si="0"/>
        <v>1097000</v>
      </c>
      <c r="D13" s="353">
        <v>549000</v>
      </c>
      <c r="E13" s="452"/>
      <c r="F13" s="486"/>
      <c r="G13" s="44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654"/>
      <c r="B14" s="520" t="s">
        <v>635</v>
      </c>
      <c r="C14" s="361">
        <f t="shared" si="0"/>
        <v>2179000</v>
      </c>
      <c r="D14" s="359">
        <v>1090000</v>
      </c>
      <c r="E14" s="452"/>
      <c r="F14" s="486"/>
      <c r="G14" s="44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654"/>
      <c r="B15" s="463" t="s">
        <v>636</v>
      </c>
      <c r="C15" s="345">
        <f t="shared" si="0"/>
        <v>717000</v>
      </c>
      <c r="D15" s="345">
        <v>359000</v>
      </c>
      <c r="E15" s="452"/>
      <c r="F15" s="486"/>
      <c r="G15" s="441"/>
      <c r="H15" s="1"/>
      <c r="I15" s="1"/>
      <c r="J15" s="1"/>
      <c r="K15" s="1"/>
      <c r="L15" s="1"/>
      <c r="M15" s="49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654"/>
      <c r="B16" s="521" t="s">
        <v>637</v>
      </c>
      <c r="C16" s="728"/>
      <c r="D16" s="522">
        <v>24000</v>
      </c>
      <c r="E16" s="452"/>
      <c r="F16" s="486"/>
      <c r="G16" s="441"/>
      <c r="H16" s="1"/>
      <c r="I16" s="1"/>
      <c r="J16" s="1"/>
      <c r="K16" s="1"/>
      <c r="L16" s="1"/>
      <c r="M16" s="49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654"/>
      <c r="B17" s="523" t="s">
        <v>638</v>
      </c>
      <c r="C17" s="729"/>
      <c r="D17" s="524">
        <v>40000</v>
      </c>
      <c r="E17" s="452"/>
      <c r="F17" s="486"/>
      <c r="G17" s="441"/>
      <c r="H17" s="1"/>
      <c r="I17" s="1"/>
      <c r="J17" s="1"/>
      <c r="K17" s="1"/>
      <c r="L17" s="1"/>
      <c r="M17" s="49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655"/>
      <c r="B18" s="523" t="s">
        <v>639</v>
      </c>
      <c r="C18" s="730"/>
      <c r="D18" s="524">
        <v>60000</v>
      </c>
      <c r="E18" s="525">
        <f>1-(D13/C13)</f>
        <v>0.49954421148587058</v>
      </c>
      <c r="F18" s="488"/>
      <c r="G18" s="444"/>
      <c r="H18" s="1"/>
      <c r="I18" s="1"/>
      <c r="J18" s="1"/>
      <c r="K18" s="1"/>
      <c r="L18" s="1"/>
      <c r="M18" s="49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61" t="s">
        <v>640</v>
      </c>
      <c r="B19" s="526" t="s">
        <v>641</v>
      </c>
      <c r="C19" s="346">
        <f t="shared" ref="C19:C41" si="3">D19*2-1000</f>
        <v>177000</v>
      </c>
      <c r="D19" s="344">
        <v>89000</v>
      </c>
      <c r="E19" s="484">
        <f t="shared" ref="E19:E21" si="4">1-(D19/C19)</f>
        <v>0.49717514124293782</v>
      </c>
      <c r="F19" s="527"/>
      <c r="G19" s="712"/>
      <c r="H19" s="1"/>
      <c r="I19" s="1"/>
      <c r="J19" s="1"/>
      <c r="K19" s="1"/>
      <c r="L19" s="1"/>
      <c r="M19" s="49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654"/>
      <c r="B20" s="528" t="s">
        <v>642</v>
      </c>
      <c r="C20" s="354">
        <f t="shared" si="3"/>
        <v>237000</v>
      </c>
      <c r="D20" s="352">
        <v>119000</v>
      </c>
      <c r="E20" s="452">
        <f t="shared" si="4"/>
        <v>0.49789029535864981</v>
      </c>
      <c r="F20" s="496"/>
      <c r="G20" s="60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54"/>
      <c r="B21" s="528" t="s">
        <v>643</v>
      </c>
      <c r="C21" s="354">
        <f t="shared" si="3"/>
        <v>317000</v>
      </c>
      <c r="D21" s="352">
        <v>159000</v>
      </c>
      <c r="E21" s="452">
        <f t="shared" si="4"/>
        <v>0.49842271293375395</v>
      </c>
      <c r="F21" s="486"/>
      <c r="G21" s="60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655"/>
      <c r="B22" s="520" t="s">
        <v>644</v>
      </c>
      <c r="C22" s="361">
        <f t="shared" si="3"/>
        <v>1137000</v>
      </c>
      <c r="D22" s="359">
        <v>569000</v>
      </c>
      <c r="E22" s="525"/>
      <c r="F22" s="488"/>
      <c r="G22" s="62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670" t="s">
        <v>435</v>
      </c>
      <c r="B23" s="529" t="s">
        <v>645</v>
      </c>
      <c r="C23" s="344">
        <f t="shared" si="3"/>
        <v>57000</v>
      </c>
      <c r="D23" s="530">
        <v>29000</v>
      </c>
      <c r="E23" s="531">
        <f t="shared" ref="E23:E29" si="5">1-(D23/C23)</f>
        <v>0.49122807017543857</v>
      </c>
      <c r="F23" s="499"/>
      <c r="G23" s="43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605"/>
      <c r="B24" s="447" t="s">
        <v>646</v>
      </c>
      <c r="C24" s="352">
        <f t="shared" si="3"/>
        <v>137000</v>
      </c>
      <c r="D24" s="403">
        <v>69000</v>
      </c>
      <c r="E24" s="468">
        <f t="shared" si="5"/>
        <v>0.4963503649635036</v>
      </c>
      <c r="F24" s="500"/>
      <c r="G24" s="44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605"/>
      <c r="B25" s="442" t="s">
        <v>647</v>
      </c>
      <c r="C25" s="352">
        <f t="shared" si="3"/>
        <v>177000</v>
      </c>
      <c r="D25" s="416">
        <v>89000</v>
      </c>
      <c r="E25" s="468">
        <f t="shared" si="5"/>
        <v>0.49717514124293782</v>
      </c>
      <c r="F25" s="500"/>
      <c r="G25" s="44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605"/>
      <c r="B26" s="442" t="s">
        <v>648</v>
      </c>
      <c r="C26" s="352">
        <f t="shared" si="3"/>
        <v>177000</v>
      </c>
      <c r="D26" s="416">
        <v>89000</v>
      </c>
      <c r="E26" s="468">
        <f t="shared" si="5"/>
        <v>0.49717514124293782</v>
      </c>
      <c r="F26" s="500"/>
      <c r="G26" s="44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605"/>
      <c r="B27" s="447" t="s">
        <v>649</v>
      </c>
      <c r="C27" s="352">
        <f t="shared" si="3"/>
        <v>277000</v>
      </c>
      <c r="D27" s="403">
        <v>139000</v>
      </c>
      <c r="E27" s="468">
        <f t="shared" si="5"/>
        <v>0.49819494584837543</v>
      </c>
      <c r="F27" s="500"/>
      <c r="G27" s="44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605"/>
      <c r="B28" s="442" t="s">
        <v>650</v>
      </c>
      <c r="C28" s="352">
        <f t="shared" si="3"/>
        <v>497000</v>
      </c>
      <c r="D28" s="416">
        <v>249000</v>
      </c>
      <c r="E28" s="468">
        <f t="shared" si="5"/>
        <v>0.49899396378269623</v>
      </c>
      <c r="F28" s="500"/>
      <c r="G28" s="44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606"/>
      <c r="B29" s="443" t="s">
        <v>651</v>
      </c>
      <c r="C29" s="359">
        <f t="shared" si="3"/>
        <v>597000</v>
      </c>
      <c r="D29" s="406">
        <v>299000</v>
      </c>
      <c r="E29" s="532">
        <f t="shared" si="5"/>
        <v>0.49916247906197653</v>
      </c>
      <c r="F29" s="533"/>
      <c r="G29" s="44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" customHeight="1">
      <c r="A30" s="710" t="s">
        <v>652</v>
      </c>
      <c r="B30" s="507" t="s">
        <v>653</v>
      </c>
      <c r="C30" s="508">
        <f t="shared" si="3"/>
        <v>237000</v>
      </c>
      <c r="D30" s="510">
        <v>119000</v>
      </c>
      <c r="E30" s="1"/>
      <c r="F30" s="173"/>
      <c r="G30" s="109"/>
      <c r="H30" s="652" t="s">
        <v>611</v>
      </c>
      <c r="I30" s="61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6.75" customHeight="1">
      <c r="A31" s="605"/>
      <c r="B31" s="507" t="s">
        <v>612</v>
      </c>
      <c r="C31" s="508">
        <f t="shared" si="3"/>
        <v>257000</v>
      </c>
      <c r="D31" s="108">
        <v>129000</v>
      </c>
      <c r="E31" s="1"/>
      <c r="F31" s="173"/>
      <c r="G31" s="109"/>
      <c r="H31" s="608"/>
      <c r="I31" s="61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0" customHeight="1">
      <c r="A32" s="605"/>
      <c r="B32" s="507" t="s">
        <v>613</v>
      </c>
      <c r="C32" s="508">
        <f t="shared" si="3"/>
        <v>297000</v>
      </c>
      <c r="D32" s="508">
        <v>149000</v>
      </c>
      <c r="E32" s="1"/>
      <c r="F32" s="173"/>
      <c r="G32" s="109"/>
      <c r="H32" s="608"/>
      <c r="I32" s="614"/>
      <c r="J32" s="1"/>
      <c r="K32" s="1"/>
      <c r="L32" s="451"/>
      <c r="M32" s="354"/>
      <c r="N32" s="35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605"/>
      <c r="B33" s="507" t="s">
        <v>614</v>
      </c>
      <c r="C33" s="508">
        <f t="shared" si="3"/>
        <v>367000</v>
      </c>
      <c r="D33" s="510">
        <v>184000</v>
      </c>
      <c r="E33" s="1"/>
      <c r="F33" s="173"/>
      <c r="G33" s="109"/>
      <c r="H33" s="608"/>
      <c r="I33" s="6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605"/>
      <c r="B34" s="507" t="s">
        <v>615</v>
      </c>
      <c r="C34" s="508">
        <f t="shared" si="3"/>
        <v>599000</v>
      </c>
      <c r="D34" s="510">
        <v>300000</v>
      </c>
      <c r="E34" s="1"/>
      <c r="F34" s="173"/>
      <c r="G34" s="109"/>
      <c r="H34" s="610"/>
      <c r="I34" s="61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652" t="s">
        <v>442</v>
      </c>
      <c r="B35" s="445" t="s">
        <v>169</v>
      </c>
      <c r="C35" s="344">
        <f t="shared" si="3"/>
        <v>117000</v>
      </c>
      <c r="D35" s="345">
        <v>59000</v>
      </c>
      <c r="E35" s="484">
        <f t="shared" ref="E35:E38" si="6">1-(D35/C35)</f>
        <v>0.49572649572649574</v>
      </c>
      <c r="F35" s="344"/>
      <c r="G35" s="534"/>
      <c r="H35" s="715" t="s">
        <v>654</v>
      </c>
      <c r="I35" s="6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608"/>
      <c r="B36" s="447" t="s">
        <v>170</v>
      </c>
      <c r="C36" s="352">
        <f t="shared" si="3"/>
        <v>177000</v>
      </c>
      <c r="D36" s="353">
        <v>89000</v>
      </c>
      <c r="E36" s="452">
        <f t="shared" si="6"/>
        <v>0.49717514124293782</v>
      </c>
      <c r="F36" s="352"/>
      <c r="G36" s="535"/>
      <c r="H36" s="613"/>
      <c r="I36" s="614"/>
      <c r="J36" s="1"/>
      <c r="K36" s="1"/>
      <c r="L36" s="480"/>
      <c r="M36" s="480"/>
      <c r="N36" s="480"/>
      <c r="O36" s="480"/>
      <c r="P36" s="480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08"/>
      <c r="B37" s="447" t="s">
        <v>541</v>
      </c>
      <c r="C37" s="352">
        <f t="shared" si="3"/>
        <v>197000</v>
      </c>
      <c r="D37" s="513">
        <v>99000</v>
      </c>
      <c r="E37" s="452">
        <f t="shared" si="6"/>
        <v>0.4974619289340102</v>
      </c>
      <c r="F37" s="352"/>
      <c r="G37" s="535"/>
      <c r="H37" s="613"/>
      <c r="I37" s="614"/>
      <c r="J37" s="1"/>
      <c r="K37" s="1"/>
      <c r="L37" s="480"/>
      <c r="M37" s="480"/>
      <c r="N37" s="480"/>
      <c r="O37" s="480"/>
      <c r="P37" s="480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660" t="s">
        <v>616</v>
      </c>
      <c r="B38" s="502" t="s">
        <v>617</v>
      </c>
      <c r="C38" s="344">
        <f t="shared" si="3"/>
        <v>1999000</v>
      </c>
      <c r="D38" s="344">
        <v>1000000</v>
      </c>
      <c r="E38" s="536">
        <f t="shared" si="6"/>
        <v>0.4997498749374687</v>
      </c>
      <c r="F38" s="344"/>
      <c r="G38" s="534"/>
      <c r="H38" s="715" t="s">
        <v>654</v>
      </c>
      <c r="I38" s="612"/>
      <c r="J38" s="1"/>
      <c r="K38" s="1"/>
      <c r="L38" s="481"/>
      <c r="M38" s="482"/>
      <c r="N38" s="482"/>
      <c r="O38" s="480"/>
      <c r="P38" s="480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605"/>
      <c r="B39" s="507" t="s">
        <v>274</v>
      </c>
      <c r="C39" s="352">
        <f t="shared" si="3"/>
        <v>3599000</v>
      </c>
      <c r="D39" s="352">
        <v>1800000</v>
      </c>
      <c r="E39" s="1"/>
      <c r="F39" s="352"/>
      <c r="G39" s="535"/>
      <c r="H39" s="613"/>
      <c r="I39" s="614"/>
      <c r="J39" s="1"/>
      <c r="K39" s="1"/>
      <c r="L39" s="481"/>
      <c r="M39" s="482"/>
      <c r="N39" s="482"/>
      <c r="O39" s="480"/>
      <c r="P39" s="480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605"/>
      <c r="B40" s="507" t="s">
        <v>618</v>
      </c>
      <c r="C40" s="352">
        <f t="shared" si="3"/>
        <v>3799000</v>
      </c>
      <c r="D40" s="352">
        <v>1900000</v>
      </c>
      <c r="E40" s="537"/>
      <c r="F40" s="352"/>
      <c r="G40" s="535"/>
      <c r="H40" s="613"/>
      <c r="I40" s="614"/>
      <c r="J40" s="1"/>
      <c r="K40" s="1"/>
      <c r="L40" s="481"/>
      <c r="M40" s="482"/>
      <c r="N40" s="482"/>
      <c r="O40" s="480"/>
      <c r="P40" s="480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605"/>
      <c r="B41" s="470" t="s">
        <v>619</v>
      </c>
      <c r="C41" s="359">
        <f t="shared" si="3"/>
        <v>5399000</v>
      </c>
      <c r="D41" s="359">
        <v>2700000</v>
      </c>
      <c r="E41" s="537"/>
      <c r="F41" s="352"/>
      <c r="G41" s="535"/>
      <c r="H41" s="613"/>
      <c r="I41" s="614"/>
      <c r="J41" s="1"/>
      <c r="K41" s="1"/>
      <c r="L41" s="480"/>
      <c r="M41" s="480"/>
      <c r="N41" s="480"/>
      <c r="O41" s="480"/>
      <c r="P41" s="480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606"/>
      <c r="B42" s="726" t="s">
        <v>620</v>
      </c>
      <c r="C42" s="727"/>
      <c r="D42" s="634"/>
      <c r="E42" s="174"/>
      <c r="F42" s="359"/>
      <c r="G42" s="538"/>
      <c r="H42" s="615"/>
      <c r="I42" s="616"/>
      <c r="J42" s="1"/>
      <c r="K42" s="1"/>
      <c r="L42" s="480"/>
      <c r="M42" s="480"/>
      <c r="N42" s="480"/>
      <c r="O42" s="480"/>
      <c r="P42" s="480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652" t="s">
        <v>655</v>
      </c>
      <c r="B43" s="611"/>
      <c r="C43" s="611"/>
      <c r="D43" s="611"/>
      <c r="E43" s="611"/>
      <c r="F43" s="611"/>
      <c r="G43" s="611"/>
      <c r="H43" s="611"/>
      <c r="I43" s="612"/>
      <c r="J43" s="1"/>
      <c r="K43" s="1"/>
      <c r="L43" s="480"/>
      <c r="M43" s="480"/>
      <c r="N43" s="480"/>
      <c r="O43" s="480"/>
      <c r="P43" s="480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608"/>
      <c r="B44" s="613"/>
      <c r="C44" s="613"/>
      <c r="D44" s="613"/>
      <c r="E44" s="613"/>
      <c r="F44" s="613"/>
      <c r="G44" s="613"/>
      <c r="H44" s="613"/>
      <c r="I44" s="614"/>
      <c r="J44" s="1"/>
      <c r="K44" s="1"/>
      <c r="L44" s="480"/>
      <c r="M44" s="480"/>
      <c r="N44" s="480"/>
      <c r="O44" s="480"/>
      <c r="P44" s="480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608"/>
      <c r="B45" s="613"/>
      <c r="C45" s="613"/>
      <c r="D45" s="613"/>
      <c r="E45" s="613"/>
      <c r="F45" s="613"/>
      <c r="G45" s="613"/>
      <c r="H45" s="613"/>
      <c r="I45" s="614"/>
      <c r="J45" s="1"/>
      <c r="K45" s="1"/>
      <c r="L45" s="480"/>
      <c r="M45" s="480"/>
      <c r="N45" s="480"/>
      <c r="O45" s="480"/>
      <c r="P45" s="480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608"/>
      <c r="B46" s="613"/>
      <c r="C46" s="613"/>
      <c r="D46" s="613"/>
      <c r="E46" s="613"/>
      <c r="F46" s="613"/>
      <c r="G46" s="613"/>
      <c r="H46" s="613"/>
      <c r="I46" s="6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610"/>
      <c r="B47" s="615"/>
      <c r="C47" s="615"/>
      <c r="D47" s="615"/>
      <c r="E47" s="615"/>
      <c r="F47" s="615"/>
      <c r="G47" s="615"/>
      <c r="H47" s="615"/>
      <c r="I47" s="61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33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33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33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33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33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339"/>
      <c r="C53" s="1"/>
      <c r="D53" s="1"/>
      <c r="E53" s="1"/>
      <c r="F53" s="176"/>
      <c r="G53" s="17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339"/>
      <c r="C54" s="1"/>
      <c r="D54" s="1"/>
      <c r="E54" s="1"/>
      <c r="F54" s="176"/>
      <c r="G54" s="17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339"/>
      <c r="C55" s="1"/>
      <c r="D55" s="1"/>
      <c r="E55" s="1"/>
      <c r="F55" s="176"/>
      <c r="G55" s="17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339"/>
      <c r="C56" s="1"/>
      <c r="D56" s="1"/>
      <c r="E56" s="1"/>
      <c r="F56" s="176"/>
      <c r="G56" s="17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339"/>
      <c r="C57" s="1"/>
      <c r="D57" s="1"/>
      <c r="E57" s="1"/>
      <c r="F57" s="176"/>
      <c r="G57" s="17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339"/>
      <c r="C58" s="1"/>
      <c r="D58" s="1"/>
      <c r="E58" s="1"/>
      <c r="F58" s="176"/>
      <c r="G58" s="17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339"/>
      <c r="C59" s="1"/>
      <c r="D59" s="1"/>
      <c r="E59" s="1"/>
      <c r="F59" s="176"/>
      <c r="G59" s="17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339"/>
      <c r="C60" s="1"/>
      <c r="D60" s="1"/>
      <c r="E60" s="1"/>
      <c r="F60" s="176"/>
      <c r="G60" s="17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339"/>
      <c r="C61" s="1"/>
      <c r="D61" s="1"/>
      <c r="E61" s="1"/>
      <c r="F61" s="176"/>
      <c r="G61" s="17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339"/>
      <c r="C62" s="1"/>
      <c r="D62" s="1"/>
      <c r="E62" s="1"/>
      <c r="F62" s="176"/>
      <c r="G62" s="17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339"/>
      <c r="C63" s="1"/>
      <c r="D63" s="1"/>
      <c r="E63" s="1"/>
      <c r="F63" s="176"/>
      <c r="G63" s="17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339"/>
      <c r="C64" s="1"/>
      <c r="D64" s="1"/>
      <c r="E64" s="1"/>
      <c r="F64" s="176"/>
      <c r="G64" s="17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339"/>
      <c r="C65" s="1"/>
      <c r="D65" s="1"/>
      <c r="E65" s="1"/>
      <c r="F65" s="176"/>
      <c r="G65" s="17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339"/>
      <c r="C66" s="1"/>
      <c r="D66" s="1"/>
      <c r="E66" s="1"/>
      <c r="F66" s="176"/>
      <c r="G66" s="17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339"/>
      <c r="C67" s="1"/>
      <c r="D67" s="1"/>
      <c r="E67" s="1"/>
      <c r="F67" s="176"/>
      <c r="G67" s="17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339"/>
      <c r="C68" s="1"/>
      <c r="D68" s="1"/>
      <c r="E68" s="1"/>
      <c r="F68" s="176"/>
      <c r="G68" s="17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339"/>
      <c r="C69" s="1"/>
      <c r="D69" s="1"/>
      <c r="E69" s="1"/>
      <c r="F69" s="176"/>
      <c r="G69" s="17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339"/>
      <c r="C70" s="1"/>
      <c r="D70" s="1"/>
      <c r="E70" s="1"/>
      <c r="F70" s="176"/>
      <c r="G70" s="17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339"/>
      <c r="C71" s="1"/>
      <c r="D71" s="1"/>
      <c r="E71" s="1"/>
      <c r="F71" s="176"/>
      <c r="G71" s="17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339"/>
      <c r="C72" s="1"/>
      <c r="D72" s="1"/>
      <c r="E72" s="1"/>
      <c r="F72" s="176"/>
      <c r="G72" s="17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339"/>
      <c r="C73" s="1"/>
      <c r="D73" s="1"/>
      <c r="E73" s="1"/>
      <c r="F73" s="176"/>
      <c r="G73" s="17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339"/>
      <c r="C74" s="1"/>
      <c r="D74" s="1"/>
      <c r="E74" s="1"/>
      <c r="F74" s="176"/>
      <c r="G74" s="17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339"/>
      <c r="C75" s="1"/>
      <c r="D75" s="1"/>
      <c r="E75" s="1"/>
      <c r="F75" s="176"/>
      <c r="G75" s="17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339"/>
      <c r="C76" s="1"/>
      <c r="D76" s="1"/>
      <c r="E76" s="1"/>
      <c r="F76" s="176"/>
      <c r="G76" s="17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339"/>
      <c r="C77" s="1"/>
      <c r="D77" s="1"/>
      <c r="E77" s="1"/>
      <c r="F77" s="176"/>
      <c r="G77" s="17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339"/>
      <c r="C78" s="1"/>
      <c r="D78" s="1"/>
      <c r="E78" s="1"/>
      <c r="F78" s="176"/>
      <c r="G78" s="17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339"/>
      <c r="C79" s="1"/>
      <c r="D79" s="1"/>
      <c r="E79" s="1"/>
      <c r="F79" s="176"/>
      <c r="G79" s="17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339"/>
      <c r="C80" s="1"/>
      <c r="D80" s="1"/>
      <c r="E80" s="1"/>
      <c r="F80" s="176"/>
      <c r="G80" s="17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339"/>
      <c r="C81" s="1"/>
      <c r="D81" s="1"/>
      <c r="E81" s="1"/>
      <c r="F81" s="176"/>
      <c r="G81" s="17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339"/>
      <c r="C82" s="1"/>
      <c r="D82" s="1"/>
      <c r="E82" s="1"/>
      <c r="F82" s="176"/>
      <c r="G82" s="17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339"/>
      <c r="C83" s="1"/>
      <c r="D83" s="1"/>
      <c r="E83" s="1"/>
      <c r="F83" s="176"/>
      <c r="G83" s="17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339"/>
      <c r="C84" s="1"/>
      <c r="D84" s="1"/>
      <c r="E84" s="1"/>
      <c r="F84" s="176"/>
      <c r="G84" s="17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339"/>
      <c r="C85" s="1"/>
      <c r="D85" s="1"/>
      <c r="E85" s="1"/>
      <c r="F85" s="176"/>
      <c r="G85" s="17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339"/>
      <c r="C86" s="1"/>
      <c r="D86" s="1"/>
      <c r="E86" s="1"/>
      <c r="F86" s="176"/>
      <c r="G86" s="17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339"/>
      <c r="C87" s="1"/>
      <c r="D87" s="1"/>
      <c r="E87" s="1"/>
      <c r="F87" s="176"/>
      <c r="G87" s="17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339"/>
      <c r="C88" s="1"/>
      <c r="D88" s="1"/>
      <c r="E88" s="1"/>
      <c r="F88" s="176"/>
      <c r="G88" s="17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339"/>
      <c r="C89" s="1"/>
      <c r="D89" s="1"/>
      <c r="E89" s="1"/>
      <c r="F89" s="176"/>
      <c r="G89" s="17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339"/>
      <c r="C90" s="1"/>
      <c r="D90" s="1"/>
      <c r="E90" s="1"/>
      <c r="F90" s="176"/>
      <c r="G90" s="17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339"/>
      <c r="C91" s="1"/>
      <c r="D91" s="1"/>
      <c r="E91" s="1"/>
      <c r="F91" s="176"/>
      <c r="G91" s="17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339"/>
      <c r="C92" s="1"/>
      <c r="D92" s="1"/>
      <c r="E92" s="1"/>
      <c r="F92" s="176"/>
      <c r="G92" s="17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339"/>
      <c r="C93" s="1"/>
      <c r="D93" s="1"/>
      <c r="E93" s="1"/>
      <c r="F93" s="176"/>
      <c r="G93" s="17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339"/>
      <c r="C94" s="1"/>
      <c r="D94" s="1"/>
      <c r="E94" s="1"/>
      <c r="F94" s="176"/>
      <c r="G94" s="17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339"/>
      <c r="C95" s="1"/>
      <c r="D95" s="1"/>
      <c r="E95" s="1"/>
      <c r="F95" s="176"/>
      <c r="G95" s="17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339"/>
      <c r="C96" s="1"/>
      <c r="D96" s="1"/>
      <c r="E96" s="1"/>
      <c r="F96" s="176"/>
      <c r="G96" s="17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339"/>
      <c r="C97" s="1"/>
      <c r="D97" s="1"/>
      <c r="E97" s="1"/>
      <c r="F97" s="176"/>
      <c r="G97" s="17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339"/>
      <c r="C98" s="1"/>
      <c r="D98" s="1"/>
      <c r="E98" s="1"/>
      <c r="F98" s="176"/>
      <c r="G98" s="17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339"/>
      <c r="C99" s="1"/>
      <c r="D99" s="1"/>
      <c r="E99" s="1"/>
      <c r="F99" s="176"/>
      <c r="G99" s="17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339"/>
      <c r="C100" s="1"/>
      <c r="D100" s="1"/>
      <c r="E100" s="1"/>
      <c r="F100" s="176"/>
      <c r="G100" s="17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339"/>
      <c r="C101" s="1"/>
      <c r="D101" s="1"/>
      <c r="E101" s="1"/>
      <c r="F101" s="176"/>
      <c r="G101" s="17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339"/>
      <c r="C102" s="1"/>
      <c r="D102" s="1"/>
      <c r="E102" s="1"/>
      <c r="F102" s="176"/>
      <c r="G102" s="17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339"/>
      <c r="C103" s="1"/>
      <c r="D103" s="1"/>
      <c r="E103" s="1"/>
      <c r="F103" s="176"/>
      <c r="G103" s="17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339"/>
      <c r="C104" s="1"/>
      <c r="D104" s="1"/>
      <c r="E104" s="1"/>
      <c r="F104" s="176"/>
      <c r="G104" s="17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339"/>
      <c r="C105" s="1"/>
      <c r="D105" s="1"/>
      <c r="E105" s="1"/>
      <c r="F105" s="176"/>
      <c r="G105" s="17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339"/>
      <c r="C106" s="1"/>
      <c r="D106" s="1"/>
      <c r="E106" s="1"/>
      <c r="F106" s="176"/>
      <c r="G106" s="17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339"/>
      <c r="C107" s="1"/>
      <c r="D107" s="1"/>
      <c r="E107" s="1"/>
      <c r="F107" s="176"/>
      <c r="G107" s="17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339"/>
      <c r="C108" s="1"/>
      <c r="D108" s="1"/>
      <c r="E108" s="1"/>
      <c r="F108" s="176"/>
      <c r="G108" s="17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339"/>
      <c r="C109" s="1"/>
      <c r="D109" s="1"/>
      <c r="E109" s="1"/>
      <c r="F109" s="176"/>
      <c r="G109" s="17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339"/>
      <c r="C110" s="1"/>
      <c r="D110" s="1"/>
      <c r="E110" s="1"/>
      <c r="F110" s="176"/>
      <c r="G110" s="17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339"/>
      <c r="C111" s="1"/>
      <c r="D111" s="1"/>
      <c r="E111" s="1"/>
      <c r="F111" s="176"/>
      <c r="G111" s="17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339"/>
      <c r="C112" s="1"/>
      <c r="D112" s="1"/>
      <c r="E112" s="1"/>
      <c r="F112" s="176"/>
      <c r="G112" s="17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339"/>
      <c r="C113" s="1"/>
      <c r="D113" s="1"/>
      <c r="E113" s="1"/>
      <c r="F113" s="176"/>
      <c r="G113" s="17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339"/>
      <c r="C114" s="1"/>
      <c r="D114" s="1"/>
      <c r="E114" s="1"/>
      <c r="F114" s="176"/>
      <c r="G114" s="17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339"/>
      <c r="C115" s="1"/>
      <c r="D115" s="1"/>
      <c r="E115" s="1"/>
      <c r="F115" s="176"/>
      <c r="G115" s="17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339"/>
      <c r="C116" s="1"/>
      <c r="D116" s="1"/>
      <c r="E116" s="1"/>
      <c r="F116" s="176"/>
      <c r="G116" s="17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339"/>
      <c r="C117" s="1"/>
      <c r="D117" s="1"/>
      <c r="E117" s="1"/>
      <c r="F117" s="176"/>
      <c r="G117" s="17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339"/>
      <c r="C118" s="1"/>
      <c r="D118" s="1"/>
      <c r="E118" s="1"/>
      <c r="F118" s="176"/>
      <c r="G118" s="17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339"/>
      <c r="C119" s="1"/>
      <c r="D119" s="1"/>
      <c r="E119" s="1"/>
      <c r="F119" s="176"/>
      <c r="G119" s="17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339"/>
      <c r="C120" s="1"/>
      <c r="D120" s="1"/>
      <c r="E120" s="1"/>
      <c r="F120" s="176"/>
      <c r="G120" s="17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339"/>
      <c r="C121" s="1"/>
      <c r="D121" s="1"/>
      <c r="E121" s="1"/>
      <c r="F121" s="176"/>
      <c r="G121" s="17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339"/>
      <c r="C122" s="1"/>
      <c r="D122" s="1"/>
      <c r="E122" s="1"/>
      <c r="F122" s="176"/>
      <c r="G122" s="17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339"/>
      <c r="C123" s="1"/>
      <c r="D123" s="1"/>
      <c r="E123" s="1"/>
      <c r="F123" s="176"/>
      <c r="G123" s="17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339"/>
      <c r="C124" s="1"/>
      <c r="D124" s="1"/>
      <c r="E124" s="1"/>
      <c r="F124" s="176"/>
      <c r="G124" s="17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339"/>
      <c r="C125" s="1"/>
      <c r="D125" s="1"/>
      <c r="E125" s="1"/>
      <c r="F125" s="176"/>
      <c r="G125" s="17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339"/>
      <c r="C126" s="1"/>
      <c r="D126" s="1"/>
      <c r="E126" s="1"/>
      <c r="F126" s="176"/>
      <c r="G126" s="17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339"/>
      <c r="C127" s="1"/>
      <c r="D127" s="1"/>
      <c r="E127" s="1"/>
      <c r="F127" s="176"/>
      <c r="G127" s="17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339"/>
      <c r="C128" s="1"/>
      <c r="D128" s="1"/>
      <c r="E128" s="1"/>
      <c r="F128" s="176"/>
      <c r="G128" s="17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339"/>
      <c r="C129" s="1"/>
      <c r="D129" s="1"/>
      <c r="E129" s="1"/>
      <c r="F129" s="176"/>
      <c r="G129" s="17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339"/>
      <c r="C130" s="1"/>
      <c r="D130" s="1"/>
      <c r="E130" s="1"/>
      <c r="F130" s="176"/>
      <c r="G130" s="17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339"/>
      <c r="C131" s="1"/>
      <c r="D131" s="1"/>
      <c r="E131" s="1"/>
      <c r="F131" s="176"/>
      <c r="G131" s="17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339"/>
      <c r="C132" s="1"/>
      <c r="D132" s="1"/>
      <c r="E132" s="1"/>
      <c r="F132" s="176"/>
      <c r="G132" s="17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339"/>
      <c r="C133" s="1"/>
      <c r="D133" s="1"/>
      <c r="E133" s="1"/>
      <c r="F133" s="176"/>
      <c r="G133" s="17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339"/>
      <c r="C134" s="1"/>
      <c r="D134" s="1"/>
      <c r="E134" s="1"/>
      <c r="F134" s="176"/>
      <c r="G134" s="17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339"/>
      <c r="C135" s="1"/>
      <c r="D135" s="1"/>
      <c r="E135" s="1"/>
      <c r="F135" s="176"/>
      <c r="G135" s="17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339"/>
      <c r="C136" s="1"/>
      <c r="D136" s="1"/>
      <c r="E136" s="1"/>
      <c r="F136" s="176"/>
      <c r="G136" s="17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339"/>
      <c r="C137" s="1"/>
      <c r="D137" s="1"/>
      <c r="E137" s="1"/>
      <c r="F137" s="176"/>
      <c r="G137" s="17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339"/>
      <c r="C138" s="1"/>
      <c r="D138" s="1"/>
      <c r="E138" s="1"/>
      <c r="F138" s="176"/>
      <c r="G138" s="17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339"/>
      <c r="C139" s="1"/>
      <c r="D139" s="1"/>
      <c r="E139" s="1"/>
      <c r="F139" s="176"/>
      <c r="G139" s="17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339"/>
      <c r="C140" s="1"/>
      <c r="D140" s="1"/>
      <c r="E140" s="1"/>
      <c r="F140" s="176"/>
      <c r="G140" s="17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339"/>
      <c r="C141" s="1"/>
      <c r="D141" s="1"/>
      <c r="E141" s="1"/>
      <c r="F141" s="176"/>
      <c r="G141" s="17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339"/>
      <c r="C142" s="1"/>
      <c r="D142" s="1"/>
      <c r="E142" s="1"/>
      <c r="F142" s="176"/>
      <c r="G142" s="17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339"/>
      <c r="C143" s="1"/>
      <c r="D143" s="1"/>
      <c r="E143" s="1"/>
      <c r="F143" s="176"/>
      <c r="G143" s="17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339"/>
      <c r="C144" s="1"/>
      <c r="D144" s="1"/>
      <c r="E144" s="1"/>
      <c r="F144" s="176"/>
      <c r="G144" s="17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339"/>
      <c r="C145" s="1"/>
      <c r="D145" s="1"/>
      <c r="E145" s="1"/>
      <c r="F145" s="176"/>
      <c r="G145" s="17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339"/>
      <c r="C146" s="1"/>
      <c r="D146" s="1"/>
      <c r="E146" s="1"/>
      <c r="F146" s="176"/>
      <c r="G146" s="17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339"/>
      <c r="C147" s="1"/>
      <c r="D147" s="1"/>
      <c r="E147" s="1"/>
      <c r="F147" s="176"/>
      <c r="G147" s="17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339"/>
      <c r="C148" s="1"/>
      <c r="D148" s="1"/>
      <c r="E148" s="1"/>
      <c r="F148" s="176"/>
      <c r="G148" s="17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339"/>
      <c r="C149" s="1"/>
      <c r="D149" s="1"/>
      <c r="E149" s="1"/>
      <c r="F149" s="176"/>
      <c r="G149" s="17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339"/>
      <c r="C150" s="1"/>
      <c r="D150" s="1"/>
      <c r="E150" s="1"/>
      <c r="F150" s="176"/>
      <c r="G150" s="17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339"/>
      <c r="C151" s="1"/>
      <c r="D151" s="1"/>
      <c r="E151" s="1"/>
      <c r="F151" s="176"/>
      <c r="G151" s="17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339"/>
      <c r="C152" s="1"/>
      <c r="D152" s="1"/>
      <c r="E152" s="1"/>
      <c r="F152" s="176"/>
      <c r="G152" s="17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339"/>
      <c r="C153" s="1"/>
      <c r="D153" s="1"/>
      <c r="E153" s="1"/>
      <c r="F153" s="176"/>
      <c r="G153" s="17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339"/>
      <c r="C154" s="1"/>
      <c r="D154" s="1"/>
      <c r="E154" s="1"/>
      <c r="F154" s="176"/>
      <c r="G154" s="17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339"/>
      <c r="C155" s="1"/>
      <c r="D155" s="1"/>
      <c r="E155" s="1"/>
      <c r="F155" s="176"/>
      <c r="G155" s="17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339"/>
      <c r="C156" s="1"/>
      <c r="D156" s="1"/>
      <c r="E156" s="1"/>
      <c r="F156" s="176"/>
      <c r="G156" s="17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339"/>
      <c r="C157" s="1"/>
      <c r="D157" s="1"/>
      <c r="E157" s="1"/>
      <c r="F157" s="176"/>
      <c r="G157" s="17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339"/>
      <c r="C158" s="1"/>
      <c r="D158" s="1"/>
      <c r="E158" s="1"/>
      <c r="F158" s="176"/>
      <c r="G158" s="17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339"/>
      <c r="C159" s="1"/>
      <c r="D159" s="1"/>
      <c r="E159" s="1"/>
      <c r="F159" s="176"/>
      <c r="G159" s="17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339"/>
      <c r="C160" s="1"/>
      <c r="D160" s="1"/>
      <c r="E160" s="1"/>
      <c r="F160" s="176"/>
      <c r="G160" s="17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339"/>
      <c r="C161" s="1"/>
      <c r="D161" s="1"/>
      <c r="E161" s="1"/>
      <c r="F161" s="176"/>
      <c r="G161" s="17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339"/>
      <c r="C162" s="1"/>
      <c r="D162" s="1"/>
      <c r="E162" s="1"/>
      <c r="F162" s="176"/>
      <c r="G162" s="17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339"/>
      <c r="C163" s="1"/>
      <c r="D163" s="1"/>
      <c r="E163" s="1"/>
      <c r="F163" s="176"/>
      <c r="G163" s="17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339"/>
      <c r="C164" s="1"/>
      <c r="D164" s="1"/>
      <c r="E164" s="1"/>
      <c r="F164" s="176"/>
      <c r="G164" s="17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339"/>
      <c r="C165" s="1"/>
      <c r="D165" s="1"/>
      <c r="E165" s="1"/>
      <c r="F165" s="176"/>
      <c r="G165" s="17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339"/>
      <c r="C166" s="1"/>
      <c r="D166" s="1"/>
      <c r="E166" s="1"/>
      <c r="F166" s="176"/>
      <c r="G166" s="17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339"/>
      <c r="C167" s="1"/>
      <c r="D167" s="1"/>
      <c r="E167" s="1"/>
      <c r="F167" s="176"/>
      <c r="G167" s="17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339"/>
      <c r="C168" s="1"/>
      <c r="D168" s="1"/>
      <c r="E168" s="1"/>
      <c r="F168" s="176"/>
      <c r="G168" s="17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339"/>
      <c r="C169" s="1"/>
      <c r="D169" s="1"/>
      <c r="E169" s="1"/>
      <c r="F169" s="176"/>
      <c r="G169" s="17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339"/>
      <c r="C170" s="1"/>
      <c r="D170" s="1"/>
      <c r="E170" s="1"/>
      <c r="F170" s="176"/>
      <c r="G170" s="17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339"/>
      <c r="C171" s="1"/>
      <c r="D171" s="1"/>
      <c r="E171" s="1"/>
      <c r="F171" s="176"/>
      <c r="G171" s="17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339"/>
      <c r="C172" s="1"/>
      <c r="D172" s="1"/>
      <c r="E172" s="1"/>
      <c r="F172" s="176"/>
      <c r="G172" s="17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339"/>
      <c r="C173" s="1"/>
      <c r="D173" s="1"/>
      <c r="E173" s="1"/>
      <c r="F173" s="176"/>
      <c r="G173" s="17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339"/>
      <c r="C174" s="1"/>
      <c r="D174" s="1"/>
      <c r="E174" s="1"/>
      <c r="F174" s="176"/>
      <c r="G174" s="17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339"/>
      <c r="C175" s="1"/>
      <c r="D175" s="1"/>
      <c r="E175" s="1"/>
      <c r="F175" s="176"/>
      <c r="G175" s="17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339"/>
      <c r="C176" s="1"/>
      <c r="D176" s="1"/>
      <c r="E176" s="1"/>
      <c r="F176" s="176"/>
      <c r="G176" s="17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339"/>
      <c r="C177" s="1"/>
      <c r="D177" s="1"/>
      <c r="E177" s="1"/>
      <c r="F177" s="176"/>
      <c r="G177" s="17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339"/>
      <c r="C178" s="1"/>
      <c r="D178" s="1"/>
      <c r="E178" s="1"/>
      <c r="F178" s="176"/>
      <c r="G178" s="17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339"/>
      <c r="C179" s="1"/>
      <c r="D179" s="1"/>
      <c r="E179" s="1"/>
      <c r="F179" s="176"/>
      <c r="G179" s="17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339"/>
      <c r="C180" s="1"/>
      <c r="D180" s="1"/>
      <c r="E180" s="1"/>
      <c r="F180" s="176"/>
      <c r="G180" s="17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339"/>
      <c r="C181" s="1"/>
      <c r="D181" s="1"/>
      <c r="E181" s="1"/>
      <c r="F181" s="176"/>
      <c r="G181" s="17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339"/>
      <c r="C182" s="1"/>
      <c r="D182" s="1"/>
      <c r="E182" s="1"/>
      <c r="F182" s="176"/>
      <c r="G182" s="17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339"/>
      <c r="C183" s="1"/>
      <c r="D183" s="1"/>
      <c r="E183" s="1"/>
      <c r="F183" s="176"/>
      <c r="G183" s="17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339"/>
      <c r="C184" s="1"/>
      <c r="D184" s="1"/>
      <c r="E184" s="1"/>
      <c r="F184" s="176"/>
      <c r="G184" s="17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339"/>
      <c r="C185" s="1"/>
      <c r="D185" s="1"/>
      <c r="E185" s="1"/>
      <c r="F185" s="176"/>
      <c r="G185" s="17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339"/>
      <c r="C186" s="1"/>
      <c r="D186" s="1"/>
      <c r="E186" s="1"/>
      <c r="F186" s="176"/>
      <c r="G186" s="17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339"/>
      <c r="C187" s="1"/>
      <c r="D187" s="1"/>
      <c r="E187" s="1"/>
      <c r="F187" s="176"/>
      <c r="G187" s="17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339"/>
      <c r="C188" s="1"/>
      <c r="D188" s="1"/>
      <c r="E188" s="1"/>
      <c r="F188" s="176"/>
      <c r="G188" s="17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339"/>
      <c r="C189" s="1"/>
      <c r="D189" s="1"/>
      <c r="E189" s="1"/>
      <c r="F189" s="176"/>
      <c r="G189" s="17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339"/>
      <c r="C190" s="1"/>
      <c r="D190" s="1"/>
      <c r="E190" s="1"/>
      <c r="F190" s="176"/>
      <c r="G190" s="17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339"/>
      <c r="C191" s="1"/>
      <c r="D191" s="1"/>
      <c r="E191" s="1"/>
      <c r="F191" s="176"/>
      <c r="G191" s="17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339"/>
      <c r="C192" s="1"/>
      <c r="D192" s="1"/>
      <c r="E192" s="1"/>
      <c r="F192" s="176"/>
      <c r="G192" s="17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339"/>
      <c r="C193" s="1"/>
      <c r="D193" s="1"/>
      <c r="E193" s="1"/>
      <c r="F193" s="176"/>
      <c r="G193" s="17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339"/>
      <c r="C194" s="1"/>
      <c r="D194" s="1"/>
      <c r="E194" s="1"/>
      <c r="F194" s="176"/>
      <c r="G194" s="17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339"/>
      <c r="C195" s="1"/>
      <c r="D195" s="1"/>
      <c r="E195" s="1"/>
      <c r="F195" s="176"/>
      <c r="G195" s="17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339"/>
      <c r="C196" s="1"/>
      <c r="D196" s="1"/>
      <c r="E196" s="1"/>
      <c r="F196" s="176"/>
      <c r="G196" s="17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339"/>
      <c r="C197" s="1"/>
      <c r="D197" s="1"/>
      <c r="E197" s="1"/>
      <c r="F197" s="176"/>
      <c r="G197" s="17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339"/>
      <c r="C198" s="1"/>
      <c r="D198" s="1"/>
      <c r="E198" s="1"/>
      <c r="F198" s="176"/>
      <c r="G198" s="17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339"/>
      <c r="C199" s="1"/>
      <c r="D199" s="1"/>
      <c r="E199" s="1"/>
      <c r="F199" s="176"/>
      <c r="G199" s="17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339"/>
      <c r="C200" s="1"/>
      <c r="D200" s="1"/>
      <c r="E200" s="1"/>
      <c r="F200" s="176"/>
      <c r="G200" s="17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339"/>
      <c r="C201" s="1"/>
      <c r="D201" s="1"/>
      <c r="E201" s="1"/>
      <c r="F201" s="176"/>
      <c r="G201" s="17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339"/>
      <c r="C202" s="1"/>
      <c r="D202" s="1"/>
      <c r="E202" s="1"/>
      <c r="F202" s="176"/>
      <c r="G202" s="17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339"/>
      <c r="C203" s="1"/>
      <c r="D203" s="1"/>
      <c r="E203" s="1"/>
      <c r="F203" s="176"/>
      <c r="G203" s="17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339"/>
      <c r="C204" s="1"/>
      <c r="D204" s="1"/>
      <c r="E204" s="1"/>
      <c r="F204" s="176"/>
      <c r="G204" s="17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339"/>
      <c r="C205" s="1"/>
      <c r="D205" s="1"/>
      <c r="E205" s="1"/>
      <c r="F205" s="176"/>
      <c r="G205" s="17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339"/>
      <c r="C206" s="1"/>
      <c r="D206" s="1"/>
      <c r="E206" s="1"/>
      <c r="F206" s="176"/>
      <c r="G206" s="17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339"/>
      <c r="C207" s="1"/>
      <c r="D207" s="1"/>
      <c r="E207" s="1"/>
      <c r="F207" s="176"/>
      <c r="G207" s="17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339"/>
      <c r="C208" s="1"/>
      <c r="D208" s="1"/>
      <c r="E208" s="1"/>
      <c r="F208" s="176"/>
      <c r="G208" s="17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339"/>
      <c r="C209" s="1"/>
      <c r="D209" s="1"/>
      <c r="E209" s="1"/>
      <c r="F209" s="176"/>
      <c r="G209" s="17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339"/>
      <c r="C210" s="1"/>
      <c r="D210" s="1"/>
      <c r="E210" s="1"/>
      <c r="F210" s="176"/>
      <c r="G210" s="17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339"/>
      <c r="C211" s="1"/>
      <c r="D211" s="1"/>
      <c r="E211" s="1"/>
      <c r="F211" s="176"/>
      <c r="G211" s="17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339"/>
      <c r="C212" s="1"/>
      <c r="D212" s="1"/>
      <c r="E212" s="1"/>
      <c r="F212" s="176"/>
      <c r="G212" s="17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339"/>
      <c r="C213" s="1"/>
      <c r="D213" s="1"/>
      <c r="E213" s="1"/>
      <c r="F213" s="176"/>
      <c r="G213" s="17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339"/>
      <c r="C214" s="1"/>
      <c r="D214" s="1"/>
      <c r="E214" s="1"/>
      <c r="F214" s="176"/>
      <c r="G214" s="17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339"/>
      <c r="C215" s="1"/>
      <c r="D215" s="1"/>
      <c r="E215" s="1"/>
      <c r="F215" s="176"/>
      <c r="G215" s="17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339"/>
      <c r="C216" s="1"/>
      <c r="D216" s="1"/>
      <c r="E216" s="1"/>
      <c r="F216" s="176"/>
      <c r="G216" s="17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339"/>
      <c r="C217" s="1"/>
      <c r="D217" s="1"/>
      <c r="E217" s="1"/>
      <c r="F217" s="176"/>
      <c r="G217" s="17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339"/>
      <c r="C218" s="1"/>
      <c r="D218" s="1"/>
      <c r="E218" s="1"/>
      <c r="F218" s="176"/>
      <c r="G218" s="17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339"/>
      <c r="C219" s="1"/>
      <c r="D219" s="1"/>
      <c r="E219" s="1"/>
      <c r="F219" s="176"/>
      <c r="G219" s="17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339"/>
      <c r="C220" s="1"/>
      <c r="D220" s="1"/>
      <c r="E220" s="1"/>
      <c r="F220" s="176"/>
      <c r="G220" s="17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339"/>
      <c r="C221" s="1"/>
      <c r="D221" s="1"/>
      <c r="E221" s="1"/>
      <c r="F221" s="176"/>
      <c r="G221" s="17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339"/>
      <c r="C222" s="1"/>
      <c r="D222" s="1"/>
      <c r="E222" s="1"/>
      <c r="F222" s="176"/>
      <c r="G222" s="17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339"/>
      <c r="C223" s="1"/>
      <c r="D223" s="1"/>
      <c r="E223" s="1"/>
      <c r="F223" s="176"/>
      <c r="G223" s="17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339"/>
      <c r="C224" s="1"/>
      <c r="D224" s="1"/>
      <c r="E224" s="1"/>
      <c r="F224" s="176"/>
      <c r="G224" s="17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339"/>
      <c r="C225" s="1"/>
      <c r="D225" s="1"/>
      <c r="E225" s="1"/>
      <c r="F225" s="176"/>
      <c r="G225" s="17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339"/>
      <c r="C226" s="1"/>
      <c r="D226" s="1"/>
      <c r="E226" s="1"/>
      <c r="F226" s="176"/>
      <c r="G226" s="17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339"/>
      <c r="C227" s="1"/>
      <c r="D227" s="1"/>
      <c r="E227" s="1"/>
      <c r="F227" s="176"/>
      <c r="G227" s="17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339"/>
      <c r="C228" s="1"/>
      <c r="D228" s="1"/>
      <c r="E228" s="1"/>
      <c r="F228" s="176"/>
      <c r="G228" s="17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339"/>
      <c r="C229" s="1"/>
      <c r="D229" s="1"/>
      <c r="E229" s="1"/>
      <c r="F229" s="176"/>
      <c r="G229" s="17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339"/>
      <c r="C230" s="1"/>
      <c r="D230" s="1"/>
      <c r="E230" s="1"/>
      <c r="F230" s="176"/>
      <c r="G230" s="17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339"/>
      <c r="C231" s="1"/>
      <c r="D231" s="1"/>
      <c r="E231" s="1"/>
      <c r="F231" s="176"/>
      <c r="G231" s="17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339"/>
      <c r="C232" s="1"/>
      <c r="D232" s="1"/>
      <c r="E232" s="1"/>
      <c r="F232" s="176"/>
      <c r="G232" s="17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339"/>
      <c r="C233" s="1"/>
      <c r="D233" s="1"/>
      <c r="E233" s="1"/>
      <c r="F233" s="176"/>
      <c r="G233" s="17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339"/>
      <c r="C234" s="1"/>
      <c r="D234" s="1"/>
      <c r="E234" s="1"/>
      <c r="F234" s="176"/>
      <c r="G234" s="17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339"/>
      <c r="C235" s="1"/>
      <c r="D235" s="1"/>
      <c r="E235" s="1"/>
      <c r="F235" s="176"/>
      <c r="G235" s="17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339"/>
      <c r="C236" s="1"/>
      <c r="D236" s="1"/>
      <c r="E236" s="1"/>
      <c r="F236" s="176"/>
      <c r="G236" s="17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339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339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339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339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339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339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339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M244" s="73"/>
    </row>
    <row r="245" spans="1:26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M245" s="73"/>
    </row>
    <row r="246" spans="1:2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M246" s="73"/>
    </row>
    <row r="247" spans="1:26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M247" s="73"/>
    </row>
    <row r="248" spans="1:26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M248" s="73"/>
    </row>
    <row r="249" spans="1:26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M249" s="73"/>
    </row>
    <row r="250" spans="1:26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M250" s="73"/>
    </row>
    <row r="251" spans="1:26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M251" s="73"/>
    </row>
    <row r="252" spans="1:26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M252" s="73"/>
    </row>
    <row r="253" spans="1:26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M253" s="73"/>
    </row>
    <row r="254" spans="1:26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M254" s="73"/>
    </row>
    <row r="255" spans="1:26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M255" s="73"/>
    </row>
    <row r="256" spans="1:2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M256" s="73"/>
    </row>
    <row r="257" spans="1:13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M257" s="73"/>
    </row>
    <row r="258" spans="1:13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M258" s="73"/>
    </row>
    <row r="259" spans="1:13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M259" s="73"/>
    </row>
    <row r="260" spans="1:13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M260" s="73"/>
    </row>
    <row r="261" spans="1:13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M261" s="73"/>
    </row>
    <row r="262" spans="1:13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M262" s="73"/>
    </row>
    <row r="263" spans="1:1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M263" s="73"/>
    </row>
    <row r="264" spans="1:13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M264" s="73"/>
    </row>
    <row r="265" spans="1:13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M265" s="73"/>
    </row>
    <row r="266" spans="1:13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M266" s="73"/>
    </row>
    <row r="267" spans="1:13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M267" s="73"/>
    </row>
    <row r="268" spans="1:13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M268" s="73"/>
    </row>
    <row r="269" spans="1:13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M269" s="73"/>
    </row>
    <row r="270" spans="1:13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M270" s="73"/>
    </row>
    <row r="271" spans="1:13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M271" s="73"/>
    </row>
    <row r="272" spans="1:13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M272" s="73"/>
    </row>
    <row r="273" spans="1:1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M273" s="73"/>
    </row>
    <row r="274" spans="1:13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M274" s="73"/>
    </row>
    <row r="275" spans="1:13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M275" s="73"/>
    </row>
    <row r="276" spans="1:13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M276" s="73"/>
    </row>
    <row r="277" spans="1:13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M277" s="73"/>
    </row>
    <row r="278" spans="1:13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M278" s="73"/>
    </row>
    <row r="279" spans="1:13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M279" s="73"/>
    </row>
    <row r="280" spans="1:13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M280" s="73"/>
    </row>
    <row r="281" spans="1:13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M281" s="73"/>
    </row>
    <row r="282" spans="1:13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M282" s="73"/>
    </row>
    <row r="283" spans="1:1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M283" s="73"/>
    </row>
    <row r="284" spans="1:13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M284" s="73"/>
    </row>
    <row r="285" spans="1:13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M285" s="73"/>
    </row>
    <row r="286" spans="1:13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M286" s="73"/>
    </row>
    <row r="287" spans="1:13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M287" s="73"/>
    </row>
    <row r="288" spans="1:13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M288" s="73"/>
    </row>
    <row r="289" spans="1:13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M289" s="73"/>
    </row>
    <row r="290" spans="1:13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M290" s="73"/>
    </row>
    <row r="291" spans="1:13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M291" s="73"/>
    </row>
    <row r="292" spans="1:13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M292" s="73"/>
    </row>
    <row r="293" spans="1:1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M293" s="73"/>
    </row>
    <row r="294" spans="1:13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M294" s="73"/>
    </row>
    <row r="295" spans="1:13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M295" s="73"/>
    </row>
    <row r="296" spans="1:13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M296" s="73"/>
    </row>
    <row r="297" spans="1:13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M297" s="73"/>
    </row>
    <row r="298" spans="1:13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M298" s="73"/>
    </row>
    <row r="299" spans="1:13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M299" s="73"/>
    </row>
    <row r="300" spans="1:13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M300" s="73"/>
    </row>
    <row r="301" spans="1:13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M301" s="73"/>
    </row>
    <row r="302" spans="1:13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M302" s="73"/>
    </row>
    <row r="303" spans="1:1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M303" s="73"/>
    </row>
    <row r="304" spans="1:13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M304" s="73"/>
    </row>
    <row r="305" spans="1:13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M305" s="73"/>
    </row>
    <row r="306" spans="1:13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M306" s="73"/>
    </row>
    <row r="307" spans="1:13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M307" s="73"/>
    </row>
    <row r="308" spans="1:13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M308" s="73"/>
    </row>
    <row r="309" spans="1:13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M309" s="73"/>
    </row>
    <row r="310" spans="1:13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M310" s="73"/>
    </row>
    <row r="311" spans="1:13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M311" s="73"/>
    </row>
    <row r="312" spans="1:13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M312" s="73"/>
    </row>
    <row r="313" spans="1: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M313" s="73"/>
    </row>
    <row r="314" spans="1:13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M314" s="73"/>
    </row>
    <row r="315" spans="1:13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M315" s="73"/>
    </row>
    <row r="316" spans="1:13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M316" s="73"/>
    </row>
    <row r="317" spans="1:13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M317" s="73"/>
    </row>
    <row r="318" spans="1:13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M318" s="73"/>
    </row>
    <row r="319" spans="1:13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M319" s="73"/>
    </row>
    <row r="320" spans="1:13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M320" s="73"/>
    </row>
    <row r="321" spans="1:13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M321" s="73"/>
    </row>
    <row r="322" spans="1:13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M322" s="73"/>
    </row>
    <row r="323" spans="1:1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M323" s="73"/>
    </row>
    <row r="324" spans="1:13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M324" s="73"/>
    </row>
    <row r="325" spans="1:13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M325" s="73"/>
    </row>
    <row r="326" spans="1:13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M326" s="73"/>
    </row>
    <row r="327" spans="1:13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M327" s="73"/>
    </row>
    <row r="328" spans="1:13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M328" s="73"/>
    </row>
    <row r="329" spans="1:13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M329" s="73"/>
    </row>
    <row r="330" spans="1:13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M330" s="73"/>
    </row>
    <row r="331" spans="1:13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M331" s="73"/>
    </row>
    <row r="332" spans="1:13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M332" s="73"/>
    </row>
    <row r="333" spans="1:1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M333" s="73"/>
    </row>
    <row r="334" spans="1:13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M334" s="73"/>
    </row>
    <row r="335" spans="1:13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M335" s="73"/>
    </row>
    <row r="336" spans="1:13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M336" s="73"/>
    </row>
    <row r="337" spans="1:13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M337" s="73"/>
    </row>
    <row r="338" spans="1:13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M338" s="73"/>
    </row>
    <row r="339" spans="1:13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M339" s="73"/>
    </row>
    <row r="340" spans="1:13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M340" s="73"/>
    </row>
    <row r="341" spans="1:13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M341" s="73"/>
    </row>
    <row r="342" spans="1:13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M342" s="73"/>
    </row>
    <row r="343" spans="1:1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M343" s="73"/>
    </row>
    <row r="344" spans="1:13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M344" s="73"/>
    </row>
    <row r="345" spans="1:13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M345" s="73"/>
    </row>
    <row r="346" spans="1:13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M346" s="73"/>
    </row>
    <row r="347" spans="1:13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M347" s="73"/>
    </row>
    <row r="348" spans="1:13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M348" s="73"/>
    </row>
    <row r="349" spans="1:13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M349" s="73"/>
    </row>
    <row r="350" spans="1:13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M350" s="73"/>
    </row>
    <row r="351" spans="1:13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M351" s="73"/>
    </row>
    <row r="352" spans="1:13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M352" s="73"/>
    </row>
    <row r="353" spans="1:1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M353" s="73"/>
    </row>
    <row r="354" spans="1:13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M354" s="73"/>
    </row>
    <row r="355" spans="1:13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M355" s="73"/>
    </row>
    <row r="356" spans="1:13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M356" s="73"/>
    </row>
    <row r="357" spans="1:13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M357" s="73"/>
    </row>
    <row r="358" spans="1:13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M358" s="73"/>
    </row>
    <row r="359" spans="1:13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M359" s="73"/>
    </row>
    <row r="360" spans="1:13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M360" s="73"/>
    </row>
    <row r="361" spans="1:13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M361" s="73"/>
    </row>
    <row r="362" spans="1:13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M362" s="73"/>
    </row>
    <row r="363" spans="1:1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M363" s="73"/>
    </row>
    <row r="364" spans="1:13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M364" s="73"/>
    </row>
    <row r="365" spans="1:13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M365" s="73"/>
    </row>
    <row r="366" spans="1:13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M366" s="73"/>
    </row>
    <row r="367" spans="1:13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M367" s="73"/>
    </row>
    <row r="368" spans="1:13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M368" s="73"/>
    </row>
    <row r="369" spans="1:13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M369" s="73"/>
    </row>
    <row r="370" spans="1:13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M370" s="73"/>
    </row>
    <row r="371" spans="1:13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M371" s="73"/>
    </row>
    <row r="372" spans="1:13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M372" s="73"/>
    </row>
    <row r="373" spans="1:1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M373" s="73"/>
    </row>
    <row r="374" spans="1:13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M374" s="73"/>
    </row>
    <row r="375" spans="1:13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M375" s="73"/>
    </row>
    <row r="376" spans="1:13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M376" s="73"/>
    </row>
    <row r="377" spans="1:13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M377" s="73"/>
    </row>
    <row r="378" spans="1:13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M378" s="73"/>
    </row>
    <row r="379" spans="1:13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M379" s="73"/>
    </row>
    <row r="380" spans="1:13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M380" s="73"/>
    </row>
    <row r="381" spans="1:13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M381" s="73"/>
    </row>
    <row r="382" spans="1:13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M382" s="73"/>
    </row>
    <row r="383" spans="1:1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M383" s="73"/>
    </row>
    <row r="384" spans="1:13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M384" s="73"/>
    </row>
    <row r="385" spans="1:13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M385" s="73"/>
    </row>
    <row r="386" spans="1:13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M386" s="73"/>
    </row>
    <row r="387" spans="1:13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M387" s="73"/>
    </row>
    <row r="388" spans="1:13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M388" s="73"/>
    </row>
    <row r="389" spans="1:13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M389" s="73"/>
    </row>
    <row r="390" spans="1:13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M390" s="73"/>
    </row>
    <row r="391" spans="1:13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M391" s="73"/>
    </row>
    <row r="392" spans="1:13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M392" s="73"/>
    </row>
    <row r="393" spans="1:1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M393" s="73"/>
    </row>
    <row r="394" spans="1:13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M394" s="73"/>
    </row>
    <row r="395" spans="1:13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M395" s="73"/>
    </row>
    <row r="396" spans="1:13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M396" s="73"/>
    </row>
    <row r="397" spans="1:13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M397" s="73"/>
    </row>
    <row r="398" spans="1:13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M398" s="73"/>
    </row>
    <row r="399" spans="1:13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M399" s="73"/>
    </row>
    <row r="400" spans="1:13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M400" s="73"/>
    </row>
    <row r="401" spans="1:13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M401" s="73"/>
    </row>
    <row r="402" spans="1:13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M402" s="73"/>
    </row>
    <row r="403" spans="1:1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M403" s="73"/>
    </row>
    <row r="404" spans="1:13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M404" s="73"/>
    </row>
    <row r="405" spans="1:13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M405" s="73"/>
    </row>
    <row r="406" spans="1:13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M406" s="73"/>
    </row>
    <row r="407" spans="1:13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M407" s="73"/>
    </row>
    <row r="408" spans="1:13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M408" s="73"/>
    </row>
    <row r="409" spans="1:13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M409" s="73"/>
    </row>
    <row r="410" spans="1:13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M410" s="73"/>
    </row>
    <row r="411" spans="1:13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M411" s="73"/>
    </row>
    <row r="412" spans="1:13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M412" s="73"/>
    </row>
    <row r="413" spans="1: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M413" s="73"/>
    </row>
    <row r="414" spans="1:13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M414" s="73"/>
    </row>
    <row r="415" spans="1:13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M415" s="73"/>
    </row>
    <row r="416" spans="1:13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M416" s="73"/>
    </row>
    <row r="417" spans="1:13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M417" s="73"/>
    </row>
    <row r="418" spans="1:13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M418" s="73"/>
    </row>
    <row r="419" spans="1:13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M419" s="73"/>
    </row>
    <row r="420" spans="1:13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M420" s="73"/>
    </row>
    <row r="421" spans="1:13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M421" s="73"/>
    </row>
    <row r="422" spans="1:13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M422" s="73"/>
    </row>
    <row r="423" spans="1:1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M423" s="73"/>
    </row>
    <row r="424" spans="1:13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M424" s="73"/>
    </row>
    <row r="425" spans="1:13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M425" s="73"/>
    </row>
    <row r="426" spans="1:13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M426" s="73"/>
    </row>
    <row r="427" spans="1:13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M427" s="73"/>
    </row>
    <row r="428" spans="1:13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M428" s="73"/>
    </row>
    <row r="429" spans="1:13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M429" s="73"/>
    </row>
    <row r="430" spans="1:13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M430" s="73"/>
    </row>
    <row r="431" spans="1:13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M431" s="73"/>
    </row>
    <row r="432" spans="1:13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M432" s="73"/>
    </row>
    <row r="433" spans="1:1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M433" s="73"/>
    </row>
    <row r="434" spans="1:13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M434" s="73"/>
    </row>
    <row r="435" spans="1:13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M435" s="73"/>
    </row>
    <row r="436" spans="1:13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M436" s="73"/>
    </row>
    <row r="437" spans="1:13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M437" s="73"/>
    </row>
    <row r="438" spans="1:13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M438" s="73"/>
    </row>
    <row r="439" spans="1:13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M439" s="73"/>
    </row>
    <row r="440" spans="1:13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M440" s="73"/>
    </row>
    <row r="441" spans="1:13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M441" s="73"/>
    </row>
    <row r="442" spans="1:13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M442" s="73"/>
    </row>
    <row r="443" spans="1:1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M443" s="73"/>
    </row>
    <row r="444" spans="1:13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M444" s="73"/>
    </row>
    <row r="445" spans="1:13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M445" s="73"/>
    </row>
    <row r="446" spans="1:13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M446" s="73"/>
    </row>
    <row r="447" spans="1:13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M447" s="73"/>
    </row>
    <row r="448" spans="1:13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M448" s="73"/>
    </row>
    <row r="449" spans="1:13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M449" s="73"/>
    </row>
    <row r="450" spans="1:13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M450" s="73"/>
    </row>
    <row r="451" spans="1:13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M451" s="73"/>
    </row>
    <row r="452" spans="1:13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M452" s="73"/>
    </row>
    <row r="453" spans="1:1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M453" s="73"/>
    </row>
    <row r="454" spans="1:13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M454" s="73"/>
    </row>
    <row r="455" spans="1:13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M455" s="73"/>
    </row>
    <row r="456" spans="1:13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M456" s="73"/>
    </row>
    <row r="457" spans="1:13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M457" s="73"/>
    </row>
    <row r="458" spans="1:13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M458" s="73"/>
    </row>
    <row r="459" spans="1:13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M459" s="73"/>
    </row>
    <row r="460" spans="1:13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M460" s="73"/>
    </row>
    <row r="461" spans="1:13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M461" s="73"/>
    </row>
    <row r="462" spans="1:13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M462" s="73"/>
    </row>
    <row r="463" spans="1:1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M463" s="73"/>
    </row>
    <row r="464" spans="1:13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M464" s="73"/>
    </row>
    <row r="465" spans="1:13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M465" s="73"/>
    </row>
    <row r="466" spans="1:13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M466" s="73"/>
    </row>
    <row r="467" spans="1:13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M467" s="73"/>
    </row>
    <row r="468" spans="1:13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M468" s="73"/>
    </row>
    <row r="469" spans="1:13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M469" s="73"/>
    </row>
    <row r="470" spans="1:13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M470" s="73"/>
    </row>
    <row r="471" spans="1:13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M471" s="73"/>
    </row>
    <row r="472" spans="1:13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M472" s="73"/>
    </row>
    <row r="473" spans="1:1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M473" s="73"/>
    </row>
    <row r="474" spans="1:13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M474" s="73"/>
    </row>
    <row r="475" spans="1:13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M475" s="73"/>
    </row>
    <row r="476" spans="1:13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M476" s="73"/>
    </row>
    <row r="477" spans="1:13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M477" s="73"/>
    </row>
    <row r="478" spans="1:13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M478" s="73"/>
    </row>
    <row r="479" spans="1:13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M479" s="73"/>
    </row>
    <row r="480" spans="1:13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M480" s="73"/>
    </row>
    <row r="481" spans="1:13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M481" s="73"/>
    </row>
    <row r="482" spans="1:13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M482" s="73"/>
    </row>
    <row r="483" spans="1:1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M483" s="73"/>
    </row>
    <row r="484" spans="1:13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M484" s="73"/>
    </row>
    <row r="485" spans="1:13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M485" s="73"/>
    </row>
    <row r="486" spans="1:13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M486" s="73"/>
    </row>
    <row r="487" spans="1:13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M487" s="73"/>
    </row>
    <row r="488" spans="1:13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M488" s="73"/>
    </row>
    <row r="489" spans="1:13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M489" s="73"/>
    </row>
    <row r="490" spans="1:13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M490" s="73"/>
    </row>
    <row r="491" spans="1:13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M491" s="73"/>
    </row>
    <row r="492" spans="1:13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M492" s="73"/>
    </row>
    <row r="493" spans="1:1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M493" s="73"/>
    </row>
    <row r="494" spans="1:13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M494" s="73"/>
    </row>
    <row r="495" spans="1:13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M495" s="73"/>
    </row>
    <row r="496" spans="1:13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M496" s="73"/>
    </row>
    <row r="497" spans="1:13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M497" s="73"/>
    </row>
    <row r="498" spans="1:13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M498" s="73"/>
    </row>
    <row r="499" spans="1:13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M499" s="73"/>
    </row>
    <row r="500" spans="1:13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M500" s="73"/>
    </row>
    <row r="501" spans="1:13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M501" s="73"/>
    </row>
    <row r="502" spans="1:13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M502" s="73"/>
    </row>
    <row r="503" spans="1:1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M503" s="73"/>
    </row>
    <row r="504" spans="1:13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M504" s="73"/>
    </row>
    <row r="505" spans="1:13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M505" s="73"/>
    </row>
    <row r="506" spans="1:13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M506" s="73"/>
    </row>
    <row r="507" spans="1:13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M507" s="73"/>
    </row>
    <row r="508" spans="1:13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M508" s="73"/>
    </row>
    <row r="509" spans="1:13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M509" s="73"/>
    </row>
    <row r="510" spans="1:13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M510" s="73"/>
    </row>
    <row r="511" spans="1:13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M511" s="73"/>
    </row>
    <row r="512" spans="1:13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M512" s="73"/>
    </row>
    <row r="513" spans="1: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M513" s="73"/>
    </row>
    <row r="514" spans="1:13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M514" s="73"/>
    </row>
    <row r="515" spans="1:13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M515" s="73"/>
    </row>
    <row r="516" spans="1:13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M516" s="73"/>
    </row>
    <row r="517" spans="1:13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M517" s="73"/>
    </row>
    <row r="518" spans="1:13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M518" s="73"/>
    </row>
    <row r="519" spans="1:13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M519" s="73"/>
    </row>
    <row r="520" spans="1:13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M520" s="73"/>
    </row>
    <row r="521" spans="1:13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M521" s="73"/>
    </row>
    <row r="522" spans="1:13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M522" s="73"/>
    </row>
    <row r="523" spans="1:1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M523" s="73"/>
    </row>
    <row r="524" spans="1:13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M524" s="73"/>
    </row>
    <row r="525" spans="1:13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M525" s="73"/>
    </row>
    <row r="526" spans="1:13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M526" s="73"/>
    </row>
    <row r="527" spans="1:13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M527" s="73"/>
    </row>
    <row r="528" spans="1:13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M528" s="73"/>
    </row>
    <row r="529" spans="1:13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M529" s="73"/>
    </row>
    <row r="530" spans="1:13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M530" s="73"/>
    </row>
    <row r="531" spans="1:13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M531" s="73"/>
    </row>
    <row r="532" spans="1:13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M532" s="73"/>
    </row>
    <row r="533" spans="1:1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M533" s="73"/>
    </row>
    <row r="534" spans="1:13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M534" s="73"/>
    </row>
    <row r="535" spans="1:13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M535" s="73"/>
    </row>
    <row r="536" spans="1:13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M536" s="73"/>
    </row>
    <row r="537" spans="1:13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M537" s="73"/>
    </row>
    <row r="538" spans="1:13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M538" s="73"/>
    </row>
    <row r="539" spans="1:13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M539" s="73"/>
    </row>
    <row r="540" spans="1:13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M540" s="73"/>
    </row>
    <row r="541" spans="1:13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M541" s="73"/>
    </row>
    <row r="542" spans="1:13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M542" s="73"/>
    </row>
    <row r="543" spans="1:1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M543" s="73"/>
    </row>
    <row r="544" spans="1:13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M544" s="73"/>
    </row>
    <row r="545" spans="1:13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M545" s="73"/>
    </row>
    <row r="546" spans="1:13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M546" s="73"/>
    </row>
    <row r="547" spans="1:13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M547" s="73"/>
    </row>
    <row r="548" spans="1:13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M548" s="73"/>
    </row>
    <row r="549" spans="1:13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M549" s="73"/>
    </row>
    <row r="550" spans="1:13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M550" s="73"/>
    </row>
    <row r="551" spans="1:13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M551" s="73"/>
    </row>
    <row r="552" spans="1:13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M552" s="73"/>
    </row>
    <row r="553" spans="1:1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M553" s="73"/>
    </row>
    <row r="554" spans="1:13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M554" s="73"/>
    </row>
    <row r="555" spans="1:13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M555" s="73"/>
    </row>
    <row r="556" spans="1:13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M556" s="73"/>
    </row>
    <row r="557" spans="1:13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M557" s="73"/>
    </row>
    <row r="558" spans="1:13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M558" s="73"/>
    </row>
    <row r="559" spans="1:13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M559" s="73"/>
    </row>
    <row r="560" spans="1:13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M560" s="73"/>
    </row>
    <row r="561" spans="1:13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M561" s="73"/>
    </row>
    <row r="562" spans="1:13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M562" s="73"/>
    </row>
    <row r="563" spans="1:1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M563" s="73"/>
    </row>
    <row r="564" spans="1:13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M564" s="73"/>
    </row>
    <row r="565" spans="1:13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M565" s="73"/>
    </row>
    <row r="566" spans="1:13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M566" s="73"/>
    </row>
    <row r="567" spans="1:13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M567" s="73"/>
    </row>
    <row r="568" spans="1:13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M568" s="73"/>
    </row>
    <row r="569" spans="1:13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M569" s="73"/>
    </row>
    <row r="570" spans="1:13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M570" s="73"/>
    </row>
    <row r="571" spans="1:13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M571" s="73"/>
    </row>
    <row r="572" spans="1:13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M572" s="73"/>
    </row>
    <row r="573" spans="1:1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M573" s="73"/>
    </row>
    <row r="574" spans="1:13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M574" s="73"/>
    </row>
    <row r="575" spans="1:13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M575" s="73"/>
    </row>
    <row r="576" spans="1:13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M576" s="73"/>
    </row>
    <row r="577" spans="1:13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M577" s="73"/>
    </row>
    <row r="578" spans="1:13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M578" s="73"/>
    </row>
    <row r="579" spans="1:13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M579" s="73"/>
    </row>
    <row r="580" spans="1:13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M580" s="73"/>
    </row>
    <row r="581" spans="1:13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M581" s="73"/>
    </row>
    <row r="582" spans="1:13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M582" s="73"/>
    </row>
    <row r="583" spans="1:1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M583" s="73"/>
    </row>
    <row r="584" spans="1:13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M584" s="73"/>
    </row>
    <row r="585" spans="1:13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M585" s="73"/>
    </row>
    <row r="586" spans="1:13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M586" s="73"/>
    </row>
    <row r="587" spans="1:13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M587" s="73"/>
    </row>
    <row r="588" spans="1:13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M588" s="73"/>
    </row>
    <row r="589" spans="1:13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M589" s="73"/>
    </row>
    <row r="590" spans="1:13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M590" s="73"/>
    </row>
    <row r="591" spans="1:13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M591" s="73"/>
    </row>
    <row r="592" spans="1:13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M592" s="73"/>
    </row>
    <row r="593" spans="1:1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M593" s="73"/>
    </row>
    <row r="594" spans="1:13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M594" s="73"/>
    </row>
    <row r="595" spans="1:13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M595" s="73"/>
    </row>
    <row r="596" spans="1:13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M596" s="73"/>
    </row>
    <row r="597" spans="1:13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M597" s="73"/>
    </row>
    <row r="598" spans="1:13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M598" s="73"/>
    </row>
    <row r="599" spans="1:13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M599" s="73"/>
    </row>
    <row r="600" spans="1:13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M600" s="73"/>
    </row>
    <row r="601" spans="1:13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M601" s="73"/>
    </row>
    <row r="602" spans="1:13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M602" s="73"/>
    </row>
    <row r="603" spans="1:1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M603" s="73"/>
    </row>
    <row r="604" spans="1:13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M604" s="73"/>
    </row>
    <row r="605" spans="1:13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M605" s="73"/>
    </row>
    <row r="606" spans="1:13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M606" s="73"/>
    </row>
    <row r="607" spans="1:13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M607" s="73"/>
    </row>
    <row r="608" spans="1:13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M608" s="73"/>
    </row>
    <row r="609" spans="1:13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M609" s="73"/>
    </row>
    <row r="610" spans="1:13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M610" s="73"/>
    </row>
    <row r="611" spans="1:13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M611" s="73"/>
    </row>
    <row r="612" spans="1:13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M612" s="73"/>
    </row>
    <row r="613" spans="1: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M613" s="73"/>
    </row>
    <row r="614" spans="1:13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M614" s="73"/>
    </row>
    <row r="615" spans="1:13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M615" s="73"/>
    </row>
    <row r="616" spans="1:13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M616" s="73"/>
    </row>
    <row r="617" spans="1:13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M617" s="73"/>
    </row>
    <row r="618" spans="1:13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M618" s="73"/>
    </row>
    <row r="619" spans="1:13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M619" s="73"/>
    </row>
    <row r="620" spans="1:13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M620" s="73"/>
    </row>
    <row r="621" spans="1:13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M621" s="73"/>
    </row>
    <row r="622" spans="1:13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M622" s="73"/>
    </row>
    <row r="623" spans="1:1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M623" s="73"/>
    </row>
    <row r="624" spans="1:13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M624" s="73"/>
    </row>
    <row r="625" spans="1:13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M625" s="73"/>
    </row>
    <row r="626" spans="1:13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M626" s="73"/>
    </row>
    <row r="627" spans="1:13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M627" s="73"/>
    </row>
    <row r="628" spans="1:13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M628" s="73"/>
    </row>
    <row r="629" spans="1:13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M629" s="73"/>
    </row>
    <row r="630" spans="1:13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M630" s="73"/>
    </row>
    <row r="631" spans="1:13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M631" s="73"/>
    </row>
    <row r="632" spans="1:13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M632" s="73"/>
    </row>
    <row r="633" spans="1:1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M633" s="73"/>
    </row>
    <row r="634" spans="1:13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M634" s="73"/>
    </row>
    <row r="635" spans="1:13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M635" s="73"/>
    </row>
    <row r="636" spans="1:13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M636" s="73"/>
    </row>
    <row r="637" spans="1:13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M637" s="73"/>
    </row>
    <row r="638" spans="1:13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M638" s="73"/>
    </row>
    <row r="639" spans="1:13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M639" s="73"/>
    </row>
    <row r="640" spans="1:13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M640" s="73"/>
    </row>
    <row r="641" spans="1:13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M641" s="73"/>
    </row>
    <row r="642" spans="1:13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M642" s="73"/>
    </row>
    <row r="643" spans="1:1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M643" s="73"/>
    </row>
    <row r="644" spans="1:13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M644" s="73"/>
    </row>
    <row r="645" spans="1:13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M645" s="73"/>
    </row>
    <row r="646" spans="1:13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M646" s="73"/>
    </row>
    <row r="647" spans="1:13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M647" s="73"/>
    </row>
    <row r="648" spans="1:13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M648" s="73"/>
    </row>
    <row r="649" spans="1:13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M649" s="73"/>
    </row>
    <row r="650" spans="1:13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M650" s="73"/>
    </row>
    <row r="651" spans="1:13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M651" s="73"/>
    </row>
    <row r="652" spans="1:13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M652" s="73"/>
    </row>
    <row r="653" spans="1:1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M653" s="73"/>
    </row>
    <row r="654" spans="1:13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M654" s="73"/>
    </row>
    <row r="655" spans="1:13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M655" s="73"/>
    </row>
    <row r="656" spans="1:13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M656" s="73"/>
    </row>
    <row r="657" spans="1:13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M657" s="73"/>
    </row>
    <row r="658" spans="1:13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M658" s="73"/>
    </row>
    <row r="659" spans="1:13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M659" s="73"/>
    </row>
    <row r="660" spans="1:13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M660" s="73"/>
    </row>
    <row r="661" spans="1:13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M661" s="73"/>
    </row>
    <row r="662" spans="1:13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M662" s="73"/>
    </row>
    <row r="663" spans="1:1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M663" s="73"/>
    </row>
    <row r="664" spans="1:13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M664" s="73"/>
    </row>
    <row r="665" spans="1:13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M665" s="73"/>
    </row>
    <row r="666" spans="1:13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M666" s="73"/>
    </row>
    <row r="667" spans="1:13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M667" s="73"/>
    </row>
    <row r="668" spans="1:13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M668" s="73"/>
    </row>
    <row r="669" spans="1:13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M669" s="73"/>
    </row>
    <row r="670" spans="1:13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M670" s="73"/>
    </row>
    <row r="671" spans="1:13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M671" s="73"/>
    </row>
    <row r="672" spans="1:13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M672" s="73"/>
    </row>
    <row r="673" spans="1:1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M673" s="73"/>
    </row>
    <row r="674" spans="1:13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M674" s="73"/>
    </row>
    <row r="675" spans="1:13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M675" s="73"/>
    </row>
    <row r="676" spans="1:13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M676" s="73"/>
    </row>
    <row r="677" spans="1:13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M677" s="73"/>
    </row>
    <row r="678" spans="1:13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M678" s="73"/>
    </row>
    <row r="679" spans="1:13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M679" s="73"/>
    </row>
    <row r="680" spans="1:13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M680" s="73"/>
    </row>
    <row r="681" spans="1:13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M681" s="73"/>
    </row>
    <row r="682" spans="1:13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M682" s="73"/>
    </row>
    <row r="683" spans="1:1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M683" s="73"/>
    </row>
    <row r="684" spans="1:13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M684" s="73"/>
    </row>
    <row r="685" spans="1:13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M685" s="73"/>
    </row>
    <row r="686" spans="1:13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M686" s="73"/>
    </row>
    <row r="687" spans="1:13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M687" s="73"/>
    </row>
    <row r="688" spans="1:13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M688" s="73"/>
    </row>
    <row r="689" spans="1:13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M689" s="73"/>
    </row>
    <row r="690" spans="1:13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M690" s="73"/>
    </row>
    <row r="691" spans="1:13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M691" s="73"/>
    </row>
    <row r="692" spans="1:13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M692" s="73"/>
    </row>
    <row r="693" spans="1:1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M693" s="73"/>
    </row>
    <row r="694" spans="1:13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M694" s="73"/>
    </row>
    <row r="695" spans="1:13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M695" s="73"/>
    </row>
    <row r="696" spans="1:13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M696" s="73"/>
    </row>
    <row r="697" spans="1:13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M697" s="73"/>
    </row>
    <row r="698" spans="1:13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M698" s="73"/>
    </row>
    <row r="699" spans="1:13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M699" s="73"/>
    </row>
    <row r="700" spans="1:13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M700" s="73"/>
    </row>
    <row r="701" spans="1:13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M701" s="73"/>
    </row>
    <row r="702" spans="1:13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M702" s="73"/>
    </row>
    <row r="703" spans="1:1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M703" s="73"/>
    </row>
    <row r="704" spans="1:13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M704" s="73"/>
    </row>
    <row r="705" spans="1:13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M705" s="73"/>
    </row>
    <row r="706" spans="1:13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M706" s="73"/>
    </row>
    <row r="707" spans="1:13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M707" s="73"/>
    </row>
    <row r="708" spans="1:13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M708" s="73"/>
    </row>
    <row r="709" spans="1:13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M709" s="73"/>
    </row>
    <row r="710" spans="1:13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M710" s="73"/>
    </row>
    <row r="711" spans="1:13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M711" s="73"/>
    </row>
    <row r="712" spans="1:13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M712" s="73"/>
    </row>
    <row r="713" spans="1: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M713" s="73"/>
    </row>
    <row r="714" spans="1:13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M714" s="73"/>
    </row>
    <row r="715" spans="1:13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M715" s="73"/>
    </row>
    <row r="716" spans="1:13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M716" s="73"/>
    </row>
    <row r="717" spans="1:13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M717" s="73"/>
    </row>
    <row r="718" spans="1:13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M718" s="73"/>
    </row>
    <row r="719" spans="1:13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M719" s="73"/>
    </row>
    <row r="720" spans="1:13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M720" s="73"/>
    </row>
    <row r="721" spans="1:13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M721" s="73"/>
    </row>
    <row r="722" spans="1:13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M722" s="73"/>
    </row>
    <row r="723" spans="1:1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M723" s="73"/>
    </row>
    <row r="724" spans="1:13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M724" s="73"/>
    </row>
    <row r="725" spans="1:13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M725" s="73"/>
    </row>
    <row r="726" spans="1:13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M726" s="73"/>
    </row>
    <row r="727" spans="1:13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M727" s="73"/>
    </row>
    <row r="728" spans="1:13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M728" s="73"/>
    </row>
    <row r="729" spans="1:13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M729" s="73"/>
    </row>
    <row r="730" spans="1:13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M730" s="73"/>
    </row>
    <row r="731" spans="1:13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M731" s="73"/>
    </row>
    <row r="732" spans="1:13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M732" s="73"/>
    </row>
    <row r="733" spans="1:1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M733" s="73"/>
    </row>
    <row r="734" spans="1:13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M734" s="73"/>
    </row>
    <row r="735" spans="1:13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M735" s="73"/>
    </row>
    <row r="736" spans="1:13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M736" s="73"/>
    </row>
    <row r="737" spans="1:13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M737" s="73"/>
    </row>
    <row r="738" spans="1:13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M738" s="73"/>
    </row>
    <row r="739" spans="1:13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M739" s="73"/>
    </row>
    <row r="740" spans="1:13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M740" s="73"/>
    </row>
    <row r="741" spans="1:13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M741" s="73"/>
    </row>
    <row r="742" spans="1:13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M742" s="73"/>
    </row>
    <row r="743" spans="1:1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M743" s="73"/>
    </row>
    <row r="744" spans="1:13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M744" s="73"/>
    </row>
    <row r="745" spans="1:13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M745" s="73"/>
    </row>
    <row r="746" spans="1:13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M746" s="73"/>
    </row>
    <row r="747" spans="1:13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M747" s="73"/>
    </row>
    <row r="748" spans="1:13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M748" s="73"/>
    </row>
    <row r="749" spans="1:13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M749" s="73"/>
    </row>
    <row r="750" spans="1:13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M750" s="73"/>
    </row>
    <row r="751" spans="1:13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M751" s="73"/>
    </row>
    <row r="752" spans="1:13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M752" s="73"/>
    </row>
    <row r="753" spans="1:1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M753" s="73"/>
    </row>
    <row r="754" spans="1:13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M754" s="73"/>
    </row>
    <row r="755" spans="1:13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M755" s="73"/>
    </row>
    <row r="756" spans="1:13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M756" s="73"/>
    </row>
    <row r="757" spans="1:13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M757" s="73"/>
    </row>
    <row r="758" spans="1:13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M758" s="73"/>
    </row>
    <row r="759" spans="1:13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M759" s="73"/>
    </row>
    <row r="760" spans="1:13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M760" s="73"/>
    </row>
    <row r="761" spans="1:13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M761" s="73"/>
    </row>
    <row r="762" spans="1:13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M762" s="73"/>
    </row>
    <row r="763" spans="1:1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M763" s="73"/>
    </row>
    <row r="764" spans="1:13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M764" s="73"/>
    </row>
    <row r="765" spans="1:13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M765" s="73"/>
    </row>
    <row r="766" spans="1:13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M766" s="73"/>
    </row>
    <row r="767" spans="1:13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M767" s="73"/>
    </row>
    <row r="768" spans="1:13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M768" s="73"/>
    </row>
    <row r="769" spans="1:13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M769" s="73"/>
    </row>
    <row r="770" spans="1:13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M770" s="73"/>
    </row>
    <row r="771" spans="1:13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M771" s="73"/>
    </row>
    <row r="772" spans="1:13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M772" s="73"/>
    </row>
    <row r="773" spans="1:1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M773" s="73"/>
    </row>
    <row r="774" spans="1:13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M774" s="73"/>
    </row>
    <row r="775" spans="1:13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M775" s="73"/>
    </row>
    <row r="776" spans="1:13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M776" s="73"/>
    </row>
    <row r="777" spans="1:13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M777" s="73"/>
    </row>
    <row r="778" spans="1:13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M778" s="73"/>
    </row>
    <row r="779" spans="1:13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M779" s="73"/>
    </row>
    <row r="780" spans="1:13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M780" s="73"/>
    </row>
    <row r="781" spans="1:13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M781" s="73"/>
    </row>
    <row r="782" spans="1:13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M782" s="73"/>
    </row>
    <row r="783" spans="1:1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M783" s="73"/>
    </row>
    <row r="784" spans="1:13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M784" s="73"/>
    </row>
    <row r="785" spans="1:13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M785" s="73"/>
    </row>
    <row r="786" spans="1:13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M786" s="73"/>
    </row>
    <row r="787" spans="1:13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M787" s="73"/>
    </row>
    <row r="788" spans="1:13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M788" s="73"/>
    </row>
    <row r="789" spans="1:13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M789" s="73"/>
    </row>
    <row r="790" spans="1:13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M790" s="73"/>
    </row>
    <row r="791" spans="1:13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M791" s="73"/>
    </row>
    <row r="792" spans="1:13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M792" s="73"/>
    </row>
    <row r="793" spans="1:1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M793" s="73"/>
    </row>
    <row r="794" spans="1:13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M794" s="73"/>
    </row>
    <row r="795" spans="1:13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M795" s="73"/>
    </row>
    <row r="796" spans="1:13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M796" s="73"/>
    </row>
    <row r="797" spans="1:13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M797" s="73"/>
    </row>
    <row r="798" spans="1:13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M798" s="73"/>
    </row>
    <row r="799" spans="1:13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M799" s="73"/>
    </row>
    <row r="800" spans="1:13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M800" s="73"/>
    </row>
    <row r="801" spans="1:13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M801" s="73"/>
    </row>
    <row r="802" spans="1:13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M802" s="73"/>
    </row>
    <row r="803" spans="1:1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M803" s="73"/>
    </row>
    <row r="804" spans="1:13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M804" s="73"/>
    </row>
    <row r="805" spans="1:13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M805" s="73"/>
    </row>
    <row r="806" spans="1:13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M806" s="73"/>
    </row>
    <row r="807" spans="1:13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M807" s="73"/>
    </row>
    <row r="808" spans="1:13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M808" s="73"/>
    </row>
    <row r="809" spans="1:13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M809" s="73"/>
    </row>
    <row r="810" spans="1:13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M810" s="73"/>
    </row>
    <row r="811" spans="1:13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M811" s="73"/>
    </row>
    <row r="812" spans="1:13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M812" s="73"/>
    </row>
    <row r="813" spans="1: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M813" s="73"/>
    </row>
    <row r="814" spans="1:13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M814" s="73"/>
    </row>
    <row r="815" spans="1:13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M815" s="73"/>
    </row>
    <row r="816" spans="1:13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M816" s="73"/>
    </row>
    <row r="817" spans="1:13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M817" s="73"/>
    </row>
    <row r="818" spans="1:13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M818" s="73"/>
    </row>
    <row r="819" spans="1:13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M819" s="73"/>
    </row>
    <row r="820" spans="1:13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M820" s="73"/>
    </row>
    <row r="821" spans="1:13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M821" s="73"/>
    </row>
    <row r="822" spans="1:13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M822" s="73"/>
    </row>
    <row r="823" spans="1:1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M823" s="73"/>
    </row>
    <row r="824" spans="1:13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M824" s="73"/>
    </row>
    <row r="825" spans="1:13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M825" s="73"/>
    </row>
    <row r="826" spans="1:13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M826" s="73"/>
    </row>
    <row r="827" spans="1:13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M827" s="73"/>
    </row>
    <row r="828" spans="1:13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M828" s="73"/>
    </row>
    <row r="829" spans="1:13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M829" s="73"/>
    </row>
    <row r="830" spans="1:13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M830" s="73"/>
    </row>
    <row r="831" spans="1:13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M831" s="73"/>
    </row>
    <row r="832" spans="1:13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M832" s="73"/>
    </row>
    <row r="833" spans="1:1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M833" s="73"/>
    </row>
    <row r="834" spans="1:13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M834" s="73"/>
    </row>
    <row r="835" spans="1:13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M835" s="73"/>
    </row>
    <row r="836" spans="1:13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M836" s="73"/>
    </row>
    <row r="837" spans="1:13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M837" s="73"/>
    </row>
    <row r="838" spans="1:13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M838" s="73"/>
    </row>
    <row r="839" spans="1:13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M839" s="73"/>
    </row>
    <row r="840" spans="1:13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M840" s="73"/>
    </row>
    <row r="841" spans="1:13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M841" s="73"/>
    </row>
    <row r="842" spans="1:13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M842" s="73"/>
    </row>
    <row r="843" spans="1:1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M843" s="73"/>
    </row>
    <row r="844" spans="1:13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M844" s="73"/>
    </row>
    <row r="845" spans="1:13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M845" s="73"/>
    </row>
    <row r="846" spans="1:13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M846" s="73"/>
    </row>
    <row r="847" spans="1:13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M847" s="73"/>
    </row>
    <row r="848" spans="1:13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M848" s="73"/>
    </row>
    <row r="849" spans="1:13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M849" s="73"/>
    </row>
    <row r="850" spans="1:13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M850" s="73"/>
    </row>
    <row r="851" spans="1:13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M851" s="73"/>
    </row>
    <row r="852" spans="1:13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M852" s="73"/>
    </row>
    <row r="853" spans="1:1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M853" s="73"/>
    </row>
    <row r="854" spans="1:13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M854" s="73"/>
    </row>
    <row r="855" spans="1:13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M855" s="73"/>
    </row>
    <row r="856" spans="1:13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M856" s="73"/>
    </row>
    <row r="857" spans="1:13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M857" s="73"/>
    </row>
    <row r="858" spans="1:13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M858" s="73"/>
    </row>
    <row r="859" spans="1:13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M859" s="73"/>
    </row>
    <row r="860" spans="1:13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M860" s="73"/>
    </row>
    <row r="861" spans="1:13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M861" s="73"/>
    </row>
    <row r="862" spans="1:13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M862" s="73"/>
    </row>
    <row r="863" spans="1:1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M863" s="73"/>
    </row>
    <row r="864" spans="1:13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M864" s="73"/>
    </row>
    <row r="865" spans="1:13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M865" s="73"/>
    </row>
    <row r="866" spans="1:13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M866" s="73"/>
    </row>
    <row r="867" spans="1:13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M867" s="73"/>
    </row>
    <row r="868" spans="1:13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M868" s="73"/>
    </row>
    <row r="869" spans="1:13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M869" s="73"/>
    </row>
    <row r="870" spans="1:13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M870" s="73"/>
    </row>
    <row r="871" spans="1:13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M871" s="73"/>
    </row>
    <row r="872" spans="1:13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M872" s="73"/>
    </row>
    <row r="873" spans="1:1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M873" s="73"/>
    </row>
    <row r="874" spans="1:13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M874" s="73"/>
    </row>
    <row r="875" spans="1:13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M875" s="73"/>
    </row>
    <row r="876" spans="1:13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M876" s="73"/>
    </row>
    <row r="877" spans="1:13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M877" s="73"/>
    </row>
    <row r="878" spans="1:13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M878" s="73"/>
    </row>
    <row r="879" spans="1:13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M879" s="73"/>
    </row>
    <row r="880" spans="1:13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M880" s="73"/>
    </row>
    <row r="881" spans="1:13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M881" s="73"/>
    </row>
    <row r="882" spans="1:13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M882" s="73"/>
    </row>
    <row r="883" spans="1:1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M883" s="73"/>
    </row>
    <row r="884" spans="1:13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M884" s="73"/>
    </row>
    <row r="885" spans="1:13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M885" s="73"/>
    </row>
    <row r="886" spans="1:13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M886" s="73"/>
    </row>
    <row r="887" spans="1:13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M887" s="73"/>
    </row>
    <row r="888" spans="1:13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M888" s="73"/>
    </row>
    <row r="889" spans="1:13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M889" s="73"/>
    </row>
    <row r="890" spans="1:13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M890" s="73"/>
    </row>
    <row r="891" spans="1:13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M891" s="73"/>
    </row>
    <row r="892" spans="1:13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M892" s="73"/>
    </row>
    <row r="893" spans="1:1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M893" s="73"/>
    </row>
    <row r="894" spans="1:13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M894" s="73"/>
    </row>
    <row r="895" spans="1:13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M895" s="73"/>
    </row>
    <row r="896" spans="1:13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M896" s="73"/>
    </row>
    <row r="897" spans="1:13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M897" s="73"/>
    </row>
    <row r="898" spans="1:13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M898" s="73"/>
    </row>
    <row r="899" spans="1:13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M899" s="73"/>
    </row>
    <row r="900" spans="1:13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M900" s="73"/>
    </row>
    <row r="901" spans="1:13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M901" s="73"/>
    </row>
    <row r="902" spans="1:13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M902" s="73"/>
    </row>
    <row r="903" spans="1:1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M903" s="73"/>
    </row>
    <row r="904" spans="1:13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M904" s="73"/>
    </row>
    <row r="905" spans="1:13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M905" s="73"/>
    </row>
    <row r="906" spans="1:13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M906" s="73"/>
    </row>
    <row r="907" spans="1:13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M907" s="73"/>
    </row>
    <row r="908" spans="1:13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M908" s="73"/>
    </row>
    <row r="909" spans="1:13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M909" s="73"/>
    </row>
    <row r="910" spans="1:13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M910" s="73"/>
    </row>
    <row r="911" spans="1:13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M911" s="73"/>
    </row>
    <row r="912" spans="1:13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M912" s="73"/>
    </row>
    <row r="913" spans="1: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M913" s="73"/>
    </row>
    <row r="914" spans="1:13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M914" s="73"/>
    </row>
    <row r="915" spans="1:13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M915" s="73"/>
    </row>
    <row r="916" spans="1:13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M916" s="73"/>
    </row>
    <row r="917" spans="1:13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M917" s="73"/>
    </row>
    <row r="918" spans="1:13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M918" s="73"/>
    </row>
    <row r="919" spans="1:13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M919" s="73"/>
    </row>
    <row r="920" spans="1:13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M920" s="73"/>
    </row>
    <row r="921" spans="1:13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M921" s="73"/>
    </row>
    <row r="922" spans="1:13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M922" s="73"/>
    </row>
    <row r="923" spans="1:1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M923" s="73"/>
    </row>
    <row r="924" spans="1:13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M924" s="73"/>
    </row>
    <row r="925" spans="1:13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M925" s="73"/>
    </row>
    <row r="926" spans="1:13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M926" s="73"/>
    </row>
    <row r="927" spans="1:13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M927" s="73"/>
    </row>
    <row r="928" spans="1:13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M928" s="73"/>
    </row>
    <row r="929" spans="1:13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M929" s="73"/>
    </row>
    <row r="930" spans="1:13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M930" s="73"/>
    </row>
    <row r="931" spans="1:13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M931" s="73"/>
    </row>
    <row r="932" spans="1:13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M932" s="73"/>
    </row>
    <row r="933" spans="1:1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M933" s="73"/>
    </row>
    <row r="934" spans="1:13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M934" s="73"/>
    </row>
    <row r="935" spans="1:13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M935" s="73"/>
    </row>
    <row r="936" spans="1:13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M936" s="73"/>
    </row>
    <row r="937" spans="1:13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M937" s="73"/>
    </row>
    <row r="938" spans="1:13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M938" s="73"/>
    </row>
    <row r="939" spans="1:13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M939" s="73"/>
    </row>
    <row r="940" spans="1:13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M940" s="73"/>
    </row>
    <row r="941" spans="1:13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M941" s="73"/>
    </row>
    <row r="942" spans="1:13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M942" s="73"/>
    </row>
    <row r="943" spans="1:1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M943" s="73"/>
    </row>
    <row r="944" spans="1:13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M944" s="73"/>
    </row>
    <row r="945" spans="1:13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M945" s="73"/>
    </row>
    <row r="946" spans="1:13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M946" s="73"/>
    </row>
    <row r="947" spans="1:13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M947" s="73"/>
    </row>
    <row r="948" spans="1:13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M948" s="73"/>
    </row>
    <row r="949" spans="1:13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M949" s="73"/>
    </row>
    <row r="950" spans="1:13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M950" s="73"/>
    </row>
    <row r="951" spans="1:13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M951" s="73"/>
    </row>
    <row r="952" spans="1:13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M952" s="73"/>
    </row>
    <row r="953" spans="1:1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M953" s="73"/>
    </row>
    <row r="954" spans="1:13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M954" s="73"/>
    </row>
    <row r="955" spans="1:13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M955" s="73"/>
    </row>
    <row r="956" spans="1:13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M956" s="73"/>
    </row>
    <row r="957" spans="1:13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M957" s="73"/>
    </row>
    <row r="958" spans="1:13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M958" s="73"/>
    </row>
    <row r="959" spans="1:13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M959" s="73"/>
    </row>
    <row r="960" spans="1:13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M960" s="73"/>
    </row>
    <row r="961" spans="1:13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M961" s="73"/>
    </row>
    <row r="962" spans="1:13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M962" s="73"/>
    </row>
    <row r="963" spans="1:1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M963" s="73"/>
    </row>
    <row r="964" spans="1:13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M964" s="73"/>
    </row>
    <row r="965" spans="1:13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M965" s="73"/>
    </row>
    <row r="966" spans="1:13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M966" s="73"/>
    </row>
    <row r="967" spans="1:13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M967" s="73"/>
    </row>
    <row r="968" spans="1:13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M968" s="73"/>
    </row>
    <row r="969" spans="1:13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M969" s="73"/>
    </row>
    <row r="970" spans="1:13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M970" s="73"/>
    </row>
    <row r="971" spans="1:13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M971" s="73"/>
    </row>
    <row r="972" spans="1:13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M972" s="73"/>
    </row>
    <row r="973" spans="1:1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M973" s="73"/>
    </row>
    <row r="974" spans="1:13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M974" s="73"/>
    </row>
    <row r="975" spans="1:13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M975" s="73"/>
    </row>
    <row r="976" spans="1:13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M976" s="73"/>
    </row>
    <row r="977" spans="1:13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M977" s="73"/>
    </row>
    <row r="978" spans="1:13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M978" s="73"/>
    </row>
    <row r="979" spans="1:13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M979" s="73"/>
    </row>
    <row r="980" spans="1:13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M980" s="73"/>
    </row>
    <row r="981" spans="1:13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M981" s="73"/>
    </row>
    <row r="982" spans="1:13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M982" s="73"/>
    </row>
    <row r="983" spans="1:1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M983" s="73"/>
    </row>
    <row r="984" spans="1:13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M984" s="73"/>
    </row>
    <row r="985" spans="1:13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M985" s="73"/>
    </row>
    <row r="986" spans="1:13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M986" s="73"/>
    </row>
    <row r="987" spans="1:13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M987" s="73"/>
    </row>
    <row r="988" spans="1:13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M988" s="73"/>
    </row>
    <row r="989" spans="1:13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M989" s="73"/>
    </row>
    <row r="990" spans="1:13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M990" s="73"/>
    </row>
    <row r="991" spans="1:13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M991" s="73"/>
    </row>
    <row r="992" spans="1:13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M992" s="73"/>
    </row>
    <row r="993" spans="1:1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M993" s="73"/>
    </row>
    <row r="994" spans="1:13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M994" s="73"/>
    </row>
    <row r="995" spans="1:13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M995" s="73"/>
    </row>
    <row r="996" spans="1:13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M996" s="73"/>
    </row>
    <row r="997" spans="1:13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M997" s="73"/>
    </row>
    <row r="998" spans="1:13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M998" s="73"/>
    </row>
    <row r="999" spans="1:13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M999" s="73"/>
    </row>
    <row r="1000" spans="1:13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M1000" s="73"/>
    </row>
  </sheetData>
  <mergeCells count="24">
    <mergeCell ref="H35:I37"/>
    <mergeCell ref="H38:I42"/>
    <mergeCell ref="B42:D42"/>
    <mergeCell ref="A43:I47"/>
    <mergeCell ref="A19:A22"/>
    <mergeCell ref="G19:G22"/>
    <mergeCell ref="A23:A29"/>
    <mergeCell ref="A30:A34"/>
    <mergeCell ref="H30:I34"/>
    <mergeCell ref="A35:A37"/>
    <mergeCell ref="A38:A42"/>
    <mergeCell ref="C16:C18"/>
    <mergeCell ref="A1:G2"/>
    <mergeCell ref="A3:B3"/>
    <mergeCell ref="D3:D4"/>
    <mergeCell ref="E3:E4"/>
    <mergeCell ref="A5:A8"/>
    <mergeCell ref="A9:A18"/>
    <mergeCell ref="J3:J4"/>
    <mergeCell ref="K3:K4"/>
    <mergeCell ref="G3:G4"/>
    <mergeCell ref="G5:G8"/>
    <mergeCell ref="C3:C4"/>
    <mergeCell ref="H3:I4"/>
  </mergeCells>
  <phoneticPr fontId="30" type="noConversion"/>
  <pageMargins left="0.25" right="0.25" top="0.75" bottom="0.75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000"/>
  <sheetViews>
    <sheetView workbookViewId="0"/>
  </sheetViews>
  <sheetFormatPr defaultColWidth="14.42578125" defaultRowHeight="15" customHeight="1"/>
  <cols>
    <col min="1" max="1" width="28" customWidth="1"/>
    <col min="2" max="2" width="82.5703125" customWidth="1"/>
    <col min="3" max="3" width="11.85546875" customWidth="1"/>
    <col min="4" max="4" width="12.85546875" customWidth="1"/>
    <col min="5" max="5" width="12.85546875" hidden="1" customWidth="1"/>
    <col min="6" max="6" width="12.42578125" customWidth="1"/>
    <col min="7" max="7" width="21.140625" customWidth="1"/>
    <col min="8" max="8" width="13" customWidth="1"/>
  </cols>
  <sheetData>
    <row r="1" spans="1:8" ht="16.5" customHeight="1">
      <c r="A1" s="625" t="s">
        <v>180</v>
      </c>
      <c r="B1" s="611"/>
      <c r="C1" s="611"/>
      <c r="D1" s="611"/>
      <c r="E1" s="611"/>
      <c r="F1" s="611"/>
      <c r="G1" s="611"/>
      <c r="H1" s="73"/>
    </row>
    <row r="2" spans="1:8" ht="18" customHeight="1">
      <c r="A2" s="610"/>
      <c r="B2" s="615"/>
      <c r="C2" s="615"/>
      <c r="D2" s="615"/>
      <c r="E2" s="615"/>
      <c r="F2" s="615"/>
      <c r="G2" s="615"/>
      <c r="H2" s="73"/>
    </row>
    <row r="3" spans="1:8" ht="16.5" customHeight="1">
      <c r="A3" s="699" t="s">
        <v>513</v>
      </c>
      <c r="B3" s="711"/>
      <c r="C3" s="678" t="s">
        <v>462</v>
      </c>
      <c r="D3" s="688" t="s">
        <v>585</v>
      </c>
      <c r="E3" s="678" t="s">
        <v>622</v>
      </c>
      <c r="F3" s="341" t="s">
        <v>544</v>
      </c>
      <c r="G3" s="678" t="s">
        <v>623</v>
      </c>
      <c r="H3" s="73"/>
    </row>
    <row r="4" spans="1:8" ht="16.5" customHeight="1">
      <c r="A4" s="342" t="s">
        <v>8</v>
      </c>
      <c r="B4" s="342" t="s">
        <v>9</v>
      </c>
      <c r="C4" s="636"/>
      <c r="D4" s="601"/>
      <c r="E4" s="636"/>
      <c r="F4" s="213" t="s">
        <v>10</v>
      </c>
      <c r="G4" s="636"/>
      <c r="H4" s="73"/>
    </row>
    <row r="5" spans="1:8" ht="16.5" customHeight="1">
      <c r="A5" s="666" t="s">
        <v>656</v>
      </c>
      <c r="B5" s="396" t="s">
        <v>657</v>
      </c>
      <c r="C5" s="344">
        <f t="shared" ref="C5:C15" si="0">D5*2-1000</f>
        <v>117000</v>
      </c>
      <c r="D5" s="346">
        <v>59000</v>
      </c>
      <c r="E5" s="347">
        <f t="shared" ref="E5:E32" si="1">1-(D5/C5)</f>
        <v>0.49572649572649574</v>
      </c>
      <c r="F5" s="539"/>
      <c r="G5" s="439"/>
      <c r="H5" s="73">
        <f t="shared" ref="H5:H35" si="2">D5*2</f>
        <v>118000</v>
      </c>
    </row>
    <row r="6" spans="1:8" ht="16.5" customHeight="1">
      <c r="A6" s="605"/>
      <c r="B6" s="401" t="s">
        <v>658</v>
      </c>
      <c r="C6" s="352">
        <f t="shared" si="0"/>
        <v>497000</v>
      </c>
      <c r="D6" s="354">
        <v>249000</v>
      </c>
      <c r="E6" s="389">
        <f t="shared" si="1"/>
        <v>0.49899396378269623</v>
      </c>
      <c r="F6" s="540"/>
      <c r="G6" s="441"/>
      <c r="H6" s="73">
        <f t="shared" si="2"/>
        <v>498000</v>
      </c>
    </row>
    <row r="7" spans="1:8" ht="16.5" customHeight="1">
      <c r="A7" s="605"/>
      <c r="B7" s="401" t="s">
        <v>659</v>
      </c>
      <c r="C7" s="352">
        <f t="shared" si="0"/>
        <v>397000</v>
      </c>
      <c r="D7" s="354">
        <v>199000</v>
      </c>
      <c r="E7" s="389">
        <f t="shared" si="1"/>
        <v>0.49874055415617125</v>
      </c>
      <c r="F7" s="540"/>
      <c r="G7" s="441"/>
      <c r="H7" s="73">
        <f t="shared" si="2"/>
        <v>398000</v>
      </c>
    </row>
    <row r="8" spans="1:8" ht="16.5" customHeight="1">
      <c r="A8" s="605"/>
      <c r="B8" s="401" t="s">
        <v>660</v>
      </c>
      <c r="C8" s="352">
        <f t="shared" si="0"/>
        <v>577000</v>
      </c>
      <c r="D8" s="354">
        <v>289000</v>
      </c>
      <c r="E8" s="389">
        <f t="shared" si="1"/>
        <v>0.49913344887348354</v>
      </c>
      <c r="F8" s="540"/>
      <c r="G8" s="441"/>
      <c r="H8" s="73">
        <f t="shared" si="2"/>
        <v>578000</v>
      </c>
    </row>
    <row r="9" spans="1:8" ht="15.75" customHeight="1">
      <c r="A9" s="605"/>
      <c r="B9" s="173" t="s">
        <v>661</v>
      </c>
      <c r="C9" s="352">
        <f t="shared" si="0"/>
        <v>777000</v>
      </c>
      <c r="D9" s="354">
        <v>389000</v>
      </c>
      <c r="E9" s="389">
        <f t="shared" si="1"/>
        <v>0.49935649935649939</v>
      </c>
      <c r="F9" s="540"/>
      <c r="G9" s="441"/>
      <c r="H9" s="73">
        <f t="shared" si="2"/>
        <v>778000</v>
      </c>
    </row>
    <row r="10" spans="1:8" ht="16.5" customHeight="1">
      <c r="A10" s="606"/>
      <c r="B10" s="404" t="s">
        <v>662</v>
      </c>
      <c r="C10" s="359">
        <f t="shared" si="0"/>
        <v>1379000</v>
      </c>
      <c r="D10" s="361">
        <v>690000</v>
      </c>
      <c r="E10" s="389">
        <f t="shared" si="1"/>
        <v>0.49963741841914433</v>
      </c>
      <c r="F10" s="541"/>
      <c r="G10" s="444"/>
      <c r="H10" s="73">
        <f t="shared" si="2"/>
        <v>1380000</v>
      </c>
    </row>
    <row r="11" spans="1:8" ht="16.5" customHeight="1">
      <c r="A11" s="666" t="s">
        <v>663</v>
      </c>
      <c r="B11" s="401" t="s">
        <v>664</v>
      </c>
      <c r="C11" s="352">
        <f t="shared" si="0"/>
        <v>177000</v>
      </c>
      <c r="D11" s="354">
        <v>89000</v>
      </c>
      <c r="E11" s="347">
        <f t="shared" si="1"/>
        <v>0.49717514124293782</v>
      </c>
      <c r="F11" s="465"/>
      <c r="G11" s="542"/>
      <c r="H11" s="73">
        <f t="shared" si="2"/>
        <v>178000</v>
      </c>
    </row>
    <row r="12" spans="1:8" ht="16.5" customHeight="1">
      <c r="A12" s="605"/>
      <c r="B12" s="401" t="s">
        <v>665</v>
      </c>
      <c r="C12" s="352">
        <f t="shared" si="0"/>
        <v>197000</v>
      </c>
      <c r="D12" s="354">
        <v>99000</v>
      </c>
      <c r="E12" s="389">
        <f t="shared" si="1"/>
        <v>0.4974619289340102</v>
      </c>
      <c r="F12" s="543"/>
      <c r="G12" s="542"/>
      <c r="H12" s="73">
        <f t="shared" si="2"/>
        <v>198000</v>
      </c>
    </row>
    <row r="13" spans="1:8" ht="16.5" customHeight="1">
      <c r="A13" s="605"/>
      <c r="B13" s="401" t="s">
        <v>666</v>
      </c>
      <c r="C13" s="352">
        <f t="shared" si="0"/>
        <v>357000</v>
      </c>
      <c r="D13" s="354">
        <v>179000</v>
      </c>
      <c r="E13" s="389">
        <f t="shared" si="1"/>
        <v>0.49859943977591037</v>
      </c>
      <c r="F13" s="543"/>
      <c r="G13" s="542"/>
      <c r="H13" s="73">
        <f t="shared" si="2"/>
        <v>358000</v>
      </c>
    </row>
    <row r="14" spans="1:8" ht="16.5" customHeight="1">
      <c r="A14" s="605"/>
      <c r="B14" s="442" t="s">
        <v>667</v>
      </c>
      <c r="C14" s="352">
        <f t="shared" si="0"/>
        <v>637000</v>
      </c>
      <c r="D14" s="354">
        <v>319000</v>
      </c>
      <c r="E14" s="389">
        <f t="shared" si="1"/>
        <v>0.49921507064364212</v>
      </c>
      <c r="F14" s="543"/>
      <c r="G14" s="542"/>
      <c r="H14" s="73">
        <f t="shared" si="2"/>
        <v>638000</v>
      </c>
    </row>
    <row r="15" spans="1:8" ht="16.5" customHeight="1">
      <c r="A15" s="605"/>
      <c r="B15" s="401" t="s">
        <v>668</v>
      </c>
      <c r="C15" s="352">
        <f t="shared" si="0"/>
        <v>797000</v>
      </c>
      <c r="D15" s="354">
        <v>399000</v>
      </c>
      <c r="E15" s="389">
        <f t="shared" si="1"/>
        <v>0.49937264742785448</v>
      </c>
      <c r="F15" s="543"/>
      <c r="G15" s="542"/>
      <c r="H15" s="73">
        <f t="shared" si="2"/>
        <v>798000</v>
      </c>
    </row>
    <row r="16" spans="1:8" ht="16.5" customHeight="1">
      <c r="A16" s="636"/>
      <c r="B16" s="387" t="s">
        <v>669</v>
      </c>
      <c r="C16" s="352">
        <v>797000</v>
      </c>
      <c r="D16" s="354">
        <v>399000</v>
      </c>
      <c r="E16" s="389">
        <f t="shared" si="1"/>
        <v>0.49937264742785448</v>
      </c>
      <c r="F16" s="543"/>
      <c r="G16" s="542"/>
      <c r="H16" s="73">
        <f t="shared" si="2"/>
        <v>798000</v>
      </c>
    </row>
    <row r="17" spans="1:8" ht="16.5" customHeight="1">
      <c r="A17" s="661" t="s">
        <v>670</v>
      </c>
      <c r="B17" s="248" t="s">
        <v>671</v>
      </c>
      <c r="C17" s="371">
        <f t="shared" ref="C17:C35" si="3">D17*2-1000</f>
        <v>397000</v>
      </c>
      <c r="D17" s="344">
        <v>199000</v>
      </c>
      <c r="E17" s="377">
        <f t="shared" si="1"/>
        <v>0.49874055415617125</v>
      </c>
      <c r="F17" s="539"/>
      <c r="G17" s="544"/>
      <c r="H17" s="73">
        <f t="shared" si="2"/>
        <v>398000</v>
      </c>
    </row>
    <row r="18" spans="1:8" ht="16.5" customHeight="1">
      <c r="A18" s="654"/>
      <c r="B18" s="252" t="s">
        <v>672</v>
      </c>
      <c r="C18" s="372">
        <f t="shared" si="3"/>
        <v>499000</v>
      </c>
      <c r="D18" s="352">
        <v>250000</v>
      </c>
      <c r="E18" s="477">
        <f t="shared" si="1"/>
        <v>0.49899799599198402</v>
      </c>
      <c r="F18" s="540"/>
      <c r="G18" s="542"/>
      <c r="H18" s="73">
        <f t="shared" si="2"/>
        <v>500000</v>
      </c>
    </row>
    <row r="19" spans="1:8" ht="16.5" customHeight="1">
      <c r="A19" s="654"/>
      <c r="B19" s="252" t="s">
        <v>673</v>
      </c>
      <c r="C19" s="372">
        <f t="shared" si="3"/>
        <v>1499000</v>
      </c>
      <c r="D19" s="352">
        <v>750000</v>
      </c>
      <c r="E19" s="477">
        <f t="shared" si="1"/>
        <v>0.49966644429619744</v>
      </c>
      <c r="F19" s="540"/>
      <c r="G19" s="542"/>
      <c r="H19" s="73">
        <f t="shared" si="2"/>
        <v>1500000</v>
      </c>
    </row>
    <row r="20" spans="1:8" ht="16.5" customHeight="1">
      <c r="A20" s="654"/>
      <c r="B20" s="252" t="s">
        <v>674</v>
      </c>
      <c r="C20" s="372">
        <f t="shared" si="3"/>
        <v>1499000</v>
      </c>
      <c r="D20" s="352">
        <v>750000</v>
      </c>
      <c r="E20" s="477">
        <f t="shared" si="1"/>
        <v>0.49966644429619744</v>
      </c>
      <c r="F20" s="540"/>
      <c r="G20" s="542"/>
      <c r="H20" s="73">
        <f t="shared" si="2"/>
        <v>1500000</v>
      </c>
    </row>
    <row r="21" spans="1:8" ht="16.5" customHeight="1">
      <c r="A21" s="655"/>
      <c r="B21" s="256" t="s">
        <v>573</v>
      </c>
      <c r="C21" s="437">
        <f t="shared" si="3"/>
        <v>1699000</v>
      </c>
      <c r="D21" s="359">
        <v>850000</v>
      </c>
      <c r="E21" s="478">
        <f t="shared" si="1"/>
        <v>0.49970570924072988</v>
      </c>
      <c r="F21" s="541"/>
      <c r="G21" s="545"/>
      <c r="H21" s="73">
        <f t="shared" si="2"/>
        <v>1700000</v>
      </c>
    </row>
    <row r="22" spans="1:8" ht="16.5" customHeight="1">
      <c r="A22" s="709" t="s">
        <v>675</v>
      </c>
      <c r="B22" s="387" t="s">
        <v>676</v>
      </c>
      <c r="C22" s="352">
        <f t="shared" si="3"/>
        <v>77000</v>
      </c>
      <c r="D22" s="416">
        <v>39000</v>
      </c>
      <c r="E22" s="389">
        <f t="shared" si="1"/>
        <v>0.49350649350649356</v>
      </c>
      <c r="F22" s="731"/>
      <c r="G22" s="441"/>
      <c r="H22" s="73">
        <f t="shared" si="2"/>
        <v>78000</v>
      </c>
    </row>
    <row r="23" spans="1:8" ht="16.5" customHeight="1">
      <c r="A23" s="605"/>
      <c r="B23" s="447" t="s">
        <v>677</v>
      </c>
      <c r="C23" s="352">
        <f t="shared" si="3"/>
        <v>137000</v>
      </c>
      <c r="D23" s="403">
        <v>69000</v>
      </c>
      <c r="E23" s="389">
        <f t="shared" si="1"/>
        <v>0.4963503649635036</v>
      </c>
      <c r="F23" s="605"/>
      <c r="G23" s="441"/>
      <c r="H23" s="73">
        <f t="shared" si="2"/>
        <v>138000</v>
      </c>
    </row>
    <row r="24" spans="1:8" ht="16.5" customHeight="1">
      <c r="A24" s="605"/>
      <c r="B24" s="442" t="s">
        <v>678</v>
      </c>
      <c r="C24" s="352">
        <f t="shared" si="3"/>
        <v>499000</v>
      </c>
      <c r="D24" s="416">
        <v>250000</v>
      </c>
      <c r="E24" s="389">
        <f t="shared" si="1"/>
        <v>0.49899799599198402</v>
      </c>
      <c r="F24" s="605"/>
      <c r="G24" s="441"/>
      <c r="H24" s="73">
        <f t="shared" si="2"/>
        <v>500000</v>
      </c>
    </row>
    <row r="25" spans="1:8" ht="16.5" customHeight="1">
      <c r="A25" s="605"/>
      <c r="B25" s="442" t="s">
        <v>679</v>
      </c>
      <c r="C25" s="352">
        <f t="shared" si="3"/>
        <v>197000</v>
      </c>
      <c r="D25" s="416">
        <v>99000</v>
      </c>
      <c r="E25" s="389">
        <f t="shared" si="1"/>
        <v>0.4974619289340102</v>
      </c>
      <c r="F25" s="605"/>
      <c r="G25" s="441"/>
      <c r="H25" s="73">
        <f t="shared" si="2"/>
        <v>198000</v>
      </c>
    </row>
    <row r="26" spans="1:8" ht="16.5" customHeight="1">
      <c r="A26" s="605"/>
      <c r="B26" s="447" t="s">
        <v>680</v>
      </c>
      <c r="C26" s="352">
        <f t="shared" si="3"/>
        <v>177000</v>
      </c>
      <c r="D26" s="403">
        <v>89000</v>
      </c>
      <c r="E26" s="389">
        <f t="shared" si="1"/>
        <v>0.49717514124293782</v>
      </c>
      <c r="F26" s="605"/>
      <c r="G26" s="441"/>
      <c r="H26" s="73">
        <f t="shared" si="2"/>
        <v>178000</v>
      </c>
    </row>
    <row r="27" spans="1:8" ht="16.5" customHeight="1">
      <c r="A27" s="605"/>
      <c r="B27" s="442" t="s">
        <v>681</v>
      </c>
      <c r="C27" s="352">
        <f t="shared" si="3"/>
        <v>237000</v>
      </c>
      <c r="D27" s="416">
        <v>119000</v>
      </c>
      <c r="E27" s="389">
        <f t="shared" si="1"/>
        <v>0.49789029535864981</v>
      </c>
      <c r="F27" s="605"/>
      <c r="G27" s="441"/>
      <c r="H27" s="73">
        <f t="shared" si="2"/>
        <v>238000</v>
      </c>
    </row>
    <row r="28" spans="1:8" ht="16.5" customHeight="1">
      <c r="A28" s="636"/>
      <c r="B28" s="442" t="s">
        <v>682</v>
      </c>
      <c r="C28" s="352">
        <f t="shared" si="3"/>
        <v>357000</v>
      </c>
      <c r="D28" s="416">
        <v>179000</v>
      </c>
      <c r="E28" s="389">
        <f t="shared" si="1"/>
        <v>0.49859943977591037</v>
      </c>
      <c r="F28" s="636"/>
      <c r="G28" s="441"/>
      <c r="H28" s="73">
        <f t="shared" si="2"/>
        <v>358000</v>
      </c>
    </row>
    <row r="29" spans="1:8" ht="36" customHeight="1">
      <c r="A29" s="652" t="s">
        <v>683</v>
      </c>
      <c r="B29" s="396" t="s">
        <v>169</v>
      </c>
      <c r="C29" s="344">
        <f t="shared" si="3"/>
        <v>117000</v>
      </c>
      <c r="D29" s="345">
        <v>59000</v>
      </c>
      <c r="E29" s="377">
        <f t="shared" si="1"/>
        <v>0.49572649572649574</v>
      </c>
      <c r="F29" s="229"/>
      <c r="G29" s="534"/>
      <c r="H29" s="73">
        <f t="shared" si="2"/>
        <v>118000</v>
      </c>
    </row>
    <row r="30" spans="1:8" ht="36.75" customHeight="1">
      <c r="A30" s="608"/>
      <c r="B30" s="401" t="s">
        <v>170</v>
      </c>
      <c r="C30" s="352">
        <f t="shared" si="3"/>
        <v>197000</v>
      </c>
      <c r="D30" s="353">
        <v>99000</v>
      </c>
      <c r="E30" s="477">
        <f t="shared" si="1"/>
        <v>0.4974619289340102</v>
      </c>
      <c r="F30" s="546"/>
      <c r="G30" s="535"/>
      <c r="H30" s="73">
        <f t="shared" si="2"/>
        <v>198000</v>
      </c>
    </row>
    <row r="31" spans="1:8" ht="60" customHeight="1">
      <c r="A31" s="610"/>
      <c r="B31" s="404" t="s">
        <v>684</v>
      </c>
      <c r="C31" s="359">
        <f t="shared" si="3"/>
        <v>197000</v>
      </c>
      <c r="D31" s="547">
        <v>99000</v>
      </c>
      <c r="E31" s="478">
        <f t="shared" si="1"/>
        <v>0.4974619289340102</v>
      </c>
      <c r="F31" s="548"/>
      <c r="G31" s="538"/>
      <c r="H31" s="73">
        <f t="shared" si="2"/>
        <v>198000</v>
      </c>
    </row>
    <row r="32" spans="1:8" ht="16.5" customHeight="1">
      <c r="A32" s="660" t="s">
        <v>616</v>
      </c>
      <c r="B32" s="169" t="s">
        <v>685</v>
      </c>
      <c r="C32" s="344">
        <f t="shared" si="3"/>
        <v>1999000</v>
      </c>
      <c r="D32" s="344">
        <v>1000000</v>
      </c>
      <c r="E32" s="537">
        <f t="shared" si="1"/>
        <v>0.4997498749374687</v>
      </c>
      <c r="F32" s="229"/>
      <c r="G32" s="229"/>
      <c r="H32" s="73">
        <f t="shared" si="2"/>
        <v>2000000</v>
      </c>
    </row>
    <row r="33" spans="1:8" ht="16.5" customHeight="1">
      <c r="A33" s="605"/>
      <c r="B33" s="507" t="s">
        <v>274</v>
      </c>
      <c r="C33" s="352">
        <f t="shared" si="3"/>
        <v>3599000</v>
      </c>
      <c r="D33" s="352">
        <v>1800000</v>
      </c>
      <c r="E33" s="73"/>
      <c r="F33" s="549"/>
      <c r="G33" s="546"/>
      <c r="H33" s="73">
        <f t="shared" si="2"/>
        <v>3600000</v>
      </c>
    </row>
    <row r="34" spans="1:8" ht="16.5" customHeight="1">
      <c r="A34" s="605"/>
      <c r="B34" s="507" t="s">
        <v>618</v>
      </c>
      <c r="C34" s="352">
        <f t="shared" si="3"/>
        <v>3799000</v>
      </c>
      <c r="D34" s="352">
        <v>1900000</v>
      </c>
      <c r="E34" s="537"/>
      <c r="F34" s="549"/>
      <c r="G34" s="546"/>
      <c r="H34" s="73">
        <f t="shared" si="2"/>
        <v>3800000</v>
      </c>
    </row>
    <row r="35" spans="1:8" ht="16.5" customHeight="1">
      <c r="A35" s="606"/>
      <c r="B35" s="470" t="s">
        <v>619</v>
      </c>
      <c r="C35" s="359">
        <f t="shared" si="3"/>
        <v>5399000</v>
      </c>
      <c r="D35" s="359">
        <v>2700000</v>
      </c>
      <c r="E35" s="200"/>
      <c r="F35" s="550"/>
      <c r="G35" s="550"/>
      <c r="H35" s="73">
        <f t="shared" si="2"/>
        <v>5400000</v>
      </c>
    </row>
    <row r="36" spans="1:8" ht="16.5" customHeight="1">
      <c r="A36" s="73"/>
      <c r="B36" s="73"/>
      <c r="C36" s="176"/>
      <c r="D36" s="176"/>
      <c r="E36" s="176"/>
      <c r="F36" s="176"/>
      <c r="G36" s="176"/>
      <c r="H36" s="73"/>
    </row>
    <row r="37" spans="1:8" ht="16.5" customHeight="1">
      <c r="A37" s="73"/>
      <c r="B37" s="73"/>
      <c r="C37" s="73"/>
      <c r="D37" s="73"/>
      <c r="E37" s="73"/>
      <c r="F37" s="551"/>
      <c r="G37" s="176"/>
      <c r="H37" s="73"/>
    </row>
    <row r="38" spans="1:8" ht="16.5" customHeight="1">
      <c r="A38" s="73"/>
      <c r="B38" s="73"/>
      <c r="C38" s="73"/>
      <c r="D38" s="73"/>
      <c r="E38" s="73"/>
      <c r="F38" s="73"/>
      <c r="G38" s="73"/>
      <c r="H38" s="73"/>
    </row>
    <row r="39" spans="1:8" ht="16.5" customHeight="1">
      <c r="A39" s="73"/>
      <c r="B39" s="73"/>
      <c r="C39" s="73"/>
      <c r="D39" s="73"/>
      <c r="E39" s="73"/>
      <c r="F39" s="73"/>
      <c r="G39" s="73"/>
      <c r="H39" s="73"/>
    </row>
    <row r="40" spans="1:8" ht="16.5" customHeight="1">
      <c r="A40" s="73"/>
      <c r="B40" s="73"/>
      <c r="C40" s="73"/>
      <c r="D40" s="73"/>
      <c r="E40" s="73"/>
      <c r="F40" s="73"/>
      <c r="G40" s="73"/>
      <c r="H40" s="73"/>
    </row>
    <row r="41" spans="1:8" ht="16.5" customHeight="1">
      <c r="A41" s="73"/>
      <c r="B41" s="73"/>
      <c r="C41" s="73"/>
      <c r="D41" s="73"/>
      <c r="E41" s="73"/>
      <c r="F41" s="73"/>
      <c r="G41" s="73"/>
      <c r="H41" s="73"/>
    </row>
    <row r="42" spans="1:8" ht="16.5" customHeight="1">
      <c r="A42" s="73"/>
      <c r="B42" s="73"/>
      <c r="C42" s="73"/>
      <c r="D42" s="73"/>
      <c r="E42" s="73"/>
      <c r="F42" s="73"/>
      <c r="G42" s="73"/>
      <c r="H42" s="73"/>
    </row>
    <row r="43" spans="1:8" ht="16.5" customHeight="1">
      <c r="A43" s="73"/>
      <c r="B43" s="73"/>
      <c r="C43" s="73"/>
      <c r="D43" s="73"/>
      <c r="E43" s="73"/>
      <c r="F43" s="73"/>
      <c r="G43" s="73"/>
      <c r="H43" s="73"/>
    </row>
    <row r="44" spans="1:8" ht="16.5" customHeight="1">
      <c r="A44" s="73"/>
      <c r="B44" s="73"/>
      <c r="C44" s="73"/>
      <c r="D44" s="73"/>
      <c r="E44" s="73"/>
      <c r="F44" s="73"/>
      <c r="G44" s="73"/>
      <c r="H44" s="73"/>
    </row>
    <row r="45" spans="1:8" ht="16.5" customHeight="1">
      <c r="A45" s="73"/>
      <c r="B45" s="73"/>
      <c r="C45" s="73"/>
      <c r="D45" s="73"/>
      <c r="E45" s="73"/>
      <c r="F45" s="73"/>
      <c r="G45" s="73"/>
      <c r="H45" s="73"/>
    </row>
    <row r="46" spans="1:8" ht="16.5" customHeight="1">
      <c r="A46" s="73"/>
      <c r="B46" s="73"/>
      <c r="C46" s="73"/>
      <c r="D46" s="73"/>
      <c r="E46" s="73"/>
      <c r="F46" s="73"/>
      <c r="G46" s="73"/>
      <c r="H46" s="73"/>
    </row>
    <row r="47" spans="1:8" ht="16.5" customHeight="1">
      <c r="A47" s="73"/>
      <c r="B47" s="73"/>
      <c r="C47" s="73"/>
      <c r="D47" s="73"/>
      <c r="E47" s="73"/>
      <c r="F47" s="176"/>
      <c r="G47" s="176"/>
      <c r="H47" s="73"/>
    </row>
    <row r="48" spans="1:8" ht="16.5" customHeight="1">
      <c r="A48" s="73"/>
      <c r="B48" s="73"/>
      <c r="C48" s="73"/>
      <c r="D48" s="73"/>
      <c r="E48" s="73"/>
      <c r="F48" s="176"/>
      <c r="G48" s="176"/>
      <c r="H48" s="73"/>
    </row>
    <row r="49" spans="1:8" ht="16.5" customHeight="1">
      <c r="A49" s="73"/>
      <c r="B49" s="73"/>
      <c r="C49" s="73"/>
      <c r="D49" s="73"/>
      <c r="E49" s="73"/>
      <c r="F49" s="176"/>
      <c r="G49" s="176"/>
      <c r="H49" s="73"/>
    </row>
    <row r="50" spans="1:8" ht="16.5" customHeight="1">
      <c r="A50" s="73"/>
      <c r="B50" s="73"/>
      <c r="C50" s="73"/>
      <c r="D50" s="73"/>
      <c r="E50" s="73"/>
      <c r="F50" s="176"/>
      <c r="G50" s="176"/>
      <c r="H50" s="73"/>
    </row>
    <row r="51" spans="1:8" ht="16.5" customHeight="1">
      <c r="A51" s="73"/>
      <c r="B51" s="73"/>
      <c r="C51" s="73"/>
      <c r="D51" s="73"/>
      <c r="E51" s="73"/>
      <c r="F51" s="176"/>
      <c r="G51" s="176"/>
      <c r="H51" s="73"/>
    </row>
    <row r="52" spans="1:8" ht="16.5" customHeight="1">
      <c r="A52" s="73"/>
      <c r="B52" s="73"/>
      <c r="C52" s="73"/>
      <c r="D52" s="73"/>
      <c r="E52" s="73"/>
      <c r="F52" s="176"/>
      <c r="G52" s="176"/>
      <c r="H52" s="73"/>
    </row>
    <row r="53" spans="1:8" ht="16.5" customHeight="1">
      <c r="A53" s="73"/>
      <c r="B53" s="73"/>
      <c r="C53" s="73"/>
      <c r="D53" s="73"/>
      <c r="E53" s="73"/>
      <c r="F53" s="176"/>
      <c r="G53" s="176"/>
      <c r="H53" s="73"/>
    </row>
    <row r="54" spans="1:8" ht="16.5" customHeight="1">
      <c r="A54" s="73"/>
      <c r="B54" s="73"/>
      <c r="C54" s="73"/>
      <c r="D54" s="73"/>
      <c r="E54" s="73"/>
      <c r="F54" s="176"/>
      <c r="G54" s="176"/>
      <c r="H54" s="73"/>
    </row>
    <row r="55" spans="1:8" ht="16.5" customHeight="1">
      <c r="A55" s="73"/>
      <c r="B55" s="73"/>
      <c r="C55" s="73"/>
      <c r="D55" s="73"/>
      <c r="E55" s="73"/>
      <c r="F55" s="176"/>
      <c r="G55" s="176"/>
      <c r="H55" s="73"/>
    </row>
    <row r="56" spans="1:8" ht="16.5" customHeight="1">
      <c r="A56" s="73"/>
      <c r="B56" s="73"/>
      <c r="C56" s="73"/>
      <c r="D56" s="73"/>
      <c r="E56" s="73"/>
      <c r="F56" s="176"/>
      <c r="G56" s="176"/>
      <c r="H56" s="73"/>
    </row>
    <row r="57" spans="1:8" ht="16.5" customHeight="1">
      <c r="A57" s="73"/>
      <c r="B57" s="73"/>
      <c r="C57" s="73"/>
      <c r="D57" s="73"/>
      <c r="E57" s="73"/>
      <c r="F57" s="176"/>
      <c r="G57" s="176"/>
      <c r="H57" s="73"/>
    </row>
    <row r="58" spans="1:8" ht="16.5" customHeight="1">
      <c r="A58" s="73"/>
      <c r="B58" s="73"/>
      <c r="C58" s="73"/>
      <c r="D58" s="73"/>
      <c r="E58" s="73"/>
      <c r="F58" s="176"/>
      <c r="G58" s="176"/>
      <c r="H58" s="73"/>
    </row>
    <row r="59" spans="1:8" ht="16.5" customHeight="1">
      <c r="A59" s="73"/>
      <c r="B59" s="73"/>
      <c r="C59" s="73"/>
      <c r="D59" s="73"/>
      <c r="E59" s="73"/>
      <c r="F59" s="176"/>
      <c r="G59" s="176"/>
      <c r="H59" s="73"/>
    </row>
    <row r="60" spans="1:8" ht="16.5" customHeight="1">
      <c r="A60" s="73"/>
      <c r="B60" s="73"/>
      <c r="C60" s="73"/>
      <c r="D60" s="73"/>
      <c r="E60" s="73"/>
      <c r="F60" s="176"/>
      <c r="G60" s="176"/>
      <c r="H60" s="73"/>
    </row>
    <row r="61" spans="1:8" ht="16.5" customHeight="1">
      <c r="A61" s="73"/>
      <c r="B61" s="73"/>
      <c r="C61" s="73"/>
      <c r="D61" s="73"/>
      <c r="E61" s="73"/>
      <c r="F61" s="176"/>
      <c r="G61" s="176"/>
      <c r="H61" s="73"/>
    </row>
    <row r="62" spans="1:8" ht="16.5" customHeight="1">
      <c r="A62" s="73"/>
      <c r="B62" s="73"/>
      <c r="C62" s="73"/>
      <c r="D62" s="73"/>
      <c r="E62" s="73"/>
      <c r="F62" s="176"/>
      <c r="G62" s="176"/>
      <c r="H62" s="73"/>
    </row>
    <row r="63" spans="1:8" ht="16.5" customHeight="1">
      <c r="A63" s="73"/>
      <c r="B63" s="73"/>
      <c r="C63" s="73"/>
      <c r="D63" s="73"/>
      <c r="E63" s="73"/>
      <c r="F63" s="176"/>
      <c r="G63" s="176"/>
      <c r="H63" s="73"/>
    </row>
    <row r="64" spans="1:8" ht="16.5" customHeight="1">
      <c r="A64" s="73"/>
      <c r="B64" s="73"/>
      <c r="C64" s="73"/>
      <c r="D64" s="73"/>
      <c r="E64" s="73"/>
      <c r="F64" s="176"/>
      <c r="G64" s="176"/>
      <c r="H64" s="73"/>
    </row>
    <row r="65" spans="1:8" ht="16.5" customHeight="1">
      <c r="A65" s="73"/>
      <c r="B65" s="73"/>
      <c r="C65" s="73"/>
      <c r="D65" s="73"/>
      <c r="E65" s="73"/>
      <c r="F65" s="176"/>
      <c r="G65" s="176"/>
      <c r="H65" s="73"/>
    </row>
    <row r="66" spans="1:8" ht="16.5" customHeight="1">
      <c r="A66" s="73"/>
      <c r="B66" s="73"/>
      <c r="C66" s="73"/>
      <c r="D66" s="73"/>
      <c r="E66" s="73"/>
      <c r="F66" s="176"/>
      <c r="G66" s="176"/>
      <c r="H66" s="73"/>
    </row>
    <row r="67" spans="1:8" ht="16.5" customHeight="1">
      <c r="A67" s="73"/>
      <c r="B67" s="73"/>
      <c r="C67" s="73"/>
      <c r="D67" s="73"/>
      <c r="E67" s="73"/>
      <c r="F67" s="176"/>
      <c r="G67" s="176"/>
      <c r="H67" s="73"/>
    </row>
    <row r="68" spans="1:8" ht="16.5" customHeight="1">
      <c r="A68" s="73"/>
      <c r="B68" s="73"/>
      <c r="C68" s="73"/>
      <c r="D68" s="73"/>
      <c r="E68" s="73"/>
      <c r="F68" s="176"/>
      <c r="G68" s="176"/>
      <c r="H68" s="73"/>
    </row>
    <row r="69" spans="1:8" ht="16.5" customHeight="1">
      <c r="A69" s="73"/>
      <c r="B69" s="73"/>
      <c r="C69" s="73"/>
      <c r="D69" s="73"/>
      <c r="E69" s="73"/>
      <c r="F69" s="176"/>
      <c r="G69" s="176"/>
      <c r="H69" s="73"/>
    </row>
    <row r="70" spans="1:8" ht="16.5" customHeight="1">
      <c r="A70" s="73"/>
      <c r="B70" s="73"/>
      <c r="C70" s="73"/>
      <c r="D70" s="73"/>
      <c r="E70" s="73"/>
      <c r="F70" s="176"/>
      <c r="G70" s="176"/>
      <c r="H70" s="73"/>
    </row>
    <row r="71" spans="1:8" ht="16.5" customHeight="1">
      <c r="A71" s="73"/>
      <c r="B71" s="73"/>
      <c r="C71" s="73"/>
      <c r="D71" s="73"/>
      <c r="E71" s="73"/>
      <c r="F71" s="176"/>
      <c r="G71" s="176"/>
      <c r="H71" s="73"/>
    </row>
    <row r="72" spans="1:8" ht="16.5" customHeight="1">
      <c r="A72" s="73"/>
      <c r="B72" s="73"/>
      <c r="C72" s="73"/>
      <c r="D72" s="73"/>
      <c r="E72" s="73"/>
      <c r="F72" s="176"/>
      <c r="G72" s="176"/>
      <c r="H72" s="73"/>
    </row>
    <row r="73" spans="1:8" ht="16.5" customHeight="1">
      <c r="A73" s="73"/>
      <c r="B73" s="73"/>
      <c r="C73" s="73"/>
      <c r="D73" s="73"/>
      <c r="E73" s="73"/>
      <c r="F73" s="176"/>
      <c r="G73" s="176"/>
      <c r="H73" s="73"/>
    </row>
    <row r="74" spans="1:8" ht="16.5" customHeight="1">
      <c r="A74" s="73"/>
      <c r="B74" s="73"/>
      <c r="C74" s="73"/>
      <c r="D74" s="73"/>
      <c r="E74" s="73"/>
      <c r="F74" s="176"/>
      <c r="G74" s="176"/>
      <c r="H74" s="73"/>
    </row>
    <row r="75" spans="1:8" ht="16.5" customHeight="1">
      <c r="A75" s="73"/>
      <c r="B75" s="73"/>
      <c r="C75" s="73"/>
      <c r="D75" s="73"/>
      <c r="E75" s="73"/>
      <c r="F75" s="176"/>
      <c r="G75" s="176"/>
      <c r="H75" s="73"/>
    </row>
    <row r="76" spans="1:8" ht="16.5" customHeight="1">
      <c r="A76" s="73"/>
      <c r="B76" s="73"/>
      <c r="C76" s="73"/>
      <c r="D76" s="73"/>
      <c r="E76" s="73"/>
      <c r="F76" s="176"/>
      <c r="G76" s="176"/>
      <c r="H76" s="73"/>
    </row>
    <row r="77" spans="1:8" ht="16.5" customHeight="1">
      <c r="A77" s="73"/>
      <c r="B77" s="73"/>
      <c r="C77" s="73"/>
      <c r="D77" s="73"/>
      <c r="E77" s="73"/>
      <c r="F77" s="176"/>
      <c r="G77" s="176"/>
      <c r="H77" s="73"/>
    </row>
    <row r="78" spans="1:8" ht="16.5" customHeight="1">
      <c r="A78" s="73"/>
      <c r="B78" s="73"/>
      <c r="C78" s="73"/>
      <c r="D78" s="73"/>
      <c r="E78" s="73"/>
      <c r="F78" s="176"/>
      <c r="G78" s="176"/>
      <c r="H78" s="73"/>
    </row>
    <row r="79" spans="1:8" ht="16.5" customHeight="1">
      <c r="A79" s="73"/>
      <c r="B79" s="73"/>
      <c r="C79" s="73"/>
      <c r="D79" s="73"/>
      <c r="E79" s="73"/>
      <c r="F79" s="176"/>
      <c r="G79" s="176"/>
      <c r="H79" s="73"/>
    </row>
    <row r="80" spans="1:8" ht="16.5" customHeight="1">
      <c r="A80" s="73"/>
      <c r="B80" s="73"/>
      <c r="C80" s="73"/>
      <c r="D80" s="73"/>
      <c r="E80" s="73"/>
      <c r="F80" s="176"/>
      <c r="G80" s="176"/>
      <c r="H80" s="73"/>
    </row>
    <row r="81" spans="1:8" ht="16.5" customHeight="1">
      <c r="A81" s="73"/>
      <c r="B81" s="73"/>
      <c r="C81" s="73"/>
      <c r="D81" s="73"/>
      <c r="E81" s="73"/>
      <c r="F81" s="176"/>
      <c r="G81" s="176"/>
      <c r="H81" s="73"/>
    </row>
    <row r="82" spans="1:8" ht="16.5" customHeight="1">
      <c r="A82" s="73"/>
      <c r="B82" s="73"/>
      <c r="C82" s="73"/>
      <c r="D82" s="73"/>
      <c r="E82" s="73"/>
      <c r="F82" s="176"/>
      <c r="G82" s="176"/>
      <c r="H82" s="73"/>
    </row>
    <row r="83" spans="1:8" ht="16.5" customHeight="1">
      <c r="A83" s="73"/>
      <c r="B83" s="73"/>
      <c r="C83" s="73"/>
      <c r="D83" s="73"/>
      <c r="E83" s="73"/>
      <c r="F83" s="176"/>
      <c r="G83" s="176"/>
      <c r="H83" s="73"/>
    </row>
    <row r="84" spans="1:8" ht="16.5" customHeight="1">
      <c r="A84" s="73"/>
      <c r="B84" s="73"/>
      <c r="C84" s="73"/>
      <c r="D84" s="73"/>
      <c r="E84" s="73"/>
      <c r="F84" s="176"/>
      <c r="G84" s="176"/>
      <c r="H84" s="73"/>
    </row>
    <row r="85" spans="1:8" ht="16.5" customHeight="1">
      <c r="A85" s="73"/>
      <c r="B85" s="73"/>
      <c r="C85" s="73"/>
      <c r="D85" s="73"/>
      <c r="E85" s="73"/>
      <c r="F85" s="176"/>
      <c r="G85" s="176"/>
      <c r="H85" s="73"/>
    </row>
    <row r="86" spans="1:8" ht="16.5" customHeight="1">
      <c r="A86" s="73"/>
      <c r="B86" s="73"/>
      <c r="C86" s="73"/>
      <c r="D86" s="73"/>
      <c r="E86" s="73"/>
      <c r="F86" s="176"/>
      <c r="G86" s="176"/>
      <c r="H86" s="73"/>
    </row>
    <row r="87" spans="1:8" ht="16.5" customHeight="1">
      <c r="A87" s="73"/>
      <c r="B87" s="73"/>
      <c r="C87" s="73"/>
      <c r="D87" s="73"/>
      <c r="E87" s="73"/>
      <c r="F87" s="176"/>
      <c r="G87" s="176"/>
      <c r="H87" s="73"/>
    </row>
    <row r="88" spans="1:8" ht="16.5" customHeight="1">
      <c r="A88" s="73"/>
      <c r="B88" s="73"/>
      <c r="C88" s="73"/>
      <c r="D88" s="73"/>
      <c r="E88" s="73"/>
      <c r="F88" s="176"/>
      <c r="G88" s="176"/>
      <c r="H88" s="73"/>
    </row>
    <row r="89" spans="1:8" ht="16.5" customHeight="1">
      <c r="A89" s="73"/>
      <c r="B89" s="73"/>
      <c r="C89" s="73"/>
      <c r="D89" s="73"/>
      <c r="E89" s="73"/>
      <c r="F89" s="176"/>
      <c r="G89" s="176"/>
      <c r="H89" s="73"/>
    </row>
    <row r="90" spans="1:8" ht="16.5" customHeight="1">
      <c r="A90" s="73"/>
      <c r="B90" s="73"/>
      <c r="C90" s="73"/>
      <c r="D90" s="73"/>
      <c r="E90" s="73"/>
      <c r="F90" s="176"/>
      <c r="G90" s="176"/>
      <c r="H90" s="73"/>
    </row>
    <row r="91" spans="1:8" ht="16.5" customHeight="1">
      <c r="A91" s="73"/>
      <c r="B91" s="73"/>
      <c r="C91" s="73"/>
      <c r="D91" s="73"/>
      <c r="E91" s="73"/>
      <c r="F91" s="176"/>
      <c r="G91" s="176"/>
      <c r="H91" s="73"/>
    </row>
    <row r="92" spans="1:8" ht="16.5" customHeight="1">
      <c r="A92" s="73"/>
      <c r="B92" s="73"/>
      <c r="C92" s="73"/>
      <c r="D92" s="73"/>
      <c r="E92" s="73"/>
      <c r="F92" s="176"/>
      <c r="G92" s="176"/>
      <c r="H92" s="73"/>
    </row>
    <row r="93" spans="1:8" ht="16.5" customHeight="1">
      <c r="A93" s="73"/>
      <c r="B93" s="73"/>
      <c r="C93" s="73"/>
      <c r="D93" s="73"/>
      <c r="E93" s="73"/>
      <c r="F93" s="176"/>
      <c r="G93" s="176"/>
      <c r="H93" s="73"/>
    </row>
    <row r="94" spans="1:8" ht="16.5" customHeight="1">
      <c r="A94" s="73"/>
      <c r="B94" s="73"/>
      <c r="C94" s="73"/>
      <c r="D94" s="73"/>
      <c r="E94" s="73"/>
      <c r="F94" s="176"/>
      <c r="G94" s="176"/>
      <c r="H94" s="73"/>
    </row>
    <row r="95" spans="1:8" ht="16.5" customHeight="1">
      <c r="A95" s="73"/>
      <c r="B95" s="73"/>
      <c r="C95" s="73"/>
      <c r="D95" s="73"/>
      <c r="E95" s="73"/>
      <c r="F95" s="176"/>
      <c r="G95" s="176"/>
      <c r="H95" s="73"/>
    </row>
    <row r="96" spans="1:8" ht="16.5" customHeight="1">
      <c r="A96" s="73"/>
      <c r="B96" s="73"/>
      <c r="C96" s="73"/>
      <c r="D96" s="73"/>
      <c r="E96" s="73"/>
      <c r="F96" s="176"/>
      <c r="G96" s="176"/>
      <c r="H96" s="73"/>
    </row>
    <row r="97" spans="1:8" ht="16.5" customHeight="1">
      <c r="A97" s="73"/>
      <c r="B97" s="73"/>
      <c r="C97" s="73"/>
      <c r="D97" s="73"/>
      <c r="E97" s="73"/>
      <c r="F97" s="176"/>
      <c r="G97" s="176"/>
      <c r="H97" s="73"/>
    </row>
    <row r="98" spans="1:8" ht="16.5" customHeight="1">
      <c r="A98" s="73"/>
      <c r="B98" s="73"/>
      <c r="C98" s="73"/>
      <c r="D98" s="73"/>
      <c r="E98" s="73"/>
      <c r="F98" s="176"/>
      <c r="G98" s="176"/>
      <c r="H98" s="73"/>
    </row>
    <row r="99" spans="1:8" ht="16.5" customHeight="1">
      <c r="A99" s="73"/>
      <c r="B99" s="73"/>
      <c r="C99" s="73"/>
      <c r="D99" s="73"/>
      <c r="E99" s="73"/>
      <c r="F99" s="176"/>
      <c r="G99" s="176"/>
      <c r="H99" s="73"/>
    </row>
    <row r="100" spans="1:8" ht="16.5" customHeight="1">
      <c r="A100" s="73"/>
      <c r="B100" s="73"/>
      <c r="C100" s="73"/>
      <c r="D100" s="73"/>
      <c r="E100" s="73"/>
      <c r="F100" s="176"/>
      <c r="G100" s="176"/>
      <c r="H100" s="73"/>
    </row>
    <row r="101" spans="1:8" ht="16.5" customHeight="1">
      <c r="A101" s="73"/>
      <c r="B101" s="73"/>
      <c r="C101" s="73"/>
      <c r="D101" s="73"/>
      <c r="E101" s="73"/>
      <c r="F101" s="176"/>
      <c r="G101" s="176"/>
      <c r="H101" s="73"/>
    </row>
    <row r="102" spans="1:8" ht="16.5" customHeight="1">
      <c r="A102" s="73"/>
      <c r="B102" s="73"/>
      <c r="C102" s="73"/>
      <c r="D102" s="73"/>
      <c r="E102" s="73"/>
      <c r="F102" s="176"/>
      <c r="G102" s="176"/>
      <c r="H102" s="73"/>
    </row>
    <row r="103" spans="1:8" ht="16.5" customHeight="1">
      <c r="A103" s="73"/>
      <c r="B103" s="73"/>
      <c r="C103" s="73"/>
      <c r="D103" s="73"/>
      <c r="E103" s="73"/>
      <c r="F103" s="176"/>
      <c r="G103" s="176"/>
      <c r="H103" s="73"/>
    </row>
    <row r="104" spans="1:8" ht="16.5" customHeight="1">
      <c r="A104" s="73"/>
      <c r="B104" s="73"/>
      <c r="C104" s="73"/>
      <c r="D104" s="73"/>
      <c r="E104" s="73"/>
      <c r="F104" s="176"/>
      <c r="G104" s="176"/>
      <c r="H104" s="73"/>
    </row>
    <row r="105" spans="1:8" ht="16.5" customHeight="1">
      <c r="A105" s="73"/>
      <c r="B105" s="73"/>
      <c r="C105" s="73"/>
      <c r="D105" s="73"/>
      <c r="E105" s="73"/>
      <c r="F105" s="176"/>
      <c r="G105" s="176"/>
      <c r="H105" s="73"/>
    </row>
    <row r="106" spans="1:8" ht="16.5" customHeight="1">
      <c r="A106" s="73"/>
      <c r="B106" s="73"/>
      <c r="C106" s="73"/>
      <c r="D106" s="73"/>
      <c r="E106" s="73"/>
      <c r="F106" s="176"/>
      <c r="G106" s="176"/>
      <c r="H106" s="73"/>
    </row>
    <row r="107" spans="1:8" ht="16.5" customHeight="1">
      <c r="A107" s="73"/>
      <c r="B107" s="73"/>
      <c r="C107" s="73"/>
      <c r="D107" s="73"/>
      <c r="E107" s="73"/>
      <c r="F107" s="176"/>
      <c r="G107" s="176"/>
      <c r="H107" s="73"/>
    </row>
    <row r="108" spans="1:8" ht="16.5" customHeight="1">
      <c r="A108" s="73"/>
      <c r="B108" s="73"/>
      <c r="C108" s="73"/>
      <c r="D108" s="73"/>
      <c r="E108" s="73"/>
      <c r="F108" s="176"/>
      <c r="G108" s="176"/>
      <c r="H108" s="73"/>
    </row>
    <row r="109" spans="1:8" ht="16.5" customHeight="1">
      <c r="A109" s="73"/>
      <c r="B109" s="73"/>
      <c r="C109" s="73"/>
      <c r="D109" s="73"/>
      <c r="E109" s="73"/>
      <c r="F109" s="176"/>
      <c r="G109" s="176"/>
      <c r="H109" s="73"/>
    </row>
    <row r="110" spans="1:8" ht="16.5" customHeight="1">
      <c r="A110" s="73"/>
      <c r="B110" s="73"/>
      <c r="C110" s="73"/>
      <c r="D110" s="73"/>
      <c r="E110" s="73"/>
      <c r="F110" s="176"/>
      <c r="G110" s="176"/>
      <c r="H110" s="73"/>
    </row>
    <row r="111" spans="1:8" ht="16.5" customHeight="1">
      <c r="A111" s="73"/>
      <c r="B111" s="73"/>
      <c r="C111" s="73"/>
      <c r="D111" s="73"/>
      <c r="E111" s="73"/>
      <c r="F111" s="176"/>
      <c r="G111" s="176"/>
      <c r="H111" s="73"/>
    </row>
    <row r="112" spans="1:8" ht="16.5" customHeight="1">
      <c r="A112" s="73"/>
      <c r="B112" s="73"/>
      <c r="C112" s="73"/>
      <c r="D112" s="73"/>
      <c r="E112" s="73"/>
      <c r="F112" s="176"/>
      <c r="G112" s="176"/>
      <c r="H112" s="73"/>
    </row>
    <row r="113" spans="1:8" ht="16.5" customHeight="1">
      <c r="A113" s="73"/>
      <c r="B113" s="73"/>
      <c r="C113" s="73"/>
      <c r="D113" s="73"/>
      <c r="E113" s="73"/>
      <c r="F113" s="176"/>
      <c r="G113" s="176"/>
      <c r="H113" s="73"/>
    </row>
    <row r="114" spans="1:8" ht="16.5" customHeight="1">
      <c r="A114" s="73"/>
      <c r="B114" s="73"/>
      <c r="C114" s="73"/>
      <c r="D114" s="73"/>
      <c r="E114" s="73"/>
      <c r="F114" s="176"/>
      <c r="G114" s="176"/>
      <c r="H114" s="73"/>
    </row>
    <row r="115" spans="1:8" ht="16.5" customHeight="1">
      <c r="A115" s="73"/>
      <c r="B115" s="73"/>
      <c r="C115" s="73"/>
      <c r="D115" s="73"/>
      <c r="E115" s="73"/>
      <c r="F115" s="176"/>
      <c r="G115" s="176"/>
      <c r="H115" s="73"/>
    </row>
    <row r="116" spans="1:8" ht="16.5" customHeight="1">
      <c r="A116" s="73"/>
      <c r="B116" s="73"/>
      <c r="C116" s="73"/>
      <c r="D116" s="73"/>
      <c r="E116" s="73"/>
      <c r="F116" s="176"/>
      <c r="G116" s="176"/>
      <c r="H116" s="73"/>
    </row>
    <row r="117" spans="1:8" ht="16.5" customHeight="1">
      <c r="A117" s="73"/>
      <c r="B117" s="73"/>
      <c r="C117" s="73"/>
      <c r="D117" s="73"/>
      <c r="E117" s="73"/>
      <c r="F117" s="176"/>
      <c r="G117" s="176"/>
      <c r="H117" s="73"/>
    </row>
    <row r="118" spans="1:8" ht="16.5" customHeight="1">
      <c r="A118" s="73"/>
      <c r="B118" s="73"/>
      <c r="C118" s="73"/>
      <c r="D118" s="73"/>
      <c r="E118" s="73"/>
      <c r="F118" s="176"/>
      <c r="G118" s="176"/>
      <c r="H118" s="73"/>
    </row>
    <row r="119" spans="1:8" ht="16.5" customHeight="1">
      <c r="A119" s="73"/>
      <c r="B119" s="73"/>
      <c r="C119" s="73"/>
      <c r="D119" s="73"/>
      <c r="E119" s="73"/>
      <c r="F119" s="176"/>
      <c r="G119" s="176"/>
      <c r="H119" s="73"/>
    </row>
    <row r="120" spans="1:8" ht="16.5" customHeight="1">
      <c r="A120" s="73"/>
      <c r="B120" s="73"/>
      <c r="C120" s="73"/>
      <c r="D120" s="73"/>
      <c r="E120" s="73"/>
      <c r="F120" s="176"/>
      <c r="G120" s="176"/>
      <c r="H120" s="73"/>
    </row>
    <row r="121" spans="1:8" ht="16.5" customHeight="1">
      <c r="A121" s="73"/>
      <c r="B121" s="73"/>
      <c r="C121" s="73"/>
      <c r="D121" s="73"/>
      <c r="E121" s="73"/>
      <c r="F121" s="176"/>
      <c r="G121" s="176"/>
      <c r="H121" s="73"/>
    </row>
    <row r="122" spans="1:8" ht="16.5" customHeight="1">
      <c r="A122" s="73"/>
      <c r="B122" s="73"/>
      <c r="C122" s="73"/>
      <c r="D122" s="73"/>
      <c r="E122" s="73"/>
      <c r="F122" s="176"/>
      <c r="G122" s="176"/>
      <c r="H122" s="73"/>
    </row>
    <row r="123" spans="1:8" ht="16.5" customHeight="1">
      <c r="A123" s="73"/>
      <c r="B123" s="73"/>
      <c r="C123" s="73"/>
      <c r="D123" s="73"/>
      <c r="E123" s="73"/>
      <c r="F123" s="176"/>
      <c r="G123" s="176"/>
      <c r="H123" s="73"/>
    </row>
    <row r="124" spans="1:8" ht="16.5" customHeight="1">
      <c r="A124" s="73"/>
      <c r="B124" s="73"/>
      <c r="C124" s="73"/>
      <c r="D124" s="73"/>
      <c r="E124" s="73"/>
      <c r="F124" s="176"/>
      <c r="G124" s="176"/>
      <c r="H124" s="73"/>
    </row>
    <row r="125" spans="1:8" ht="16.5" customHeight="1">
      <c r="A125" s="73"/>
      <c r="B125" s="73"/>
      <c r="C125" s="73"/>
      <c r="D125" s="73"/>
      <c r="E125" s="73"/>
      <c r="F125" s="176"/>
      <c r="G125" s="176"/>
      <c r="H125" s="73"/>
    </row>
    <row r="126" spans="1:8" ht="16.5" customHeight="1">
      <c r="A126" s="73"/>
      <c r="B126" s="73"/>
      <c r="C126" s="73"/>
      <c r="D126" s="73"/>
      <c r="E126" s="73"/>
      <c r="F126" s="176"/>
      <c r="G126" s="176"/>
      <c r="H126" s="73"/>
    </row>
    <row r="127" spans="1:8" ht="16.5" customHeight="1">
      <c r="A127" s="73"/>
      <c r="B127" s="73"/>
      <c r="C127" s="73"/>
      <c r="D127" s="73"/>
      <c r="E127" s="73"/>
      <c r="F127" s="176"/>
      <c r="G127" s="176"/>
      <c r="H127" s="73"/>
    </row>
    <row r="128" spans="1:8" ht="16.5" customHeight="1">
      <c r="A128" s="73"/>
      <c r="B128" s="73"/>
      <c r="C128" s="73"/>
      <c r="D128" s="73"/>
      <c r="E128" s="73"/>
      <c r="F128" s="176"/>
      <c r="G128" s="176"/>
      <c r="H128" s="73"/>
    </row>
    <row r="129" spans="1:8" ht="16.5" customHeight="1">
      <c r="A129" s="73"/>
      <c r="B129" s="73"/>
      <c r="C129" s="73"/>
      <c r="D129" s="73"/>
      <c r="E129" s="73"/>
      <c r="F129" s="176"/>
      <c r="G129" s="176"/>
      <c r="H129" s="73"/>
    </row>
    <row r="130" spans="1:8" ht="16.5" customHeight="1">
      <c r="A130" s="73"/>
      <c r="B130" s="73"/>
      <c r="C130" s="73"/>
      <c r="D130" s="73"/>
      <c r="E130" s="73"/>
      <c r="F130" s="176"/>
      <c r="G130" s="176"/>
      <c r="H130" s="73"/>
    </row>
    <row r="131" spans="1:8" ht="16.5" customHeight="1">
      <c r="A131" s="73"/>
      <c r="B131" s="73"/>
      <c r="C131" s="73"/>
      <c r="D131" s="73"/>
      <c r="E131" s="73"/>
      <c r="F131" s="176"/>
      <c r="G131" s="176"/>
      <c r="H131" s="73"/>
    </row>
    <row r="132" spans="1:8" ht="16.5" customHeight="1">
      <c r="A132" s="73"/>
      <c r="B132" s="73"/>
      <c r="C132" s="73"/>
      <c r="D132" s="73"/>
      <c r="E132" s="73"/>
      <c r="F132" s="176"/>
      <c r="G132" s="176"/>
      <c r="H132" s="73"/>
    </row>
    <row r="133" spans="1:8" ht="16.5" customHeight="1">
      <c r="A133" s="73"/>
      <c r="B133" s="73"/>
      <c r="C133" s="73"/>
      <c r="D133" s="73"/>
      <c r="E133" s="73"/>
      <c r="F133" s="176"/>
      <c r="G133" s="176"/>
      <c r="H133" s="73"/>
    </row>
    <row r="134" spans="1:8" ht="16.5" customHeight="1">
      <c r="A134" s="73"/>
      <c r="B134" s="73"/>
      <c r="C134" s="73"/>
      <c r="D134" s="73"/>
      <c r="E134" s="73"/>
      <c r="F134" s="176"/>
      <c r="G134" s="176"/>
      <c r="H134" s="73"/>
    </row>
    <row r="135" spans="1:8" ht="16.5" customHeight="1">
      <c r="A135" s="73"/>
      <c r="B135" s="73"/>
      <c r="C135" s="73"/>
      <c r="D135" s="73"/>
      <c r="E135" s="73"/>
      <c r="F135" s="176"/>
      <c r="G135" s="176"/>
      <c r="H135" s="73"/>
    </row>
    <row r="136" spans="1:8" ht="16.5" customHeight="1">
      <c r="A136" s="73"/>
      <c r="B136" s="73"/>
      <c r="C136" s="73"/>
      <c r="D136" s="73"/>
      <c r="E136" s="73"/>
      <c r="F136" s="176"/>
      <c r="G136" s="176"/>
      <c r="H136" s="73"/>
    </row>
    <row r="137" spans="1:8" ht="16.5" customHeight="1">
      <c r="A137" s="73"/>
      <c r="B137" s="73"/>
      <c r="C137" s="73"/>
      <c r="D137" s="73"/>
      <c r="E137" s="73"/>
      <c r="F137" s="176"/>
      <c r="G137" s="176"/>
      <c r="H137" s="73"/>
    </row>
    <row r="138" spans="1:8" ht="16.5" customHeight="1">
      <c r="A138" s="73"/>
      <c r="B138" s="73"/>
      <c r="C138" s="73"/>
      <c r="D138" s="73"/>
      <c r="E138" s="73"/>
      <c r="F138" s="176"/>
      <c r="G138" s="176"/>
      <c r="H138" s="73"/>
    </row>
    <row r="139" spans="1:8" ht="16.5" customHeight="1">
      <c r="A139" s="73"/>
      <c r="B139" s="73"/>
      <c r="C139" s="73"/>
      <c r="D139" s="73"/>
      <c r="E139" s="73"/>
      <c r="F139" s="176"/>
      <c r="G139" s="176"/>
      <c r="H139" s="73"/>
    </row>
    <row r="140" spans="1:8" ht="16.5" customHeight="1">
      <c r="A140" s="73"/>
      <c r="B140" s="73"/>
      <c r="C140" s="73"/>
      <c r="D140" s="73"/>
      <c r="E140" s="73"/>
      <c r="F140" s="176"/>
      <c r="G140" s="176"/>
      <c r="H140" s="73"/>
    </row>
    <row r="141" spans="1:8" ht="16.5" customHeight="1">
      <c r="A141" s="73"/>
      <c r="B141" s="73"/>
      <c r="C141" s="73"/>
      <c r="D141" s="73"/>
      <c r="E141" s="73"/>
      <c r="F141" s="176"/>
      <c r="G141" s="176"/>
      <c r="H141" s="73"/>
    </row>
    <row r="142" spans="1:8" ht="16.5" customHeight="1">
      <c r="A142" s="73"/>
      <c r="B142" s="73"/>
      <c r="C142" s="73"/>
      <c r="D142" s="73"/>
      <c r="E142" s="73"/>
      <c r="F142" s="176"/>
      <c r="G142" s="176"/>
      <c r="H142" s="73"/>
    </row>
    <row r="143" spans="1:8" ht="16.5" customHeight="1">
      <c r="A143" s="73"/>
      <c r="B143" s="73"/>
      <c r="C143" s="73"/>
      <c r="D143" s="73"/>
      <c r="E143" s="73"/>
      <c r="F143" s="176"/>
      <c r="G143" s="176"/>
      <c r="H143" s="73"/>
    </row>
    <row r="144" spans="1:8" ht="16.5" customHeight="1">
      <c r="A144" s="73"/>
      <c r="B144" s="73"/>
      <c r="C144" s="73"/>
      <c r="D144" s="73"/>
      <c r="E144" s="73"/>
      <c r="F144" s="176"/>
      <c r="G144" s="176"/>
      <c r="H144" s="73"/>
    </row>
    <row r="145" spans="1:8" ht="16.5" customHeight="1">
      <c r="A145" s="73"/>
      <c r="B145" s="73"/>
      <c r="C145" s="73"/>
      <c r="D145" s="73"/>
      <c r="E145" s="73"/>
      <c r="F145" s="176"/>
      <c r="G145" s="176"/>
      <c r="H145" s="73"/>
    </row>
    <row r="146" spans="1:8" ht="16.5" customHeight="1">
      <c r="A146" s="73"/>
      <c r="B146" s="73"/>
      <c r="C146" s="73"/>
      <c r="D146" s="73"/>
      <c r="E146" s="73"/>
      <c r="F146" s="176"/>
      <c r="G146" s="176"/>
      <c r="H146" s="73"/>
    </row>
    <row r="147" spans="1:8" ht="16.5" customHeight="1">
      <c r="A147" s="73"/>
      <c r="B147" s="73"/>
      <c r="C147" s="73"/>
      <c r="D147" s="73"/>
      <c r="E147" s="73"/>
      <c r="F147" s="176"/>
      <c r="G147" s="176"/>
      <c r="H147" s="73"/>
    </row>
    <row r="148" spans="1:8" ht="16.5" customHeight="1">
      <c r="A148" s="73"/>
      <c r="B148" s="73"/>
      <c r="C148" s="73"/>
      <c r="D148" s="73"/>
      <c r="E148" s="73"/>
      <c r="F148" s="176"/>
      <c r="G148" s="176"/>
      <c r="H148" s="73"/>
    </row>
    <row r="149" spans="1:8" ht="16.5" customHeight="1">
      <c r="A149" s="73"/>
      <c r="B149" s="73"/>
      <c r="C149" s="73"/>
      <c r="D149" s="73"/>
      <c r="E149" s="73"/>
      <c r="F149" s="176"/>
      <c r="G149" s="176"/>
      <c r="H149" s="73"/>
    </row>
    <row r="150" spans="1:8" ht="16.5" customHeight="1">
      <c r="A150" s="73"/>
      <c r="B150" s="73"/>
      <c r="C150" s="73"/>
      <c r="D150" s="73"/>
      <c r="E150" s="73"/>
      <c r="F150" s="176"/>
      <c r="G150" s="176"/>
      <c r="H150" s="73"/>
    </row>
    <row r="151" spans="1:8" ht="16.5" customHeight="1">
      <c r="A151" s="73"/>
      <c r="B151" s="73"/>
      <c r="C151" s="73"/>
      <c r="D151" s="73"/>
      <c r="E151" s="73"/>
      <c r="F151" s="176"/>
      <c r="G151" s="176"/>
      <c r="H151" s="73"/>
    </row>
    <row r="152" spans="1:8" ht="16.5" customHeight="1">
      <c r="A152" s="73"/>
      <c r="B152" s="73"/>
      <c r="C152" s="73"/>
      <c r="D152" s="73"/>
      <c r="E152" s="73"/>
      <c r="F152" s="176"/>
      <c r="G152" s="176"/>
      <c r="H152" s="73"/>
    </row>
    <row r="153" spans="1:8" ht="16.5" customHeight="1">
      <c r="A153" s="73"/>
      <c r="B153" s="73"/>
      <c r="C153" s="73"/>
      <c r="D153" s="73"/>
      <c r="E153" s="73"/>
      <c r="F153" s="176"/>
      <c r="G153" s="176"/>
      <c r="H153" s="73"/>
    </row>
    <row r="154" spans="1:8" ht="16.5" customHeight="1">
      <c r="A154" s="73"/>
      <c r="B154" s="73"/>
      <c r="C154" s="73"/>
      <c r="D154" s="73"/>
      <c r="E154" s="73"/>
      <c r="F154" s="176"/>
      <c r="G154" s="176"/>
      <c r="H154" s="73"/>
    </row>
    <row r="155" spans="1:8" ht="16.5" customHeight="1">
      <c r="A155" s="73"/>
      <c r="B155" s="73"/>
      <c r="C155" s="73"/>
      <c r="D155" s="73"/>
      <c r="E155" s="73"/>
      <c r="F155" s="176"/>
      <c r="G155" s="176"/>
      <c r="H155" s="73"/>
    </row>
    <row r="156" spans="1:8" ht="16.5" customHeight="1">
      <c r="A156" s="73"/>
      <c r="B156" s="73"/>
      <c r="C156" s="73"/>
      <c r="D156" s="73"/>
      <c r="E156" s="73"/>
      <c r="F156" s="176"/>
      <c r="G156" s="176"/>
      <c r="H156" s="73"/>
    </row>
    <row r="157" spans="1:8" ht="16.5" customHeight="1">
      <c r="A157" s="73"/>
      <c r="B157" s="73"/>
      <c r="C157" s="73"/>
      <c r="D157" s="73"/>
      <c r="E157" s="73"/>
      <c r="F157" s="176"/>
      <c r="G157" s="176"/>
      <c r="H157" s="73"/>
    </row>
    <row r="158" spans="1:8" ht="16.5" customHeight="1">
      <c r="A158" s="73"/>
      <c r="B158" s="73"/>
      <c r="C158" s="73"/>
      <c r="D158" s="73"/>
      <c r="E158" s="73"/>
      <c r="F158" s="176"/>
      <c r="G158" s="176"/>
      <c r="H158" s="73"/>
    </row>
    <row r="159" spans="1:8" ht="16.5" customHeight="1">
      <c r="A159" s="73"/>
      <c r="B159" s="73"/>
      <c r="C159" s="73"/>
      <c r="D159" s="73"/>
      <c r="E159" s="73"/>
      <c r="F159" s="176"/>
      <c r="G159" s="176"/>
      <c r="H159" s="73"/>
    </row>
    <row r="160" spans="1:8" ht="16.5" customHeight="1">
      <c r="A160" s="73"/>
      <c r="B160" s="73"/>
      <c r="C160" s="73"/>
      <c r="D160" s="73"/>
      <c r="E160" s="73"/>
      <c r="F160" s="176"/>
      <c r="G160" s="176"/>
      <c r="H160" s="73"/>
    </row>
    <row r="161" spans="1:8" ht="16.5" customHeight="1">
      <c r="A161" s="73"/>
      <c r="B161" s="73"/>
      <c r="C161" s="73"/>
      <c r="D161" s="73"/>
      <c r="E161" s="73"/>
      <c r="F161" s="176"/>
      <c r="G161" s="176"/>
      <c r="H161" s="73"/>
    </row>
    <row r="162" spans="1:8" ht="16.5" customHeight="1">
      <c r="A162" s="73"/>
      <c r="B162" s="73"/>
      <c r="C162" s="73"/>
      <c r="D162" s="73"/>
      <c r="E162" s="73"/>
      <c r="F162" s="176"/>
      <c r="G162" s="176"/>
      <c r="H162" s="73"/>
    </row>
    <row r="163" spans="1:8" ht="16.5" customHeight="1">
      <c r="A163" s="73"/>
      <c r="B163" s="73"/>
      <c r="C163" s="73"/>
      <c r="D163" s="73"/>
      <c r="E163" s="73"/>
      <c r="F163" s="176"/>
      <c r="G163" s="176"/>
      <c r="H163" s="73"/>
    </row>
    <row r="164" spans="1:8" ht="16.5" customHeight="1">
      <c r="A164" s="73"/>
      <c r="B164" s="73"/>
      <c r="C164" s="73"/>
      <c r="D164" s="73"/>
      <c r="E164" s="73"/>
      <c r="F164" s="176"/>
      <c r="G164" s="176"/>
      <c r="H164" s="73"/>
    </row>
    <row r="165" spans="1:8" ht="16.5" customHeight="1">
      <c r="A165" s="73"/>
      <c r="B165" s="73"/>
      <c r="C165" s="73"/>
      <c r="D165" s="73"/>
      <c r="E165" s="73"/>
      <c r="F165" s="176"/>
      <c r="G165" s="176"/>
      <c r="H165" s="73"/>
    </row>
    <row r="166" spans="1:8" ht="16.5" customHeight="1">
      <c r="A166" s="73"/>
      <c r="B166" s="73"/>
      <c r="C166" s="73"/>
      <c r="D166" s="73"/>
      <c r="E166" s="73"/>
      <c r="F166" s="176"/>
      <c r="G166" s="176"/>
      <c r="H166" s="73"/>
    </row>
    <row r="167" spans="1:8" ht="16.5" customHeight="1">
      <c r="A167" s="73"/>
      <c r="B167" s="73"/>
      <c r="C167" s="73"/>
      <c r="D167" s="73"/>
      <c r="E167" s="73"/>
      <c r="F167" s="176"/>
      <c r="G167" s="176"/>
      <c r="H167" s="73"/>
    </row>
    <row r="168" spans="1:8" ht="16.5" customHeight="1">
      <c r="A168" s="73"/>
      <c r="B168" s="73"/>
      <c r="C168" s="73"/>
      <c r="D168" s="73"/>
      <c r="E168" s="73"/>
      <c r="F168" s="176"/>
      <c r="G168" s="176"/>
      <c r="H168" s="73"/>
    </row>
    <row r="169" spans="1:8" ht="16.5" customHeight="1">
      <c r="A169" s="73"/>
      <c r="B169" s="73"/>
      <c r="C169" s="73"/>
      <c r="D169" s="73"/>
      <c r="E169" s="73"/>
      <c r="F169" s="176"/>
      <c r="G169" s="176"/>
      <c r="H169" s="73"/>
    </row>
    <row r="170" spans="1:8" ht="16.5" customHeight="1">
      <c r="A170" s="73"/>
      <c r="B170" s="73"/>
      <c r="C170" s="73"/>
      <c r="D170" s="73"/>
      <c r="E170" s="73"/>
      <c r="F170" s="176"/>
      <c r="G170" s="176"/>
      <c r="H170" s="73"/>
    </row>
    <row r="171" spans="1:8" ht="16.5" customHeight="1">
      <c r="A171" s="73"/>
      <c r="B171" s="73"/>
      <c r="C171" s="73"/>
      <c r="D171" s="73"/>
      <c r="E171" s="73"/>
      <c r="F171" s="176"/>
      <c r="G171" s="176"/>
      <c r="H171" s="73"/>
    </row>
    <row r="172" spans="1:8" ht="16.5" customHeight="1">
      <c r="A172" s="73"/>
      <c r="B172" s="73"/>
      <c r="C172" s="73"/>
      <c r="D172" s="73"/>
      <c r="E172" s="73"/>
      <c r="F172" s="176"/>
      <c r="G172" s="176"/>
      <c r="H172" s="73"/>
    </row>
    <row r="173" spans="1:8" ht="16.5" customHeight="1">
      <c r="A173" s="73"/>
      <c r="B173" s="73"/>
      <c r="C173" s="73"/>
      <c r="D173" s="73"/>
      <c r="E173" s="73"/>
      <c r="F173" s="176"/>
      <c r="G173" s="176"/>
      <c r="H173" s="73"/>
    </row>
    <row r="174" spans="1:8" ht="16.5" customHeight="1">
      <c r="A174" s="73"/>
      <c r="B174" s="73"/>
      <c r="C174" s="73"/>
      <c r="D174" s="73"/>
      <c r="E174" s="73"/>
      <c r="F174" s="176"/>
      <c r="G174" s="176"/>
      <c r="H174" s="73"/>
    </row>
    <row r="175" spans="1:8" ht="16.5" customHeight="1">
      <c r="A175" s="73"/>
      <c r="B175" s="73"/>
      <c r="C175" s="73"/>
      <c r="D175" s="73"/>
      <c r="E175" s="73"/>
      <c r="F175" s="176"/>
      <c r="G175" s="176"/>
      <c r="H175" s="73"/>
    </row>
    <row r="176" spans="1:8" ht="16.5" customHeight="1">
      <c r="A176" s="73"/>
      <c r="B176" s="73"/>
      <c r="C176" s="73"/>
      <c r="D176" s="73"/>
      <c r="E176" s="73"/>
      <c r="F176" s="176"/>
      <c r="G176" s="176"/>
      <c r="H176" s="73"/>
    </row>
    <row r="177" spans="1:8" ht="16.5" customHeight="1">
      <c r="A177" s="73"/>
      <c r="B177" s="73"/>
      <c r="C177" s="73"/>
      <c r="D177" s="73"/>
      <c r="E177" s="73"/>
      <c r="F177" s="176"/>
      <c r="G177" s="176"/>
      <c r="H177" s="73"/>
    </row>
    <row r="178" spans="1:8" ht="16.5" customHeight="1">
      <c r="A178" s="73"/>
      <c r="B178" s="73"/>
      <c r="C178" s="73"/>
      <c r="D178" s="73"/>
      <c r="E178" s="73"/>
      <c r="F178" s="176"/>
      <c r="G178" s="176"/>
      <c r="H178" s="73"/>
    </row>
    <row r="179" spans="1:8" ht="16.5" customHeight="1">
      <c r="A179" s="73"/>
      <c r="B179" s="73"/>
      <c r="C179" s="73"/>
      <c r="D179" s="73"/>
      <c r="E179" s="73"/>
      <c r="F179" s="176"/>
      <c r="G179" s="176"/>
      <c r="H179" s="73"/>
    </row>
    <row r="180" spans="1:8" ht="16.5" customHeight="1">
      <c r="A180" s="73"/>
      <c r="B180" s="73"/>
      <c r="C180" s="73"/>
      <c r="D180" s="73"/>
      <c r="E180" s="73"/>
      <c r="F180" s="176"/>
      <c r="G180" s="176"/>
      <c r="H180" s="73"/>
    </row>
    <row r="181" spans="1:8" ht="16.5" customHeight="1">
      <c r="A181" s="73"/>
      <c r="B181" s="73"/>
      <c r="C181" s="73"/>
      <c r="D181" s="73"/>
      <c r="E181" s="73"/>
      <c r="F181" s="176"/>
      <c r="G181" s="176"/>
      <c r="H181" s="73"/>
    </row>
    <row r="182" spans="1:8" ht="16.5" customHeight="1">
      <c r="A182" s="73"/>
      <c r="B182" s="73"/>
      <c r="C182" s="73"/>
      <c r="D182" s="73"/>
      <c r="E182" s="73"/>
      <c r="F182" s="176"/>
      <c r="G182" s="176"/>
      <c r="H182" s="73"/>
    </row>
    <row r="183" spans="1:8" ht="16.5" customHeight="1">
      <c r="A183" s="73"/>
      <c r="B183" s="73"/>
      <c r="C183" s="73"/>
      <c r="D183" s="73"/>
      <c r="E183" s="73"/>
      <c r="F183" s="176"/>
      <c r="G183" s="176"/>
      <c r="H183" s="73"/>
    </row>
    <row r="184" spans="1:8" ht="16.5" customHeight="1">
      <c r="A184" s="73"/>
      <c r="B184" s="73"/>
      <c r="C184" s="73"/>
      <c r="D184" s="73"/>
      <c r="E184" s="73"/>
      <c r="F184" s="176"/>
      <c r="G184" s="176"/>
      <c r="H184" s="73"/>
    </row>
    <row r="185" spans="1:8" ht="16.5" customHeight="1">
      <c r="A185" s="73"/>
      <c r="B185" s="73"/>
      <c r="C185" s="73"/>
      <c r="D185" s="73"/>
      <c r="E185" s="73"/>
      <c r="F185" s="176"/>
      <c r="G185" s="176"/>
      <c r="H185" s="73"/>
    </row>
    <row r="186" spans="1:8" ht="16.5" customHeight="1">
      <c r="A186" s="73"/>
      <c r="B186" s="73"/>
      <c r="C186" s="73"/>
      <c r="D186" s="73"/>
      <c r="E186" s="73"/>
      <c r="F186" s="176"/>
      <c r="G186" s="176"/>
      <c r="H186" s="73"/>
    </row>
    <row r="187" spans="1:8" ht="16.5" customHeight="1">
      <c r="A187" s="73"/>
      <c r="B187" s="73"/>
      <c r="C187" s="73"/>
      <c r="D187" s="73"/>
      <c r="E187" s="73"/>
      <c r="F187" s="176"/>
      <c r="G187" s="176"/>
      <c r="H187" s="73"/>
    </row>
    <row r="188" spans="1:8" ht="16.5" customHeight="1">
      <c r="A188" s="73"/>
      <c r="B188" s="73"/>
      <c r="C188" s="73"/>
      <c r="D188" s="73"/>
      <c r="E188" s="73"/>
      <c r="F188" s="176"/>
      <c r="G188" s="176"/>
      <c r="H188" s="73"/>
    </row>
    <row r="189" spans="1:8" ht="16.5" customHeight="1">
      <c r="A189" s="73"/>
      <c r="B189" s="73"/>
      <c r="C189" s="73"/>
      <c r="D189" s="73"/>
      <c r="E189" s="73"/>
      <c r="F189" s="176"/>
      <c r="G189" s="176"/>
      <c r="H189" s="73"/>
    </row>
    <row r="190" spans="1:8" ht="16.5" customHeight="1">
      <c r="A190" s="73"/>
      <c r="B190" s="73"/>
      <c r="C190" s="73"/>
      <c r="D190" s="73"/>
      <c r="E190" s="73"/>
      <c r="F190" s="176"/>
      <c r="G190" s="176"/>
      <c r="H190" s="73"/>
    </row>
    <row r="191" spans="1:8" ht="16.5" customHeight="1">
      <c r="A191" s="73"/>
      <c r="B191" s="73"/>
      <c r="C191" s="73"/>
      <c r="D191" s="73"/>
      <c r="E191" s="73"/>
      <c r="F191" s="176"/>
      <c r="G191" s="176"/>
      <c r="H191" s="73"/>
    </row>
    <row r="192" spans="1:8" ht="16.5" customHeight="1">
      <c r="A192" s="73"/>
      <c r="B192" s="73"/>
      <c r="C192" s="73"/>
      <c r="D192" s="73"/>
      <c r="E192" s="73"/>
      <c r="F192" s="176"/>
      <c r="G192" s="176"/>
      <c r="H192" s="73"/>
    </row>
    <row r="193" spans="1:8" ht="16.5" customHeight="1">
      <c r="A193" s="73"/>
      <c r="B193" s="73"/>
      <c r="C193" s="73"/>
      <c r="D193" s="73"/>
      <c r="E193" s="73"/>
      <c r="F193" s="176"/>
      <c r="G193" s="176"/>
      <c r="H193" s="73"/>
    </row>
    <row r="194" spans="1:8" ht="16.5" customHeight="1">
      <c r="A194" s="73"/>
      <c r="B194" s="73"/>
      <c r="C194" s="73"/>
      <c r="D194" s="73"/>
      <c r="E194" s="73"/>
      <c r="F194" s="176"/>
      <c r="G194" s="176"/>
      <c r="H194" s="73"/>
    </row>
    <row r="195" spans="1:8" ht="16.5" customHeight="1">
      <c r="A195" s="73"/>
      <c r="B195" s="73"/>
      <c r="C195" s="73"/>
      <c r="D195" s="73"/>
      <c r="E195" s="73"/>
      <c r="F195" s="176"/>
      <c r="G195" s="176"/>
      <c r="H195" s="73"/>
    </row>
    <row r="196" spans="1:8" ht="16.5" customHeight="1">
      <c r="A196" s="73"/>
      <c r="B196" s="73"/>
      <c r="C196" s="73"/>
      <c r="D196" s="73"/>
      <c r="E196" s="73"/>
      <c r="F196" s="176"/>
      <c r="G196" s="176"/>
      <c r="H196" s="73"/>
    </row>
    <row r="197" spans="1:8" ht="16.5" customHeight="1">
      <c r="A197" s="73"/>
      <c r="B197" s="73"/>
      <c r="C197" s="73"/>
      <c r="D197" s="73"/>
      <c r="E197" s="73"/>
      <c r="F197" s="176"/>
      <c r="G197" s="176"/>
      <c r="H197" s="73"/>
    </row>
    <row r="198" spans="1:8" ht="16.5" customHeight="1">
      <c r="A198" s="73"/>
      <c r="B198" s="73"/>
      <c r="C198" s="73"/>
      <c r="D198" s="73"/>
      <c r="E198" s="73"/>
      <c r="F198" s="176"/>
      <c r="G198" s="176"/>
      <c r="H198" s="73"/>
    </row>
    <row r="199" spans="1:8" ht="16.5" customHeight="1">
      <c r="A199" s="73"/>
      <c r="B199" s="73"/>
      <c r="C199" s="73"/>
      <c r="D199" s="73"/>
      <c r="E199" s="73"/>
      <c r="F199" s="176"/>
      <c r="G199" s="176"/>
      <c r="H199" s="73"/>
    </row>
    <row r="200" spans="1:8" ht="16.5" customHeight="1">
      <c r="A200" s="73"/>
      <c r="B200" s="73"/>
      <c r="C200" s="73"/>
      <c r="D200" s="73"/>
      <c r="E200" s="73"/>
      <c r="F200" s="176"/>
      <c r="G200" s="176"/>
      <c r="H200" s="73"/>
    </row>
    <row r="201" spans="1:8" ht="16.5" customHeight="1">
      <c r="A201" s="73"/>
      <c r="B201" s="73"/>
      <c r="C201" s="73"/>
      <c r="D201" s="73"/>
      <c r="E201" s="73"/>
      <c r="F201" s="176"/>
      <c r="G201" s="176"/>
      <c r="H201" s="73"/>
    </row>
    <row r="202" spans="1:8" ht="16.5" customHeight="1">
      <c r="A202" s="73"/>
      <c r="B202" s="73"/>
      <c r="C202" s="73"/>
      <c r="D202" s="73"/>
      <c r="E202" s="73"/>
      <c r="F202" s="176"/>
      <c r="G202" s="176"/>
      <c r="H202" s="73"/>
    </row>
    <row r="203" spans="1:8" ht="16.5" customHeight="1">
      <c r="A203" s="73"/>
      <c r="B203" s="73"/>
      <c r="C203" s="73"/>
      <c r="D203" s="73"/>
      <c r="E203" s="73"/>
      <c r="F203" s="176"/>
      <c r="G203" s="176"/>
      <c r="H203" s="73"/>
    </row>
    <row r="204" spans="1:8" ht="16.5" customHeight="1">
      <c r="A204" s="73"/>
      <c r="B204" s="73"/>
      <c r="C204" s="73"/>
      <c r="D204" s="73"/>
      <c r="E204" s="73"/>
      <c r="F204" s="176"/>
      <c r="G204" s="176"/>
      <c r="H204" s="73"/>
    </row>
    <row r="205" spans="1:8" ht="16.5" customHeight="1">
      <c r="A205" s="73"/>
      <c r="B205" s="73"/>
      <c r="C205" s="73"/>
      <c r="D205" s="73"/>
      <c r="E205" s="73"/>
      <c r="F205" s="176"/>
      <c r="G205" s="176"/>
      <c r="H205" s="73"/>
    </row>
    <row r="206" spans="1:8" ht="16.5" customHeight="1">
      <c r="A206" s="73"/>
      <c r="B206" s="73"/>
      <c r="C206" s="73"/>
      <c r="D206" s="73"/>
      <c r="E206" s="73"/>
      <c r="F206" s="176"/>
      <c r="G206" s="176"/>
      <c r="H206" s="73"/>
    </row>
    <row r="207" spans="1:8" ht="16.5" customHeight="1">
      <c r="A207" s="73"/>
      <c r="B207" s="73"/>
      <c r="C207" s="73"/>
      <c r="D207" s="73"/>
      <c r="E207" s="73"/>
      <c r="F207" s="176"/>
      <c r="G207" s="176"/>
      <c r="H207" s="73"/>
    </row>
    <row r="208" spans="1:8" ht="16.5" customHeight="1">
      <c r="A208" s="73"/>
      <c r="B208" s="73"/>
      <c r="C208" s="73"/>
      <c r="D208" s="73"/>
      <c r="E208" s="73"/>
      <c r="F208" s="176"/>
      <c r="G208" s="176"/>
      <c r="H208" s="73"/>
    </row>
    <row r="209" spans="1:8" ht="16.5" customHeight="1">
      <c r="A209" s="73"/>
      <c r="B209" s="73"/>
      <c r="C209" s="73"/>
      <c r="D209" s="73"/>
      <c r="E209" s="73"/>
      <c r="F209" s="176"/>
      <c r="G209" s="176"/>
      <c r="H209" s="73"/>
    </row>
    <row r="210" spans="1:8" ht="16.5" customHeight="1">
      <c r="A210" s="73"/>
      <c r="B210" s="73"/>
      <c r="C210" s="73"/>
      <c r="D210" s="73"/>
      <c r="E210" s="73"/>
      <c r="F210" s="176"/>
      <c r="G210" s="176"/>
      <c r="H210" s="73"/>
    </row>
    <row r="211" spans="1:8" ht="16.5" customHeight="1">
      <c r="A211" s="73"/>
      <c r="B211" s="73"/>
      <c r="C211" s="73"/>
      <c r="D211" s="73"/>
      <c r="E211" s="73"/>
      <c r="F211" s="176"/>
      <c r="G211" s="176"/>
      <c r="H211" s="73"/>
    </row>
    <row r="212" spans="1:8" ht="16.5" customHeight="1">
      <c r="A212" s="73"/>
      <c r="B212" s="73"/>
      <c r="C212" s="73"/>
      <c r="D212" s="73"/>
      <c r="E212" s="73"/>
      <c r="F212" s="176"/>
      <c r="G212" s="176"/>
      <c r="H212" s="73"/>
    </row>
    <row r="213" spans="1:8" ht="16.5" customHeight="1">
      <c r="A213" s="73"/>
      <c r="B213" s="73"/>
      <c r="C213" s="73"/>
      <c r="D213" s="73"/>
      <c r="E213" s="73"/>
      <c r="F213" s="176"/>
      <c r="G213" s="176"/>
      <c r="H213" s="73"/>
    </row>
    <row r="214" spans="1:8" ht="16.5" customHeight="1">
      <c r="A214" s="73"/>
      <c r="B214" s="73"/>
      <c r="C214" s="73"/>
      <c r="D214" s="73"/>
      <c r="E214" s="73"/>
      <c r="F214" s="176"/>
      <c r="G214" s="176"/>
      <c r="H214" s="73"/>
    </row>
    <row r="215" spans="1:8" ht="16.5" customHeight="1">
      <c r="A215" s="73"/>
      <c r="B215" s="73"/>
      <c r="C215" s="73"/>
      <c r="D215" s="73"/>
      <c r="E215" s="73"/>
      <c r="F215" s="176"/>
      <c r="G215" s="176"/>
      <c r="H215" s="73"/>
    </row>
    <row r="216" spans="1:8" ht="16.5" customHeight="1">
      <c r="A216" s="73"/>
      <c r="B216" s="73"/>
      <c r="C216" s="73"/>
      <c r="D216" s="73"/>
      <c r="E216" s="73"/>
      <c r="F216" s="176"/>
      <c r="G216" s="176"/>
      <c r="H216" s="73"/>
    </row>
    <row r="217" spans="1:8" ht="16.5" customHeight="1">
      <c r="A217" s="73"/>
      <c r="B217" s="73"/>
      <c r="C217" s="73"/>
      <c r="D217" s="73"/>
      <c r="E217" s="73"/>
      <c r="F217" s="176"/>
      <c r="G217" s="176"/>
      <c r="H217" s="73"/>
    </row>
    <row r="218" spans="1:8" ht="16.5" customHeight="1">
      <c r="A218" s="73"/>
      <c r="B218" s="73"/>
      <c r="C218" s="73"/>
      <c r="D218" s="73"/>
      <c r="E218" s="73"/>
      <c r="F218" s="176"/>
      <c r="G218" s="176"/>
      <c r="H218" s="73"/>
    </row>
    <row r="219" spans="1:8" ht="16.5" customHeight="1">
      <c r="A219" s="73"/>
      <c r="B219" s="73"/>
      <c r="C219" s="73"/>
      <c r="D219" s="73"/>
      <c r="E219" s="73"/>
      <c r="F219" s="176"/>
      <c r="G219" s="176"/>
      <c r="H219" s="73"/>
    </row>
    <row r="220" spans="1:8" ht="16.5" customHeight="1">
      <c r="A220" s="73"/>
      <c r="B220" s="73"/>
      <c r="C220" s="73"/>
      <c r="D220" s="73"/>
      <c r="E220" s="73"/>
      <c r="F220" s="176"/>
      <c r="G220" s="176"/>
      <c r="H220" s="73"/>
    </row>
    <row r="221" spans="1:8" ht="16.5" customHeight="1">
      <c r="A221" s="73"/>
      <c r="B221" s="73"/>
      <c r="C221" s="73"/>
      <c r="D221" s="73"/>
      <c r="E221" s="73"/>
      <c r="F221" s="176"/>
      <c r="G221" s="176"/>
      <c r="H221" s="73"/>
    </row>
    <row r="222" spans="1:8" ht="16.5" customHeight="1">
      <c r="A222" s="73"/>
      <c r="B222" s="73"/>
      <c r="C222" s="73"/>
      <c r="D222" s="73"/>
      <c r="E222" s="73"/>
      <c r="F222" s="176"/>
      <c r="G222" s="176"/>
      <c r="H222" s="73"/>
    </row>
    <row r="223" spans="1:8" ht="16.5" customHeight="1">
      <c r="A223" s="73"/>
      <c r="B223" s="73"/>
      <c r="C223" s="73"/>
      <c r="D223" s="73"/>
      <c r="E223" s="73"/>
      <c r="F223" s="176"/>
      <c r="G223" s="176"/>
      <c r="H223" s="73"/>
    </row>
    <row r="224" spans="1:8" ht="16.5" customHeight="1">
      <c r="A224" s="73"/>
      <c r="B224" s="73"/>
      <c r="C224" s="73"/>
      <c r="D224" s="73"/>
      <c r="E224" s="73"/>
      <c r="F224" s="176"/>
      <c r="G224" s="176"/>
      <c r="H224" s="73"/>
    </row>
    <row r="225" spans="1:8" ht="16.5" customHeight="1">
      <c r="A225" s="73"/>
      <c r="B225" s="73"/>
      <c r="C225" s="73"/>
      <c r="D225" s="73"/>
      <c r="E225" s="73"/>
      <c r="F225" s="176"/>
      <c r="G225" s="176"/>
      <c r="H225" s="73"/>
    </row>
    <row r="226" spans="1:8" ht="16.5" customHeight="1">
      <c r="A226" s="73"/>
      <c r="B226" s="73"/>
      <c r="C226" s="73"/>
      <c r="D226" s="73"/>
      <c r="E226" s="73"/>
      <c r="F226" s="176"/>
      <c r="G226" s="176"/>
      <c r="H226" s="73"/>
    </row>
    <row r="227" spans="1:8" ht="16.5" customHeight="1">
      <c r="A227" s="73"/>
      <c r="B227" s="73"/>
      <c r="C227" s="73"/>
      <c r="D227" s="73"/>
      <c r="E227" s="73"/>
      <c r="F227" s="176"/>
      <c r="G227" s="176"/>
      <c r="H227" s="73"/>
    </row>
    <row r="228" spans="1:8" ht="16.5" customHeight="1">
      <c r="A228" s="73"/>
      <c r="B228" s="73"/>
      <c r="C228" s="73"/>
      <c r="D228" s="73"/>
      <c r="E228" s="73"/>
      <c r="F228" s="176"/>
      <c r="G228" s="176"/>
      <c r="H228" s="73"/>
    </row>
    <row r="229" spans="1:8" ht="16.5" customHeight="1">
      <c r="A229" s="73"/>
      <c r="B229" s="73"/>
      <c r="C229" s="73"/>
      <c r="D229" s="73"/>
      <c r="E229" s="73"/>
      <c r="F229" s="176"/>
      <c r="G229" s="176"/>
      <c r="H229" s="73"/>
    </row>
    <row r="230" spans="1:8" ht="16.5" customHeight="1">
      <c r="A230" s="73"/>
      <c r="B230" s="73"/>
      <c r="C230" s="73"/>
      <c r="D230" s="73"/>
      <c r="E230" s="73"/>
      <c r="F230" s="176"/>
      <c r="G230" s="176"/>
      <c r="H230" s="73"/>
    </row>
    <row r="231" spans="1:8" ht="16.5" customHeight="1">
      <c r="A231" s="73"/>
      <c r="B231" s="73"/>
      <c r="C231" s="73"/>
      <c r="D231" s="73"/>
      <c r="E231" s="73"/>
      <c r="F231" s="176"/>
      <c r="G231" s="176"/>
      <c r="H231" s="73"/>
    </row>
    <row r="232" spans="1:8" ht="16.5" customHeight="1">
      <c r="A232" s="73"/>
      <c r="B232" s="73"/>
      <c r="C232" s="73"/>
      <c r="D232" s="73"/>
      <c r="E232" s="73"/>
      <c r="F232" s="176"/>
      <c r="G232" s="176"/>
      <c r="H232" s="73"/>
    </row>
    <row r="233" spans="1:8" ht="16.5" customHeight="1">
      <c r="A233" s="73"/>
      <c r="B233" s="73"/>
      <c r="C233" s="73"/>
      <c r="D233" s="73"/>
      <c r="E233" s="73"/>
      <c r="F233" s="176"/>
      <c r="G233" s="176"/>
      <c r="H233" s="73"/>
    </row>
    <row r="234" spans="1:8" ht="16.5" customHeight="1">
      <c r="A234" s="73"/>
      <c r="B234" s="73"/>
      <c r="C234" s="73"/>
      <c r="D234" s="73"/>
      <c r="E234" s="73"/>
      <c r="F234" s="176"/>
      <c r="G234" s="176"/>
      <c r="H234" s="73"/>
    </row>
    <row r="235" spans="1:8" ht="16.5" customHeight="1">
      <c r="A235" s="73"/>
      <c r="B235" s="73"/>
      <c r="C235" s="73"/>
      <c r="D235" s="73"/>
      <c r="E235" s="73"/>
      <c r="F235" s="176"/>
      <c r="G235" s="176"/>
      <c r="H235" s="73"/>
    </row>
    <row r="236" spans="1:8" ht="15.75" customHeight="1">
      <c r="A236" s="73"/>
      <c r="B236" s="73"/>
      <c r="C236" s="73"/>
      <c r="D236" s="73"/>
      <c r="E236" s="73"/>
      <c r="F236" s="73"/>
      <c r="G236" s="73"/>
      <c r="H236" s="73"/>
    </row>
    <row r="237" spans="1:8" ht="15.75" customHeight="1">
      <c r="A237" s="73"/>
      <c r="B237" s="73"/>
      <c r="C237" s="73"/>
      <c r="D237" s="73"/>
      <c r="E237" s="73"/>
      <c r="F237" s="73"/>
      <c r="G237" s="73"/>
      <c r="H237" s="73"/>
    </row>
    <row r="238" spans="1:8" ht="15.75" customHeight="1">
      <c r="A238" s="73"/>
      <c r="B238" s="73"/>
      <c r="C238" s="73"/>
      <c r="D238" s="73"/>
      <c r="E238" s="73"/>
      <c r="F238" s="73"/>
      <c r="G238" s="73"/>
      <c r="H238" s="73"/>
    </row>
    <row r="239" spans="1:8" ht="15.75" customHeight="1">
      <c r="A239" s="73"/>
      <c r="B239" s="73"/>
      <c r="C239" s="73"/>
      <c r="D239" s="73"/>
      <c r="E239" s="73"/>
      <c r="F239" s="73"/>
      <c r="G239" s="73"/>
      <c r="H239" s="73"/>
    </row>
    <row r="240" spans="1:8" ht="15.75" customHeight="1">
      <c r="A240" s="73"/>
      <c r="B240" s="73"/>
      <c r="C240" s="73"/>
      <c r="D240" s="73"/>
      <c r="E240" s="73"/>
      <c r="F240" s="73"/>
      <c r="G240" s="73"/>
      <c r="H240" s="73"/>
    </row>
    <row r="241" spans="1:8" ht="15.75" customHeight="1">
      <c r="A241" s="73"/>
      <c r="B241" s="73"/>
      <c r="C241" s="73"/>
      <c r="D241" s="73"/>
      <c r="E241" s="73"/>
      <c r="F241" s="73"/>
      <c r="G241" s="73"/>
      <c r="H241" s="73"/>
    </row>
    <row r="242" spans="1:8" ht="15.75" customHeight="1">
      <c r="A242" s="73"/>
      <c r="B242" s="73"/>
      <c r="C242" s="73"/>
      <c r="D242" s="73"/>
      <c r="E242" s="73"/>
      <c r="F242" s="73"/>
      <c r="G242" s="73"/>
      <c r="H242" s="73"/>
    </row>
    <row r="243" spans="1:8" ht="15.75" customHeight="1">
      <c r="A243" s="73"/>
      <c r="B243" s="73"/>
      <c r="C243" s="73"/>
      <c r="D243" s="73"/>
      <c r="E243" s="73"/>
      <c r="F243" s="73"/>
      <c r="G243" s="73"/>
      <c r="H243" s="73"/>
    </row>
    <row r="244" spans="1:8" ht="15.75" customHeight="1">
      <c r="A244" s="73"/>
      <c r="B244" s="73"/>
      <c r="C244" s="73"/>
      <c r="D244" s="73"/>
      <c r="E244" s="73"/>
      <c r="F244" s="73"/>
      <c r="G244" s="73"/>
      <c r="H244" s="73"/>
    </row>
    <row r="245" spans="1:8" ht="15.75" customHeight="1">
      <c r="A245" s="73"/>
      <c r="B245" s="73"/>
      <c r="C245" s="73"/>
      <c r="D245" s="73"/>
      <c r="E245" s="73"/>
      <c r="F245" s="73"/>
      <c r="G245" s="73"/>
      <c r="H245" s="73"/>
    </row>
    <row r="246" spans="1:8" ht="15.75" customHeight="1">
      <c r="A246" s="73"/>
      <c r="B246" s="73"/>
      <c r="C246" s="73"/>
      <c r="D246" s="73"/>
      <c r="E246" s="73"/>
      <c r="F246" s="73"/>
      <c r="G246" s="73"/>
      <c r="H246" s="73"/>
    </row>
    <row r="247" spans="1:8" ht="15.75" customHeight="1">
      <c r="A247" s="73"/>
      <c r="B247" s="73"/>
      <c r="C247" s="73"/>
      <c r="D247" s="73"/>
      <c r="E247" s="73"/>
      <c r="F247" s="73"/>
      <c r="G247" s="73"/>
      <c r="H247" s="73"/>
    </row>
    <row r="248" spans="1:8" ht="15.75" customHeight="1">
      <c r="A248" s="73"/>
      <c r="B248" s="73"/>
      <c r="C248" s="73"/>
      <c r="D248" s="73"/>
      <c r="E248" s="73"/>
      <c r="F248" s="73"/>
      <c r="G248" s="73"/>
      <c r="H248" s="73"/>
    </row>
    <row r="249" spans="1:8" ht="15.75" customHeight="1">
      <c r="A249" s="73"/>
      <c r="B249" s="73"/>
      <c r="C249" s="73"/>
      <c r="D249" s="73"/>
      <c r="E249" s="73"/>
      <c r="F249" s="73"/>
      <c r="G249" s="73"/>
      <c r="H249" s="73"/>
    </row>
    <row r="250" spans="1:8" ht="15.75" customHeight="1">
      <c r="A250" s="73"/>
      <c r="B250" s="73"/>
      <c r="C250" s="73"/>
      <c r="D250" s="73"/>
      <c r="E250" s="73"/>
      <c r="F250" s="73"/>
      <c r="G250" s="73"/>
      <c r="H250" s="73"/>
    </row>
    <row r="251" spans="1:8" ht="15.75" customHeight="1">
      <c r="A251" s="73"/>
      <c r="B251" s="73"/>
      <c r="C251" s="73"/>
      <c r="D251" s="73"/>
      <c r="E251" s="73"/>
      <c r="F251" s="73"/>
      <c r="G251" s="73"/>
      <c r="H251" s="73"/>
    </row>
    <row r="252" spans="1:8" ht="15.75" customHeight="1">
      <c r="A252" s="73"/>
      <c r="B252" s="73"/>
      <c r="C252" s="73"/>
      <c r="D252" s="73"/>
      <c r="E252" s="73"/>
      <c r="F252" s="73"/>
      <c r="G252" s="73"/>
      <c r="H252" s="73"/>
    </row>
    <row r="253" spans="1:8" ht="15.75" customHeight="1">
      <c r="A253" s="73"/>
      <c r="B253" s="73"/>
      <c r="C253" s="73"/>
      <c r="D253" s="73"/>
      <c r="E253" s="73"/>
      <c r="F253" s="73"/>
      <c r="G253" s="73"/>
      <c r="H253" s="73"/>
    </row>
    <row r="254" spans="1:8" ht="15.75" customHeight="1">
      <c r="A254" s="73"/>
      <c r="B254" s="73"/>
      <c r="C254" s="73"/>
      <c r="D254" s="73"/>
      <c r="E254" s="73"/>
      <c r="F254" s="73"/>
      <c r="G254" s="73"/>
      <c r="H254" s="73"/>
    </row>
    <row r="255" spans="1:8" ht="15.75" customHeight="1">
      <c r="A255" s="73"/>
      <c r="B255" s="73"/>
      <c r="C255" s="73"/>
      <c r="D255" s="73"/>
      <c r="E255" s="73"/>
      <c r="F255" s="73"/>
      <c r="G255" s="73"/>
      <c r="H255" s="73"/>
    </row>
    <row r="256" spans="1:8" ht="15.75" customHeight="1">
      <c r="A256" s="73"/>
      <c r="B256" s="73"/>
      <c r="C256" s="73"/>
      <c r="D256" s="73"/>
      <c r="E256" s="73"/>
      <c r="F256" s="73"/>
      <c r="G256" s="73"/>
      <c r="H256" s="73"/>
    </row>
    <row r="257" spans="1:8" ht="15.75" customHeight="1">
      <c r="A257" s="73"/>
      <c r="B257" s="73"/>
      <c r="C257" s="73"/>
      <c r="D257" s="73"/>
      <c r="E257" s="73"/>
      <c r="F257" s="73"/>
      <c r="G257" s="73"/>
      <c r="H257" s="73"/>
    </row>
    <row r="258" spans="1:8" ht="15.75" customHeight="1">
      <c r="A258" s="73"/>
      <c r="B258" s="73"/>
      <c r="C258" s="73"/>
      <c r="D258" s="73"/>
      <c r="E258" s="73"/>
      <c r="F258" s="73"/>
      <c r="G258" s="73"/>
      <c r="H258" s="73"/>
    </row>
    <row r="259" spans="1:8" ht="15.75" customHeight="1">
      <c r="A259" s="73"/>
      <c r="B259" s="73"/>
      <c r="C259" s="73"/>
      <c r="D259" s="73"/>
      <c r="E259" s="73"/>
      <c r="F259" s="73"/>
      <c r="G259" s="73"/>
      <c r="H259" s="73"/>
    </row>
    <row r="260" spans="1:8" ht="15.75" customHeight="1">
      <c r="A260" s="73"/>
      <c r="B260" s="73"/>
      <c r="C260" s="73"/>
      <c r="D260" s="73"/>
      <c r="E260" s="73"/>
      <c r="F260" s="73"/>
      <c r="G260" s="73"/>
      <c r="H260" s="73"/>
    </row>
    <row r="261" spans="1:8" ht="15.75" customHeight="1">
      <c r="A261" s="73"/>
      <c r="B261" s="73"/>
      <c r="C261" s="73"/>
      <c r="D261" s="73"/>
      <c r="E261" s="73"/>
      <c r="F261" s="73"/>
      <c r="G261" s="73"/>
      <c r="H261" s="73"/>
    </row>
    <row r="262" spans="1:8" ht="15.75" customHeight="1">
      <c r="A262" s="73"/>
      <c r="B262" s="73"/>
      <c r="C262" s="73"/>
      <c r="D262" s="73"/>
      <c r="E262" s="73"/>
      <c r="F262" s="73"/>
      <c r="G262" s="73"/>
      <c r="H262" s="73"/>
    </row>
    <row r="263" spans="1:8" ht="15.75" customHeight="1">
      <c r="A263" s="73"/>
      <c r="B263" s="73"/>
      <c r="C263" s="73"/>
      <c r="D263" s="73"/>
      <c r="E263" s="73"/>
      <c r="F263" s="73"/>
      <c r="G263" s="73"/>
      <c r="H263" s="73"/>
    </row>
    <row r="264" spans="1:8" ht="15.75" customHeight="1">
      <c r="A264" s="73"/>
      <c r="B264" s="73"/>
      <c r="C264" s="73"/>
      <c r="D264" s="73"/>
      <c r="E264" s="73"/>
      <c r="F264" s="73"/>
      <c r="G264" s="73"/>
      <c r="H264" s="73"/>
    </row>
    <row r="265" spans="1:8" ht="15.75" customHeight="1">
      <c r="A265" s="73"/>
      <c r="B265" s="73"/>
      <c r="C265" s="73"/>
      <c r="D265" s="73"/>
      <c r="E265" s="73"/>
      <c r="F265" s="73"/>
      <c r="G265" s="73"/>
      <c r="H265" s="73"/>
    </row>
    <row r="266" spans="1:8" ht="15.75" customHeight="1">
      <c r="A266" s="73"/>
      <c r="B266" s="73"/>
      <c r="C266" s="73"/>
      <c r="D266" s="73"/>
      <c r="E266" s="73"/>
      <c r="F266" s="73"/>
      <c r="G266" s="73"/>
      <c r="H266" s="73"/>
    </row>
    <row r="267" spans="1:8" ht="15.75" customHeight="1">
      <c r="A267" s="73"/>
      <c r="B267" s="73"/>
      <c r="C267" s="73"/>
      <c r="D267" s="73"/>
      <c r="E267" s="73"/>
      <c r="F267" s="73"/>
      <c r="G267" s="73"/>
      <c r="H267" s="73"/>
    </row>
    <row r="268" spans="1:8" ht="15.75" customHeight="1">
      <c r="A268" s="73"/>
      <c r="B268" s="73"/>
      <c r="C268" s="73"/>
      <c r="D268" s="73"/>
      <c r="E268" s="73"/>
      <c r="F268" s="73"/>
      <c r="G268" s="73"/>
      <c r="H268" s="73"/>
    </row>
    <row r="269" spans="1:8" ht="15.75" customHeight="1">
      <c r="A269" s="73"/>
      <c r="B269" s="73"/>
      <c r="C269" s="73"/>
      <c r="D269" s="73"/>
      <c r="E269" s="73"/>
      <c r="F269" s="73"/>
      <c r="G269" s="73"/>
      <c r="H269" s="73"/>
    </row>
    <row r="270" spans="1:8" ht="15.75" customHeight="1">
      <c r="A270" s="73"/>
      <c r="B270" s="73"/>
      <c r="C270" s="73"/>
      <c r="D270" s="73"/>
      <c r="E270" s="73"/>
      <c r="F270" s="73"/>
      <c r="G270" s="73"/>
      <c r="H270" s="73"/>
    </row>
    <row r="271" spans="1:8" ht="15.75" customHeight="1">
      <c r="A271" s="73"/>
      <c r="B271" s="73"/>
      <c r="C271" s="73"/>
      <c r="D271" s="73"/>
      <c r="E271" s="73"/>
      <c r="F271" s="73"/>
      <c r="G271" s="73"/>
      <c r="H271" s="73"/>
    </row>
    <row r="272" spans="1:8" ht="15.75" customHeight="1">
      <c r="A272" s="73"/>
      <c r="B272" s="73"/>
      <c r="C272" s="73"/>
      <c r="D272" s="73"/>
      <c r="E272" s="73"/>
      <c r="F272" s="73"/>
      <c r="G272" s="73"/>
      <c r="H272" s="73"/>
    </row>
    <row r="273" spans="1:8" ht="15.75" customHeight="1">
      <c r="A273" s="73"/>
      <c r="B273" s="73"/>
      <c r="C273" s="73"/>
      <c r="D273" s="73"/>
      <c r="E273" s="73"/>
      <c r="F273" s="73"/>
      <c r="G273" s="73"/>
      <c r="H273" s="73"/>
    </row>
    <row r="274" spans="1:8" ht="15.75" customHeight="1">
      <c r="A274" s="73"/>
      <c r="B274" s="73"/>
      <c r="C274" s="73"/>
      <c r="D274" s="73"/>
      <c r="E274" s="73"/>
      <c r="F274" s="73"/>
      <c r="G274" s="73"/>
      <c r="H274" s="73"/>
    </row>
    <row r="275" spans="1:8" ht="15.75" customHeight="1">
      <c r="A275" s="73"/>
      <c r="B275" s="73"/>
      <c r="C275" s="73"/>
      <c r="D275" s="73"/>
      <c r="E275" s="73"/>
      <c r="F275" s="73"/>
      <c r="G275" s="73"/>
      <c r="H275" s="73"/>
    </row>
    <row r="276" spans="1:8" ht="15.75" customHeight="1">
      <c r="A276" s="73"/>
      <c r="B276" s="73"/>
      <c r="C276" s="73"/>
      <c r="D276" s="73"/>
      <c r="E276" s="73"/>
      <c r="F276" s="73"/>
      <c r="G276" s="73"/>
      <c r="H276" s="73"/>
    </row>
    <row r="277" spans="1:8" ht="15.75" customHeight="1">
      <c r="A277" s="73"/>
      <c r="B277" s="73"/>
      <c r="C277" s="73"/>
      <c r="D277" s="73"/>
      <c r="E277" s="73"/>
      <c r="F277" s="73"/>
      <c r="G277" s="73"/>
      <c r="H277" s="73"/>
    </row>
    <row r="278" spans="1:8" ht="15.75" customHeight="1">
      <c r="A278" s="73"/>
      <c r="B278" s="73"/>
      <c r="C278" s="73"/>
      <c r="D278" s="73"/>
      <c r="E278" s="73"/>
      <c r="F278" s="73"/>
      <c r="G278" s="73"/>
      <c r="H278" s="73"/>
    </row>
    <row r="279" spans="1:8" ht="15.75" customHeight="1">
      <c r="A279" s="73"/>
      <c r="B279" s="73"/>
      <c r="C279" s="73"/>
      <c r="D279" s="73"/>
      <c r="E279" s="73"/>
      <c r="F279" s="73"/>
      <c r="G279" s="73"/>
      <c r="H279" s="73"/>
    </row>
    <row r="280" spans="1:8" ht="15.75" customHeight="1">
      <c r="A280" s="73"/>
      <c r="B280" s="73"/>
      <c r="C280" s="73"/>
      <c r="D280" s="73"/>
      <c r="E280" s="73"/>
      <c r="F280" s="73"/>
      <c r="G280" s="73"/>
      <c r="H280" s="73"/>
    </row>
    <row r="281" spans="1:8" ht="15.75" customHeight="1">
      <c r="A281" s="73"/>
      <c r="B281" s="73"/>
      <c r="C281" s="73"/>
      <c r="D281" s="73"/>
      <c r="E281" s="73"/>
      <c r="F281" s="73"/>
      <c r="G281" s="73"/>
      <c r="H281" s="73"/>
    </row>
    <row r="282" spans="1:8" ht="15.75" customHeight="1">
      <c r="A282" s="73"/>
      <c r="B282" s="73"/>
      <c r="C282" s="73"/>
      <c r="D282" s="73"/>
      <c r="E282" s="73"/>
      <c r="F282" s="73"/>
      <c r="G282" s="73"/>
      <c r="H282" s="73"/>
    </row>
    <row r="283" spans="1:8" ht="15.75" customHeight="1">
      <c r="A283" s="73"/>
      <c r="B283" s="73"/>
      <c r="C283" s="73"/>
      <c r="D283" s="73"/>
      <c r="E283" s="73"/>
      <c r="F283" s="73"/>
      <c r="G283" s="73"/>
      <c r="H283" s="73"/>
    </row>
    <row r="284" spans="1:8" ht="15.75" customHeight="1">
      <c r="A284" s="73"/>
      <c r="B284" s="73"/>
      <c r="C284" s="73"/>
      <c r="D284" s="73"/>
      <c r="E284" s="73"/>
      <c r="F284" s="73"/>
      <c r="G284" s="73"/>
      <c r="H284" s="73"/>
    </row>
    <row r="285" spans="1:8" ht="15.75" customHeight="1">
      <c r="A285" s="73"/>
      <c r="B285" s="73"/>
      <c r="C285" s="73"/>
      <c r="D285" s="73"/>
      <c r="E285" s="73"/>
      <c r="F285" s="73"/>
      <c r="G285" s="73"/>
      <c r="H285" s="73"/>
    </row>
    <row r="286" spans="1:8" ht="15.75" customHeight="1">
      <c r="A286" s="73"/>
      <c r="B286" s="73"/>
      <c r="C286" s="73"/>
      <c r="D286" s="73"/>
      <c r="E286" s="73"/>
      <c r="F286" s="73"/>
      <c r="G286" s="73"/>
      <c r="H286" s="73"/>
    </row>
    <row r="287" spans="1:8" ht="15.75" customHeight="1">
      <c r="A287" s="73"/>
      <c r="B287" s="73"/>
      <c r="C287" s="73"/>
      <c r="D287" s="73"/>
      <c r="E287" s="73"/>
      <c r="F287" s="73"/>
      <c r="G287" s="73"/>
      <c r="H287" s="73"/>
    </row>
    <row r="288" spans="1:8" ht="15.75" customHeight="1">
      <c r="A288" s="73"/>
      <c r="B288" s="73"/>
      <c r="C288" s="73"/>
      <c r="D288" s="73"/>
      <c r="E288" s="73"/>
      <c r="F288" s="73"/>
      <c r="G288" s="73"/>
      <c r="H288" s="73"/>
    </row>
    <row r="289" spans="1:8" ht="15.75" customHeight="1">
      <c r="A289" s="73"/>
      <c r="B289" s="73"/>
      <c r="C289" s="73"/>
      <c r="D289" s="73"/>
      <c r="E289" s="73"/>
      <c r="F289" s="73"/>
      <c r="G289" s="73"/>
      <c r="H289" s="73"/>
    </row>
    <row r="290" spans="1:8" ht="15.75" customHeight="1">
      <c r="A290" s="73"/>
      <c r="B290" s="73"/>
      <c r="C290" s="73"/>
      <c r="D290" s="73"/>
      <c r="E290" s="73"/>
      <c r="F290" s="73"/>
      <c r="G290" s="73"/>
      <c r="H290" s="73"/>
    </row>
    <row r="291" spans="1:8" ht="15.75" customHeight="1">
      <c r="A291" s="73"/>
      <c r="B291" s="73"/>
      <c r="C291" s="73"/>
      <c r="D291" s="73"/>
      <c r="E291" s="73"/>
      <c r="F291" s="73"/>
      <c r="G291" s="73"/>
      <c r="H291" s="73"/>
    </row>
    <row r="292" spans="1:8" ht="15.75" customHeight="1">
      <c r="A292" s="73"/>
      <c r="B292" s="73"/>
      <c r="C292" s="73"/>
      <c r="D292" s="73"/>
      <c r="E292" s="73"/>
      <c r="F292" s="73"/>
      <c r="G292" s="73"/>
      <c r="H292" s="73"/>
    </row>
    <row r="293" spans="1:8" ht="15.75" customHeight="1">
      <c r="A293" s="73"/>
      <c r="B293" s="73"/>
      <c r="C293" s="73"/>
      <c r="D293" s="73"/>
      <c r="E293" s="73"/>
      <c r="F293" s="73"/>
      <c r="G293" s="73"/>
      <c r="H293" s="73"/>
    </row>
    <row r="294" spans="1:8" ht="15.75" customHeight="1">
      <c r="A294" s="73"/>
      <c r="B294" s="73"/>
      <c r="C294" s="73"/>
      <c r="D294" s="73"/>
      <c r="E294" s="73"/>
      <c r="F294" s="73"/>
      <c r="G294" s="73"/>
      <c r="H294" s="73"/>
    </row>
    <row r="295" spans="1:8" ht="15.75" customHeight="1">
      <c r="A295" s="73"/>
      <c r="B295" s="73"/>
      <c r="C295" s="73"/>
      <c r="D295" s="73"/>
      <c r="E295" s="73"/>
      <c r="F295" s="73"/>
      <c r="G295" s="73"/>
      <c r="H295" s="73"/>
    </row>
    <row r="296" spans="1:8" ht="15.75" customHeight="1">
      <c r="A296" s="73"/>
      <c r="B296" s="73"/>
      <c r="C296" s="73"/>
      <c r="D296" s="73"/>
      <c r="E296" s="73"/>
      <c r="F296" s="73"/>
      <c r="G296" s="73"/>
      <c r="H296" s="73"/>
    </row>
    <row r="297" spans="1:8" ht="15.75" customHeight="1">
      <c r="A297" s="73"/>
      <c r="B297" s="73"/>
      <c r="C297" s="73"/>
      <c r="D297" s="73"/>
      <c r="E297" s="73"/>
      <c r="F297" s="73"/>
      <c r="G297" s="73"/>
      <c r="H297" s="73"/>
    </row>
    <row r="298" spans="1:8" ht="15.75" customHeight="1">
      <c r="A298" s="73"/>
      <c r="B298" s="73"/>
      <c r="C298" s="73"/>
      <c r="D298" s="73"/>
      <c r="E298" s="73"/>
      <c r="F298" s="73"/>
      <c r="G298" s="73"/>
      <c r="H298" s="73"/>
    </row>
    <row r="299" spans="1:8" ht="15.75" customHeight="1">
      <c r="A299" s="73"/>
      <c r="B299" s="73"/>
      <c r="C299" s="73"/>
      <c r="D299" s="73"/>
      <c r="E299" s="73"/>
      <c r="F299" s="73"/>
      <c r="G299" s="73"/>
      <c r="H299" s="73"/>
    </row>
    <row r="300" spans="1:8" ht="15.75" customHeight="1">
      <c r="A300" s="73"/>
      <c r="B300" s="73"/>
      <c r="C300" s="73"/>
      <c r="D300" s="73"/>
      <c r="E300" s="73"/>
      <c r="F300" s="73"/>
      <c r="G300" s="73"/>
      <c r="H300" s="73"/>
    </row>
    <row r="301" spans="1:8" ht="15.75" customHeight="1">
      <c r="A301" s="73"/>
      <c r="B301" s="73"/>
      <c r="C301" s="73"/>
      <c r="D301" s="73"/>
      <c r="E301" s="73"/>
      <c r="F301" s="73"/>
      <c r="G301" s="73"/>
      <c r="H301" s="73"/>
    </row>
    <row r="302" spans="1:8" ht="15.75" customHeight="1">
      <c r="A302" s="73"/>
      <c r="B302" s="73"/>
      <c r="C302" s="73"/>
      <c r="D302" s="73"/>
      <c r="E302" s="73"/>
      <c r="F302" s="73"/>
      <c r="G302" s="73"/>
      <c r="H302" s="73"/>
    </row>
    <row r="303" spans="1:8" ht="15.75" customHeight="1">
      <c r="A303" s="73"/>
      <c r="B303" s="73"/>
      <c r="C303" s="73"/>
      <c r="D303" s="73"/>
      <c r="E303" s="73"/>
      <c r="F303" s="73"/>
      <c r="G303" s="73"/>
      <c r="H303" s="73"/>
    </row>
    <row r="304" spans="1:8" ht="15.75" customHeight="1">
      <c r="A304" s="73"/>
      <c r="B304" s="73"/>
      <c r="C304" s="73"/>
      <c r="D304" s="73"/>
      <c r="E304" s="73"/>
      <c r="F304" s="73"/>
      <c r="G304" s="73"/>
      <c r="H304" s="73"/>
    </row>
    <row r="305" spans="1:8" ht="15.75" customHeight="1">
      <c r="A305" s="73"/>
      <c r="B305" s="73"/>
      <c r="C305" s="73"/>
      <c r="D305" s="73"/>
      <c r="E305" s="73"/>
      <c r="F305" s="73"/>
      <c r="G305" s="73"/>
      <c r="H305" s="73"/>
    </row>
    <row r="306" spans="1:8" ht="15.75" customHeight="1">
      <c r="A306" s="73"/>
      <c r="B306" s="73"/>
      <c r="C306" s="73"/>
      <c r="D306" s="73"/>
      <c r="E306" s="73"/>
      <c r="F306" s="73"/>
      <c r="G306" s="73"/>
      <c r="H306" s="73"/>
    </row>
    <row r="307" spans="1:8" ht="15.75" customHeight="1">
      <c r="A307" s="73"/>
      <c r="B307" s="73"/>
      <c r="C307" s="73"/>
      <c r="D307" s="73"/>
      <c r="E307" s="73"/>
      <c r="F307" s="73"/>
      <c r="G307" s="73"/>
      <c r="H307" s="73"/>
    </row>
    <row r="308" spans="1:8" ht="15.75" customHeight="1">
      <c r="A308" s="73"/>
      <c r="B308" s="73"/>
      <c r="C308" s="73"/>
      <c r="D308" s="73"/>
      <c r="E308" s="73"/>
      <c r="F308" s="73"/>
      <c r="G308" s="73"/>
      <c r="H308" s="73"/>
    </row>
    <row r="309" spans="1:8" ht="15.75" customHeight="1">
      <c r="A309" s="73"/>
      <c r="B309" s="73"/>
      <c r="C309" s="73"/>
      <c r="D309" s="73"/>
      <c r="E309" s="73"/>
      <c r="F309" s="73"/>
      <c r="G309" s="73"/>
      <c r="H309" s="73"/>
    </row>
    <row r="310" spans="1:8" ht="15.75" customHeight="1">
      <c r="A310" s="73"/>
      <c r="B310" s="73"/>
      <c r="C310" s="73"/>
      <c r="D310" s="73"/>
      <c r="E310" s="73"/>
      <c r="F310" s="73"/>
      <c r="G310" s="73"/>
      <c r="H310" s="73"/>
    </row>
    <row r="311" spans="1:8" ht="15.75" customHeight="1">
      <c r="A311" s="73"/>
      <c r="B311" s="73"/>
      <c r="C311" s="73"/>
      <c r="D311" s="73"/>
      <c r="E311" s="73"/>
      <c r="F311" s="73"/>
      <c r="G311" s="73"/>
      <c r="H311" s="73"/>
    </row>
    <row r="312" spans="1:8" ht="15.75" customHeight="1">
      <c r="A312" s="73"/>
      <c r="B312" s="73"/>
      <c r="C312" s="73"/>
      <c r="D312" s="73"/>
      <c r="E312" s="73"/>
      <c r="F312" s="73"/>
      <c r="G312" s="73"/>
      <c r="H312" s="73"/>
    </row>
    <row r="313" spans="1:8" ht="15.75" customHeight="1">
      <c r="A313" s="73"/>
      <c r="B313" s="73"/>
      <c r="C313" s="73"/>
      <c r="D313" s="73"/>
      <c r="E313" s="73"/>
      <c r="F313" s="73"/>
      <c r="G313" s="73"/>
      <c r="H313" s="73"/>
    </row>
    <row r="314" spans="1:8" ht="15.75" customHeight="1">
      <c r="A314" s="73"/>
      <c r="B314" s="73"/>
      <c r="C314" s="73"/>
      <c r="D314" s="73"/>
      <c r="E314" s="73"/>
      <c r="F314" s="73"/>
      <c r="G314" s="73"/>
      <c r="H314" s="73"/>
    </row>
    <row r="315" spans="1:8" ht="15.75" customHeight="1">
      <c r="A315" s="73"/>
      <c r="B315" s="73"/>
      <c r="C315" s="73"/>
      <c r="D315" s="73"/>
      <c r="E315" s="73"/>
      <c r="F315" s="73"/>
      <c r="G315" s="73"/>
      <c r="H315" s="73"/>
    </row>
    <row r="316" spans="1:8" ht="15.75" customHeight="1">
      <c r="A316" s="73"/>
      <c r="B316" s="73"/>
      <c r="C316" s="73"/>
      <c r="D316" s="73"/>
      <c r="E316" s="73"/>
      <c r="F316" s="73"/>
      <c r="G316" s="73"/>
      <c r="H316" s="73"/>
    </row>
    <row r="317" spans="1:8" ht="15.75" customHeight="1">
      <c r="A317" s="73"/>
      <c r="B317" s="73"/>
      <c r="C317" s="73"/>
      <c r="D317" s="73"/>
      <c r="E317" s="73"/>
      <c r="F317" s="73"/>
      <c r="G317" s="73"/>
      <c r="H317" s="73"/>
    </row>
    <row r="318" spans="1:8" ht="15.75" customHeight="1">
      <c r="A318" s="73"/>
      <c r="B318" s="73"/>
      <c r="C318" s="73"/>
      <c r="D318" s="73"/>
      <c r="E318" s="73"/>
      <c r="F318" s="73"/>
      <c r="G318" s="73"/>
      <c r="H318" s="73"/>
    </row>
    <row r="319" spans="1:8" ht="15.75" customHeight="1">
      <c r="A319" s="73"/>
      <c r="B319" s="73"/>
      <c r="C319" s="73"/>
      <c r="D319" s="73"/>
      <c r="E319" s="73"/>
      <c r="F319" s="73"/>
      <c r="G319" s="73"/>
      <c r="H319" s="73"/>
    </row>
    <row r="320" spans="1:8" ht="15.75" customHeight="1">
      <c r="A320" s="73"/>
      <c r="B320" s="73"/>
      <c r="C320" s="73"/>
      <c r="D320" s="73"/>
      <c r="E320" s="73"/>
      <c r="F320" s="73"/>
      <c r="G320" s="73"/>
      <c r="H320" s="73"/>
    </row>
    <row r="321" spans="1:8" ht="15.75" customHeight="1">
      <c r="A321" s="73"/>
      <c r="B321" s="73"/>
      <c r="C321" s="73"/>
      <c r="D321" s="73"/>
      <c r="E321" s="73"/>
      <c r="F321" s="73"/>
      <c r="G321" s="73"/>
      <c r="H321" s="73"/>
    </row>
    <row r="322" spans="1:8" ht="15.75" customHeight="1">
      <c r="A322" s="73"/>
      <c r="B322" s="73"/>
      <c r="C322" s="73"/>
      <c r="D322" s="73"/>
      <c r="E322" s="73"/>
      <c r="F322" s="73"/>
      <c r="G322" s="73"/>
      <c r="H322" s="73"/>
    </row>
    <row r="323" spans="1:8" ht="15.75" customHeight="1">
      <c r="A323" s="73"/>
      <c r="B323" s="73"/>
      <c r="C323" s="73"/>
      <c r="D323" s="73"/>
      <c r="E323" s="73"/>
      <c r="F323" s="73"/>
      <c r="G323" s="73"/>
      <c r="H323" s="73"/>
    </row>
    <row r="324" spans="1:8" ht="15.75" customHeight="1">
      <c r="A324" s="73"/>
      <c r="B324" s="73"/>
      <c r="C324" s="73"/>
      <c r="D324" s="73"/>
      <c r="E324" s="73"/>
      <c r="F324" s="73"/>
      <c r="G324" s="73"/>
      <c r="H324" s="73"/>
    </row>
    <row r="325" spans="1:8" ht="15.75" customHeight="1">
      <c r="A325" s="73"/>
      <c r="B325" s="73"/>
      <c r="C325" s="73"/>
      <c r="D325" s="73"/>
      <c r="E325" s="73"/>
      <c r="F325" s="73"/>
      <c r="G325" s="73"/>
      <c r="H325" s="73"/>
    </row>
    <row r="326" spans="1:8" ht="15.75" customHeight="1">
      <c r="A326" s="73"/>
      <c r="B326" s="73"/>
      <c r="C326" s="73"/>
      <c r="D326" s="73"/>
      <c r="E326" s="73"/>
      <c r="F326" s="73"/>
      <c r="G326" s="73"/>
      <c r="H326" s="73"/>
    </row>
    <row r="327" spans="1:8" ht="15.75" customHeight="1">
      <c r="A327" s="73"/>
      <c r="B327" s="73"/>
      <c r="C327" s="73"/>
      <c r="D327" s="73"/>
      <c r="E327" s="73"/>
      <c r="F327" s="73"/>
      <c r="G327" s="73"/>
      <c r="H327" s="73"/>
    </row>
    <row r="328" spans="1:8" ht="15.75" customHeight="1">
      <c r="A328" s="73"/>
      <c r="B328" s="73"/>
      <c r="C328" s="73"/>
      <c r="D328" s="73"/>
      <c r="E328" s="73"/>
      <c r="F328" s="73"/>
      <c r="G328" s="73"/>
      <c r="H328" s="73"/>
    </row>
    <row r="329" spans="1:8" ht="15.75" customHeight="1">
      <c r="A329" s="73"/>
      <c r="B329" s="73"/>
      <c r="C329" s="73"/>
      <c r="D329" s="73"/>
      <c r="E329" s="73"/>
      <c r="F329" s="73"/>
      <c r="G329" s="73"/>
      <c r="H329" s="73"/>
    </row>
    <row r="330" spans="1:8" ht="15.75" customHeight="1">
      <c r="A330" s="73"/>
      <c r="B330" s="73"/>
      <c r="C330" s="73"/>
      <c r="D330" s="73"/>
      <c r="E330" s="73"/>
      <c r="F330" s="73"/>
      <c r="G330" s="73"/>
      <c r="H330" s="73"/>
    </row>
    <row r="331" spans="1:8" ht="15.75" customHeight="1">
      <c r="A331" s="73"/>
      <c r="B331" s="73"/>
      <c r="C331" s="73"/>
      <c r="D331" s="73"/>
      <c r="E331" s="73"/>
      <c r="F331" s="73"/>
      <c r="G331" s="73"/>
      <c r="H331" s="73"/>
    </row>
    <row r="332" spans="1:8" ht="15.75" customHeight="1">
      <c r="A332" s="73"/>
      <c r="B332" s="73"/>
      <c r="C332" s="73"/>
      <c r="D332" s="73"/>
      <c r="E332" s="73"/>
      <c r="F332" s="73"/>
      <c r="G332" s="73"/>
      <c r="H332" s="73"/>
    </row>
    <row r="333" spans="1:8" ht="15.75" customHeight="1">
      <c r="A333" s="73"/>
      <c r="B333" s="73"/>
      <c r="C333" s="73"/>
      <c r="D333" s="73"/>
      <c r="E333" s="73"/>
      <c r="F333" s="73"/>
      <c r="G333" s="73"/>
      <c r="H333" s="73"/>
    </row>
    <row r="334" spans="1:8" ht="15.75" customHeight="1">
      <c r="A334" s="73"/>
      <c r="B334" s="73"/>
      <c r="C334" s="73"/>
      <c r="D334" s="73"/>
      <c r="E334" s="73"/>
      <c r="F334" s="73"/>
      <c r="G334" s="73"/>
      <c r="H334" s="73"/>
    </row>
    <row r="335" spans="1:8" ht="15.75" customHeight="1">
      <c r="A335" s="73"/>
      <c r="B335" s="73"/>
      <c r="C335" s="73"/>
      <c r="D335" s="73"/>
      <c r="E335" s="73"/>
      <c r="F335" s="73"/>
      <c r="G335" s="73"/>
      <c r="H335" s="73"/>
    </row>
    <row r="336" spans="1:8" ht="15.75" customHeight="1">
      <c r="A336" s="73"/>
      <c r="B336" s="73"/>
      <c r="C336" s="73"/>
      <c r="D336" s="73"/>
      <c r="E336" s="73"/>
      <c r="F336" s="73"/>
      <c r="G336" s="73"/>
      <c r="H336" s="73"/>
    </row>
    <row r="337" spans="1:8" ht="15.75" customHeight="1">
      <c r="A337" s="73"/>
      <c r="B337" s="73"/>
      <c r="C337" s="73"/>
      <c r="D337" s="73"/>
      <c r="E337" s="73"/>
      <c r="F337" s="73"/>
      <c r="G337" s="73"/>
      <c r="H337" s="73"/>
    </row>
    <row r="338" spans="1:8" ht="15.75" customHeight="1">
      <c r="A338" s="73"/>
      <c r="B338" s="73"/>
      <c r="C338" s="73"/>
      <c r="D338" s="73"/>
      <c r="E338" s="73"/>
      <c r="F338" s="73"/>
      <c r="G338" s="73"/>
      <c r="H338" s="73"/>
    </row>
    <row r="339" spans="1:8" ht="15.75" customHeight="1">
      <c r="A339" s="73"/>
      <c r="B339" s="73"/>
      <c r="C339" s="73"/>
      <c r="D339" s="73"/>
      <c r="E339" s="73"/>
      <c r="F339" s="73"/>
      <c r="G339" s="73"/>
      <c r="H339" s="73"/>
    </row>
    <row r="340" spans="1:8" ht="15.75" customHeight="1">
      <c r="A340" s="73"/>
      <c r="B340" s="73"/>
      <c r="C340" s="73"/>
      <c r="D340" s="73"/>
      <c r="E340" s="73"/>
      <c r="F340" s="73"/>
      <c r="G340" s="73"/>
      <c r="H340" s="73"/>
    </row>
    <row r="341" spans="1:8" ht="15.75" customHeight="1">
      <c r="A341" s="73"/>
      <c r="B341" s="73"/>
      <c r="C341" s="73"/>
      <c r="D341" s="73"/>
      <c r="E341" s="73"/>
      <c r="F341" s="73"/>
      <c r="G341" s="73"/>
      <c r="H341" s="73"/>
    </row>
    <row r="342" spans="1:8" ht="15.75" customHeight="1">
      <c r="A342" s="73"/>
      <c r="B342" s="73"/>
      <c r="C342" s="73"/>
      <c r="D342" s="73"/>
      <c r="E342" s="73"/>
      <c r="F342" s="73"/>
      <c r="G342" s="73"/>
      <c r="H342" s="73"/>
    </row>
    <row r="343" spans="1:8" ht="15.75" customHeight="1">
      <c r="A343" s="73"/>
      <c r="B343" s="73"/>
      <c r="C343" s="73"/>
      <c r="D343" s="73"/>
      <c r="E343" s="73"/>
      <c r="F343" s="73"/>
      <c r="G343" s="73"/>
      <c r="H343" s="73"/>
    </row>
    <row r="344" spans="1:8" ht="15.75" customHeight="1">
      <c r="A344" s="73"/>
      <c r="B344" s="73"/>
      <c r="C344" s="73"/>
      <c r="D344" s="73"/>
      <c r="E344" s="73"/>
      <c r="F344" s="73"/>
      <c r="G344" s="73"/>
      <c r="H344" s="73"/>
    </row>
    <row r="345" spans="1:8" ht="15.75" customHeight="1">
      <c r="A345" s="73"/>
      <c r="B345" s="73"/>
      <c r="C345" s="73"/>
      <c r="D345" s="73"/>
      <c r="E345" s="73"/>
      <c r="F345" s="73"/>
      <c r="G345" s="73"/>
      <c r="H345" s="73"/>
    </row>
    <row r="346" spans="1:8" ht="15.75" customHeight="1">
      <c r="A346" s="73"/>
      <c r="B346" s="73"/>
      <c r="C346" s="73"/>
      <c r="D346" s="73"/>
      <c r="E346" s="73"/>
      <c r="F346" s="73"/>
      <c r="G346" s="73"/>
      <c r="H346" s="73"/>
    </row>
    <row r="347" spans="1:8" ht="15.75" customHeight="1">
      <c r="A347" s="73"/>
      <c r="B347" s="73"/>
      <c r="C347" s="73"/>
      <c r="D347" s="73"/>
      <c r="E347" s="73"/>
      <c r="F347" s="73"/>
      <c r="G347" s="73"/>
      <c r="H347" s="73"/>
    </row>
    <row r="348" spans="1:8" ht="15.75" customHeight="1">
      <c r="A348" s="73"/>
      <c r="B348" s="73"/>
      <c r="C348" s="73"/>
      <c r="D348" s="73"/>
      <c r="E348" s="73"/>
      <c r="F348" s="73"/>
      <c r="G348" s="73"/>
      <c r="H348" s="73"/>
    </row>
    <row r="349" spans="1:8" ht="15.75" customHeight="1">
      <c r="A349" s="73"/>
      <c r="B349" s="73"/>
      <c r="C349" s="73"/>
      <c r="D349" s="73"/>
      <c r="E349" s="73"/>
      <c r="F349" s="73"/>
      <c r="G349" s="73"/>
      <c r="H349" s="73"/>
    </row>
    <row r="350" spans="1:8" ht="15.75" customHeight="1">
      <c r="A350" s="73"/>
      <c r="B350" s="73"/>
      <c r="C350" s="73"/>
      <c r="D350" s="73"/>
      <c r="E350" s="73"/>
      <c r="F350" s="73"/>
      <c r="G350" s="73"/>
      <c r="H350" s="73"/>
    </row>
    <row r="351" spans="1:8" ht="15.75" customHeight="1">
      <c r="A351" s="73"/>
      <c r="B351" s="73"/>
      <c r="C351" s="73"/>
      <c r="D351" s="73"/>
      <c r="E351" s="73"/>
      <c r="F351" s="73"/>
      <c r="G351" s="73"/>
      <c r="H351" s="73"/>
    </row>
    <row r="352" spans="1:8" ht="15.75" customHeight="1">
      <c r="A352" s="73"/>
      <c r="B352" s="73"/>
      <c r="C352" s="73"/>
      <c r="D352" s="73"/>
      <c r="E352" s="73"/>
      <c r="F352" s="73"/>
      <c r="G352" s="73"/>
      <c r="H352" s="73"/>
    </row>
    <row r="353" spans="1:8" ht="15.75" customHeight="1">
      <c r="A353" s="73"/>
      <c r="B353" s="73"/>
      <c r="C353" s="73"/>
      <c r="D353" s="73"/>
      <c r="E353" s="73"/>
      <c r="F353" s="73"/>
      <c r="G353" s="73"/>
      <c r="H353" s="73"/>
    </row>
    <row r="354" spans="1:8" ht="15.75" customHeight="1">
      <c r="A354" s="73"/>
      <c r="B354" s="73"/>
      <c r="C354" s="73"/>
      <c r="D354" s="73"/>
      <c r="E354" s="73"/>
      <c r="F354" s="73"/>
      <c r="G354" s="73"/>
      <c r="H354" s="73"/>
    </row>
    <row r="355" spans="1:8" ht="15.75" customHeight="1">
      <c r="A355" s="73"/>
      <c r="B355" s="73"/>
      <c r="C355" s="73"/>
      <c r="D355" s="73"/>
      <c r="E355" s="73"/>
      <c r="F355" s="73"/>
      <c r="G355" s="73"/>
      <c r="H355" s="73"/>
    </row>
    <row r="356" spans="1:8" ht="15.75" customHeight="1">
      <c r="A356" s="73"/>
      <c r="B356" s="73"/>
      <c r="C356" s="73"/>
      <c r="D356" s="73"/>
      <c r="E356" s="73"/>
      <c r="F356" s="73"/>
      <c r="G356" s="73"/>
      <c r="H356" s="73"/>
    </row>
    <row r="357" spans="1:8" ht="15.75" customHeight="1">
      <c r="A357" s="73"/>
      <c r="B357" s="73"/>
      <c r="C357" s="73"/>
      <c r="D357" s="73"/>
      <c r="E357" s="73"/>
      <c r="F357" s="73"/>
      <c r="G357" s="73"/>
      <c r="H357" s="73"/>
    </row>
    <row r="358" spans="1:8" ht="15.75" customHeight="1">
      <c r="A358" s="73"/>
      <c r="B358" s="73"/>
      <c r="C358" s="73"/>
      <c r="D358" s="73"/>
      <c r="E358" s="73"/>
      <c r="F358" s="73"/>
      <c r="G358" s="73"/>
      <c r="H358" s="73"/>
    </row>
    <row r="359" spans="1:8" ht="15.75" customHeight="1">
      <c r="A359" s="73"/>
      <c r="B359" s="73"/>
      <c r="C359" s="73"/>
      <c r="D359" s="73"/>
      <c r="E359" s="73"/>
      <c r="F359" s="73"/>
      <c r="G359" s="73"/>
      <c r="H359" s="73"/>
    </row>
    <row r="360" spans="1:8" ht="15.75" customHeight="1">
      <c r="A360" s="73"/>
      <c r="B360" s="73"/>
      <c r="C360" s="73"/>
      <c r="D360" s="73"/>
      <c r="E360" s="73"/>
      <c r="F360" s="73"/>
      <c r="G360" s="73"/>
      <c r="H360" s="73"/>
    </row>
    <row r="361" spans="1:8" ht="15.75" customHeight="1">
      <c r="A361" s="73"/>
      <c r="B361" s="73"/>
      <c r="C361" s="73"/>
      <c r="D361" s="73"/>
      <c r="E361" s="73"/>
      <c r="F361" s="73"/>
      <c r="G361" s="73"/>
      <c r="H361" s="73"/>
    </row>
    <row r="362" spans="1:8" ht="15.75" customHeight="1">
      <c r="A362" s="73"/>
      <c r="B362" s="73"/>
      <c r="C362" s="73"/>
      <c r="D362" s="73"/>
      <c r="E362" s="73"/>
      <c r="F362" s="73"/>
      <c r="G362" s="73"/>
      <c r="H362" s="73"/>
    </row>
    <row r="363" spans="1:8" ht="15.75" customHeight="1">
      <c r="A363" s="73"/>
      <c r="B363" s="73"/>
      <c r="C363" s="73"/>
      <c r="D363" s="73"/>
      <c r="E363" s="73"/>
      <c r="F363" s="73"/>
      <c r="G363" s="73"/>
      <c r="H363" s="73"/>
    </row>
    <row r="364" spans="1:8" ht="15.75" customHeight="1">
      <c r="A364" s="73"/>
      <c r="B364" s="73"/>
      <c r="C364" s="73"/>
      <c r="D364" s="73"/>
      <c r="E364" s="73"/>
      <c r="F364" s="73"/>
      <c r="G364" s="73"/>
      <c r="H364" s="73"/>
    </row>
    <row r="365" spans="1:8" ht="15.75" customHeight="1">
      <c r="A365" s="73"/>
      <c r="B365" s="73"/>
      <c r="C365" s="73"/>
      <c r="D365" s="73"/>
      <c r="E365" s="73"/>
      <c r="F365" s="73"/>
      <c r="G365" s="73"/>
      <c r="H365" s="73"/>
    </row>
    <row r="366" spans="1:8" ht="15.75" customHeight="1">
      <c r="A366" s="73"/>
      <c r="B366" s="73"/>
      <c r="C366" s="73"/>
      <c r="D366" s="73"/>
      <c r="E366" s="73"/>
      <c r="F366" s="73"/>
      <c r="G366" s="73"/>
      <c r="H366" s="73"/>
    </row>
    <row r="367" spans="1:8" ht="15.75" customHeight="1">
      <c r="A367" s="73"/>
      <c r="B367" s="73"/>
      <c r="C367" s="73"/>
      <c r="D367" s="73"/>
      <c r="E367" s="73"/>
      <c r="F367" s="73"/>
      <c r="G367" s="73"/>
      <c r="H367" s="73"/>
    </row>
    <row r="368" spans="1:8" ht="15.75" customHeight="1">
      <c r="A368" s="73"/>
      <c r="B368" s="73"/>
      <c r="C368" s="73"/>
      <c r="D368" s="73"/>
      <c r="E368" s="73"/>
      <c r="F368" s="73"/>
      <c r="G368" s="73"/>
      <c r="H368" s="73"/>
    </row>
    <row r="369" spans="1:8" ht="15.75" customHeight="1">
      <c r="A369" s="73"/>
      <c r="B369" s="73"/>
      <c r="C369" s="73"/>
      <c r="D369" s="73"/>
      <c r="E369" s="73"/>
      <c r="F369" s="73"/>
      <c r="G369" s="73"/>
      <c r="H369" s="73"/>
    </row>
    <row r="370" spans="1:8" ht="15.75" customHeight="1">
      <c r="A370" s="73"/>
      <c r="B370" s="73"/>
      <c r="C370" s="73"/>
      <c r="D370" s="73"/>
      <c r="E370" s="73"/>
      <c r="F370" s="73"/>
      <c r="G370" s="73"/>
      <c r="H370" s="73"/>
    </row>
    <row r="371" spans="1:8" ht="15.75" customHeight="1">
      <c r="A371" s="73"/>
      <c r="B371" s="73"/>
      <c r="C371" s="73"/>
      <c r="D371" s="73"/>
      <c r="E371" s="73"/>
      <c r="F371" s="73"/>
      <c r="G371" s="73"/>
      <c r="H371" s="73"/>
    </row>
    <row r="372" spans="1:8" ht="15.75" customHeight="1">
      <c r="A372" s="73"/>
      <c r="B372" s="73"/>
      <c r="C372" s="73"/>
      <c r="D372" s="73"/>
      <c r="E372" s="73"/>
      <c r="F372" s="73"/>
      <c r="G372" s="73"/>
      <c r="H372" s="73"/>
    </row>
    <row r="373" spans="1:8" ht="15.75" customHeight="1">
      <c r="A373" s="73"/>
      <c r="B373" s="73"/>
      <c r="C373" s="73"/>
      <c r="D373" s="73"/>
      <c r="E373" s="73"/>
      <c r="F373" s="73"/>
      <c r="G373" s="73"/>
      <c r="H373" s="73"/>
    </row>
    <row r="374" spans="1:8" ht="15.75" customHeight="1">
      <c r="A374" s="73"/>
      <c r="B374" s="73"/>
      <c r="C374" s="73"/>
      <c r="D374" s="73"/>
      <c r="E374" s="73"/>
      <c r="F374" s="73"/>
      <c r="G374" s="73"/>
      <c r="H374" s="73"/>
    </row>
    <row r="375" spans="1:8" ht="15.75" customHeight="1">
      <c r="A375" s="73"/>
      <c r="B375" s="73"/>
      <c r="C375" s="73"/>
      <c r="D375" s="73"/>
      <c r="E375" s="73"/>
      <c r="F375" s="73"/>
      <c r="G375" s="73"/>
      <c r="H375" s="73"/>
    </row>
    <row r="376" spans="1:8" ht="15.75" customHeight="1">
      <c r="A376" s="73"/>
      <c r="B376" s="73"/>
      <c r="C376" s="73"/>
      <c r="D376" s="73"/>
      <c r="E376" s="73"/>
      <c r="F376" s="73"/>
      <c r="G376" s="73"/>
      <c r="H376" s="73"/>
    </row>
    <row r="377" spans="1:8" ht="15.75" customHeight="1">
      <c r="A377" s="73"/>
      <c r="B377" s="73"/>
      <c r="C377" s="73"/>
      <c r="D377" s="73"/>
      <c r="E377" s="73"/>
      <c r="F377" s="73"/>
      <c r="G377" s="73"/>
      <c r="H377" s="73"/>
    </row>
    <row r="378" spans="1:8" ht="15.75" customHeight="1">
      <c r="A378" s="73"/>
      <c r="B378" s="73"/>
      <c r="C378" s="73"/>
      <c r="D378" s="73"/>
      <c r="E378" s="73"/>
      <c r="F378" s="73"/>
      <c r="G378" s="73"/>
      <c r="H378" s="73"/>
    </row>
    <row r="379" spans="1:8" ht="15.75" customHeight="1">
      <c r="A379" s="73"/>
      <c r="B379" s="73"/>
      <c r="C379" s="73"/>
      <c r="D379" s="73"/>
      <c r="E379" s="73"/>
      <c r="F379" s="73"/>
      <c r="G379" s="73"/>
      <c r="H379" s="73"/>
    </row>
    <row r="380" spans="1:8" ht="15.75" customHeight="1">
      <c r="A380" s="73"/>
      <c r="B380" s="73"/>
      <c r="C380" s="73"/>
      <c r="D380" s="73"/>
      <c r="E380" s="73"/>
      <c r="F380" s="73"/>
      <c r="G380" s="73"/>
      <c r="H380" s="73"/>
    </row>
    <row r="381" spans="1:8" ht="15.75" customHeight="1">
      <c r="A381" s="73"/>
      <c r="B381" s="73"/>
      <c r="C381" s="73"/>
      <c r="D381" s="73"/>
      <c r="E381" s="73"/>
      <c r="F381" s="73"/>
      <c r="G381" s="73"/>
      <c r="H381" s="73"/>
    </row>
    <row r="382" spans="1:8" ht="15.75" customHeight="1">
      <c r="A382" s="73"/>
      <c r="B382" s="73"/>
      <c r="C382" s="73"/>
      <c r="D382" s="73"/>
      <c r="E382" s="73"/>
      <c r="F382" s="73"/>
      <c r="G382" s="73"/>
      <c r="H382" s="73"/>
    </row>
    <row r="383" spans="1:8" ht="15.75" customHeight="1">
      <c r="A383" s="73"/>
      <c r="B383" s="73"/>
      <c r="C383" s="73"/>
      <c r="D383" s="73"/>
      <c r="E383" s="73"/>
      <c r="F383" s="73"/>
      <c r="G383" s="73"/>
      <c r="H383" s="73"/>
    </row>
    <row r="384" spans="1:8" ht="15.75" customHeight="1">
      <c r="A384" s="73"/>
      <c r="B384" s="73"/>
      <c r="C384" s="73"/>
      <c r="D384" s="73"/>
      <c r="E384" s="73"/>
      <c r="F384" s="73"/>
      <c r="G384" s="73"/>
      <c r="H384" s="73"/>
    </row>
    <row r="385" spans="1:8" ht="15.75" customHeight="1">
      <c r="A385" s="73"/>
      <c r="B385" s="73"/>
      <c r="C385" s="73"/>
      <c r="D385" s="73"/>
      <c r="E385" s="73"/>
      <c r="F385" s="73"/>
      <c r="G385" s="73"/>
      <c r="H385" s="73"/>
    </row>
    <row r="386" spans="1:8" ht="15.75" customHeight="1">
      <c r="A386" s="73"/>
      <c r="B386" s="73"/>
      <c r="C386" s="73"/>
      <c r="D386" s="73"/>
      <c r="E386" s="73"/>
      <c r="F386" s="73"/>
      <c r="G386" s="73"/>
      <c r="H386" s="73"/>
    </row>
    <row r="387" spans="1:8" ht="15.75" customHeight="1">
      <c r="A387" s="73"/>
      <c r="B387" s="73"/>
      <c r="C387" s="73"/>
      <c r="D387" s="73"/>
      <c r="E387" s="73"/>
      <c r="F387" s="73"/>
      <c r="G387" s="73"/>
      <c r="H387" s="73"/>
    </row>
    <row r="388" spans="1:8" ht="15.75" customHeight="1">
      <c r="A388" s="73"/>
      <c r="B388" s="73"/>
      <c r="C388" s="73"/>
      <c r="D388" s="73"/>
      <c r="E388" s="73"/>
      <c r="F388" s="73"/>
      <c r="G388" s="73"/>
      <c r="H388" s="73"/>
    </row>
    <row r="389" spans="1:8" ht="15.75" customHeight="1">
      <c r="A389" s="73"/>
      <c r="B389" s="73"/>
      <c r="C389" s="73"/>
      <c r="D389" s="73"/>
      <c r="E389" s="73"/>
      <c r="F389" s="73"/>
      <c r="G389" s="73"/>
      <c r="H389" s="73"/>
    </row>
    <row r="390" spans="1:8" ht="15.75" customHeight="1">
      <c r="A390" s="73"/>
      <c r="B390" s="73"/>
      <c r="C390" s="73"/>
      <c r="D390" s="73"/>
      <c r="E390" s="73"/>
      <c r="F390" s="73"/>
      <c r="G390" s="73"/>
      <c r="H390" s="73"/>
    </row>
    <row r="391" spans="1:8" ht="15.75" customHeight="1">
      <c r="A391" s="73"/>
      <c r="B391" s="73"/>
      <c r="C391" s="73"/>
      <c r="D391" s="73"/>
      <c r="E391" s="73"/>
      <c r="F391" s="73"/>
      <c r="G391" s="73"/>
      <c r="H391" s="73"/>
    </row>
    <row r="392" spans="1:8" ht="15.75" customHeight="1">
      <c r="A392" s="73"/>
      <c r="B392" s="73"/>
      <c r="C392" s="73"/>
      <c r="D392" s="73"/>
      <c r="E392" s="73"/>
      <c r="F392" s="73"/>
      <c r="G392" s="73"/>
      <c r="H392" s="73"/>
    </row>
    <row r="393" spans="1:8" ht="15.75" customHeight="1">
      <c r="A393" s="73"/>
      <c r="B393" s="73"/>
      <c r="C393" s="73"/>
      <c r="D393" s="73"/>
      <c r="E393" s="73"/>
      <c r="F393" s="73"/>
      <c r="G393" s="73"/>
      <c r="H393" s="73"/>
    </row>
    <row r="394" spans="1:8" ht="15.75" customHeight="1">
      <c r="A394" s="73"/>
      <c r="B394" s="73"/>
      <c r="C394" s="73"/>
      <c r="D394" s="73"/>
      <c r="E394" s="73"/>
      <c r="F394" s="73"/>
      <c r="G394" s="73"/>
      <c r="H394" s="73"/>
    </row>
    <row r="395" spans="1:8" ht="15.75" customHeight="1">
      <c r="A395" s="73"/>
      <c r="B395" s="73"/>
      <c r="C395" s="73"/>
      <c r="D395" s="73"/>
      <c r="E395" s="73"/>
      <c r="F395" s="73"/>
      <c r="G395" s="73"/>
      <c r="H395" s="73"/>
    </row>
    <row r="396" spans="1:8" ht="15.75" customHeight="1">
      <c r="A396" s="73"/>
      <c r="B396" s="73"/>
      <c r="C396" s="73"/>
      <c r="D396" s="73"/>
      <c r="E396" s="73"/>
      <c r="F396" s="73"/>
      <c r="G396" s="73"/>
      <c r="H396" s="73"/>
    </row>
    <row r="397" spans="1:8" ht="15.75" customHeight="1">
      <c r="A397" s="73"/>
      <c r="B397" s="73"/>
      <c r="C397" s="73"/>
      <c r="D397" s="73"/>
      <c r="E397" s="73"/>
      <c r="F397" s="73"/>
      <c r="G397" s="73"/>
      <c r="H397" s="73"/>
    </row>
    <row r="398" spans="1:8" ht="15.75" customHeight="1">
      <c r="A398" s="73"/>
      <c r="B398" s="73"/>
      <c r="C398" s="73"/>
      <c r="D398" s="73"/>
      <c r="E398" s="73"/>
      <c r="F398" s="73"/>
      <c r="G398" s="73"/>
      <c r="H398" s="73"/>
    </row>
    <row r="399" spans="1:8" ht="15.75" customHeight="1">
      <c r="A399" s="73"/>
      <c r="B399" s="73"/>
      <c r="C399" s="73"/>
      <c r="D399" s="73"/>
      <c r="E399" s="73"/>
      <c r="F399" s="73"/>
      <c r="G399" s="73"/>
      <c r="H399" s="73"/>
    </row>
    <row r="400" spans="1:8" ht="15.75" customHeight="1">
      <c r="A400" s="73"/>
      <c r="B400" s="73"/>
      <c r="C400" s="73"/>
      <c r="D400" s="73"/>
      <c r="E400" s="73"/>
      <c r="F400" s="73"/>
      <c r="G400" s="73"/>
      <c r="H400" s="73"/>
    </row>
    <row r="401" spans="1:8" ht="15.75" customHeight="1">
      <c r="A401" s="73"/>
      <c r="B401" s="73"/>
      <c r="C401" s="73"/>
      <c r="D401" s="73"/>
      <c r="E401" s="73"/>
      <c r="F401" s="73"/>
      <c r="G401" s="73"/>
      <c r="H401" s="73"/>
    </row>
    <row r="402" spans="1:8" ht="15.75" customHeight="1">
      <c r="A402" s="73"/>
      <c r="B402" s="73"/>
      <c r="C402" s="73"/>
      <c r="D402" s="73"/>
      <c r="E402" s="73"/>
      <c r="F402" s="73"/>
      <c r="G402" s="73"/>
      <c r="H402" s="73"/>
    </row>
    <row r="403" spans="1:8" ht="15.75" customHeight="1">
      <c r="A403" s="73"/>
      <c r="B403" s="73"/>
      <c r="C403" s="73"/>
      <c r="D403" s="73"/>
      <c r="E403" s="73"/>
      <c r="F403" s="73"/>
      <c r="G403" s="73"/>
      <c r="H403" s="73"/>
    </row>
    <row r="404" spans="1:8" ht="15.75" customHeight="1">
      <c r="A404" s="73"/>
      <c r="B404" s="73"/>
      <c r="C404" s="73"/>
      <c r="D404" s="73"/>
      <c r="E404" s="73"/>
      <c r="F404" s="73"/>
      <c r="G404" s="73"/>
      <c r="H404" s="73"/>
    </row>
    <row r="405" spans="1:8" ht="15.75" customHeight="1">
      <c r="A405" s="73"/>
      <c r="B405" s="73"/>
      <c r="C405" s="73"/>
      <c r="D405" s="73"/>
      <c r="E405" s="73"/>
      <c r="F405" s="73"/>
      <c r="G405" s="73"/>
      <c r="H405" s="73"/>
    </row>
    <row r="406" spans="1:8" ht="15.75" customHeight="1">
      <c r="A406" s="73"/>
      <c r="B406" s="73"/>
      <c r="C406" s="73"/>
      <c r="D406" s="73"/>
      <c r="E406" s="73"/>
      <c r="F406" s="73"/>
      <c r="G406" s="73"/>
      <c r="H406" s="73"/>
    </row>
    <row r="407" spans="1:8" ht="15.75" customHeight="1">
      <c r="A407" s="73"/>
      <c r="B407" s="73"/>
      <c r="C407" s="73"/>
      <c r="D407" s="73"/>
      <c r="E407" s="73"/>
      <c r="F407" s="73"/>
      <c r="G407" s="73"/>
      <c r="H407" s="73"/>
    </row>
    <row r="408" spans="1:8" ht="15.75" customHeight="1">
      <c r="A408" s="73"/>
      <c r="B408" s="73"/>
      <c r="C408" s="73"/>
      <c r="D408" s="73"/>
      <c r="E408" s="73"/>
      <c r="F408" s="73"/>
      <c r="G408" s="73"/>
      <c r="H408" s="73"/>
    </row>
    <row r="409" spans="1:8" ht="15.75" customHeight="1">
      <c r="A409" s="73"/>
      <c r="B409" s="73"/>
      <c r="C409" s="73"/>
      <c r="D409" s="73"/>
      <c r="E409" s="73"/>
      <c r="F409" s="73"/>
      <c r="G409" s="73"/>
      <c r="H409" s="73"/>
    </row>
    <row r="410" spans="1:8" ht="15.75" customHeight="1">
      <c r="A410" s="73"/>
      <c r="B410" s="73"/>
      <c r="C410" s="73"/>
      <c r="D410" s="73"/>
      <c r="E410" s="73"/>
      <c r="F410" s="73"/>
      <c r="G410" s="73"/>
      <c r="H410" s="73"/>
    </row>
    <row r="411" spans="1:8" ht="15.75" customHeight="1">
      <c r="A411" s="73"/>
      <c r="B411" s="73"/>
      <c r="C411" s="73"/>
      <c r="D411" s="73"/>
      <c r="E411" s="73"/>
      <c r="F411" s="73"/>
      <c r="G411" s="73"/>
      <c r="H411" s="73"/>
    </row>
    <row r="412" spans="1:8" ht="15.75" customHeight="1">
      <c r="A412" s="73"/>
      <c r="B412" s="73"/>
      <c r="C412" s="73"/>
      <c r="D412" s="73"/>
      <c r="E412" s="73"/>
      <c r="F412" s="73"/>
      <c r="G412" s="73"/>
      <c r="H412" s="73"/>
    </row>
    <row r="413" spans="1:8" ht="15.75" customHeight="1">
      <c r="A413" s="73"/>
      <c r="B413" s="73"/>
      <c r="C413" s="73"/>
      <c r="D413" s="73"/>
      <c r="E413" s="73"/>
      <c r="F413" s="73"/>
      <c r="G413" s="73"/>
      <c r="H413" s="73"/>
    </row>
    <row r="414" spans="1:8" ht="15.75" customHeight="1">
      <c r="A414" s="73"/>
      <c r="B414" s="73"/>
      <c r="C414" s="73"/>
      <c r="D414" s="73"/>
      <c r="E414" s="73"/>
      <c r="F414" s="73"/>
      <c r="G414" s="73"/>
      <c r="H414" s="73"/>
    </row>
    <row r="415" spans="1:8" ht="15.75" customHeight="1">
      <c r="A415" s="73"/>
      <c r="B415" s="73"/>
      <c r="C415" s="73"/>
      <c r="D415" s="73"/>
      <c r="E415" s="73"/>
      <c r="F415" s="73"/>
      <c r="G415" s="73"/>
      <c r="H415" s="73"/>
    </row>
    <row r="416" spans="1:8" ht="15.75" customHeight="1">
      <c r="A416" s="73"/>
      <c r="B416" s="73"/>
      <c r="C416" s="73"/>
      <c r="D416" s="73"/>
      <c r="E416" s="73"/>
      <c r="F416" s="73"/>
      <c r="G416" s="73"/>
      <c r="H416" s="73"/>
    </row>
    <row r="417" spans="1:8" ht="15.75" customHeight="1">
      <c r="A417" s="73"/>
      <c r="B417" s="73"/>
      <c r="C417" s="73"/>
      <c r="D417" s="73"/>
      <c r="E417" s="73"/>
      <c r="F417" s="73"/>
      <c r="G417" s="73"/>
      <c r="H417" s="73"/>
    </row>
    <row r="418" spans="1:8" ht="15.75" customHeight="1">
      <c r="A418" s="73"/>
      <c r="B418" s="73"/>
      <c r="C418" s="73"/>
      <c r="D418" s="73"/>
      <c r="E418" s="73"/>
      <c r="F418" s="73"/>
      <c r="G418" s="73"/>
      <c r="H418" s="73"/>
    </row>
    <row r="419" spans="1:8" ht="15.75" customHeight="1">
      <c r="A419" s="73"/>
      <c r="B419" s="73"/>
      <c r="C419" s="73"/>
      <c r="D419" s="73"/>
      <c r="E419" s="73"/>
      <c r="F419" s="73"/>
      <c r="G419" s="73"/>
      <c r="H419" s="73"/>
    </row>
    <row r="420" spans="1:8" ht="15.75" customHeight="1">
      <c r="A420" s="73"/>
      <c r="B420" s="73"/>
      <c r="C420" s="73"/>
      <c r="D420" s="73"/>
      <c r="E420" s="73"/>
      <c r="F420" s="73"/>
      <c r="G420" s="73"/>
      <c r="H420" s="73"/>
    </row>
    <row r="421" spans="1:8" ht="15.75" customHeight="1">
      <c r="A421" s="73"/>
      <c r="B421" s="73"/>
      <c r="C421" s="73"/>
      <c r="D421" s="73"/>
      <c r="E421" s="73"/>
      <c r="F421" s="73"/>
      <c r="G421" s="73"/>
      <c r="H421" s="73"/>
    </row>
    <row r="422" spans="1:8" ht="15.75" customHeight="1">
      <c r="A422" s="73"/>
      <c r="B422" s="73"/>
      <c r="C422" s="73"/>
      <c r="D422" s="73"/>
      <c r="E422" s="73"/>
      <c r="F422" s="73"/>
      <c r="G422" s="73"/>
      <c r="H422" s="73"/>
    </row>
    <row r="423" spans="1:8" ht="15.75" customHeight="1">
      <c r="A423" s="73"/>
      <c r="B423" s="73"/>
      <c r="C423" s="73"/>
      <c r="D423" s="73"/>
      <c r="E423" s="73"/>
      <c r="F423" s="73"/>
      <c r="G423" s="73"/>
      <c r="H423" s="73"/>
    </row>
    <row r="424" spans="1:8" ht="15.75" customHeight="1">
      <c r="A424" s="73"/>
      <c r="B424" s="73"/>
      <c r="C424" s="73"/>
      <c r="D424" s="73"/>
      <c r="E424" s="73"/>
      <c r="F424" s="73"/>
      <c r="G424" s="73"/>
      <c r="H424" s="73"/>
    </row>
    <row r="425" spans="1:8" ht="15.75" customHeight="1">
      <c r="A425" s="73"/>
      <c r="B425" s="73"/>
      <c r="C425" s="73"/>
      <c r="D425" s="73"/>
      <c r="E425" s="73"/>
      <c r="F425" s="73"/>
      <c r="G425" s="73"/>
      <c r="H425" s="73"/>
    </row>
    <row r="426" spans="1:8" ht="15.75" customHeight="1">
      <c r="A426" s="73"/>
      <c r="B426" s="73"/>
      <c r="C426" s="73"/>
      <c r="D426" s="73"/>
      <c r="E426" s="73"/>
      <c r="F426" s="73"/>
      <c r="G426" s="73"/>
      <c r="H426" s="73"/>
    </row>
    <row r="427" spans="1:8" ht="15.75" customHeight="1">
      <c r="A427" s="73"/>
      <c r="B427" s="73"/>
      <c r="C427" s="73"/>
      <c r="D427" s="73"/>
      <c r="E427" s="73"/>
      <c r="F427" s="73"/>
      <c r="G427" s="73"/>
      <c r="H427" s="73"/>
    </row>
    <row r="428" spans="1:8" ht="15.75" customHeight="1">
      <c r="A428" s="73"/>
      <c r="B428" s="73"/>
      <c r="C428" s="73"/>
      <c r="D428" s="73"/>
      <c r="E428" s="73"/>
      <c r="F428" s="73"/>
      <c r="G428" s="73"/>
      <c r="H428" s="73"/>
    </row>
    <row r="429" spans="1:8" ht="15.75" customHeight="1">
      <c r="A429" s="73"/>
      <c r="B429" s="73"/>
      <c r="C429" s="73"/>
      <c r="D429" s="73"/>
      <c r="E429" s="73"/>
      <c r="F429" s="73"/>
      <c r="G429" s="73"/>
      <c r="H429" s="73"/>
    </row>
    <row r="430" spans="1:8" ht="15.75" customHeight="1">
      <c r="A430" s="73"/>
      <c r="B430" s="73"/>
      <c r="C430" s="73"/>
      <c r="D430" s="73"/>
      <c r="E430" s="73"/>
      <c r="F430" s="73"/>
      <c r="G430" s="73"/>
      <c r="H430" s="73"/>
    </row>
    <row r="431" spans="1:8" ht="15.75" customHeight="1">
      <c r="A431" s="73"/>
      <c r="B431" s="73"/>
      <c r="C431" s="73"/>
      <c r="D431" s="73"/>
      <c r="E431" s="73"/>
      <c r="F431" s="73"/>
      <c r="G431" s="73"/>
      <c r="H431" s="73"/>
    </row>
    <row r="432" spans="1:8" ht="15.75" customHeight="1">
      <c r="A432" s="73"/>
      <c r="B432" s="73"/>
      <c r="C432" s="73"/>
      <c r="D432" s="73"/>
      <c r="E432" s="73"/>
      <c r="F432" s="73"/>
      <c r="G432" s="73"/>
      <c r="H432" s="73"/>
    </row>
    <row r="433" spans="1:8" ht="15.75" customHeight="1">
      <c r="A433" s="73"/>
      <c r="B433" s="73"/>
      <c r="C433" s="73"/>
      <c r="D433" s="73"/>
      <c r="E433" s="73"/>
      <c r="F433" s="73"/>
      <c r="G433" s="73"/>
      <c r="H433" s="73"/>
    </row>
    <row r="434" spans="1:8" ht="15.75" customHeight="1">
      <c r="A434" s="73"/>
      <c r="B434" s="73"/>
      <c r="C434" s="73"/>
      <c r="D434" s="73"/>
      <c r="E434" s="73"/>
      <c r="F434" s="73"/>
      <c r="G434" s="73"/>
      <c r="H434" s="73"/>
    </row>
    <row r="435" spans="1:8" ht="15.75" customHeight="1">
      <c r="A435" s="73"/>
      <c r="B435" s="73"/>
      <c r="C435" s="73"/>
      <c r="D435" s="73"/>
      <c r="E435" s="73"/>
      <c r="F435" s="73"/>
      <c r="G435" s="73"/>
      <c r="H435" s="73"/>
    </row>
    <row r="436" spans="1:8" ht="15.75" customHeight="1">
      <c r="A436" s="73"/>
      <c r="B436" s="73"/>
      <c r="C436" s="73"/>
      <c r="D436" s="73"/>
      <c r="E436" s="73"/>
      <c r="F436" s="73"/>
      <c r="G436" s="73"/>
      <c r="H436" s="73"/>
    </row>
    <row r="437" spans="1:8" ht="15.75" customHeight="1">
      <c r="A437" s="73"/>
      <c r="B437" s="73"/>
      <c r="C437" s="73"/>
      <c r="D437" s="73"/>
      <c r="E437" s="73"/>
      <c r="F437" s="73"/>
      <c r="G437" s="73"/>
      <c r="H437" s="73"/>
    </row>
    <row r="438" spans="1:8" ht="15.75" customHeight="1">
      <c r="A438" s="73"/>
      <c r="B438" s="73"/>
      <c r="C438" s="73"/>
      <c r="D438" s="73"/>
      <c r="E438" s="73"/>
      <c r="F438" s="73"/>
      <c r="G438" s="73"/>
      <c r="H438" s="73"/>
    </row>
    <row r="439" spans="1:8" ht="15.75" customHeight="1">
      <c r="A439" s="73"/>
      <c r="B439" s="73"/>
      <c r="C439" s="73"/>
      <c r="D439" s="73"/>
      <c r="E439" s="73"/>
      <c r="F439" s="73"/>
      <c r="G439" s="73"/>
      <c r="H439" s="73"/>
    </row>
    <row r="440" spans="1:8" ht="15.75" customHeight="1">
      <c r="A440" s="73"/>
      <c r="B440" s="73"/>
      <c r="C440" s="73"/>
      <c r="D440" s="73"/>
      <c r="E440" s="73"/>
      <c r="F440" s="73"/>
      <c r="G440" s="73"/>
      <c r="H440" s="73"/>
    </row>
    <row r="441" spans="1:8" ht="15.75" customHeight="1">
      <c r="A441" s="73"/>
      <c r="B441" s="73"/>
      <c r="C441" s="73"/>
      <c r="D441" s="73"/>
      <c r="E441" s="73"/>
      <c r="F441" s="73"/>
      <c r="G441" s="73"/>
      <c r="H441" s="73"/>
    </row>
    <row r="442" spans="1:8" ht="15.75" customHeight="1">
      <c r="A442" s="73"/>
      <c r="B442" s="73"/>
      <c r="C442" s="73"/>
      <c r="D442" s="73"/>
      <c r="E442" s="73"/>
      <c r="F442" s="73"/>
      <c r="G442" s="73"/>
      <c r="H442" s="73"/>
    </row>
    <row r="443" spans="1:8" ht="15.75" customHeight="1">
      <c r="A443" s="73"/>
      <c r="B443" s="73"/>
      <c r="C443" s="73"/>
      <c r="D443" s="73"/>
      <c r="E443" s="73"/>
      <c r="F443" s="73"/>
      <c r="G443" s="73"/>
      <c r="H443" s="73"/>
    </row>
    <row r="444" spans="1:8" ht="15.75" customHeight="1">
      <c r="A444" s="73"/>
      <c r="B444" s="73"/>
      <c r="C444" s="73"/>
      <c r="D444" s="73"/>
      <c r="E444" s="73"/>
      <c r="F444" s="73"/>
      <c r="G444" s="73"/>
      <c r="H444" s="73"/>
    </row>
    <row r="445" spans="1:8" ht="15.75" customHeight="1">
      <c r="A445" s="73"/>
      <c r="B445" s="73"/>
      <c r="C445" s="73"/>
      <c r="D445" s="73"/>
      <c r="E445" s="73"/>
      <c r="F445" s="73"/>
      <c r="G445" s="73"/>
      <c r="H445" s="73"/>
    </row>
    <row r="446" spans="1:8" ht="15.75" customHeight="1">
      <c r="A446" s="73"/>
      <c r="B446" s="73"/>
      <c r="C446" s="73"/>
      <c r="D446" s="73"/>
      <c r="E446" s="73"/>
      <c r="F446" s="73"/>
      <c r="G446" s="73"/>
      <c r="H446" s="73"/>
    </row>
    <row r="447" spans="1:8" ht="15.75" customHeight="1">
      <c r="A447" s="73"/>
      <c r="B447" s="73"/>
      <c r="C447" s="73"/>
      <c r="D447" s="73"/>
      <c r="E447" s="73"/>
      <c r="F447" s="73"/>
      <c r="G447" s="73"/>
      <c r="H447" s="73"/>
    </row>
    <row r="448" spans="1:8" ht="15.75" customHeight="1">
      <c r="A448" s="73"/>
      <c r="B448" s="73"/>
      <c r="C448" s="73"/>
      <c r="D448" s="73"/>
      <c r="E448" s="73"/>
      <c r="F448" s="73"/>
      <c r="G448" s="73"/>
      <c r="H448" s="73"/>
    </row>
    <row r="449" spans="1:8" ht="15.75" customHeight="1">
      <c r="A449" s="73"/>
      <c r="B449" s="73"/>
      <c r="C449" s="73"/>
      <c r="D449" s="73"/>
      <c r="E449" s="73"/>
      <c r="F449" s="73"/>
      <c r="G449" s="73"/>
      <c r="H449" s="73"/>
    </row>
    <row r="450" spans="1:8" ht="15.75" customHeight="1">
      <c r="A450" s="73"/>
      <c r="B450" s="73"/>
      <c r="C450" s="73"/>
      <c r="D450" s="73"/>
      <c r="E450" s="73"/>
      <c r="F450" s="73"/>
      <c r="G450" s="73"/>
      <c r="H450" s="73"/>
    </row>
    <row r="451" spans="1:8" ht="15.75" customHeight="1">
      <c r="A451" s="73"/>
      <c r="B451" s="73"/>
      <c r="C451" s="73"/>
      <c r="D451" s="73"/>
      <c r="E451" s="73"/>
      <c r="F451" s="73"/>
      <c r="G451" s="73"/>
      <c r="H451" s="73"/>
    </row>
    <row r="452" spans="1:8" ht="15.75" customHeight="1">
      <c r="A452" s="73"/>
      <c r="B452" s="73"/>
      <c r="C452" s="73"/>
      <c r="D452" s="73"/>
      <c r="E452" s="73"/>
      <c r="F452" s="73"/>
      <c r="G452" s="73"/>
      <c r="H452" s="73"/>
    </row>
    <row r="453" spans="1:8" ht="15.75" customHeight="1">
      <c r="A453" s="73"/>
      <c r="B453" s="73"/>
      <c r="C453" s="73"/>
      <c r="D453" s="73"/>
      <c r="E453" s="73"/>
      <c r="F453" s="73"/>
      <c r="G453" s="73"/>
      <c r="H453" s="73"/>
    </row>
    <row r="454" spans="1:8" ht="15.75" customHeight="1">
      <c r="A454" s="73"/>
      <c r="B454" s="73"/>
      <c r="C454" s="73"/>
      <c r="D454" s="73"/>
      <c r="E454" s="73"/>
      <c r="F454" s="73"/>
      <c r="G454" s="73"/>
      <c r="H454" s="73"/>
    </row>
    <row r="455" spans="1:8" ht="15.75" customHeight="1">
      <c r="A455" s="73"/>
      <c r="B455" s="73"/>
      <c r="C455" s="73"/>
      <c r="D455" s="73"/>
      <c r="E455" s="73"/>
      <c r="F455" s="73"/>
      <c r="G455" s="73"/>
      <c r="H455" s="73"/>
    </row>
    <row r="456" spans="1:8" ht="15.75" customHeight="1">
      <c r="A456" s="73"/>
      <c r="B456" s="73"/>
      <c r="C456" s="73"/>
      <c r="D456" s="73"/>
      <c r="E456" s="73"/>
      <c r="F456" s="73"/>
      <c r="G456" s="73"/>
      <c r="H456" s="73"/>
    </row>
    <row r="457" spans="1:8" ht="15.75" customHeight="1">
      <c r="A457" s="73"/>
      <c r="B457" s="73"/>
      <c r="C457" s="73"/>
      <c r="D457" s="73"/>
      <c r="E457" s="73"/>
      <c r="F457" s="73"/>
      <c r="G457" s="73"/>
      <c r="H457" s="73"/>
    </row>
    <row r="458" spans="1:8" ht="15.75" customHeight="1">
      <c r="A458" s="73"/>
      <c r="B458" s="73"/>
      <c r="C458" s="73"/>
      <c r="D458" s="73"/>
      <c r="E458" s="73"/>
      <c r="F458" s="73"/>
      <c r="G458" s="73"/>
      <c r="H458" s="73"/>
    </row>
    <row r="459" spans="1:8" ht="15.75" customHeight="1">
      <c r="A459" s="73"/>
      <c r="B459" s="73"/>
      <c r="C459" s="73"/>
      <c r="D459" s="73"/>
      <c r="E459" s="73"/>
      <c r="F459" s="73"/>
      <c r="G459" s="73"/>
      <c r="H459" s="73"/>
    </row>
    <row r="460" spans="1:8" ht="15.75" customHeight="1">
      <c r="A460" s="73"/>
      <c r="B460" s="73"/>
      <c r="C460" s="73"/>
      <c r="D460" s="73"/>
      <c r="E460" s="73"/>
      <c r="F460" s="73"/>
      <c r="G460" s="73"/>
      <c r="H460" s="73"/>
    </row>
    <row r="461" spans="1:8" ht="15.75" customHeight="1">
      <c r="A461" s="73"/>
      <c r="B461" s="73"/>
      <c r="C461" s="73"/>
      <c r="D461" s="73"/>
      <c r="E461" s="73"/>
      <c r="F461" s="73"/>
      <c r="G461" s="73"/>
      <c r="H461" s="73"/>
    </row>
    <row r="462" spans="1:8" ht="15.75" customHeight="1">
      <c r="A462" s="73"/>
      <c r="B462" s="73"/>
      <c r="C462" s="73"/>
      <c r="D462" s="73"/>
      <c r="E462" s="73"/>
      <c r="F462" s="73"/>
      <c r="G462" s="73"/>
      <c r="H462" s="73"/>
    </row>
    <row r="463" spans="1:8" ht="15.75" customHeight="1">
      <c r="A463" s="73"/>
      <c r="B463" s="73"/>
      <c r="C463" s="73"/>
      <c r="D463" s="73"/>
      <c r="E463" s="73"/>
      <c r="F463" s="73"/>
      <c r="G463" s="73"/>
      <c r="H463" s="73"/>
    </row>
    <row r="464" spans="1:8" ht="15.75" customHeight="1">
      <c r="A464" s="73"/>
      <c r="B464" s="73"/>
      <c r="C464" s="73"/>
      <c r="D464" s="73"/>
      <c r="E464" s="73"/>
      <c r="F464" s="73"/>
      <c r="G464" s="73"/>
      <c r="H464" s="73"/>
    </row>
    <row r="465" spans="1:8" ht="15.75" customHeight="1">
      <c r="A465" s="73"/>
      <c r="B465" s="73"/>
      <c r="C465" s="73"/>
      <c r="D465" s="73"/>
      <c r="E465" s="73"/>
      <c r="F465" s="73"/>
      <c r="G465" s="73"/>
      <c r="H465" s="73"/>
    </row>
    <row r="466" spans="1:8" ht="15.75" customHeight="1">
      <c r="A466" s="73"/>
      <c r="B466" s="73"/>
      <c r="C466" s="73"/>
      <c r="D466" s="73"/>
      <c r="E466" s="73"/>
      <c r="F466" s="73"/>
      <c r="G466" s="73"/>
      <c r="H466" s="73"/>
    </row>
    <row r="467" spans="1:8" ht="15.75" customHeight="1">
      <c r="A467" s="73"/>
      <c r="B467" s="73"/>
      <c r="C467" s="73"/>
      <c r="D467" s="73"/>
      <c r="E467" s="73"/>
      <c r="F467" s="73"/>
      <c r="G467" s="73"/>
      <c r="H467" s="73"/>
    </row>
    <row r="468" spans="1:8" ht="15.75" customHeight="1">
      <c r="A468" s="73"/>
      <c r="B468" s="73"/>
      <c r="C468" s="73"/>
      <c r="D468" s="73"/>
      <c r="E468" s="73"/>
      <c r="F468" s="73"/>
      <c r="G468" s="73"/>
      <c r="H468" s="73"/>
    </row>
    <row r="469" spans="1:8" ht="15.75" customHeight="1">
      <c r="A469" s="73"/>
      <c r="B469" s="73"/>
      <c r="C469" s="73"/>
      <c r="D469" s="73"/>
      <c r="E469" s="73"/>
      <c r="F469" s="73"/>
      <c r="G469" s="73"/>
      <c r="H469" s="73"/>
    </row>
    <row r="470" spans="1:8" ht="15.75" customHeight="1">
      <c r="A470" s="73"/>
      <c r="B470" s="73"/>
      <c r="C470" s="73"/>
      <c r="D470" s="73"/>
      <c r="E470" s="73"/>
      <c r="F470" s="73"/>
      <c r="G470" s="73"/>
      <c r="H470" s="73"/>
    </row>
    <row r="471" spans="1:8" ht="15.75" customHeight="1">
      <c r="A471" s="73"/>
      <c r="B471" s="73"/>
      <c r="C471" s="73"/>
      <c r="D471" s="73"/>
      <c r="E471" s="73"/>
      <c r="F471" s="73"/>
      <c r="G471" s="73"/>
      <c r="H471" s="73"/>
    </row>
    <row r="472" spans="1:8" ht="15.75" customHeight="1">
      <c r="A472" s="73"/>
      <c r="B472" s="73"/>
      <c r="C472" s="73"/>
      <c r="D472" s="73"/>
      <c r="E472" s="73"/>
      <c r="F472" s="73"/>
      <c r="G472" s="73"/>
      <c r="H472" s="73"/>
    </row>
    <row r="473" spans="1:8" ht="15.75" customHeight="1">
      <c r="A473" s="73"/>
      <c r="B473" s="73"/>
      <c r="C473" s="73"/>
      <c r="D473" s="73"/>
      <c r="E473" s="73"/>
      <c r="F473" s="73"/>
      <c r="G473" s="73"/>
      <c r="H473" s="73"/>
    </row>
    <row r="474" spans="1:8" ht="15.75" customHeight="1">
      <c r="A474" s="73"/>
      <c r="B474" s="73"/>
      <c r="C474" s="73"/>
      <c r="D474" s="73"/>
      <c r="E474" s="73"/>
      <c r="F474" s="73"/>
      <c r="G474" s="73"/>
      <c r="H474" s="73"/>
    </row>
    <row r="475" spans="1:8" ht="15.75" customHeight="1">
      <c r="A475" s="73"/>
      <c r="B475" s="73"/>
      <c r="C475" s="73"/>
      <c r="D475" s="73"/>
      <c r="E475" s="73"/>
      <c r="F475" s="73"/>
      <c r="G475" s="73"/>
      <c r="H475" s="73"/>
    </row>
    <row r="476" spans="1:8" ht="15.75" customHeight="1">
      <c r="A476" s="73"/>
      <c r="B476" s="73"/>
      <c r="C476" s="73"/>
      <c r="D476" s="73"/>
      <c r="E476" s="73"/>
      <c r="F476" s="73"/>
      <c r="G476" s="73"/>
      <c r="H476" s="73"/>
    </row>
    <row r="477" spans="1:8" ht="15.75" customHeight="1">
      <c r="A477" s="73"/>
      <c r="B477" s="73"/>
      <c r="C477" s="73"/>
      <c r="D477" s="73"/>
      <c r="E477" s="73"/>
      <c r="F477" s="73"/>
      <c r="G477" s="73"/>
      <c r="H477" s="73"/>
    </row>
    <row r="478" spans="1:8" ht="15.75" customHeight="1">
      <c r="A478" s="73"/>
      <c r="B478" s="73"/>
      <c r="C478" s="73"/>
      <c r="D478" s="73"/>
      <c r="E478" s="73"/>
      <c r="F478" s="73"/>
      <c r="G478" s="73"/>
      <c r="H478" s="73"/>
    </row>
    <row r="479" spans="1:8" ht="15.75" customHeight="1">
      <c r="A479" s="73"/>
      <c r="B479" s="73"/>
      <c r="C479" s="73"/>
      <c r="D479" s="73"/>
      <c r="E479" s="73"/>
      <c r="F479" s="73"/>
      <c r="G479" s="73"/>
      <c r="H479" s="73"/>
    </row>
    <row r="480" spans="1:8" ht="15.75" customHeight="1">
      <c r="A480" s="73"/>
      <c r="B480" s="73"/>
      <c r="C480" s="73"/>
      <c r="D480" s="73"/>
      <c r="E480" s="73"/>
      <c r="F480" s="73"/>
      <c r="G480" s="73"/>
      <c r="H480" s="73"/>
    </row>
    <row r="481" spans="1:8" ht="15.75" customHeight="1">
      <c r="A481" s="73"/>
      <c r="B481" s="73"/>
      <c r="C481" s="73"/>
      <c r="D481" s="73"/>
      <c r="E481" s="73"/>
      <c r="F481" s="73"/>
      <c r="G481" s="73"/>
      <c r="H481" s="73"/>
    </row>
    <row r="482" spans="1:8" ht="15.75" customHeight="1">
      <c r="A482" s="73"/>
      <c r="B482" s="73"/>
      <c r="C482" s="73"/>
      <c r="D482" s="73"/>
      <c r="E482" s="73"/>
      <c r="F482" s="73"/>
      <c r="G482" s="73"/>
      <c r="H482" s="73"/>
    </row>
    <row r="483" spans="1:8" ht="15.75" customHeight="1">
      <c r="A483" s="73"/>
      <c r="B483" s="73"/>
      <c r="C483" s="73"/>
      <c r="D483" s="73"/>
      <c r="E483" s="73"/>
      <c r="F483" s="73"/>
      <c r="G483" s="73"/>
      <c r="H483" s="73"/>
    </row>
    <row r="484" spans="1:8" ht="15.75" customHeight="1">
      <c r="A484" s="73"/>
      <c r="B484" s="73"/>
      <c r="C484" s="73"/>
      <c r="D484" s="73"/>
      <c r="E484" s="73"/>
      <c r="F484" s="73"/>
      <c r="G484" s="73"/>
      <c r="H484" s="73"/>
    </row>
    <row r="485" spans="1:8" ht="15.75" customHeight="1">
      <c r="A485" s="73"/>
      <c r="B485" s="73"/>
      <c r="C485" s="73"/>
      <c r="D485" s="73"/>
      <c r="E485" s="73"/>
      <c r="F485" s="73"/>
      <c r="G485" s="73"/>
      <c r="H485" s="73"/>
    </row>
    <row r="486" spans="1:8" ht="15.75" customHeight="1">
      <c r="A486" s="73"/>
      <c r="B486" s="73"/>
      <c r="C486" s="73"/>
      <c r="D486" s="73"/>
      <c r="E486" s="73"/>
      <c r="F486" s="73"/>
      <c r="G486" s="73"/>
      <c r="H486" s="73"/>
    </row>
    <row r="487" spans="1:8" ht="15.75" customHeight="1">
      <c r="A487" s="73"/>
      <c r="B487" s="73"/>
      <c r="C487" s="73"/>
      <c r="D487" s="73"/>
      <c r="E487" s="73"/>
      <c r="F487" s="73"/>
      <c r="G487" s="73"/>
      <c r="H487" s="73"/>
    </row>
    <row r="488" spans="1:8" ht="15.75" customHeight="1">
      <c r="A488" s="73"/>
      <c r="B488" s="73"/>
      <c r="C488" s="73"/>
      <c r="D488" s="73"/>
      <c r="E488" s="73"/>
      <c r="F488" s="73"/>
      <c r="G488" s="73"/>
      <c r="H488" s="73"/>
    </row>
    <row r="489" spans="1:8" ht="15.75" customHeight="1">
      <c r="A489" s="73"/>
      <c r="B489" s="73"/>
      <c r="C489" s="73"/>
      <c r="D489" s="73"/>
      <c r="E489" s="73"/>
      <c r="F489" s="73"/>
      <c r="G489" s="73"/>
      <c r="H489" s="73"/>
    </row>
    <row r="490" spans="1:8" ht="15.75" customHeight="1">
      <c r="A490" s="73"/>
      <c r="B490" s="73"/>
      <c r="C490" s="73"/>
      <c r="D490" s="73"/>
      <c r="E490" s="73"/>
      <c r="F490" s="73"/>
      <c r="G490" s="73"/>
      <c r="H490" s="73"/>
    </row>
    <row r="491" spans="1:8" ht="15.75" customHeight="1">
      <c r="A491" s="73"/>
      <c r="B491" s="73"/>
      <c r="C491" s="73"/>
      <c r="D491" s="73"/>
      <c r="E491" s="73"/>
      <c r="F491" s="73"/>
      <c r="G491" s="73"/>
      <c r="H491" s="73"/>
    </row>
    <row r="492" spans="1:8" ht="15.75" customHeight="1">
      <c r="A492" s="73"/>
      <c r="B492" s="73"/>
      <c r="C492" s="73"/>
      <c r="D492" s="73"/>
      <c r="E492" s="73"/>
      <c r="F492" s="73"/>
      <c r="G492" s="73"/>
      <c r="H492" s="73"/>
    </row>
    <row r="493" spans="1:8" ht="15.75" customHeight="1">
      <c r="A493" s="73"/>
      <c r="B493" s="73"/>
      <c r="C493" s="73"/>
      <c r="D493" s="73"/>
      <c r="E493" s="73"/>
      <c r="F493" s="73"/>
      <c r="G493" s="73"/>
      <c r="H493" s="73"/>
    </row>
    <row r="494" spans="1:8" ht="15.75" customHeight="1">
      <c r="A494" s="73"/>
      <c r="B494" s="73"/>
      <c r="C494" s="73"/>
      <c r="D494" s="73"/>
      <c r="E494" s="73"/>
      <c r="F494" s="73"/>
      <c r="G494" s="73"/>
      <c r="H494" s="73"/>
    </row>
    <row r="495" spans="1:8" ht="15.75" customHeight="1">
      <c r="A495" s="73"/>
      <c r="B495" s="73"/>
      <c r="C495" s="73"/>
      <c r="D495" s="73"/>
      <c r="E495" s="73"/>
      <c r="F495" s="73"/>
      <c r="G495" s="73"/>
      <c r="H495" s="73"/>
    </row>
    <row r="496" spans="1:8" ht="15.75" customHeight="1">
      <c r="A496" s="73"/>
      <c r="B496" s="73"/>
      <c r="C496" s="73"/>
      <c r="D496" s="73"/>
      <c r="E496" s="73"/>
      <c r="F496" s="73"/>
      <c r="G496" s="73"/>
      <c r="H496" s="73"/>
    </row>
    <row r="497" spans="1:8" ht="15.75" customHeight="1">
      <c r="A497" s="73"/>
      <c r="B497" s="73"/>
      <c r="C497" s="73"/>
      <c r="D497" s="73"/>
      <c r="E497" s="73"/>
      <c r="F497" s="73"/>
      <c r="G497" s="73"/>
      <c r="H497" s="73"/>
    </row>
    <row r="498" spans="1:8" ht="15.75" customHeight="1">
      <c r="A498" s="73"/>
      <c r="B498" s="73"/>
      <c r="C498" s="73"/>
      <c r="D498" s="73"/>
      <c r="E498" s="73"/>
      <c r="F498" s="73"/>
      <c r="G498" s="73"/>
      <c r="H498" s="73"/>
    </row>
    <row r="499" spans="1:8" ht="15.75" customHeight="1">
      <c r="A499" s="73"/>
      <c r="B499" s="73"/>
      <c r="C499" s="73"/>
      <c r="D499" s="73"/>
      <c r="E499" s="73"/>
      <c r="F499" s="73"/>
      <c r="G499" s="73"/>
      <c r="H499" s="73"/>
    </row>
    <row r="500" spans="1:8" ht="15.75" customHeight="1">
      <c r="A500" s="73"/>
      <c r="B500" s="73"/>
      <c r="C500" s="73"/>
      <c r="D500" s="73"/>
      <c r="E500" s="73"/>
      <c r="F500" s="73"/>
      <c r="G500" s="73"/>
      <c r="H500" s="73"/>
    </row>
    <row r="501" spans="1:8" ht="15.75" customHeight="1">
      <c r="A501" s="73"/>
      <c r="B501" s="73"/>
      <c r="C501" s="73"/>
      <c r="D501" s="73"/>
      <c r="E501" s="73"/>
      <c r="F501" s="73"/>
      <c r="G501" s="73"/>
      <c r="H501" s="73"/>
    </row>
    <row r="502" spans="1:8" ht="15.75" customHeight="1">
      <c r="A502" s="73"/>
      <c r="B502" s="73"/>
      <c r="C502" s="73"/>
      <c r="D502" s="73"/>
      <c r="E502" s="73"/>
      <c r="F502" s="73"/>
      <c r="G502" s="73"/>
      <c r="H502" s="73"/>
    </row>
    <row r="503" spans="1:8" ht="15.75" customHeight="1">
      <c r="A503" s="73"/>
      <c r="B503" s="73"/>
      <c r="C503" s="73"/>
      <c r="D503" s="73"/>
      <c r="E503" s="73"/>
      <c r="F503" s="73"/>
      <c r="G503" s="73"/>
      <c r="H503" s="73"/>
    </row>
    <row r="504" spans="1:8" ht="15.75" customHeight="1">
      <c r="A504" s="73"/>
      <c r="B504" s="73"/>
      <c r="C504" s="73"/>
      <c r="D504" s="73"/>
      <c r="E504" s="73"/>
      <c r="F504" s="73"/>
      <c r="G504" s="73"/>
      <c r="H504" s="73"/>
    </row>
    <row r="505" spans="1:8" ht="15.75" customHeight="1">
      <c r="A505" s="73"/>
      <c r="B505" s="73"/>
      <c r="C505" s="73"/>
      <c r="D505" s="73"/>
      <c r="E505" s="73"/>
      <c r="F505" s="73"/>
      <c r="G505" s="73"/>
      <c r="H505" s="73"/>
    </row>
    <row r="506" spans="1:8" ht="15.75" customHeight="1">
      <c r="A506" s="73"/>
      <c r="B506" s="73"/>
      <c r="C506" s="73"/>
      <c r="D506" s="73"/>
      <c r="E506" s="73"/>
      <c r="F506" s="73"/>
      <c r="G506" s="73"/>
      <c r="H506" s="73"/>
    </row>
    <row r="507" spans="1:8" ht="15.75" customHeight="1">
      <c r="A507" s="73"/>
      <c r="B507" s="73"/>
      <c r="C507" s="73"/>
      <c r="D507" s="73"/>
      <c r="E507" s="73"/>
      <c r="F507" s="73"/>
      <c r="G507" s="73"/>
      <c r="H507" s="73"/>
    </row>
    <row r="508" spans="1:8" ht="15.75" customHeight="1">
      <c r="A508" s="73"/>
      <c r="B508" s="73"/>
      <c r="C508" s="73"/>
      <c r="D508" s="73"/>
      <c r="E508" s="73"/>
      <c r="F508" s="73"/>
      <c r="G508" s="73"/>
      <c r="H508" s="73"/>
    </row>
    <row r="509" spans="1:8" ht="15.75" customHeight="1">
      <c r="A509" s="73"/>
      <c r="B509" s="73"/>
      <c r="C509" s="73"/>
      <c r="D509" s="73"/>
      <c r="E509" s="73"/>
      <c r="F509" s="73"/>
      <c r="G509" s="73"/>
      <c r="H509" s="73"/>
    </row>
    <row r="510" spans="1:8" ht="15.75" customHeight="1">
      <c r="A510" s="73"/>
      <c r="B510" s="73"/>
      <c r="C510" s="73"/>
      <c r="D510" s="73"/>
      <c r="E510" s="73"/>
      <c r="F510" s="73"/>
      <c r="G510" s="73"/>
      <c r="H510" s="73"/>
    </row>
    <row r="511" spans="1:8" ht="15.75" customHeight="1">
      <c r="A511" s="73"/>
      <c r="B511" s="73"/>
      <c r="C511" s="73"/>
      <c r="D511" s="73"/>
      <c r="E511" s="73"/>
      <c r="F511" s="73"/>
      <c r="G511" s="73"/>
      <c r="H511" s="73"/>
    </row>
    <row r="512" spans="1:8" ht="15.75" customHeight="1">
      <c r="A512" s="73"/>
      <c r="B512" s="73"/>
      <c r="C512" s="73"/>
      <c r="D512" s="73"/>
      <c r="E512" s="73"/>
      <c r="F512" s="73"/>
      <c r="G512" s="73"/>
      <c r="H512" s="73"/>
    </row>
    <row r="513" spans="1:8" ht="15.75" customHeight="1">
      <c r="A513" s="73"/>
      <c r="B513" s="73"/>
      <c r="C513" s="73"/>
      <c r="D513" s="73"/>
      <c r="E513" s="73"/>
      <c r="F513" s="73"/>
      <c r="G513" s="73"/>
      <c r="H513" s="73"/>
    </row>
    <row r="514" spans="1:8" ht="15.75" customHeight="1">
      <c r="A514" s="73"/>
      <c r="B514" s="73"/>
      <c r="C514" s="73"/>
      <c r="D514" s="73"/>
      <c r="E514" s="73"/>
      <c r="F514" s="73"/>
      <c r="G514" s="73"/>
      <c r="H514" s="73"/>
    </row>
    <row r="515" spans="1:8" ht="15.75" customHeight="1">
      <c r="A515" s="73"/>
      <c r="B515" s="73"/>
      <c r="C515" s="73"/>
      <c r="D515" s="73"/>
      <c r="E515" s="73"/>
      <c r="F515" s="73"/>
      <c r="G515" s="73"/>
      <c r="H515" s="73"/>
    </row>
    <row r="516" spans="1:8" ht="15.75" customHeight="1">
      <c r="A516" s="73"/>
      <c r="B516" s="73"/>
      <c r="C516" s="73"/>
      <c r="D516" s="73"/>
      <c r="E516" s="73"/>
      <c r="F516" s="73"/>
      <c r="G516" s="73"/>
      <c r="H516" s="73"/>
    </row>
    <row r="517" spans="1:8" ht="15.75" customHeight="1">
      <c r="A517" s="73"/>
      <c r="B517" s="73"/>
      <c r="C517" s="73"/>
      <c r="D517" s="73"/>
      <c r="E517" s="73"/>
      <c r="F517" s="73"/>
      <c r="G517" s="73"/>
      <c r="H517" s="73"/>
    </row>
    <row r="518" spans="1:8" ht="15.75" customHeight="1">
      <c r="A518" s="73"/>
      <c r="B518" s="73"/>
      <c r="C518" s="73"/>
      <c r="D518" s="73"/>
      <c r="E518" s="73"/>
      <c r="F518" s="73"/>
      <c r="G518" s="73"/>
      <c r="H518" s="73"/>
    </row>
    <row r="519" spans="1:8" ht="15.75" customHeight="1">
      <c r="A519" s="73"/>
      <c r="B519" s="73"/>
      <c r="C519" s="73"/>
      <c r="D519" s="73"/>
      <c r="E519" s="73"/>
      <c r="F519" s="73"/>
      <c r="G519" s="73"/>
      <c r="H519" s="73"/>
    </row>
    <row r="520" spans="1:8" ht="15.75" customHeight="1">
      <c r="A520" s="73"/>
      <c r="B520" s="73"/>
      <c r="C520" s="73"/>
      <c r="D520" s="73"/>
      <c r="E520" s="73"/>
      <c r="F520" s="73"/>
      <c r="G520" s="73"/>
      <c r="H520" s="73"/>
    </row>
    <row r="521" spans="1:8" ht="15.75" customHeight="1">
      <c r="A521" s="73"/>
      <c r="B521" s="73"/>
      <c r="C521" s="73"/>
      <c r="D521" s="73"/>
      <c r="E521" s="73"/>
      <c r="F521" s="73"/>
      <c r="G521" s="73"/>
      <c r="H521" s="73"/>
    </row>
    <row r="522" spans="1:8" ht="15.75" customHeight="1">
      <c r="A522" s="73"/>
      <c r="B522" s="73"/>
      <c r="C522" s="73"/>
      <c r="D522" s="73"/>
      <c r="E522" s="73"/>
      <c r="F522" s="73"/>
      <c r="G522" s="73"/>
      <c r="H522" s="73"/>
    </row>
    <row r="523" spans="1:8" ht="15.75" customHeight="1">
      <c r="A523" s="73"/>
      <c r="B523" s="73"/>
      <c r="C523" s="73"/>
      <c r="D523" s="73"/>
      <c r="E523" s="73"/>
      <c r="F523" s="73"/>
      <c r="G523" s="73"/>
      <c r="H523" s="73"/>
    </row>
    <row r="524" spans="1:8" ht="15.75" customHeight="1">
      <c r="A524" s="73"/>
      <c r="B524" s="73"/>
      <c r="C524" s="73"/>
      <c r="D524" s="73"/>
      <c r="E524" s="73"/>
      <c r="F524" s="73"/>
      <c r="G524" s="73"/>
      <c r="H524" s="73"/>
    </row>
    <row r="525" spans="1:8" ht="15.75" customHeight="1">
      <c r="A525" s="73"/>
      <c r="B525" s="73"/>
      <c r="C525" s="73"/>
      <c r="D525" s="73"/>
      <c r="E525" s="73"/>
      <c r="F525" s="73"/>
      <c r="G525" s="73"/>
      <c r="H525" s="73"/>
    </row>
    <row r="526" spans="1:8" ht="15.75" customHeight="1">
      <c r="A526" s="73"/>
      <c r="B526" s="73"/>
      <c r="C526" s="73"/>
      <c r="D526" s="73"/>
      <c r="E526" s="73"/>
      <c r="F526" s="73"/>
      <c r="G526" s="73"/>
      <c r="H526" s="73"/>
    </row>
    <row r="527" spans="1:8" ht="15.75" customHeight="1">
      <c r="A527" s="73"/>
      <c r="B527" s="73"/>
      <c r="C527" s="73"/>
      <c r="D527" s="73"/>
      <c r="E527" s="73"/>
      <c r="F527" s="73"/>
      <c r="G527" s="73"/>
      <c r="H527" s="73"/>
    </row>
    <row r="528" spans="1:8" ht="15.75" customHeight="1">
      <c r="A528" s="73"/>
      <c r="B528" s="73"/>
      <c r="C528" s="73"/>
      <c r="D528" s="73"/>
      <c r="E528" s="73"/>
      <c r="F528" s="73"/>
      <c r="G528" s="73"/>
      <c r="H528" s="73"/>
    </row>
    <row r="529" spans="1:8" ht="15.75" customHeight="1">
      <c r="A529" s="73"/>
      <c r="B529" s="73"/>
      <c r="C529" s="73"/>
      <c r="D529" s="73"/>
      <c r="E529" s="73"/>
      <c r="F529" s="73"/>
      <c r="G529" s="73"/>
      <c r="H529" s="73"/>
    </row>
    <row r="530" spans="1:8" ht="15.75" customHeight="1">
      <c r="A530" s="73"/>
      <c r="B530" s="73"/>
      <c r="C530" s="73"/>
      <c r="D530" s="73"/>
      <c r="E530" s="73"/>
      <c r="F530" s="73"/>
      <c r="G530" s="73"/>
      <c r="H530" s="73"/>
    </row>
    <row r="531" spans="1:8" ht="15.75" customHeight="1">
      <c r="A531" s="73"/>
      <c r="B531" s="73"/>
      <c r="C531" s="73"/>
      <c r="D531" s="73"/>
      <c r="E531" s="73"/>
      <c r="F531" s="73"/>
      <c r="G531" s="73"/>
      <c r="H531" s="73"/>
    </row>
    <row r="532" spans="1:8" ht="15.75" customHeight="1">
      <c r="A532" s="73"/>
      <c r="B532" s="73"/>
      <c r="C532" s="73"/>
      <c r="D532" s="73"/>
      <c r="E532" s="73"/>
      <c r="F532" s="73"/>
      <c r="G532" s="73"/>
      <c r="H532" s="73"/>
    </row>
    <row r="533" spans="1:8" ht="15.75" customHeight="1">
      <c r="A533" s="73"/>
      <c r="B533" s="73"/>
      <c r="C533" s="73"/>
      <c r="D533" s="73"/>
      <c r="E533" s="73"/>
      <c r="F533" s="73"/>
      <c r="G533" s="73"/>
      <c r="H533" s="73"/>
    </row>
    <row r="534" spans="1:8" ht="15.75" customHeight="1">
      <c r="A534" s="73"/>
      <c r="B534" s="73"/>
      <c r="C534" s="73"/>
      <c r="D534" s="73"/>
      <c r="E534" s="73"/>
      <c r="F534" s="73"/>
      <c r="G534" s="73"/>
      <c r="H534" s="73"/>
    </row>
    <row r="535" spans="1:8" ht="15.75" customHeight="1">
      <c r="A535" s="73"/>
      <c r="B535" s="73"/>
      <c r="C535" s="73"/>
      <c r="D535" s="73"/>
      <c r="E535" s="73"/>
      <c r="F535" s="73"/>
      <c r="G535" s="73"/>
      <c r="H535" s="73"/>
    </row>
    <row r="536" spans="1:8" ht="15.75" customHeight="1">
      <c r="A536" s="73"/>
      <c r="B536" s="73"/>
      <c r="C536" s="73"/>
      <c r="D536" s="73"/>
      <c r="E536" s="73"/>
      <c r="F536" s="73"/>
      <c r="G536" s="73"/>
      <c r="H536" s="73"/>
    </row>
    <row r="537" spans="1:8" ht="15.75" customHeight="1">
      <c r="A537" s="73"/>
      <c r="B537" s="73"/>
      <c r="C537" s="73"/>
      <c r="D537" s="73"/>
      <c r="E537" s="73"/>
      <c r="F537" s="73"/>
      <c r="G537" s="73"/>
      <c r="H537" s="73"/>
    </row>
    <row r="538" spans="1:8" ht="15.75" customHeight="1">
      <c r="A538" s="73"/>
      <c r="B538" s="73"/>
      <c r="C538" s="73"/>
      <c r="D538" s="73"/>
      <c r="E538" s="73"/>
      <c r="F538" s="73"/>
      <c r="G538" s="73"/>
      <c r="H538" s="73"/>
    </row>
    <row r="539" spans="1:8" ht="15.75" customHeight="1">
      <c r="A539" s="73"/>
      <c r="B539" s="73"/>
      <c r="C539" s="73"/>
      <c r="D539" s="73"/>
      <c r="E539" s="73"/>
      <c r="F539" s="73"/>
      <c r="G539" s="73"/>
      <c r="H539" s="73"/>
    </row>
    <row r="540" spans="1:8" ht="15.75" customHeight="1">
      <c r="A540" s="73"/>
      <c r="B540" s="73"/>
      <c r="C540" s="73"/>
      <c r="D540" s="73"/>
      <c r="E540" s="73"/>
      <c r="F540" s="73"/>
      <c r="G540" s="73"/>
      <c r="H540" s="73"/>
    </row>
    <row r="541" spans="1:8" ht="15.75" customHeight="1">
      <c r="A541" s="73"/>
      <c r="B541" s="73"/>
      <c r="C541" s="73"/>
      <c r="D541" s="73"/>
      <c r="E541" s="73"/>
      <c r="F541" s="73"/>
      <c r="G541" s="73"/>
      <c r="H541" s="73"/>
    </row>
    <row r="542" spans="1:8" ht="15.75" customHeight="1">
      <c r="A542" s="73"/>
      <c r="B542" s="73"/>
      <c r="C542" s="73"/>
      <c r="D542" s="73"/>
      <c r="E542" s="73"/>
      <c r="F542" s="73"/>
      <c r="G542" s="73"/>
      <c r="H542" s="73"/>
    </row>
    <row r="543" spans="1:8" ht="15.75" customHeight="1">
      <c r="A543" s="73"/>
      <c r="B543" s="73"/>
      <c r="C543" s="73"/>
      <c r="D543" s="73"/>
      <c r="E543" s="73"/>
      <c r="F543" s="73"/>
      <c r="G543" s="73"/>
      <c r="H543" s="73"/>
    </row>
    <row r="544" spans="1:8" ht="15.75" customHeight="1">
      <c r="A544" s="73"/>
      <c r="B544" s="73"/>
      <c r="C544" s="73"/>
      <c r="D544" s="73"/>
      <c r="E544" s="73"/>
      <c r="F544" s="73"/>
      <c r="G544" s="73"/>
      <c r="H544" s="73"/>
    </row>
    <row r="545" spans="1:8" ht="15.75" customHeight="1">
      <c r="A545" s="73"/>
      <c r="B545" s="73"/>
      <c r="C545" s="73"/>
      <c r="D545" s="73"/>
      <c r="E545" s="73"/>
      <c r="F545" s="73"/>
      <c r="G545" s="73"/>
      <c r="H545" s="73"/>
    </row>
    <row r="546" spans="1:8" ht="15.75" customHeight="1">
      <c r="A546" s="73"/>
      <c r="B546" s="73"/>
      <c r="C546" s="73"/>
      <c r="D546" s="73"/>
      <c r="E546" s="73"/>
      <c r="F546" s="73"/>
      <c r="G546" s="73"/>
      <c r="H546" s="73"/>
    </row>
    <row r="547" spans="1:8" ht="15.75" customHeight="1">
      <c r="A547" s="73"/>
      <c r="B547" s="73"/>
      <c r="C547" s="73"/>
      <c r="D547" s="73"/>
      <c r="E547" s="73"/>
      <c r="F547" s="73"/>
      <c r="G547" s="73"/>
      <c r="H547" s="73"/>
    </row>
    <row r="548" spans="1:8" ht="15.75" customHeight="1">
      <c r="A548" s="73"/>
      <c r="B548" s="73"/>
      <c r="C548" s="73"/>
      <c r="D548" s="73"/>
      <c r="E548" s="73"/>
      <c r="F548" s="73"/>
      <c r="G548" s="73"/>
      <c r="H548" s="73"/>
    </row>
    <row r="549" spans="1:8" ht="15.75" customHeight="1">
      <c r="A549" s="73"/>
      <c r="B549" s="73"/>
      <c r="C549" s="73"/>
      <c r="D549" s="73"/>
      <c r="E549" s="73"/>
      <c r="F549" s="73"/>
      <c r="G549" s="73"/>
      <c r="H549" s="73"/>
    </row>
    <row r="550" spans="1:8" ht="15.75" customHeight="1">
      <c r="A550" s="73"/>
      <c r="B550" s="73"/>
      <c r="C550" s="73"/>
      <c r="D550" s="73"/>
      <c r="E550" s="73"/>
      <c r="F550" s="73"/>
      <c r="G550" s="73"/>
      <c r="H550" s="73"/>
    </row>
    <row r="551" spans="1:8" ht="15.75" customHeight="1">
      <c r="A551" s="73"/>
      <c r="B551" s="73"/>
      <c r="C551" s="73"/>
      <c r="D551" s="73"/>
      <c r="E551" s="73"/>
      <c r="F551" s="73"/>
      <c r="G551" s="73"/>
      <c r="H551" s="73"/>
    </row>
    <row r="552" spans="1:8" ht="15.75" customHeight="1">
      <c r="A552" s="73"/>
      <c r="B552" s="73"/>
      <c r="C552" s="73"/>
      <c r="D552" s="73"/>
      <c r="E552" s="73"/>
      <c r="F552" s="73"/>
      <c r="G552" s="73"/>
      <c r="H552" s="73"/>
    </row>
    <row r="553" spans="1:8" ht="15.75" customHeight="1">
      <c r="A553" s="73"/>
      <c r="B553" s="73"/>
      <c r="C553" s="73"/>
      <c r="D553" s="73"/>
      <c r="E553" s="73"/>
      <c r="F553" s="73"/>
      <c r="G553" s="73"/>
      <c r="H553" s="73"/>
    </row>
    <row r="554" spans="1:8" ht="15.75" customHeight="1">
      <c r="A554" s="73"/>
      <c r="B554" s="73"/>
      <c r="C554" s="73"/>
      <c r="D554" s="73"/>
      <c r="E554" s="73"/>
      <c r="F554" s="73"/>
      <c r="G554" s="73"/>
      <c r="H554" s="73"/>
    </row>
    <row r="555" spans="1:8" ht="15.75" customHeight="1">
      <c r="A555" s="73"/>
      <c r="B555" s="73"/>
      <c r="C555" s="73"/>
      <c r="D555" s="73"/>
      <c r="E555" s="73"/>
      <c r="F555" s="73"/>
      <c r="G555" s="73"/>
      <c r="H555" s="73"/>
    </row>
    <row r="556" spans="1:8" ht="15.75" customHeight="1">
      <c r="A556" s="73"/>
      <c r="B556" s="73"/>
      <c r="C556" s="73"/>
      <c r="D556" s="73"/>
      <c r="E556" s="73"/>
      <c r="F556" s="73"/>
      <c r="G556" s="73"/>
      <c r="H556" s="73"/>
    </row>
    <row r="557" spans="1:8" ht="15.75" customHeight="1">
      <c r="A557" s="73"/>
      <c r="B557" s="73"/>
      <c r="C557" s="73"/>
      <c r="D557" s="73"/>
      <c r="E557" s="73"/>
      <c r="F557" s="73"/>
      <c r="G557" s="73"/>
      <c r="H557" s="73"/>
    </row>
    <row r="558" spans="1:8" ht="15.75" customHeight="1">
      <c r="A558" s="73"/>
      <c r="B558" s="73"/>
      <c r="C558" s="73"/>
      <c r="D558" s="73"/>
      <c r="E558" s="73"/>
      <c r="F558" s="73"/>
      <c r="G558" s="73"/>
      <c r="H558" s="73"/>
    </row>
    <row r="559" spans="1:8" ht="15.75" customHeight="1">
      <c r="A559" s="73"/>
      <c r="B559" s="73"/>
      <c r="C559" s="73"/>
      <c r="D559" s="73"/>
      <c r="E559" s="73"/>
      <c r="F559" s="73"/>
      <c r="G559" s="73"/>
      <c r="H559" s="73"/>
    </row>
    <row r="560" spans="1:8" ht="15.75" customHeight="1">
      <c r="A560" s="73"/>
      <c r="B560" s="73"/>
      <c r="C560" s="73"/>
      <c r="D560" s="73"/>
      <c r="E560" s="73"/>
      <c r="F560" s="73"/>
      <c r="G560" s="73"/>
      <c r="H560" s="73"/>
    </row>
    <row r="561" spans="1:8" ht="15.75" customHeight="1">
      <c r="A561" s="73"/>
      <c r="B561" s="73"/>
      <c r="C561" s="73"/>
      <c r="D561" s="73"/>
      <c r="E561" s="73"/>
      <c r="F561" s="73"/>
      <c r="G561" s="73"/>
      <c r="H561" s="73"/>
    </row>
    <row r="562" spans="1:8" ht="15.75" customHeight="1">
      <c r="A562" s="73"/>
      <c r="B562" s="73"/>
      <c r="C562" s="73"/>
      <c r="D562" s="73"/>
      <c r="E562" s="73"/>
      <c r="F562" s="73"/>
      <c r="G562" s="73"/>
      <c r="H562" s="73"/>
    </row>
    <row r="563" spans="1:8" ht="15.75" customHeight="1">
      <c r="A563" s="73"/>
      <c r="B563" s="73"/>
      <c r="C563" s="73"/>
      <c r="D563" s="73"/>
      <c r="E563" s="73"/>
      <c r="F563" s="73"/>
      <c r="G563" s="73"/>
      <c r="H563" s="73"/>
    </row>
    <row r="564" spans="1:8" ht="15.75" customHeight="1">
      <c r="A564" s="73"/>
      <c r="B564" s="73"/>
      <c r="C564" s="73"/>
      <c r="D564" s="73"/>
      <c r="E564" s="73"/>
      <c r="F564" s="73"/>
      <c r="G564" s="73"/>
      <c r="H564" s="73"/>
    </row>
    <row r="565" spans="1:8" ht="15.75" customHeight="1">
      <c r="A565" s="73"/>
      <c r="B565" s="73"/>
      <c r="C565" s="73"/>
      <c r="D565" s="73"/>
      <c r="E565" s="73"/>
      <c r="F565" s="73"/>
      <c r="G565" s="73"/>
      <c r="H565" s="73"/>
    </row>
    <row r="566" spans="1:8" ht="15.75" customHeight="1">
      <c r="A566" s="73"/>
      <c r="B566" s="73"/>
      <c r="C566" s="73"/>
      <c r="D566" s="73"/>
      <c r="E566" s="73"/>
      <c r="F566" s="73"/>
      <c r="G566" s="73"/>
      <c r="H566" s="73"/>
    </row>
    <row r="567" spans="1:8" ht="15.75" customHeight="1">
      <c r="A567" s="73"/>
      <c r="B567" s="73"/>
      <c r="C567" s="73"/>
      <c r="D567" s="73"/>
      <c r="E567" s="73"/>
      <c r="F567" s="73"/>
      <c r="G567" s="73"/>
      <c r="H567" s="73"/>
    </row>
    <row r="568" spans="1:8" ht="15.75" customHeight="1">
      <c r="A568" s="73"/>
      <c r="B568" s="73"/>
      <c r="C568" s="73"/>
      <c r="D568" s="73"/>
      <c r="E568" s="73"/>
      <c r="F568" s="73"/>
      <c r="G568" s="73"/>
      <c r="H568" s="73"/>
    </row>
    <row r="569" spans="1:8" ht="15.75" customHeight="1">
      <c r="A569" s="73"/>
      <c r="B569" s="73"/>
      <c r="C569" s="73"/>
      <c r="D569" s="73"/>
      <c r="E569" s="73"/>
      <c r="F569" s="73"/>
      <c r="G569" s="73"/>
      <c r="H569" s="73"/>
    </row>
    <row r="570" spans="1:8" ht="15.75" customHeight="1">
      <c r="A570" s="73"/>
      <c r="B570" s="73"/>
      <c r="C570" s="73"/>
      <c r="D570" s="73"/>
      <c r="E570" s="73"/>
      <c r="F570" s="73"/>
      <c r="G570" s="73"/>
      <c r="H570" s="73"/>
    </row>
    <row r="571" spans="1:8" ht="15.75" customHeight="1">
      <c r="A571" s="73"/>
      <c r="B571" s="73"/>
      <c r="C571" s="73"/>
      <c r="D571" s="73"/>
      <c r="E571" s="73"/>
      <c r="F571" s="73"/>
      <c r="G571" s="73"/>
      <c r="H571" s="73"/>
    </row>
    <row r="572" spans="1:8" ht="15.75" customHeight="1">
      <c r="A572" s="73"/>
      <c r="B572" s="73"/>
      <c r="C572" s="73"/>
      <c r="D572" s="73"/>
      <c r="E572" s="73"/>
      <c r="F572" s="73"/>
      <c r="G572" s="73"/>
      <c r="H572" s="73"/>
    </row>
    <row r="573" spans="1:8" ht="15.75" customHeight="1">
      <c r="A573" s="73"/>
      <c r="B573" s="73"/>
      <c r="C573" s="73"/>
      <c r="D573" s="73"/>
      <c r="E573" s="73"/>
      <c r="F573" s="73"/>
      <c r="G573" s="73"/>
      <c r="H573" s="73"/>
    </row>
    <row r="574" spans="1:8" ht="15.75" customHeight="1">
      <c r="A574" s="73"/>
      <c r="B574" s="73"/>
      <c r="C574" s="73"/>
      <c r="D574" s="73"/>
      <c r="E574" s="73"/>
      <c r="F574" s="73"/>
      <c r="G574" s="73"/>
      <c r="H574" s="73"/>
    </row>
    <row r="575" spans="1:8" ht="15.75" customHeight="1">
      <c r="A575" s="73"/>
      <c r="B575" s="73"/>
      <c r="C575" s="73"/>
      <c r="D575" s="73"/>
      <c r="E575" s="73"/>
      <c r="F575" s="73"/>
      <c r="G575" s="73"/>
      <c r="H575" s="73"/>
    </row>
    <row r="576" spans="1:8" ht="15.75" customHeight="1">
      <c r="A576" s="73"/>
      <c r="B576" s="73"/>
      <c r="C576" s="73"/>
      <c r="D576" s="73"/>
      <c r="E576" s="73"/>
      <c r="F576" s="73"/>
      <c r="G576" s="73"/>
      <c r="H576" s="73"/>
    </row>
    <row r="577" spans="1:8" ht="15.75" customHeight="1">
      <c r="A577" s="73"/>
      <c r="B577" s="73"/>
      <c r="C577" s="73"/>
      <c r="D577" s="73"/>
      <c r="E577" s="73"/>
      <c r="F577" s="73"/>
      <c r="G577" s="73"/>
      <c r="H577" s="73"/>
    </row>
    <row r="578" spans="1:8" ht="15.75" customHeight="1">
      <c r="A578" s="73"/>
      <c r="B578" s="73"/>
      <c r="C578" s="73"/>
      <c r="D578" s="73"/>
      <c r="E578" s="73"/>
      <c r="F578" s="73"/>
      <c r="G578" s="73"/>
      <c r="H578" s="73"/>
    </row>
    <row r="579" spans="1:8" ht="15.75" customHeight="1">
      <c r="A579" s="73"/>
      <c r="B579" s="73"/>
      <c r="C579" s="73"/>
      <c r="D579" s="73"/>
      <c r="E579" s="73"/>
      <c r="F579" s="73"/>
      <c r="G579" s="73"/>
      <c r="H579" s="73"/>
    </row>
    <row r="580" spans="1:8" ht="15.75" customHeight="1">
      <c r="A580" s="73"/>
      <c r="B580" s="73"/>
      <c r="C580" s="73"/>
      <c r="D580" s="73"/>
      <c r="E580" s="73"/>
      <c r="F580" s="73"/>
      <c r="G580" s="73"/>
      <c r="H580" s="73"/>
    </row>
    <row r="581" spans="1:8" ht="15.75" customHeight="1">
      <c r="A581" s="73"/>
      <c r="B581" s="73"/>
      <c r="C581" s="73"/>
      <c r="D581" s="73"/>
      <c r="E581" s="73"/>
      <c r="F581" s="73"/>
      <c r="G581" s="73"/>
      <c r="H581" s="73"/>
    </row>
    <row r="582" spans="1:8" ht="15.75" customHeight="1">
      <c r="A582" s="73"/>
      <c r="B582" s="73"/>
      <c r="C582" s="73"/>
      <c r="D582" s="73"/>
      <c r="E582" s="73"/>
      <c r="F582" s="73"/>
      <c r="G582" s="73"/>
      <c r="H582" s="73"/>
    </row>
    <row r="583" spans="1:8" ht="15.75" customHeight="1">
      <c r="A583" s="73"/>
      <c r="B583" s="73"/>
      <c r="C583" s="73"/>
      <c r="D583" s="73"/>
      <c r="E583" s="73"/>
      <c r="F583" s="73"/>
      <c r="G583" s="73"/>
      <c r="H583" s="73"/>
    </row>
    <row r="584" spans="1:8" ht="15.75" customHeight="1">
      <c r="A584" s="73"/>
      <c r="B584" s="73"/>
      <c r="C584" s="73"/>
      <c r="D584" s="73"/>
      <c r="E584" s="73"/>
      <c r="F584" s="73"/>
      <c r="G584" s="73"/>
      <c r="H584" s="73"/>
    </row>
    <row r="585" spans="1:8" ht="15.75" customHeight="1">
      <c r="A585" s="73"/>
      <c r="B585" s="73"/>
      <c r="C585" s="73"/>
      <c r="D585" s="73"/>
      <c r="E585" s="73"/>
      <c r="F585" s="73"/>
      <c r="G585" s="73"/>
      <c r="H585" s="73"/>
    </row>
    <row r="586" spans="1:8" ht="15.75" customHeight="1">
      <c r="A586" s="73"/>
      <c r="B586" s="73"/>
      <c r="C586" s="73"/>
      <c r="D586" s="73"/>
      <c r="E586" s="73"/>
      <c r="F586" s="73"/>
      <c r="G586" s="73"/>
      <c r="H586" s="73"/>
    </row>
    <row r="587" spans="1:8" ht="15.75" customHeight="1">
      <c r="A587" s="73"/>
      <c r="B587" s="73"/>
      <c r="C587" s="73"/>
      <c r="D587" s="73"/>
      <c r="E587" s="73"/>
      <c r="F587" s="73"/>
      <c r="G587" s="73"/>
      <c r="H587" s="73"/>
    </row>
    <row r="588" spans="1:8" ht="15.75" customHeight="1">
      <c r="A588" s="73"/>
      <c r="B588" s="73"/>
      <c r="C588" s="73"/>
      <c r="D588" s="73"/>
      <c r="E588" s="73"/>
      <c r="F588" s="73"/>
      <c r="G588" s="73"/>
      <c r="H588" s="73"/>
    </row>
    <row r="589" spans="1:8" ht="15.75" customHeight="1">
      <c r="A589" s="73"/>
      <c r="B589" s="73"/>
      <c r="C589" s="73"/>
      <c r="D589" s="73"/>
      <c r="E589" s="73"/>
      <c r="F589" s="73"/>
      <c r="G589" s="73"/>
      <c r="H589" s="73"/>
    </row>
    <row r="590" spans="1:8" ht="15.75" customHeight="1">
      <c r="A590" s="73"/>
      <c r="B590" s="73"/>
      <c r="C590" s="73"/>
      <c r="D590" s="73"/>
      <c r="E590" s="73"/>
      <c r="F590" s="73"/>
      <c r="G590" s="73"/>
      <c r="H590" s="73"/>
    </row>
    <row r="591" spans="1:8" ht="15.75" customHeight="1">
      <c r="A591" s="73"/>
      <c r="B591" s="73"/>
      <c r="C591" s="73"/>
      <c r="D591" s="73"/>
      <c r="E591" s="73"/>
      <c r="F591" s="73"/>
      <c r="G591" s="73"/>
      <c r="H591" s="73"/>
    </row>
    <row r="592" spans="1:8" ht="15.75" customHeight="1">
      <c r="A592" s="73"/>
      <c r="B592" s="73"/>
      <c r="C592" s="73"/>
      <c r="D592" s="73"/>
      <c r="E592" s="73"/>
      <c r="F592" s="73"/>
      <c r="G592" s="73"/>
      <c r="H592" s="73"/>
    </row>
    <row r="593" spans="1:8" ht="15.75" customHeight="1">
      <c r="A593" s="73"/>
      <c r="B593" s="73"/>
      <c r="C593" s="73"/>
      <c r="D593" s="73"/>
      <c r="E593" s="73"/>
      <c r="F593" s="73"/>
      <c r="G593" s="73"/>
      <c r="H593" s="73"/>
    </row>
    <row r="594" spans="1:8" ht="15.75" customHeight="1">
      <c r="A594" s="73"/>
      <c r="B594" s="73"/>
      <c r="C594" s="73"/>
      <c r="D594" s="73"/>
      <c r="E594" s="73"/>
      <c r="F594" s="73"/>
      <c r="G594" s="73"/>
      <c r="H594" s="73"/>
    </row>
    <row r="595" spans="1:8" ht="15.75" customHeight="1">
      <c r="A595" s="73"/>
      <c r="B595" s="73"/>
      <c r="C595" s="73"/>
      <c r="D595" s="73"/>
      <c r="E595" s="73"/>
      <c r="F595" s="73"/>
      <c r="G595" s="73"/>
      <c r="H595" s="73"/>
    </row>
    <row r="596" spans="1:8" ht="15.75" customHeight="1">
      <c r="A596" s="73"/>
      <c r="B596" s="73"/>
      <c r="C596" s="73"/>
      <c r="D596" s="73"/>
      <c r="E596" s="73"/>
      <c r="F596" s="73"/>
      <c r="G596" s="73"/>
      <c r="H596" s="73"/>
    </row>
    <row r="597" spans="1:8" ht="15.75" customHeight="1">
      <c r="A597" s="73"/>
      <c r="B597" s="73"/>
      <c r="C597" s="73"/>
      <c r="D597" s="73"/>
      <c r="E597" s="73"/>
      <c r="F597" s="73"/>
      <c r="G597" s="73"/>
      <c r="H597" s="73"/>
    </row>
    <row r="598" spans="1:8" ht="15.75" customHeight="1">
      <c r="A598" s="73"/>
      <c r="B598" s="73"/>
      <c r="C598" s="73"/>
      <c r="D598" s="73"/>
      <c r="E598" s="73"/>
      <c r="F598" s="73"/>
      <c r="G598" s="73"/>
      <c r="H598" s="73"/>
    </row>
    <row r="599" spans="1:8" ht="15.75" customHeight="1">
      <c r="A599" s="73"/>
      <c r="B599" s="73"/>
      <c r="C599" s="73"/>
      <c r="D599" s="73"/>
      <c r="E599" s="73"/>
      <c r="F599" s="73"/>
      <c r="G599" s="73"/>
      <c r="H599" s="73"/>
    </row>
    <row r="600" spans="1:8" ht="15.75" customHeight="1">
      <c r="A600" s="73"/>
      <c r="B600" s="73"/>
      <c r="C600" s="73"/>
      <c r="D600" s="73"/>
      <c r="E600" s="73"/>
      <c r="F600" s="73"/>
      <c r="G600" s="73"/>
      <c r="H600" s="73"/>
    </row>
    <row r="601" spans="1:8" ht="15.75" customHeight="1">
      <c r="A601" s="73"/>
      <c r="B601" s="73"/>
      <c r="C601" s="73"/>
      <c r="D601" s="73"/>
      <c r="E601" s="73"/>
      <c r="F601" s="73"/>
      <c r="G601" s="73"/>
      <c r="H601" s="73"/>
    </row>
    <row r="602" spans="1:8" ht="15.75" customHeight="1">
      <c r="A602" s="73"/>
      <c r="B602" s="73"/>
      <c r="C602" s="73"/>
      <c r="D602" s="73"/>
      <c r="E602" s="73"/>
      <c r="F602" s="73"/>
      <c r="G602" s="73"/>
      <c r="H602" s="73"/>
    </row>
    <row r="603" spans="1:8" ht="15.75" customHeight="1">
      <c r="A603" s="73"/>
      <c r="B603" s="73"/>
      <c r="C603" s="73"/>
      <c r="D603" s="73"/>
      <c r="E603" s="73"/>
      <c r="F603" s="73"/>
      <c r="G603" s="73"/>
      <c r="H603" s="73"/>
    </row>
    <row r="604" spans="1:8" ht="15.75" customHeight="1">
      <c r="A604" s="73"/>
      <c r="B604" s="73"/>
      <c r="C604" s="73"/>
      <c r="D604" s="73"/>
      <c r="E604" s="73"/>
      <c r="F604" s="73"/>
      <c r="G604" s="73"/>
      <c r="H604" s="73"/>
    </row>
    <row r="605" spans="1:8" ht="15.75" customHeight="1">
      <c r="A605" s="73"/>
      <c r="B605" s="73"/>
      <c r="C605" s="73"/>
      <c r="D605" s="73"/>
      <c r="E605" s="73"/>
      <c r="F605" s="73"/>
      <c r="G605" s="73"/>
      <c r="H605" s="73"/>
    </row>
    <row r="606" spans="1:8" ht="15.75" customHeight="1">
      <c r="A606" s="73"/>
      <c r="B606" s="73"/>
      <c r="C606" s="73"/>
      <c r="D606" s="73"/>
      <c r="E606" s="73"/>
      <c r="F606" s="73"/>
      <c r="G606" s="73"/>
      <c r="H606" s="73"/>
    </row>
    <row r="607" spans="1:8" ht="15.75" customHeight="1">
      <c r="A607" s="73"/>
      <c r="B607" s="73"/>
      <c r="C607" s="73"/>
      <c r="D607" s="73"/>
      <c r="E607" s="73"/>
      <c r="F607" s="73"/>
      <c r="G607" s="73"/>
      <c r="H607" s="73"/>
    </row>
    <row r="608" spans="1:8" ht="15.75" customHeight="1">
      <c r="A608" s="73"/>
      <c r="B608" s="73"/>
      <c r="C608" s="73"/>
      <c r="D608" s="73"/>
      <c r="E608" s="73"/>
      <c r="F608" s="73"/>
      <c r="G608" s="73"/>
      <c r="H608" s="73"/>
    </row>
    <row r="609" spans="1:8" ht="15.75" customHeight="1">
      <c r="A609" s="73"/>
      <c r="B609" s="73"/>
      <c r="C609" s="73"/>
      <c r="D609" s="73"/>
      <c r="E609" s="73"/>
      <c r="F609" s="73"/>
      <c r="G609" s="73"/>
      <c r="H609" s="73"/>
    </row>
    <row r="610" spans="1:8" ht="15.75" customHeight="1">
      <c r="A610" s="73"/>
      <c r="B610" s="73"/>
      <c r="C610" s="73"/>
      <c r="D610" s="73"/>
      <c r="E610" s="73"/>
      <c r="F610" s="73"/>
      <c r="G610" s="73"/>
      <c r="H610" s="73"/>
    </row>
    <row r="611" spans="1:8" ht="15.75" customHeight="1">
      <c r="A611" s="73"/>
      <c r="B611" s="73"/>
      <c r="C611" s="73"/>
      <c r="D611" s="73"/>
      <c r="E611" s="73"/>
      <c r="F611" s="73"/>
      <c r="G611" s="73"/>
      <c r="H611" s="73"/>
    </row>
    <row r="612" spans="1:8" ht="15.75" customHeight="1">
      <c r="A612" s="73"/>
      <c r="B612" s="73"/>
      <c r="C612" s="73"/>
      <c r="D612" s="73"/>
      <c r="E612" s="73"/>
      <c r="F612" s="73"/>
      <c r="G612" s="73"/>
      <c r="H612" s="73"/>
    </row>
    <row r="613" spans="1:8" ht="15.75" customHeight="1">
      <c r="A613" s="73"/>
      <c r="B613" s="73"/>
      <c r="C613" s="73"/>
      <c r="D613" s="73"/>
      <c r="E613" s="73"/>
      <c r="F613" s="73"/>
      <c r="G613" s="73"/>
      <c r="H613" s="73"/>
    </row>
    <row r="614" spans="1:8" ht="15.75" customHeight="1">
      <c r="A614" s="73"/>
      <c r="B614" s="73"/>
      <c r="C614" s="73"/>
      <c r="D614" s="73"/>
      <c r="E614" s="73"/>
      <c r="F614" s="73"/>
      <c r="G614" s="73"/>
      <c r="H614" s="73"/>
    </row>
    <row r="615" spans="1:8" ht="15.75" customHeight="1">
      <c r="A615" s="73"/>
      <c r="B615" s="73"/>
      <c r="C615" s="73"/>
      <c r="D615" s="73"/>
      <c r="E615" s="73"/>
      <c r="F615" s="73"/>
      <c r="G615" s="73"/>
      <c r="H615" s="73"/>
    </row>
    <row r="616" spans="1:8" ht="15.75" customHeight="1">
      <c r="A616" s="73"/>
      <c r="B616" s="73"/>
      <c r="C616" s="73"/>
      <c r="D616" s="73"/>
      <c r="E616" s="73"/>
      <c r="F616" s="73"/>
      <c r="G616" s="73"/>
      <c r="H616" s="73"/>
    </row>
    <row r="617" spans="1:8" ht="15.75" customHeight="1">
      <c r="A617" s="73"/>
      <c r="B617" s="73"/>
      <c r="C617" s="73"/>
      <c r="D617" s="73"/>
      <c r="E617" s="73"/>
      <c r="F617" s="73"/>
      <c r="G617" s="73"/>
      <c r="H617" s="73"/>
    </row>
    <row r="618" spans="1:8" ht="15.75" customHeight="1">
      <c r="A618" s="73"/>
      <c r="B618" s="73"/>
      <c r="C618" s="73"/>
      <c r="D618" s="73"/>
      <c r="E618" s="73"/>
      <c r="F618" s="73"/>
      <c r="G618" s="73"/>
      <c r="H618" s="73"/>
    </row>
    <row r="619" spans="1:8" ht="15.75" customHeight="1">
      <c r="A619" s="73"/>
      <c r="B619" s="73"/>
      <c r="C619" s="73"/>
      <c r="D619" s="73"/>
      <c r="E619" s="73"/>
      <c r="F619" s="73"/>
      <c r="G619" s="73"/>
      <c r="H619" s="73"/>
    </row>
    <row r="620" spans="1:8" ht="15.75" customHeight="1">
      <c r="A620" s="73"/>
      <c r="B620" s="73"/>
      <c r="C620" s="73"/>
      <c r="D620" s="73"/>
      <c r="E620" s="73"/>
      <c r="F620" s="73"/>
      <c r="G620" s="73"/>
      <c r="H620" s="73"/>
    </row>
    <row r="621" spans="1:8" ht="15.75" customHeight="1">
      <c r="A621" s="73"/>
      <c r="B621" s="73"/>
      <c r="C621" s="73"/>
      <c r="D621" s="73"/>
      <c r="E621" s="73"/>
      <c r="F621" s="73"/>
      <c r="G621" s="73"/>
      <c r="H621" s="73"/>
    </row>
    <row r="622" spans="1:8" ht="15.75" customHeight="1">
      <c r="A622" s="73"/>
      <c r="B622" s="73"/>
      <c r="C622" s="73"/>
      <c r="D622" s="73"/>
      <c r="E622" s="73"/>
      <c r="F622" s="73"/>
      <c r="G622" s="73"/>
      <c r="H622" s="73"/>
    </row>
    <row r="623" spans="1:8" ht="15.75" customHeight="1">
      <c r="A623" s="73"/>
      <c r="B623" s="73"/>
      <c r="C623" s="73"/>
      <c r="D623" s="73"/>
      <c r="E623" s="73"/>
      <c r="F623" s="73"/>
      <c r="G623" s="73"/>
      <c r="H623" s="73"/>
    </row>
    <row r="624" spans="1:8" ht="15.75" customHeight="1">
      <c r="A624" s="73"/>
      <c r="B624" s="73"/>
      <c r="C624" s="73"/>
      <c r="D624" s="73"/>
      <c r="E624" s="73"/>
      <c r="F624" s="73"/>
      <c r="G624" s="73"/>
      <c r="H624" s="73"/>
    </row>
    <row r="625" spans="1:8" ht="15.75" customHeight="1">
      <c r="A625" s="73"/>
      <c r="B625" s="73"/>
      <c r="C625" s="73"/>
      <c r="D625" s="73"/>
      <c r="E625" s="73"/>
      <c r="F625" s="73"/>
      <c r="G625" s="73"/>
      <c r="H625" s="73"/>
    </row>
    <row r="626" spans="1:8" ht="15.75" customHeight="1">
      <c r="A626" s="73"/>
      <c r="B626" s="73"/>
      <c r="C626" s="73"/>
      <c r="D626" s="73"/>
      <c r="E626" s="73"/>
      <c r="F626" s="73"/>
      <c r="G626" s="73"/>
      <c r="H626" s="73"/>
    </row>
    <row r="627" spans="1:8" ht="15.75" customHeight="1">
      <c r="A627" s="73"/>
      <c r="B627" s="73"/>
      <c r="C627" s="73"/>
      <c r="D627" s="73"/>
      <c r="E627" s="73"/>
      <c r="F627" s="73"/>
      <c r="G627" s="73"/>
      <c r="H627" s="73"/>
    </row>
    <row r="628" spans="1:8" ht="15.75" customHeight="1">
      <c r="A628" s="73"/>
      <c r="B628" s="73"/>
      <c r="C628" s="73"/>
      <c r="D628" s="73"/>
      <c r="E628" s="73"/>
      <c r="F628" s="73"/>
      <c r="G628" s="73"/>
      <c r="H628" s="73"/>
    </row>
    <row r="629" spans="1:8" ht="15.75" customHeight="1">
      <c r="A629" s="73"/>
      <c r="B629" s="73"/>
      <c r="C629" s="73"/>
      <c r="D629" s="73"/>
      <c r="E629" s="73"/>
      <c r="F629" s="73"/>
      <c r="G629" s="73"/>
      <c r="H629" s="73"/>
    </row>
    <row r="630" spans="1:8" ht="15.75" customHeight="1">
      <c r="A630" s="73"/>
      <c r="B630" s="73"/>
      <c r="C630" s="73"/>
      <c r="D630" s="73"/>
      <c r="E630" s="73"/>
      <c r="F630" s="73"/>
      <c r="G630" s="73"/>
      <c r="H630" s="73"/>
    </row>
    <row r="631" spans="1:8" ht="15.75" customHeight="1">
      <c r="A631" s="73"/>
      <c r="B631" s="73"/>
      <c r="C631" s="73"/>
      <c r="D631" s="73"/>
      <c r="E631" s="73"/>
      <c r="F631" s="73"/>
      <c r="G631" s="73"/>
      <c r="H631" s="73"/>
    </row>
    <row r="632" spans="1:8" ht="15.75" customHeight="1">
      <c r="A632" s="73"/>
      <c r="B632" s="73"/>
      <c r="C632" s="73"/>
      <c r="D632" s="73"/>
      <c r="E632" s="73"/>
      <c r="F632" s="73"/>
      <c r="G632" s="73"/>
      <c r="H632" s="73"/>
    </row>
    <row r="633" spans="1:8" ht="15.75" customHeight="1">
      <c r="A633" s="73"/>
      <c r="B633" s="73"/>
      <c r="C633" s="73"/>
      <c r="D633" s="73"/>
      <c r="E633" s="73"/>
      <c r="F633" s="73"/>
      <c r="G633" s="73"/>
      <c r="H633" s="73"/>
    </row>
    <row r="634" spans="1:8" ht="15.75" customHeight="1">
      <c r="A634" s="73"/>
      <c r="B634" s="73"/>
      <c r="C634" s="73"/>
      <c r="D634" s="73"/>
      <c r="E634" s="73"/>
      <c r="F634" s="73"/>
      <c r="G634" s="73"/>
      <c r="H634" s="73"/>
    </row>
    <row r="635" spans="1:8" ht="15.75" customHeight="1">
      <c r="A635" s="73"/>
      <c r="B635" s="73"/>
      <c r="C635" s="73"/>
      <c r="D635" s="73"/>
      <c r="E635" s="73"/>
      <c r="F635" s="73"/>
      <c r="G635" s="73"/>
      <c r="H635" s="73"/>
    </row>
    <row r="636" spans="1:8" ht="15.75" customHeight="1">
      <c r="A636" s="73"/>
      <c r="B636" s="73"/>
      <c r="C636" s="73"/>
      <c r="D636" s="73"/>
      <c r="E636" s="73"/>
      <c r="F636" s="73"/>
      <c r="G636" s="73"/>
      <c r="H636" s="73"/>
    </row>
    <row r="637" spans="1:8" ht="15.75" customHeight="1">
      <c r="A637" s="73"/>
      <c r="B637" s="73"/>
      <c r="C637" s="73"/>
      <c r="D637" s="73"/>
      <c r="E637" s="73"/>
      <c r="F637" s="73"/>
      <c r="G637" s="73"/>
      <c r="H637" s="73"/>
    </row>
    <row r="638" spans="1:8" ht="15.75" customHeight="1">
      <c r="A638" s="73"/>
      <c r="B638" s="73"/>
      <c r="C638" s="73"/>
      <c r="D638" s="73"/>
      <c r="E638" s="73"/>
      <c r="F638" s="73"/>
      <c r="G638" s="73"/>
      <c r="H638" s="73"/>
    </row>
    <row r="639" spans="1:8" ht="15.75" customHeight="1">
      <c r="A639" s="73"/>
      <c r="B639" s="73"/>
      <c r="C639" s="73"/>
      <c r="D639" s="73"/>
      <c r="E639" s="73"/>
      <c r="F639" s="73"/>
      <c r="G639" s="73"/>
      <c r="H639" s="73"/>
    </row>
    <row r="640" spans="1:8" ht="15.75" customHeight="1">
      <c r="A640" s="73"/>
      <c r="B640" s="73"/>
      <c r="C640" s="73"/>
      <c r="D640" s="73"/>
      <c r="E640" s="73"/>
      <c r="F640" s="73"/>
      <c r="G640" s="73"/>
      <c r="H640" s="73"/>
    </row>
    <row r="641" spans="1:8" ht="15.75" customHeight="1">
      <c r="A641" s="73"/>
      <c r="B641" s="73"/>
      <c r="C641" s="73"/>
      <c r="D641" s="73"/>
      <c r="E641" s="73"/>
      <c r="F641" s="73"/>
      <c r="G641" s="73"/>
      <c r="H641" s="73"/>
    </row>
    <row r="642" spans="1:8" ht="15.75" customHeight="1">
      <c r="A642" s="73"/>
      <c r="B642" s="73"/>
      <c r="C642" s="73"/>
      <c r="D642" s="73"/>
      <c r="E642" s="73"/>
      <c r="F642" s="73"/>
      <c r="G642" s="73"/>
      <c r="H642" s="73"/>
    </row>
    <row r="643" spans="1:8" ht="15.75" customHeight="1">
      <c r="A643" s="73"/>
      <c r="B643" s="73"/>
      <c r="C643" s="73"/>
      <c r="D643" s="73"/>
      <c r="E643" s="73"/>
      <c r="F643" s="73"/>
      <c r="G643" s="73"/>
      <c r="H643" s="73"/>
    </row>
    <row r="644" spans="1:8" ht="15.75" customHeight="1">
      <c r="A644" s="73"/>
      <c r="B644" s="73"/>
      <c r="C644" s="73"/>
      <c r="D644" s="73"/>
      <c r="E644" s="73"/>
      <c r="F644" s="73"/>
      <c r="G644" s="73"/>
      <c r="H644" s="73"/>
    </row>
    <row r="645" spans="1:8" ht="15.75" customHeight="1">
      <c r="A645" s="73"/>
      <c r="B645" s="73"/>
      <c r="C645" s="73"/>
      <c r="D645" s="73"/>
      <c r="E645" s="73"/>
      <c r="F645" s="73"/>
      <c r="G645" s="73"/>
      <c r="H645" s="73"/>
    </row>
    <row r="646" spans="1:8" ht="15.75" customHeight="1">
      <c r="A646" s="73"/>
      <c r="B646" s="73"/>
      <c r="C646" s="73"/>
      <c r="D646" s="73"/>
      <c r="E646" s="73"/>
      <c r="F646" s="73"/>
      <c r="G646" s="73"/>
      <c r="H646" s="73"/>
    </row>
    <row r="647" spans="1:8" ht="15.75" customHeight="1">
      <c r="A647" s="73"/>
      <c r="B647" s="73"/>
      <c r="C647" s="73"/>
      <c r="D647" s="73"/>
      <c r="E647" s="73"/>
      <c r="F647" s="73"/>
      <c r="G647" s="73"/>
      <c r="H647" s="73"/>
    </row>
    <row r="648" spans="1:8" ht="15.75" customHeight="1">
      <c r="A648" s="73"/>
      <c r="B648" s="73"/>
      <c r="C648" s="73"/>
      <c r="D648" s="73"/>
      <c r="E648" s="73"/>
      <c r="F648" s="73"/>
      <c r="G648" s="73"/>
      <c r="H648" s="73"/>
    </row>
    <row r="649" spans="1:8" ht="15.75" customHeight="1">
      <c r="A649" s="73"/>
      <c r="B649" s="73"/>
      <c r="C649" s="73"/>
      <c r="D649" s="73"/>
      <c r="E649" s="73"/>
      <c r="F649" s="73"/>
      <c r="G649" s="73"/>
      <c r="H649" s="73"/>
    </row>
    <row r="650" spans="1:8" ht="15.75" customHeight="1">
      <c r="A650" s="73"/>
      <c r="B650" s="73"/>
      <c r="C650" s="73"/>
      <c r="D650" s="73"/>
      <c r="E650" s="73"/>
      <c r="F650" s="73"/>
      <c r="G650" s="73"/>
      <c r="H650" s="73"/>
    </row>
    <row r="651" spans="1:8" ht="15.75" customHeight="1">
      <c r="A651" s="73"/>
      <c r="B651" s="73"/>
      <c r="C651" s="73"/>
      <c r="D651" s="73"/>
      <c r="E651" s="73"/>
      <c r="F651" s="73"/>
      <c r="G651" s="73"/>
      <c r="H651" s="73"/>
    </row>
    <row r="652" spans="1:8" ht="15.75" customHeight="1">
      <c r="A652" s="73"/>
      <c r="B652" s="73"/>
      <c r="C652" s="73"/>
      <c r="D652" s="73"/>
      <c r="E652" s="73"/>
      <c r="F652" s="73"/>
      <c r="G652" s="73"/>
      <c r="H652" s="73"/>
    </row>
    <row r="653" spans="1:8" ht="15.75" customHeight="1">
      <c r="A653" s="73"/>
      <c r="B653" s="73"/>
      <c r="C653" s="73"/>
      <c r="D653" s="73"/>
      <c r="E653" s="73"/>
      <c r="F653" s="73"/>
      <c r="G653" s="73"/>
      <c r="H653" s="73"/>
    </row>
    <row r="654" spans="1:8" ht="15.75" customHeight="1">
      <c r="A654" s="73"/>
      <c r="B654" s="73"/>
      <c r="C654" s="73"/>
      <c r="D654" s="73"/>
      <c r="E654" s="73"/>
      <c r="F654" s="73"/>
      <c r="G654" s="73"/>
      <c r="H654" s="73"/>
    </row>
    <row r="655" spans="1:8" ht="15.75" customHeight="1">
      <c r="A655" s="73"/>
      <c r="B655" s="73"/>
      <c r="C655" s="73"/>
      <c r="D655" s="73"/>
      <c r="E655" s="73"/>
      <c r="F655" s="73"/>
      <c r="G655" s="73"/>
      <c r="H655" s="73"/>
    </row>
    <row r="656" spans="1:8" ht="15.75" customHeight="1">
      <c r="A656" s="73"/>
      <c r="B656" s="73"/>
      <c r="C656" s="73"/>
      <c r="D656" s="73"/>
      <c r="E656" s="73"/>
      <c r="F656" s="73"/>
      <c r="G656" s="73"/>
      <c r="H656" s="73"/>
    </row>
    <row r="657" spans="1:8" ht="15.75" customHeight="1">
      <c r="A657" s="73"/>
      <c r="B657" s="73"/>
      <c r="C657" s="73"/>
      <c r="D657" s="73"/>
      <c r="E657" s="73"/>
      <c r="F657" s="73"/>
      <c r="G657" s="73"/>
      <c r="H657" s="73"/>
    </row>
    <row r="658" spans="1:8" ht="15.75" customHeight="1">
      <c r="A658" s="73"/>
      <c r="B658" s="73"/>
      <c r="C658" s="73"/>
      <c r="D658" s="73"/>
      <c r="E658" s="73"/>
      <c r="F658" s="73"/>
      <c r="G658" s="73"/>
      <c r="H658" s="73"/>
    </row>
    <row r="659" spans="1:8" ht="15.75" customHeight="1">
      <c r="A659" s="73"/>
      <c r="B659" s="73"/>
      <c r="C659" s="73"/>
      <c r="D659" s="73"/>
      <c r="E659" s="73"/>
      <c r="F659" s="73"/>
      <c r="G659" s="73"/>
      <c r="H659" s="73"/>
    </row>
    <row r="660" spans="1:8" ht="15.75" customHeight="1">
      <c r="A660" s="73"/>
      <c r="B660" s="73"/>
      <c r="C660" s="73"/>
      <c r="D660" s="73"/>
      <c r="E660" s="73"/>
      <c r="F660" s="73"/>
      <c r="G660" s="73"/>
      <c r="H660" s="73"/>
    </row>
    <row r="661" spans="1:8" ht="15.75" customHeight="1">
      <c r="A661" s="73"/>
      <c r="B661" s="73"/>
      <c r="C661" s="73"/>
      <c r="D661" s="73"/>
      <c r="E661" s="73"/>
      <c r="F661" s="73"/>
      <c r="G661" s="73"/>
      <c r="H661" s="73"/>
    </row>
    <row r="662" spans="1:8" ht="15.75" customHeight="1">
      <c r="A662" s="73"/>
      <c r="B662" s="73"/>
      <c r="C662" s="73"/>
      <c r="D662" s="73"/>
      <c r="E662" s="73"/>
      <c r="F662" s="73"/>
      <c r="G662" s="73"/>
      <c r="H662" s="73"/>
    </row>
    <row r="663" spans="1:8" ht="15.75" customHeight="1">
      <c r="A663" s="73"/>
      <c r="B663" s="73"/>
      <c r="C663" s="73"/>
      <c r="D663" s="73"/>
      <c r="E663" s="73"/>
      <c r="F663" s="73"/>
      <c r="G663" s="73"/>
      <c r="H663" s="73"/>
    </row>
    <row r="664" spans="1:8" ht="15.75" customHeight="1">
      <c r="A664" s="73"/>
      <c r="B664" s="73"/>
      <c r="C664" s="73"/>
      <c r="D664" s="73"/>
      <c r="E664" s="73"/>
      <c r="F664" s="73"/>
      <c r="G664" s="73"/>
      <c r="H664" s="73"/>
    </row>
    <row r="665" spans="1:8" ht="15.75" customHeight="1">
      <c r="A665" s="73"/>
      <c r="B665" s="73"/>
      <c r="C665" s="73"/>
      <c r="D665" s="73"/>
      <c r="E665" s="73"/>
      <c r="F665" s="73"/>
      <c r="G665" s="73"/>
      <c r="H665" s="73"/>
    </row>
    <row r="666" spans="1:8" ht="15.75" customHeight="1">
      <c r="A666" s="73"/>
      <c r="B666" s="73"/>
      <c r="C666" s="73"/>
      <c r="D666" s="73"/>
      <c r="E666" s="73"/>
      <c r="F666" s="73"/>
      <c r="G666" s="73"/>
      <c r="H666" s="73"/>
    </row>
    <row r="667" spans="1:8" ht="15.75" customHeight="1">
      <c r="A667" s="73"/>
      <c r="B667" s="73"/>
      <c r="C667" s="73"/>
      <c r="D667" s="73"/>
      <c r="E667" s="73"/>
      <c r="F667" s="73"/>
      <c r="G667" s="73"/>
      <c r="H667" s="73"/>
    </row>
    <row r="668" spans="1:8" ht="15.75" customHeight="1">
      <c r="A668" s="73"/>
      <c r="B668" s="73"/>
      <c r="C668" s="73"/>
      <c r="D668" s="73"/>
      <c r="E668" s="73"/>
      <c r="F668" s="73"/>
      <c r="G668" s="73"/>
      <c r="H668" s="73"/>
    </row>
    <row r="669" spans="1:8" ht="15.75" customHeight="1">
      <c r="A669" s="73"/>
      <c r="B669" s="73"/>
      <c r="C669" s="73"/>
      <c r="D669" s="73"/>
      <c r="E669" s="73"/>
      <c r="F669" s="73"/>
      <c r="G669" s="73"/>
      <c r="H669" s="73"/>
    </row>
    <row r="670" spans="1:8" ht="15.75" customHeight="1">
      <c r="A670" s="73"/>
      <c r="B670" s="73"/>
      <c r="C670" s="73"/>
      <c r="D670" s="73"/>
      <c r="E670" s="73"/>
      <c r="F670" s="73"/>
      <c r="G670" s="73"/>
      <c r="H670" s="73"/>
    </row>
    <row r="671" spans="1:8" ht="15.75" customHeight="1">
      <c r="A671" s="73"/>
      <c r="B671" s="73"/>
      <c r="C671" s="73"/>
      <c r="D671" s="73"/>
      <c r="E671" s="73"/>
      <c r="F671" s="73"/>
      <c r="G671" s="73"/>
      <c r="H671" s="73"/>
    </row>
    <row r="672" spans="1:8" ht="15.75" customHeight="1">
      <c r="A672" s="73"/>
      <c r="B672" s="73"/>
      <c r="C672" s="73"/>
      <c r="D672" s="73"/>
      <c r="E672" s="73"/>
      <c r="F672" s="73"/>
      <c r="G672" s="73"/>
      <c r="H672" s="73"/>
    </row>
    <row r="673" spans="1:8" ht="15.75" customHeight="1">
      <c r="A673" s="73"/>
      <c r="B673" s="73"/>
      <c r="C673" s="73"/>
      <c r="D673" s="73"/>
      <c r="E673" s="73"/>
      <c r="F673" s="73"/>
      <c r="G673" s="73"/>
      <c r="H673" s="73"/>
    </row>
    <row r="674" spans="1:8" ht="15.75" customHeight="1">
      <c r="A674" s="73"/>
      <c r="B674" s="73"/>
      <c r="C674" s="73"/>
      <c r="D674" s="73"/>
      <c r="E674" s="73"/>
      <c r="F674" s="73"/>
      <c r="G674" s="73"/>
      <c r="H674" s="73"/>
    </row>
    <row r="675" spans="1:8" ht="15.75" customHeight="1">
      <c r="A675" s="73"/>
      <c r="B675" s="73"/>
      <c r="C675" s="73"/>
      <c r="D675" s="73"/>
      <c r="E675" s="73"/>
      <c r="F675" s="73"/>
      <c r="G675" s="73"/>
      <c r="H675" s="73"/>
    </row>
    <row r="676" spans="1:8" ht="15.75" customHeight="1">
      <c r="A676" s="73"/>
      <c r="B676" s="73"/>
      <c r="C676" s="73"/>
      <c r="D676" s="73"/>
      <c r="E676" s="73"/>
      <c r="F676" s="73"/>
      <c r="G676" s="73"/>
      <c r="H676" s="73"/>
    </row>
    <row r="677" spans="1:8" ht="15.75" customHeight="1">
      <c r="A677" s="73"/>
      <c r="B677" s="73"/>
      <c r="C677" s="73"/>
      <c r="D677" s="73"/>
      <c r="E677" s="73"/>
      <c r="F677" s="73"/>
      <c r="G677" s="73"/>
      <c r="H677" s="73"/>
    </row>
    <row r="678" spans="1:8" ht="15.75" customHeight="1">
      <c r="A678" s="73"/>
      <c r="B678" s="73"/>
      <c r="C678" s="73"/>
      <c r="D678" s="73"/>
      <c r="E678" s="73"/>
      <c r="F678" s="73"/>
      <c r="G678" s="73"/>
      <c r="H678" s="73"/>
    </row>
    <row r="679" spans="1:8" ht="15.75" customHeight="1">
      <c r="A679" s="73"/>
      <c r="B679" s="73"/>
      <c r="C679" s="73"/>
      <c r="D679" s="73"/>
      <c r="E679" s="73"/>
      <c r="F679" s="73"/>
      <c r="G679" s="73"/>
      <c r="H679" s="73"/>
    </row>
    <row r="680" spans="1:8" ht="15.75" customHeight="1">
      <c r="A680" s="73"/>
      <c r="B680" s="73"/>
      <c r="C680" s="73"/>
      <c r="D680" s="73"/>
      <c r="E680" s="73"/>
      <c r="F680" s="73"/>
      <c r="G680" s="73"/>
      <c r="H680" s="73"/>
    </row>
    <row r="681" spans="1:8" ht="15.75" customHeight="1">
      <c r="A681" s="73"/>
      <c r="B681" s="73"/>
      <c r="C681" s="73"/>
      <c r="D681" s="73"/>
      <c r="E681" s="73"/>
      <c r="F681" s="73"/>
      <c r="G681" s="73"/>
      <c r="H681" s="73"/>
    </row>
    <row r="682" spans="1:8" ht="15.75" customHeight="1">
      <c r="A682" s="73"/>
      <c r="B682" s="73"/>
      <c r="C682" s="73"/>
      <c r="D682" s="73"/>
      <c r="E682" s="73"/>
      <c r="F682" s="73"/>
      <c r="G682" s="73"/>
      <c r="H682" s="73"/>
    </row>
    <row r="683" spans="1:8" ht="15.75" customHeight="1">
      <c r="A683" s="73"/>
      <c r="B683" s="73"/>
      <c r="C683" s="73"/>
      <c r="D683" s="73"/>
      <c r="E683" s="73"/>
      <c r="F683" s="73"/>
      <c r="G683" s="73"/>
      <c r="H683" s="73"/>
    </row>
    <row r="684" spans="1:8" ht="15.75" customHeight="1">
      <c r="A684" s="73"/>
      <c r="B684" s="73"/>
      <c r="C684" s="73"/>
      <c r="D684" s="73"/>
      <c r="E684" s="73"/>
      <c r="F684" s="73"/>
      <c r="G684" s="73"/>
      <c r="H684" s="73"/>
    </row>
    <row r="685" spans="1:8" ht="15.75" customHeight="1">
      <c r="A685" s="73"/>
      <c r="B685" s="73"/>
      <c r="C685" s="73"/>
      <c r="D685" s="73"/>
      <c r="E685" s="73"/>
      <c r="F685" s="73"/>
      <c r="G685" s="73"/>
      <c r="H685" s="73"/>
    </row>
    <row r="686" spans="1:8" ht="15.75" customHeight="1">
      <c r="A686" s="73"/>
      <c r="B686" s="73"/>
      <c r="C686" s="73"/>
      <c r="D686" s="73"/>
      <c r="E686" s="73"/>
      <c r="F686" s="73"/>
      <c r="G686" s="73"/>
      <c r="H686" s="73"/>
    </row>
    <row r="687" spans="1:8" ht="15.75" customHeight="1">
      <c r="A687" s="73"/>
      <c r="B687" s="73"/>
      <c r="C687" s="73"/>
      <c r="D687" s="73"/>
      <c r="E687" s="73"/>
      <c r="F687" s="73"/>
      <c r="G687" s="73"/>
      <c r="H687" s="73"/>
    </row>
    <row r="688" spans="1:8" ht="15.75" customHeight="1">
      <c r="A688" s="73"/>
      <c r="B688" s="73"/>
      <c r="C688" s="73"/>
      <c r="D688" s="73"/>
      <c r="E688" s="73"/>
      <c r="F688" s="73"/>
      <c r="G688" s="73"/>
      <c r="H688" s="73"/>
    </row>
    <row r="689" spans="1:8" ht="15.75" customHeight="1">
      <c r="A689" s="73"/>
      <c r="B689" s="73"/>
      <c r="C689" s="73"/>
      <c r="D689" s="73"/>
      <c r="E689" s="73"/>
      <c r="F689" s="73"/>
      <c r="G689" s="73"/>
      <c r="H689" s="73"/>
    </row>
    <row r="690" spans="1:8" ht="15.75" customHeight="1">
      <c r="A690" s="73"/>
      <c r="B690" s="73"/>
      <c r="C690" s="73"/>
      <c r="D690" s="73"/>
      <c r="E690" s="73"/>
      <c r="F690" s="73"/>
      <c r="G690" s="73"/>
      <c r="H690" s="73"/>
    </row>
    <row r="691" spans="1:8" ht="15.75" customHeight="1">
      <c r="A691" s="73"/>
      <c r="B691" s="73"/>
      <c r="C691" s="73"/>
      <c r="D691" s="73"/>
      <c r="E691" s="73"/>
      <c r="F691" s="73"/>
      <c r="G691" s="73"/>
      <c r="H691" s="73"/>
    </row>
    <row r="692" spans="1:8" ht="15.75" customHeight="1">
      <c r="A692" s="73"/>
      <c r="B692" s="73"/>
      <c r="C692" s="73"/>
      <c r="D692" s="73"/>
      <c r="E692" s="73"/>
      <c r="F692" s="73"/>
      <c r="G692" s="73"/>
      <c r="H692" s="73"/>
    </row>
    <row r="693" spans="1:8" ht="15.75" customHeight="1">
      <c r="A693" s="73"/>
      <c r="B693" s="73"/>
      <c r="C693" s="73"/>
      <c r="D693" s="73"/>
      <c r="E693" s="73"/>
      <c r="F693" s="73"/>
      <c r="G693" s="73"/>
      <c r="H693" s="73"/>
    </row>
    <row r="694" spans="1:8" ht="15.75" customHeight="1">
      <c r="A694" s="73"/>
      <c r="B694" s="73"/>
      <c r="C694" s="73"/>
      <c r="D694" s="73"/>
      <c r="E694" s="73"/>
      <c r="F694" s="73"/>
      <c r="G694" s="73"/>
      <c r="H694" s="73"/>
    </row>
    <row r="695" spans="1:8" ht="15.75" customHeight="1">
      <c r="A695" s="73"/>
      <c r="B695" s="73"/>
      <c r="C695" s="73"/>
      <c r="D695" s="73"/>
      <c r="E695" s="73"/>
      <c r="F695" s="73"/>
      <c r="G695" s="73"/>
      <c r="H695" s="73"/>
    </row>
    <row r="696" spans="1:8" ht="15.75" customHeight="1">
      <c r="A696" s="73"/>
      <c r="B696" s="73"/>
      <c r="C696" s="73"/>
      <c r="D696" s="73"/>
      <c r="E696" s="73"/>
      <c r="F696" s="73"/>
      <c r="G696" s="73"/>
      <c r="H696" s="73"/>
    </row>
    <row r="697" spans="1:8" ht="15.75" customHeight="1">
      <c r="A697" s="73"/>
      <c r="B697" s="73"/>
      <c r="C697" s="73"/>
      <c r="D697" s="73"/>
      <c r="E697" s="73"/>
      <c r="F697" s="73"/>
      <c r="G697" s="73"/>
      <c r="H697" s="73"/>
    </row>
    <row r="698" spans="1:8" ht="15.75" customHeight="1">
      <c r="A698" s="73"/>
      <c r="B698" s="73"/>
      <c r="C698" s="73"/>
      <c r="D698" s="73"/>
      <c r="E698" s="73"/>
      <c r="F698" s="73"/>
      <c r="G698" s="73"/>
      <c r="H698" s="73"/>
    </row>
    <row r="699" spans="1:8" ht="15.75" customHeight="1">
      <c r="A699" s="73"/>
      <c r="B699" s="73"/>
      <c r="C699" s="73"/>
      <c r="D699" s="73"/>
      <c r="E699" s="73"/>
      <c r="F699" s="73"/>
      <c r="G699" s="73"/>
      <c r="H699" s="73"/>
    </row>
    <row r="700" spans="1:8" ht="15.75" customHeight="1">
      <c r="A700" s="73"/>
      <c r="B700" s="73"/>
      <c r="C700" s="73"/>
      <c r="D700" s="73"/>
      <c r="E700" s="73"/>
      <c r="F700" s="73"/>
      <c r="G700" s="73"/>
      <c r="H700" s="73"/>
    </row>
    <row r="701" spans="1:8" ht="15.75" customHeight="1">
      <c r="A701" s="73"/>
      <c r="B701" s="73"/>
      <c r="C701" s="73"/>
      <c r="D701" s="73"/>
      <c r="E701" s="73"/>
      <c r="F701" s="73"/>
      <c r="G701" s="73"/>
      <c r="H701" s="73"/>
    </row>
    <row r="702" spans="1:8" ht="15.75" customHeight="1">
      <c r="A702" s="73"/>
      <c r="B702" s="73"/>
      <c r="C702" s="73"/>
      <c r="D702" s="73"/>
      <c r="E702" s="73"/>
      <c r="F702" s="73"/>
      <c r="G702" s="73"/>
      <c r="H702" s="73"/>
    </row>
    <row r="703" spans="1:8" ht="15.75" customHeight="1">
      <c r="A703" s="73"/>
      <c r="B703" s="73"/>
      <c r="C703" s="73"/>
      <c r="D703" s="73"/>
      <c r="E703" s="73"/>
      <c r="F703" s="73"/>
      <c r="G703" s="73"/>
      <c r="H703" s="73"/>
    </row>
    <row r="704" spans="1:8" ht="15.75" customHeight="1">
      <c r="A704" s="73"/>
      <c r="B704" s="73"/>
      <c r="C704" s="73"/>
      <c r="D704" s="73"/>
      <c r="E704" s="73"/>
      <c r="F704" s="73"/>
      <c r="G704" s="73"/>
      <c r="H704" s="73"/>
    </row>
    <row r="705" spans="1:8" ht="15.75" customHeight="1">
      <c r="A705" s="73"/>
      <c r="B705" s="73"/>
      <c r="C705" s="73"/>
      <c r="D705" s="73"/>
      <c r="E705" s="73"/>
      <c r="F705" s="73"/>
      <c r="G705" s="73"/>
      <c r="H705" s="73"/>
    </row>
    <row r="706" spans="1:8" ht="15.75" customHeight="1">
      <c r="A706" s="73"/>
      <c r="B706" s="73"/>
      <c r="C706" s="73"/>
      <c r="D706" s="73"/>
      <c r="E706" s="73"/>
      <c r="F706" s="73"/>
      <c r="G706" s="73"/>
      <c r="H706" s="73"/>
    </row>
    <row r="707" spans="1:8" ht="15.75" customHeight="1">
      <c r="A707" s="73"/>
      <c r="B707" s="73"/>
      <c r="C707" s="73"/>
      <c r="D707" s="73"/>
      <c r="E707" s="73"/>
      <c r="F707" s="73"/>
      <c r="G707" s="73"/>
      <c r="H707" s="73"/>
    </row>
    <row r="708" spans="1:8" ht="15.75" customHeight="1">
      <c r="A708" s="73"/>
      <c r="B708" s="73"/>
      <c r="C708" s="73"/>
      <c r="D708" s="73"/>
      <c r="E708" s="73"/>
      <c r="F708" s="73"/>
      <c r="G708" s="73"/>
      <c r="H708" s="73"/>
    </row>
    <row r="709" spans="1:8" ht="15.75" customHeight="1">
      <c r="A709" s="73"/>
      <c r="B709" s="73"/>
      <c r="C709" s="73"/>
      <c r="D709" s="73"/>
      <c r="E709" s="73"/>
      <c r="F709" s="73"/>
      <c r="G709" s="73"/>
      <c r="H709" s="73"/>
    </row>
    <row r="710" spans="1:8" ht="15.75" customHeight="1">
      <c r="A710" s="73"/>
      <c r="B710" s="73"/>
      <c r="C710" s="73"/>
      <c r="D710" s="73"/>
      <c r="E710" s="73"/>
      <c r="F710" s="73"/>
      <c r="G710" s="73"/>
      <c r="H710" s="73"/>
    </row>
    <row r="711" spans="1:8" ht="15.75" customHeight="1">
      <c r="A711" s="73"/>
      <c r="B711" s="73"/>
      <c r="C711" s="73"/>
      <c r="D711" s="73"/>
      <c r="E711" s="73"/>
      <c r="F711" s="73"/>
      <c r="G711" s="73"/>
      <c r="H711" s="73"/>
    </row>
    <row r="712" spans="1:8" ht="15.75" customHeight="1">
      <c r="A712" s="73"/>
      <c r="B712" s="73"/>
      <c r="C712" s="73"/>
      <c r="D712" s="73"/>
      <c r="E712" s="73"/>
      <c r="F712" s="73"/>
      <c r="G712" s="73"/>
      <c r="H712" s="73"/>
    </row>
    <row r="713" spans="1:8" ht="15.75" customHeight="1">
      <c r="A713" s="73"/>
      <c r="B713" s="73"/>
      <c r="C713" s="73"/>
      <c r="D713" s="73"/>
      <c r="E713" s="73"/>
      <c r="F713" s="73"/>
      <c r="G713" s="73"/>
      <c r="H713" s="73"/>
    </row>
    <row r="714" spans="1:8" ht="15.75" customHeight="1">
      <c r="A714" s="73"/>
      <c r="B714" s="73"/>
      <c r="C714" s="73"/>
      <c r="D714" s="73"/>
      <c r="E714" s="73"/>
      <c r="F714" s="73"/>
      <c r="G714" s="73"/>
      <c r="H714" s="73"/>
    </row>
    <row r="715" spans="1:8" ht="15.75" customHeight="1">
      <c r="A715" s="73"/>
      <c r="B715" s="73"/>
      <c r="C715" s="73"/>
      <c r="D715" s="73"/>
      <c r="E715" s="73"/>
      <c r="F715" s="73"/>
      <c r="G715" s="73"/>
      <c r="H715" s="73"/>
    </row>
    <row r="716" spans="1:8" ht="15.75" customHeight="1">
      <c r="A716" s="73"/>
      <c r="B716" s="73"/>
      <c r="C716" s="73"/>
      <c r="D716" s="73"/>
      <c r="E716" s="73"/>
      <c r="F716" s="73"/>
      <c r="G716" s="73"/>
      <c r="H716" s="73"/>
    </row>
    <row r="717" spans="1:8" ht="15.75" customHeight="1">
      <c r="A717" s="73"/>
      <c r="B717" s="73"/>
      <c r="C717" s="73"/>
      <c r="D717" s="73"/>
      <c r="E717" s="73"/>
      <c r="F717" s="73"/>
      <c r="G717" s="73"/>
      <c r="H717" s="73"/>
    </row>
    <row r="718" spans="1:8" ht="15.75" customHeight="1">
      <c r="A718" s="73"/>
      <c r="B718" s="73"/>
      <c r="C718" s="73"/>
      <c r="D718" s="73"/>
      <c r="E718" s="73"/>
      <c r="F718" s="73"/>
      <c r="G718" s="73"/>
      <c r="H718" s="73"/>
    </row>
    <row r="719" spans="1:8" ht="15.75" customHeight="1">
      <c r="A719" s="73"/>
      <c r="B719" s="73"/>
      <c r="C719" s="73"/>
      <c r="D719" s="73"/>
      <c r="E719" s="73"/>
      <c r="F719" s="73"/>
      <c r="G719" s="73"/>
      <c r="H719" s="73"/>
    </row>
    <row r="720" spans="1:8" ht="15.75" customHeight="1">
      <c r="A720" s="73"/>
      <c r="B720" s="73"/>
      <c r="C720" s="73"/>
      <c r="D720" s="73"/>
      <c r="E720" s="73"/>
      <c r="F720" s="73"/>
      <c r="G720" s="73"/>
      <c r="H720" s="73"/>
    </row>
    <row r="721" spans="1:8" ht="15.75" customHeight="1">
      <c r="A721" s="73"/>
      <c r="B721" s="73"/>
      <c r="C721" s="73"/>
      <c r="D721" s="73"/>
      <c r="E721" s="73"/>
      <c r="F721" s="73"/>
      <c r="G721" s="73"/>
      <c r="H721" s="73"/>
    </row>
    <row r="722" spans="1:8" ht="15.75" customHeight="1">
      <c r="A722" s="73"/>
      <c r="B722" s="73"/>
      <c r="C722" s="73"/>
      <c r="D722" s="73"/>
      <c r="E722" s="73"/>
      <c r="F722" s="73"/>
      <c r="G722" s="73"/>
      <c r="H722" s="73"/>
    </row>
    <row r="723" spans="1:8" ht="15.75" customHeight="1">
      <c r="A723" s="73"/>
      <c r="B723" s="73"/>
      <c r="C723" s="73"/>
      <c r="D723" s="73"/>
      <c r="E723" s="73"/>
      <c r="F723" s="73"/>
      <c r="G723" s="73"/>
      <c r="H723" s="73"/>
    </row>
    <row r="724" spans="1:8" ht="15.75" customHeight="1">
      <c r="A724" s="73"/>
      <c r="B724" s="73"/>
      <c r="C724" s="73"/>
      <c r="D724" s="73"/>
      <c r="E724" s="73"/>
      <c r="F724" s="73"/>
      <c r="G724" s="73"/>
      <c r="H724" s="73"/>
    </row>
    <row r="725" spans="1:8" ht="15.75" customHeight="1">
      <c r="A725" s="73"/>
      <c r="B725" s="73"/>
      <c r="C725" s="73"/>
      <c r="D725" s="73"/>
      <c r="E725" s="73"/>
      <c r="F725" s="73"/>
      <c r="G725" s="73"/>
      <c r="H725" s="73"/>
    </row>
    <row r="726" spans="1:8" ht="15.75" customHeight="1">
      <c r="A726" s="73"/>
      <c r="B726" s="73"/>
      <c r="C726" s="73"/>
      <c r="D726" s="73"/>
      <c r="E726" s="73"/>
      <c r="F726" s="73"/>
      <c r="G726" s="73"/>
      <c r="H726" s="73"/>
    </row>
    <row r="727" spans="1:8" ht="15.75" customHeight="1">
      <c r="A727" s="73"/>
      <c r="B727" s="73"/>
      <c r="C727" s="73"/>
      <c r="D727" s="73"/>
      <c r="E727" s="73"/>
      <c r="F727" s="73"/>
      <c r="G727" s="73"/>
      <c r="H727" s="73"/>
    </row>
    <row r="728" spans="1:8" ht="15.75" customHeight="1">
      <c r="A728" s="73"/>
      <c r="B728" s="73"/>
      <c r="C728" s="73"/>
      <c r="D728" s="73"/>
      <c r="E728" s="73"/>
      <c r="F728" s="73"/>
      <c r="G728" s="73"/>
      <c r="H728" s="73"/>
    </row>
    <row r="729" spans="1:8" ht="15.75" customHeight="1">
      <c r="A729" s="73"/>
      <c r="B729" s="73"/>
      <c r="C729" s="73"/>
      <c r="D729" s="73"/>
      <c r="E729" s="73"/>
      <c r="F729" s="73"/>
      <c r="G729" s="73"/>
      <c r="H729" s="73"/>
    </row>
    <row r="730" spans="1:8" ht="15.75" customHeight="1">
      <c r="A730" s="73"/>
      <c r="B730" s="73"/>
      <c r="C730" s="73"/>
      <c r="D730" s="73"/>
      <c r="E730" s="73"/>
      <c r="F730" s="73"/>
      <c r="G730" s="73"/>
      <c r="H730" s="73"/>
    </row>
    <row r="731" spans="1:8" ht="15.75" customHeight="1">
      <c r="A731" s="73"/>
      <c r="B731" s="73"/>
      <c r="C731" s="73"/>
      <c r="D731" s="73"/>
      <c r="E731" s="73"/>
      <c r="F731" s="73"/>
      <c r="G731" s="73"/>
      <c r="H731" s="73"/>
    </row>
    <row r="732" spans="1:8" ht="15.75" customHeight="1">
      <c r="A732" s="73"/>
      <c r="B732" s="73"/>
      <c r="C732" s="73"/>
      <c r="D732" s="73"/>
      <c r="E732" s="73"/>
      <c r="F732" s="73"/>
      <c r="G732" s="73"/>
      <c r="H732" s="73"/>
    </row>
    <row r="733" spans="1:8" ht="15.75" customHeight="1">
      <c r="A733" s="73"/>
      <c r="B733" s="73"/>
      <c r="C733" s="73"/>
      <c r="D733" s="73"/>
      <c r="E733" s="73"/>
      <c r="F733" s="73"/>
      <c r="G733" s="73"/>
      <c r="H733" s="73"/>
    </row>
    <row r="734" spans="1:8" ht="15.75" customHeight="1">
      <c r="A734" s="73"/>
      <c r="B734" s="73"/>
      <c r="C734" s="73"/>
      <c r="D734" s="73"/>
      <c r="E734" s="73"/>
      <c r="F734" s="73"/>
      <c r="G734" s="73"/>
      <c r="H734" s="73"/>
    </row>
    <row r="735" spans="1:8" ht="15.75" customHeight="1">
      <c r="A735" s="73"/>
      <c r="B735" s="73"/>
      <c r="C735" s="73"/>
      <c r="D735" s="73"/>
      <c r="E735" s="73"/>
      <c r="F735" s="73"/>
      <c r="G735" s="73"/>
      <c r="H735" s="73"/>
    </row>
    <row r="736" spans="1:8" ht="15.75" customHeight="1">
      <c r="A736" s="73"/>
      <c r="B736" s="73"/>
      <c r="C736" s="73"/>
      <c r="D736" s="73"/>
      <c r="E736" s="73"/>
      <c r="F736" s="73"/>
      <c r="G736" s="73"/>
      <c r="H736" s="73"/>
    </row>
    <row r="737" spans="1:8" ht="15.75" customHeight="1">
      <c r="A737" s="73"/>
      <c r="B737" s="73"/>
      <c r="C737" s="73"/>
      <c r="D737" s="73"/>
      <c r="E737" s="73"/>
      <c r="F737" s="73"/>
      <c r="G737" s="73"/>
      <c r="H737" s="73"/>
    </row>
    <row r="738" spans="1:8" ht="15.75" customHeight="1">
      <c r="A738" s="73"/>
      <c r="B738" s="73"/>
      <c r="C738" s="73"/>
      <c r="D738" s="73"/>
      <c r="E738" s="73"/>
      <c r="F738" s="73"/>
      <c r="G738" s="73"/>
      <c r="H738" s="73"/>
    </row>
    <row r="739" spans="1:8" ht="15.75" customHeight="1">
      <c r="A739" s="73"/>
      <c r="B739" s="73"/>
      <c r="C739" s="73"/>
      <c r="D739" s="73"/>
      <c r="E739" s="73"/>
      <c r="F739" s="73"/>
      <c r="G739" s="73"/>
      <c r="H739" s="73"/>
    </row>
    <row r="740" spans="1:8" ht="15.75" customHeight="1">
      <c r="A740" s="73"/>
      <c r="B740" s="73"/>
      <c r="C740" s="73"/>
      <c r="D740" s="73"/>
      <c r="E740" s="73"/>
      <c r="F740" s="73"/>
      <c r="G740" s="73"/>
      <c r="H740" s="73"/>
    </row>
    <row r="741" spans="1:8" ht="15.75" customHeight="1">
      <c r="A741" s="73"/>
      <c r="B741" s="73"/>
      <c r="C741" s="73"/>
      <c r="D741" s="73"/>
      <c r="E741" s="73"/>
      <c r="F741" s="73"/>
      <c r="G741" s="73"/>
      <c r="H741" s="73"/>
    </row>
    <row r="742" spans="1:8" ht="15.75" customHeight="1">
      <c r="A742" s="73"/>
      <c r="B742" s="73"/>
      <c r="C742" s="73"/>
      <c r="D742" s="73"/>
      <c r="E742" s="73"/>
      <c r="F742" s="73"/>
      <c r="G742" s="73"/>
      <c r="H742" s="73"/>
    </row>
    <row r="743" spans="1:8" ht="15.75" customHeight="1">
      <c r="A743" s="73"/>
      <c r="B743" s="73"/>
      <c r="C743" s="73"/>
      <c r="D743" s="73"/>
      <c r="E743" s="73"/>
      <c r="F743" s="73"/>
      <c r="G743" s="73"/>
      <c r="H743" s="73"/>
    </row>
    <row r="744" spans="1:8" ht="15.75" customHeight="1">
      <c r="A744" s="73"/>
      <c r="B744" s="73"/>
      <c r="C744" s="73"/>
      <c r="D744" s="73"/>
      <c r="E744" s="73"/>
      <c r="F744" s="73"/>
      <c r="G744" s="73"/>
      <c r="H744" s="73"/>
    </row>
    <row r="745" spans="1:8" ht="15.75" customHeight="1">
      <c r="A745" s="73"/>
      <c r="B745" s="73"/>
      <c r="C745" s="73"/>
      <c r="D745" s="73"/>
      <c r="E745" s="73"/>
      <c r="F745" s="73"/>
      <c r="G745" s="73"/>
      <c r="H745" s="73"/>
    </row>
    <row r="746" spans="1:8" ht="15.75" customHeight="1">
      <c r="A746" s="73"/>
      <c r="B746" s="73"/>
      <c r="C746" s="73"/>
      <c r="D746" s="73"/>
      <c r="E746" s="73"/>
      <c r="F746" s="73"/>
      <c r="G746" s="73"/>
      <c r="H746" s="73"/>
    </row>
    <row r="747" spans="1:8" ht="15.75" customHeight="1">
      <c r="A747" s="73"/>
      <c r="B747" s="73"/>
      <c r="C747" s="73"/>
      <c r="D747" s="73"/>
      <c r="E747" s="73"/>
      <c r="F747" s="73"/>
      <c r="G747" s="73"/>
      <c r="H747" s="73"/>
    </row>
    <row r="748" spans="1:8" ht="15.75" customHeight="1">
      <c r="A748" s="73"/>
      <c r="B748" s="73"/>
      <c r="C748" s="73"/>
      <c r="D748" s="73"/>
      <c r="E748" s="73"/>
      <c r="F748" s="73"/>
      <c r="G748" s="73"/>
      <c r="H748" s="73"/>
    </row>
    <row r="749" spans="1:8" ht="15.75" customHeight="1">
      <c r="A749" s="73"/>
      <c r="B749" s="73"/>
      <c r="C749" s="73"/>
      <c r="D749" s="73"/>
      <c r="E749" s="73"/>
      <c r="F749" s="73"/>
      <c r="G749" s="73"/>
      <c r="H749" s="73"/>
    </row>
    <row r="750" spans="1:8" ht="15.75" customHeight="1">
      <c r="A750" s="73"/>
      <c r="B750" s="73"/>
      <c r="C750" s="73"/>
      <c r="D750" s="73"/>
      <c r="E750" s="73"/>
      <c r="F750" s="73"/>
      <c r="G750" s="73"/>
      <c r="H750" s="73"/>
    </row>
    <row r="751" spans="1:8" ht="15.75" customHeight="1">
      <c r="A751" s="73"/>
      <c r="B751" s="73"/>
      <c r="C751" s="73"/>
      <c r="D751" s="73"/>
      <c r="E751" s="73"/>
      <c r="F751" s="73"/>
      <c r="G751" s="73"/>
      <c r="H751" s="73"/>
    </row>
    <row r="752" spans="1:8" ht="15.75" customHeight="1">
      <c r="A752" s="73"/>
      <c r="B752" s="73"/>
      <c r="C752" s="73"/>
      <c r="D752" s="73"/>
      <c r="E752" s="73"/>
      <c r="F752" s="73"/>
      <c r="G752" s="73"/>
      <c r="H752" s="73"/>
    </row>
    <row r="753" spans="1:8" ht="15.75" customHeight="1">
      <c r="A753" s="73"/>
      <c r="B753" s="73"/>
      <c r="C753" s="73"/>
      <c r="D753" s="73"/>
      <c r="E753" s="73"/>
      <c r="F753" s="73"/>
      <c r="G753" s="73"/>
      <c r="H753" s="73"/>
    </row>
    <row r="754" spans="1:8" ht="15.75" customHeight="1">
      <c r="A754" s="73"/>
      <c r="B754" s="73"/>
      <c r="C754" s="73"/>
      <c r="D754" s="73"/>
      <c r="E754" s="73"/>
      <c r="F754" s="73"/>
      <c r="G754" s="73"/>
      <c r="H754" s="73"/>
    </row>
    <row r="755" spans="1:8" ht="15.75" customHeight="1">
      <c r="A755" s="73"/>
      <c r="B755" s="73"/>
      <c r="C755" s="73"/>
      <c r="D755" s="73"/>
      <c r="E755" s="73"/>
      <c r="F755" s="73"/>
      <c r="G755" s="73"/>
      <c r="H755" s="73"/>
    </row>
    <row r="756" spans="1:8" ht="15.75" customHeight="1">
      <c r="A756" s="73"/>
      <c r="B756" s="73"/>
      <c r="C756" s="73"/>
      <c r="D756" s="73"/>
      <c r="E756" s="73"/>
      <c r="F756" s="73"/>
      <c r="G756" s="73"/>
      <c r="H756" s="73"/>
    </row>
    <row r="757" spans="1:8" ht="15.75" customHeight="1">
      <c r="A757" s="73"/>
      <c r="B757" s="73"/>
      <c r="C757" s="73"/>
      <c r="D757" s="73"/>
      <c r="E757" s="73"/>
      <c r="F757" s="73"/>
      <c r="G757" s="73"/>
      <c r="H757" s="73"/>
    </row>
    <row r="758" spans="1:8" ht="15.75" customHeight="1">
      <c r="A758" s="73"/>
      <c r="B758" s="73"/>
      <c r="C758" s="73"/>
      <c r="D758" s="73"/>
      <c r="E758" s="73"/>
      <c r="F758" s="73"/>
      <c r="G758" s="73"/>
      <c r="H758" s="73"/>
    </row>
    <row r="759" spans="1:8" ht="15.75" customHeight="1">
      <c r="A759" s="73"/>
      <c r="B759" s="73"/>
      <c r="C759" s="73"/>
      <c r="D759" s="73"/>
      <c r="E759" s="73"/>
      <c r="F759" s="73"/>
      <c r="G759" s="73"/>
      <c r="H759" s="73"/>
    </row>
    <row r="760" spans="1:8" ht="15.75" customHeight="1">
      <c r="A760" s="73"/>
      <c r="B760" s="73"/>
      <c r="C760" s="73"/>
      <c r="D760" s="73"/>
      <c r="E760" s="73"/>
      <c r="F760" s="73"/>
      <c r="G760" s="73"/>
      <c r="H760" s="73"/>
    </row>
    <row r="761" spans="1:8" ht="15.75" customHeight="1">
      <c r="A761" s="73"/>
      <c r="B761" s="73"/>
      <c r="C761" s="73"/>
      <c r="D761" s="73"/>
      <c r="E761" s="73"/>
      <c r="F761" s="73"/>
      <c r="G761" s="73"/>
      <c r="H761" s="73"/>
    </row>
    <row r="762" spans="1:8" ht="15.75" customHeight="1">
      <c r="A762" s="73"/>
      <c r="B762" s="73"/>
      <c r="C762" s="73"/>
      <c r="D762" s="73"/>
      <c r="E762" s="73"/>
      <c r="F762" s="73"/>
      <c r="G762" s="73"/>
      <c r="H762" s="73"/>
    </row>
    <row r="763" spans="1:8" ht="15.75" customHeight="1">
      <c r="A763" s="73"/>
      <c r="B763" s="73"/>
      <c r="C763" s="73"/>
      <c r="D763" s="73"/>
      <c r="E763" s="73"/>
      <c r="F763" s="73"/>
      <c r="G763" s="73"/>
      <c r="H763" s="73"/>
    </row>
    <row r="764" spans="1:8" ht="15.75" customHeight="1">
      <c r="A764" s="73"/>
      <c r="B764" s="73"/>
      <c r="C764" s="73"/>
      <c r="D764" s="73"/>
      <c r="E764" s="73"/>
      <c r="F764" s="73"/>
      <c r="G764" s="73"/>
      <c r="H764" s="73"/>
    </row>
    <row r="765" spans="1:8" ht="15.75" customHeight="1">
      <c r="A765" s="73"/>
      <c r="B765" s="73"/>
      <c r="C765" s="73"/>
      <c r="D765" s="73"/>
      <c r="E765" s="73"/>
      <c r="F765" s="73"/>
      <c r="G765" s="73"/>
      <c r="H765" s="73"/>
    </row>
    <row r="766" spans="1:8" ht="15.75" customHeight="1">
      <c r="A766" s="73"/>
      <c r="B766" s="73"/>
      <c r="C766" s="73"/>
      <c r="D766" s="73"/>
      <c r="E766" s="73"/>
      <c r="F766" s="73"/>
      <c r="G766" s="73"/>
      <c r="H766" s="73"/>
    </row>
    <row r="767" spans="1:8" ht="15.75" customHeight="1">
      <c r="A767" s="73"/>
      <c r="B767" s="73"/>
      <c r="C767" s="73"/>
      <c r="D767" s="73"/>
      <c r="E767" s="73"/>
      <c r="F767" s="73"/>
      <c r="G767" s="73"/>
      <c r="H767" s="73"/>
    </row>
    <row r="768" spans="1:8" ht="15.75" customHeight="1">
      <c r="A768" s="73"/>
      <c r="B768" s="73"/>
      <c r="C768" s="73"/>
      <c r="D768" s="73"/>
      <c r="E768" s="73"/>
      <c r="F768" s="73"/>
      <c r="G768" s="73"/>
      <c r="H768" s="73"/>
    </row>
    <row r="769" spans="1:8" ht="15.75" customHeight="1">
      <c r="A769" s="73"/>
      <c r="B769" s="73"/>
      <c r="C769" s="73"/>
      <c r="D769" s="73"/>
      <c r="E769" s="73"/>
      <c r="F769" s="73"/>
      <c r="G769" s="73"/>
      <c r="H769" s="73"/>
    </row>
    <row r="770" spans="1:8" ht="15.75" customHeight="1">
      <c r="A770" s="73"/>
      <c r="B770" s="73"/>
      <c r="C770" s="73"/>
      <c r="D770" s="73"/>
      <c r="E770" s="73"/>
      <c r="F770" s="73"/>
      <c r="G770" s="73"/>
      <c r="H770" s="73"/>
    </row>
    <row r="771" spans="1:8" ht="15.75" customHeight="1">
      <c r="A771" s="73"/>
      <c r="B771" s="73"/>
      <c r="C771" s="73"/>
      <c r="D771" s="73"/>
      <c r="E771" s="73"/>
      <c r="F771" s="73"/>
      <c r="G771" s="73"/>
      <c r="H771" s="73"/>
    </row>
    <row r="772" spans="1:8" ht="15.75" customHeight="1">
      <c r="A772" s="73"/>
      <c r="B772" s="73"/>
      <c r="C772" s="73"/>
      <c r="D772" s="73"/>
      <c r="E772" s="73"/>
      <c r="F772" s="73"/>
      <c r="G772" s="73"/>
      <c r="H772" s="73"/>
    </row>
    <row r="773" spans="1:8" ht="15.75" customHeight="1">
      <c r="A773" s="73"/>
      <c r="B773" s="73"/>
      <c r="C773" s="73"/>
      <c r="D773" s="73"/>
      <c r="E773" s="73"/>
      <c r="F773" s="73"/>
      <c r="G773" s="73"/>
      <c r="H773" s="73"/>
    </row>
    <row r="774" spans="1:8" ht="15.75" customHeight="1">
      <c r="A774" s="73"/>
      <c r="B774" s="73"/>
      <c r="C774" s="73"/>
      <c r="D774" s="73"/>
      <c r="E774" s="73"/>
      <c r="F774" s="73"/>
      <c r="G774" s="73"/>
      <c r="H774" s="73"/>
    </row>
    <row r="775" spans="1:8" ht="15.75" customHeight="1">
      <c r="A775" s="73"/>
      <c r="B775" s="73"/>
      <c r="C775" s="73"/>
      <c r="D775" s="73"/>
      <c r="E775" s="73"/>
      <c r="F775" s="73"/>
      <c r="G775" s="73"/>
      <c r="H775" s="73"/>
    </row>
    <row r="776" spans="1:8" ht="15.75" customHeight="1">
      <c r="A776" s="73"/>
      <c r="B776" s="73"/>
      <c r="C776" s="73"/>
      <c r="D776" s="73"/>
      <c r="E776" s="73"/>
      <c r="F776" s="73"/>
      <c r="G776" s="73"/>
      <c r="H776" s="73"/>
    </row>
    <row r="777" spans="1:8" ht="15.75" customHeight="1">
      <c r="A777" s="73"/>
      <c r="B777" s="73"/>
      <c r="C777" s="73"/>
      <c r="D777" s="73"/>
      <c r="E777" s="73"/>
      <c r="F777" s="73"/>
      <c r="G777" s="73"/>
      <c r="H777" s="73"/>
    </row>
    <row r="778" spans="1:8" ht="15.75" customHeight="1">
      <c r="A778" s="73"/>
      <c r="B778" s="73"/>
      <c r="C778" s="73"/>
      <c r="D778" s="73"/>
      <c r="E778" s="73"/>
      <c r="F778" s="73"/>
      <c r="G778" s="73"/>
      <c r="H778" s="73"/>
    </row>
    <row r="779" spans="1:8" ht="15.75" customHeight="1">
      <c r="A779" s="73"/>
      <c r="B779" s="73"/>
      <c r="C779" s="73"/>
      <c r="D779" s="73"/>
      <c r="E779" s="73"/>
      <c r="F779" s="73"/>
      <c r="G779" s="73"/>
      <c r="H779" s="73"/>
    </row>
    <row r="780" spans="1:8" ht="15.75" customHeight="1">
      <c r="A780" s="73"/>
      <c r="B780" s="73"/>
      <c r="C780" s="73"/>
      <c r="D780" s="73"/>
      <c r="E780" s="73"/>
      <c r="F780" s="73"/>
      <c r="G780" s="73"/>
      <c r="H780" s="73"/>
    </row>
    <row r="781" spans="1:8" ht="15.75" customHeight="1">
      <c r="A781" s="73"/>
      <c r="B781" s="73"/>
      <c r="C781" s="73"/>
      <c r="D781" s="73"/>
      <c r="E781" s="73"/>
      <c r="F781" s="73"/>
      <c r="G781" s="73"/>
      <c r="H781" s="73"/>
    </row>
    <row r="782" spans="1:8" ht="15.75" customHeight="1">
      <c r="A782" s="73"/>
      <c r="B782" s="73"/>
      <c r="C782" s="73"/>
      <c r="D782" s="73"/>
      <c r="E782" s="73"/>
      <c r="F782" s="73"/>
      <c r="G782" s="73"/>
      <c r="H782" s="73"/>
    </row>
    <row r="783" spans="1:8" ht="15.75" customHeight="1">
      <c r="A783" s="73"/>
      <c r="B783" s="73"/>
      <c r="C783" s="73"/>
      <c r="D783" s="73"/>
      <c r="E783" s="73"/>
      <c r="F783" s="73"/>
      <c r="G783" s="73"/>
      <c r="H783" s="73"/>
    </row>
    <row r="784" spans="1:8" ht="15.75" customHeight="1">
      <c r="A784" s="73"/>
      <c r="B784" s="73"/>
      <c r="C784" s="73"/>
      <c r="D784" s="73"/>
      <c r="E784" s="73"/>
      <c r="F784" s="73"/>
      <c r="G784" s="73"/>
      <c r="H784" s="73"/>
    </row>
    <row r="785" spans="1:8" ht="15.75" customHeight="1">
      <c r="A785" s="73"/>
      <c r="B785" s="73"/>
      <c r="C785" s="73"/>
      <c r="D785" s="73"/>
      <c r="E785" s="73"/>
      <c r="F785" s="73"/>
      <c r="G785" s="73"/>
      <c r="H785" s="73"/>
    </row>
    <row r="786" spans="1:8" ht="15.75" customHeight="1">
      <c r="A786" s="73"/>
      <c r="B786" s="73"/>
      <c r="C786" s="73"/>
      <c r="D786" s="73"/>
      <c r="E786" s="73"/>
      <c r="F786" s="73"/>
      <c r="G786" s="73"/>
      <c r="H786" s="73"/>
    </row>
    <row r="787" spans="1:8" ht="15.75" customHeight="1">
      <c r="A787" s="73"/>
      <c r="B787" s="73"/>
      <c r="C787" s="73"/>
      <c r="D787" s="73"/>
      <c r="E787" s="73"/>
      <c r="F787" s="73"/>
      <c r="G787" s="73"/>
      <c r="H787" s="73"/>
    </row>
    <row r="788" spans="1:8" ht="15.75" customHeight="1">
      <c r="A788" s="73"/>
      <c r="B788" s="73"/>
      <c r="C788" s="73"/>
      <c r="D788" s="73"/>
      <c r="E788" s="73"/>
      <c r="F788" s="73"/>
      <c r="G788" s="73"/>
      <c r="H788" s="73"/>
    </row>
    <row r="789" spans="1:8" ht="15.75" customHeight="1">
      <c r="A789" s="73"/>
      <c r="B789" s="73"/>
      <c r="C789" s="73"/>
      <c r="D789" s="73"/>
      <c r="E789" s="73"/>
      <c r="F789" s="73"/>
      <c r="G789" s="73"/>
      <c r="H789" s="73"/>
    </row>
    <row r="790" spans="1:8" ht="15.75" customHeight="1">
      <c r="A790" s="73"/>
      <c r="B790" s="73"/>
      <c r="C790" s="73"/>
      <c r="D790" s="73"/>
      <c r="E790" s="73"/>
      <c r="F790" s="73"/>
      <c r="G790" s="73"/>
      <c r="H790" s="73"/>
    </row>
    <row r="791" spans="1:8" ht="15.75" customHeight="1">
      <c r="A791" s="73"/>
      <c r="B791" s="73"/>
      <c r="C791" s="73"/>
      <c r="D791" s="73"/>
      <c r="E791" s="73"/>
      <c r="F791" s="73"/>
      <c r="G791" s="73"/>
      <c r="H791" s="73"/>
    </row>
    <row r="792" spans="1:8" ht="15.75" customHeight="1">
      <c r="A792" s="73"/>
      <c r="B792" s="73"/>
      <c r="C792" s="73"/>
      <c r="D792" s="73"/>
      <c r="E792" s="73"/>
      <c r="F792" s="73"/>
      <c r="G792" s="73"/>
      <c r="H792" s="73"/>
    </row>
    <row r="793" spans="1:8" ht="15.75" customHeight="1">
      <c r="A793" s="73"/>
      <c r="B793" s="73"/>
      <c r="C793" s="73"/>
      <c r="D793" s="73"/>
      <c r="E793" s="73"/>
      <c r="F793" s="73"/>
      <c r="G793" s="73"/>
      <c r="H793" s="73"/>
    </row>
    <row r="794" spans="1:8" ht="15.75" customHeight="1">
      <c r="A794" s="73"/>
      <c r="B794" s="73"/>
      <c r="C794" s="73"/>
      <c r="D794" s="73"/>
      <c r="E794" s="73"/>
      <c r="F794" s="73"/>
      <c r="G794" s="73"/>
      <c r="H794" s="73"/>
    </row>
    <row r="795" spans="1:8" ht="15.75" customHeight="1">
      <c r="A795" s="73"/>
      <c r="B795" s="73"/>
      <c r="C795" s="73"/>
      <c r="D795" s="73"/>
      <c r="E795" s="73"/>
      <c r="F795" s="73"/>
      <c r="G795" s="73"/>
      <c r="H795" s="73"/>
    </row>
    <row r="796" spans="1:8" ht="15.75" customHeight="1">
      <c r="A796" s="73"/>
      <c r="B796" s="73"/>
      <c r="C796" s="73"/>
      <c r="D796" s="73"/>
      <c r="E796" s="73"/>
      <c r="F796" s="73"/>
      <c r="G796" s="73"/>
      <c r="H796" s="73"/>
    </row>
    <row r="797" spans="1:8" ht="15.75" customHeight="1">
      <c r="A797" s="73"/>
      <c r="B797" s="73"/>
      <c r="C797" s="73"/>
      <c r="D797" s="73"/>
      <c r="E797" s="73"/>
      <c r="F797" s="73"/>
      <c r="G797" s="73"/>
      <c r="H797" s="73"/>
    </row>
    <row r="798" spans="1:8" ht="15.75" customHeight="1">
      <c r="A798" s="73"/>
      <c r="B798" s="73"/>
      <c r="C798" s="73"/>
      <c r="D798" s="73"/>
      <c r="E798" s="73"/>
      <c r="F798" s="73"/>
      <c r="G798" s="73"/>
      <c r="H798" s="73"/>
    </row>
    <row r="799" spans="1:8" ht="15.75" customHeight="1">
      <c r="A799" s="73"/>
      <c r="B799" s="73"/>
      <c r="C799" s="73"/>
      <c r="D799" s="73"/>
      <c r="E799" s="73"/>
      <c r="F799" s="73"/>
      <c r="G799" s="73"/>
      <c r="H799" s="73"/>
    </row>
    <row r="800" spans="1:8" ht="15.75" customHeight="1">
      <c r="A800" s="73"/>
      <c r="B800" s="73"/>
      <c r="C800" s="73"/>
      <c r="D800" s="73"/>
      <c r="E800" s="73"/>
      <c r="F800" s="73"/>
      <c r="G800" s="73"/>
      <c r="H800" s="73"/>
    </row>
    <row r="801" spans="1:8" ht="15.75" customHeight="1">
      <c r="A801" s="73"/>
      <c r="B801" s="73"/>
      <c r="C801" s="73"/>
      <c r="D801" s="73"/>
      <c r="E801" s="73"/>
      <c r="F801" s="73"/>
      <c r="G801" s="73"/>
      <c r="H801" s="73"/>
    </row>
    <row r="802" spans="1:8" ht="15.75" customHeight="1">
      <c r="A802" s="73"/>
      <c r="B802" s="73"/>
      <c r="C802" s="73"/>
      <c r="D802" s="73"/>
      <c r="E802" s="73"/>
      <c r="F802" s="73"/>
      <c r="G802" s="73"/>
      <c r="H802" s="73"/>
    </row>
    <row r="803" spans="1:8" ht="15.75" customHeight="1">
      <c r="A803" s="73"/>
      <c r="B803" s="73"/>
      <c r="C803" s="73"/>
      <c r="D803" s="73"/>
      <c r="E803" s="73"/>
      <c r="F803" s="73"/>
      <c r="G803" s="73"/>
      <c r="H803" s="73"/>
    </row>
    <row r="804" spans="1:8" ht="15.75" customHeight="1">
      <c r="A804" s="73"/>
      <c r="B804" s="73"/>
      <c r="C804" s="73"/>
      <c r="D804" s="73"/>
      <c r="E804" s="73"/>
      <c r="F804" s="73"/>
      <c r="G804" s="73"/>
      <c r="H804" s="73"/>
    </row>
    <row r="805" spans="1:8" ht="15.75" customHeight="1">
      <c r="A805" s="73"/>
      <c r="B805" s="73"/>
      <c r="C805" s="73"/>
      <c r="D805" s="73"/>
      <c r="E805" s="73"/>
      <c r="F805" s="73"/>
      <c r="G805" s="73"/>
      <c r="H805" s="73"/>
    </row>
    <row r="806" spans="1:8" ht="15.75" customHeight="1">
      <c r="A806" s="73"/>
      <c r="B806" s="73"/>
      <c r="C806" s="73"/>
      <c r="D806" s="73"/>
      <c r="E806" s="73"/>
      <c r="F806" s="73"/>
      <c r="G806" s="73"/>
      <c r="H806" s="73"/>
    </row>
    <row r="807" spans="1:8" ht="15.75" customHeight="1">
      <c r="A807" s="73"/>
      <c r="B807" s="73"/>
      <c r="C807" s="73"/>
      <c r="D807" s="73"/>
      <c r="E807" s="73"/>
      <c r="F807" s="73"/>
      <c r="G807" s="73"/>
      <c r="H807" s="73"/>
    </row>
    <row r="808" spans="1:8" ht="15.75" customHeight="1">
      <c r="A808" s="73"/>
      <c r="B808" s="73"/>
      <c r="C808" s="73"/>
      <c r="D808" s="73"/>
      <c r="E808" s="73"/>
      <c r="F808" s="73"/>
      <c r="G808" s="73"/>
      <c r="H808" s="73"/>
    </row>
    <row r="809" spans="1:8" ht="15.75" customHeight="1">
      <c r="A809" s="73"/>
      <c r="B809" s="73"/>
      <c r="C809" s="73"/>
      <c r="D809" s="73"/>
      <c r="E809" s="73"/>
      <c r="F809" s="73"/>
      <c r="G809" s="73"/>
      <c r="H809" s="73"/>
    </row>
    <row r="810" spans="1:8" ht="15.75" customHeight="1">
      <c r="A810" s="73"/>
      <c r="B810" s="73"/>
      <c r="C810" s="73"/>
      <c r="D810" s="73"/>
      <c r="E810" s="73"/>
      <c r="F810" s="73"/>
      <c r="G810" s="73"/>
      <c r="H810" s="73"/>
    </row>
    <row r="811" spans="1:8" ht="15.75" customHeight="1">
      <c r="A811" s="73"/>
      <c r="B811" s="73"/>
      <c r="C811" s="73"/>
      <c r="D811" s="73"/>
      <c r="E811" s="73"/>
      <c r="F811" s="73"/>
      <c r="G811" s="73"/>
      <c r="H811" s="73"/>
    </row>
    <row r="812" spans="1:8" ht="15.75" customHeight="1">
      <c r="A812" s="73"/>
      <c r="B812" s="73"/>
      <c r="C812" s="73"/>
      <c r="D812" s="73"/>
      <c r="E812" s="73"/>
      <c r="F812" s="73"/>
      <c r="G812" s="73"/>
      <c r="H812" s="73"/>
    </row>
    <row r="813" spans="1:8" ht="15.75" customHeight="1">
      <c r="A813" s="73"/>
      <c r="B813" s="73"/>
      <c r="C813" s="73"/>
      <c r="D813" s="73"/>
      <c r="E813" s="73"/>
      <c r="F813" s="73"/>
      <c r="G813" s="73"/>
      <c r="H813" s="73"/>
    </row>
    <row r="814" spans="1:8" ht="15.75" customHeight="1">
      <c r="A814" s="73"/>
      <c r="B814" s="73"/>
      <c r="C814" s="73"/>
      <c r="D814" s="73"/>
      <c r="E814" s="73"/>
      <c r="F814" s="73"/>
      <c r="G814" s="73"/>
      <c r="H814" s="73"/>
    </row>
    <row r="815" spans="1:8" ht="15.75" customHeight="1">
      <c r="A815" s="73"/>
      <c r="B815" s="73"/>
      <c r="C815" s="73"/>
      <c r="D815" s="73"/>
      <c r="E815" s="73"/>
      <c r="F815" s="73"/>
      <c r="G815" s="73"/>
      <c r="H815" s="73"/>
    </row>
    <row r="816" spans="1:8" ht="15.75" customHeight="1">
      <c r="A816" s="73"/>
      <c r="B816" s="73"/>
      <c r="C816" s="73"/>
      <c r="D816" s="73"/>
      <c r="E816" s="73"/>
      <c r="F816" s="73"/>
      <c r="G816" s="73"/>
      <c r="H816" s="73"/>
    </row>
    <row r="817" spans="1:8" ht="15.75" customHeight="1">
      <c r="A817" s="73"/>
      <c r="B817" s="73"/>
      <c r="C817" s="73"/>
      <c r="D817" s="73"/>
      <c r="E817" s="73"/>
      <c r="F817" s="73"/>
      <c r="G817" s="73"/>
      <c r="H817" s="73"/>
    </row>
    <row r="818" spans="1:8" ht="15.75" customHeight="1">
      <c r="A818" s="73"/>
      <c r="B818" s="73"/>
      <c r="C818" s="73"/>
      <c r="D818" s="73"/>
      <c r="E818" s="73"/>
      <c r="F818" s="73"/>
      <c r="G818" s="73"/>
      <c r="H818" s="73"/>
    </row>
    <row r="819" spans="1:8" ht="15.75" customHeight="1">
      <c r="A819" s="73"/>
      <c r="B819" s="73"/>
      <c r="C819" s="73"/>
      <c r="D819" s="73"/>
      <c r="E819" s="73"/>
      <c r="F819" s="73"/>
      <c r="G819" s="73"/>
      <c r="H819" s="73"/>
    </row>
    <row r="820" spans="1:8" ht="15.75" customHeight="1">
      <c r="A820" s="73"/>
      <c r="B820" s="73"/>
      <c r="C820" s="73"/>
      <c r="D820" s="73"/>
      <c r="E820" s="73"/>
      <c r="F820" s="73"/>
      <c r="G820" s="73"/>
      <c r="H820" s="73"/>
    </row>
    <row r="821" spans="1:8" ht="15.75" customHeight="1">
      <c r="A821" s="73"/>
      <c r="B821" s="73"/>
      <c r="C821" s="73"/>
      <c r="D821" s="73"/>
      <c r="E821" s="73"/>
      <c r="F821" s="73"/>
      <c r="G821" s="73"/>
      <c r="H821" s="73"/>
    </row>
    <row r="822" spans="1:8" ht="15.75" customHeight="1">
      <c r="A822" s="73"/>
      <c r="B822" s="73"/>
      <c r="C822" s="73"/>
      <c r="D822" s="73"/>
      <c r="E822" s="73"/>
      <c r="F822" s="73"/>
      <c r="G822" s="73"/>
      <c r="H822" s="73"/>
    </row>
    <row r="823" spans="1:8" ht="15.75" customHeight="1">
      <c r="A823" s="73"/>
      <c r="B823" s="73"/>
      <c r="C823" s="73"/>
      <c r="D823" s="73"/>
      <c r="E823" s="73"/>
      <c r="F823" s="73"/>
      <c r="G823" s="73"/>
      <c r="H823" s="73"/>
    </row>
    <row r="824" spans="1:8" ht="15.75" customHeight="1">
      <c r="A824" s="73"/>
      <c r="B824" s="73"/>
      <c r="C824" s="73"/>
      <c r="D824" s="73"/>
      <c r="E824" s="73"/>
      <c r="F824" s="73"/>
      <c r="G824" s="73"/>
      <c r="H824" s="73"/>
    </row>
    <row r="825" spans="1:8" ht="15.75" customHeight="1">
      <c r="A825" s="73"/>
      <c r="B825" s="73"/>
      <c r="C825" s="73"/>
      <c r="D825" s="73"/>
      <c r="E825" s="73"/>
      <c r="F825" s="73"/>
      <c r="G825" s="73"/>
      <c r="H825" s="73"/>
    </row>
    <row r="826" spans="1:8" ht="15.75" customHeight="1">
      <c r="A826" s="73"/>
      <c r="B826" s="73"/>
      <c r="C826" s="73"/>
      <c r="D826" s="73"/>
      <c r="E826" s="73"/>
      <c r="F826" s="73"/>
      <c r="G826" s="73"/>
      <c r="H826" s="73"/>
    </row>
    <row r="827" spans="1:8" ht="15.75" customHeight="1">
      <c r="A827" s="73"/>
      <c r="B827" s="73"/>
      <c r="C827" s="73"/>
      <c r="D827" s="73"/>
      <c r="E827" s="73"/>
      <c r="F827" s="73"/>
      <c r="G827" s="73"/>
      <c r="H827" s="73"/>
    </row>
    <row r="828" spans="1:8" ht="15.75" customHeight="1">
      <c r="A828" s="73"/>
      <c r="B828" s="73"/>
      <c r="C828" s="73"/>
      <c r="D828" s="73"/>
      <c r="E828" s="73"/>
      <c r="F828" s="73"/>
      <c r="G828" s="73"/>
      <c r="H828" s="73"/>
    </row>
    <row r="829" spans="1:8" ht="15.75" customHeight="1">
      <c r="A829" s="73"/>
      <c r="B829" s="73"/>
      <c r="C829" s="73"/>
      <c r="D829" s="73"/>
      <c r="E829" s="73"/>
      <c r="F829" s="73"/>
      <c r="G829" s="73"/>
      <c r="H829" s="73"/>
    </row>
    <row r="830" spans="1:8" ht="15.75" customHeight="1">
      <c r="A830" s="73"/>
      <c r="B830" s="73"/>
      <c r="C830" s="73"/>
      <c r="D830" s="73"/>
      <c r="E830" s="73"/>
      <c r="F830" s="73"/>
      <c r="G830" s="73"/>
      <c r="H830" s="73"/>
    </row>
    <row r="831" spans="1:8" ht="15.75" customHeight="1">
      <c r="A831" s="73"/>
      <c r="B831" s="73"/>
      <c r="C831" s="73"/>
      <c r="D831" s="73"/>
      <c r="E831" s="73"/>
      <c r="F831" s="73"/>
      <c r="G831" s="73"/>
      <c r="H831" s="73"/>
    </row>
    <row r="832" spans="1:8" ht="15.75" customHeight="1">
      <c r="A832" s="73"/>
      <c r="B832" s="73"/>
      <c r="C832" s="73"/>
      <c r="D832" s="73"/>
      <c r="E832" s="73"/>
      <c r="F832" s="73"/>
      <c r="G832" s="73"/>
      <c r="H832" s="73"/>
    </row>
    <row r="833" spans="1:8" ht="15.75" customHeight="1">
      <c r="A833" s="73"/>
      <c r="B833" s="73"/>
      <c r="C833" s="73"/>
      <c r="D833" s="73"/>
      <c r="E833" s="73"/>
      <c r="F833" s="73"/>
      <c r="G833" s="73"/>
      <c r="H833" s="73"/>
    </row>
    <row r="834" spans="1:8" ht="15.75" customHeight="1">
      <c r="A834" s="73"/>
      <c r="B834" s="73"/>
      <c r="C834" s="73"/>
      <c r="D834" s="73"/>
      <c r="E834" s="73"/>
      <c r="F834" s="73"/>
      <c r="G834" s="73"/>
      <c r="H834" s="73"/>
    </row>
    <row r="835" spans="1:8" ht="15.75" customHeight="1">
      <c r="A835" s="73"/>
      <c r="B835" s="73"/>
      <c r="C835" s="73"/>
      <c r="D835" s="73"/>
      <c r="E835" s="73"/>
      <c r="F835" s="73"/>
      <c r="G835" s="73"/>
      <c r="H835" s="73"/>
    </row>
    <row r="836" spans="1:8" ht="15.75" customHeight="1">
      <c r="A836" s="73"/>
      <c r="B836" s="73"/>
      <c r="C836" s="73"/>
      <c r="D836" s="73"/>
      <c r="E836" s="73"/>
      <c r="F836" s="73"/>
      <c r="G836" s="73"/>
      <c r="H836" s="73"/>
    </row>
    <row r="837" spans="1:8" ht="15.75" customHeight="1">
      <c r="A837" s="73"/>
      <c r="B837" s="73"/>
      <c r="C837" s="73"/>
      <c r="D837" s="73"/>
      <c r="E837" s="73"/>
      <c r="F837" s="73"/>
      <c r="G837" s="73"/>
      <c r="H837" s="73"/>
    </row>
    <row r="838" spans="1:8" ht="15.75" customHeight="1">
      <c r="A838" s="73"/>
      <c r="B838" s="73"/>
      <c r="C838" s="73"/>
      <c r="D838" s="73"/>
      <c r="E838" s="73"/>
      <c r="F838" s="73"/>
      <c r="G838" s="73"/>
      <c r="H838" s="73"/>
    </row>
    <row r="839" spans="1:8" ht="15.75" customHeight="1">
      <c r="A839" s="73"/>
      <c r="B839" s="73"/>
      <c r="C839" s="73"/>
      <c r="D839" s="73"/>
      <c r="E839" s="73"/>
      <c r="F839" s="73"/>
      <c r="G839" s="73"/>
      <c r="H839" s="73"/>
    </row>
    <row r="840" spans="1:8" ht="15.75" customHeight="1">
      <c r="A840" s="73"/>
      <c r="B840" s="73"/>
      <c r="C840" s="73"/>
      <c r="D840" s="73"/>
      <c r="E840" s="73"/>
      <c r="F840" s="73"/>
      <c r="G840" s="73"/>
      <c r="H840" s="73"/>
    </row>
    <row r="841" spans="1:8" ht="15.75" customHeight="1">
      <c r="A841" s="73"/>
      <c r="B841" s="73"/>
      <c r="C841" s="73"/>
      <c r="D841" s="73"/>
      <c r="E841" s="73"/>
      <c r="F841" s="73"/>
      <c r="G841" s="73"/>
      <c r="H841" s="73"/>
    </row>
    <row r="842" spans="1:8" ht="15.75" customHeight="1">
      <c r="A842" s="73"/>
      <c r="B842" s="73"/>
      <c r="C842" s="73"/>
      <c r="D842" s="73"/>
      <c r="E842" s="73"/>
      <c r="F842" s="73"/>
      <c r="G842" s="73"/>
      <c r="H842" s="73"/>
    </row>
    <row r="843" spans="1:8" ht="15.75" customHeight="1">
      <c r="A843" s="73"/>
      <c r="B843" s="73"/>
      <c r="C843" s="73"/>
      <c r="D843" s="73"/>
      <c r="E843" s="73"/>
      <c r="F843" s="73"/>
      <c r="G843" s="73"/>
      <c r="H843" s="73"/>
    </row>
    <row r="844" spans="1:8" ht="15.75" customHeight="1">
      <c r="A844" s="73"/>
      <c r="B844" s="73"/>
      <c r="C844" s="73"/>
      <c r="D844" s="73"/>
      <c r="E844" s="73"/>
      <c r="F844" s="73"/>
      <c r="G844" s="73"/>
      <c r="H844" s="73"/>
    </row>
    <row r="845" spans="1:8" ht="15.75" customHeight="1">
      <c r="A845" s="73"/>
      <c r="B845" s="73"/>
      <c r="C845" s="73"/>
      <c r="D845" s="73"/>
      <c r="E845" s="73"/>
      <c r="F845" s="73"/>
      <c r="G845" s="73"/>
      <c r="H845" s="73"/>
    </row>
    <row r="846" spans="1:8" ht="15.75" customHeight="1">
      <c r="A846" s="73"/>
      <c r="B846" s="73"/>
      <c r="C846" s="73"/>
      <c r="D846" s="73"/>
      <c r="E846" s="73"/>
      <c r="F846" s="73"/>
      <c r="G846" s="73"/>
      <c r="H846" s="73"/>
    </row>
    <row r="847" spans="1:8" ht="15.75" customHeight="1">
      <c r="A847" s="73"/>
      <c r="B847" s="73"/>
      <c r="C847" s="73"/>
      <c r="D847" s="73"/>
      <c r="E847" s="73"/>
      <c r="F847" s="73"/>
      <c r="G847" s="73"/>
      <c r="H847" s="73"/>
    </row>
    <row r="848" spans="1:8" ht="15.75" customHeight="1">
      <c r="A848" s="73"/>
      <c r="B848" s="73"/>
      <c r="C848" s="73"/>
      <c r="D848" s="73"/>
      <c r="E848" s="73"/>
      <c r="F848" s="73"/>
      <c r="G848" s="73"/>
      <c r="H848" s="73"/>
    </row>
    <row r="849" spans="1:8" ht="15.75" customHeight="1">
      <c r="A849" s="73"/>
      <c r="B849" s="73"/>
      <c r="C849" s="73"/>
      <c r="D849" s="73"/>
      <c r="E849" s="73"/>
      <c r="F849" s="73"/>
      <c r="G849" s="73"/>
      <c r="H849" s="73"/>
    </row>
    <row r="850" spans="1:8" ht="15.75" customHeight="1">
      <c r="A850" s="73"/>
      <c r="B850" s="73"/>
      <c r="C850" s="73"/>
      <c r="D850" s="73"/>
      <c r="E850" s="73"/>
      <c r="F850" s="73"/>
      <c r="G850" s="73"/>
      <c r="H850" s="73"/>
    </row>
    <row r="851" spans="1:8" ht="15.75" customHeight="1">
      <c r="A851" s="73"/>
      <c r="B851" s="73"/>
      <c r="C851" s="73"/>
      <c r="D851" s="73"/>
      <c r="E851" s="73"/>
      <c r="F851" s="73"/>
      <c r="G851" s="73"/>
      <c r="H851" s="73"/>
    </row>
    <row r="852" spans="1:8" ht="15.75" customHeight="1">
      <c r="A852" s="73"/>
      <c r="B852" s="73"/>
      <c r="C852" s="73"/>
      <c r="D852" s="73"/>
      <c r="E852" s="73"/>
      <c r="F852" s="73"/>
      <c r="G852" s="73"/>
      <c r="H852" s="73"/>
    </row>
    <row r="853" spans="1:8" ht="15.75" customHeight="1">
      <c r="A853" s="73"/>
      <c r="B853" s="73"/>
      <c r="C853" s="73"/>
      <c r="D853" s="73"/>
      <c r="E853" s="73"/>
      <c r="F853" s="73"/>
      <c r="G853" s="73"/>
      <c r="H853" s="73"/>
    </row>
    <row r="854" spans="1:8" ht="15.75" customHeight="1">
      <c r="A854" s="73"/>
      <c r="B854" s="73"/>
      <c r="C854" s="73"/>
      <c r="D854" s="73"/>
      <c r="E854" s="73"/>
      <c r="F854" s="73"/>
      <c r="G854" s="73"/>
      <c r="H854" s="73"/>
    </row>
    <row r="855" spans="1:8" ht="15.75" customHeight="1">
      <c r="A855" s="73"/>
      <c r="B855" s="73"/>
      <c r="C855" s="73"/>
      <c r="D855" s="73"/>
      <c r="E855" s="73"/>
      <c r="F855" s="73"/>
      <c r="G855" s="73"/>
      <c r="H855" s="73"/>
    </row>
    <row r="856" spans="1:8" ht="15.75" customHeight="1">
      <c r="A856" s="73"/>
      <c r="B856" s="73"/>
      <c r="C856" s="73"/>
      <c r="D856" s="73"/>
      <c r="E856" s="73"/>
      <c r="F856" s="73"/>
      <c r="G856" s="73"/>
      <c r="H856" s="73"/>
    </row>
    <row r="857" spans="1:8" ht="15.75" customHeight="1">
      <c r="A857" s="73"/>
      <c r="B857" s="73"/>
      <c r="C857" s="73"/>
      <c r="D857" s="73"/>
      <c r="E857" s="73"/>
      <c r="F857" s="73"/>
      <c r="G857" s="73"/>
      <c r="H857" s="73"/>
    </row>
    <row r="858" spans="1:8" ht="15.75" customHeight="1">
      <c r="A858" s="73"/>
      <c r="B858" s="73"/>
      <c r="C858" s="73"/>
      <c r="D858" s="73"/>
      <c r="E858" s="73"/>
      <c r="F858" s="73"/>
      <c r="G858" s="73"/>
      <c r="H858" s="73"/>
    </row>
    <row r="859" spans="1:8" ht="15.75" customHeight="1">
      <c r="A859" s="73"/>
      <c r="B859" s="73"/>
      <c r="C859" s="73"/>
      <c r="D859" s="73"/>
      <c r="E859" s="73"/>
      <c r="F859" s="73"/>
      <c r="G859" s="73"/>
      <c r="H859" s="73"/>
    </row>
    <row r="860" spans="1:8" ht="15.75" customHeight="1">
      <c r="A860" s="73"/>
      <c r="B860" s="73"/>
      <c r="C860" s="73"/>
      <c r="D860" s="73"/>
      <c r="E860" s="73"/>
      <c r="F860" s="73"/>
      <c r="G860" s="73"/>
      <c r="H860" s="73"/>
    </row>
    <row r="861" spans="1:8" ht="15.75" customHeight="1">
      <c r="A861" s="73"/>
      <c r="B861" s="73"/>
      <c r="C861" s="73"/>
      <c r="D861" s="73"/>
      <c r="E861" s="73"/>
      <c r="F861" s="73"/>
      <c r="G861" s="73"/>
      <c r="H861" s="73"/>
    </row>
    <row r="862" spans="1:8" ht="15.75" customHeight="1">
      <c r="A862" s="73"/>
      <c r="B862" s="73"/>
      <c r="C862" s="73"/>
      <c r="D862" s="73"/>
      <c r="E862" s="73"/>
      <c r="F862" s="73"/>
      <c r="G862" s="73"/>
      <c r="H862" s="73"/>
    </row>
    <row r="863" spans="1:8" ht="15.75" customHeight="1">
      <c r="A863" s="73"/>
      <c r="B863" s="73"/>
      <c r="C863" s="73"/>
      <c r="D863" s="73"/>
      <c r="E863" s="73"/>
      <c r="F863" s="73"/>
      <c r="G863" s="73"/>
      <c r="H863" s="73"/>
    </row>
    <row r="864" spans="1:8" ht="15.75" customHeight="1">
      <c r="A864" s="73"/>
      <c r="B864" s="73"/>
      <c r="C864" s="73"/>
      <c r="D864" s="73"/>
      <c r="E864" s="73"/>
      <c r="F864" s="73"/>
      <c r="G864" s="73"/>
      <c r="H864" s="73"/>
    </row>
    <row r="865" spans="1:8" ht="15.75" customHeight="1">
      <c r="A865" s="73"/>
      <c r="B865" s="73"/>
      <c r="C865" s="73"/>
      <c r="D865" s="73"/>
      <c r="E865" s="73"/>
      <c r="F865" s="73"/>
      <c r="G865" s="73"/>
      <c r="H865" s="73"/>
    </row>
    <row r="866" spans="1:8" ht="15.75" customHeight="1">
      <c r="A866" s="73"/>
      <c r="B866" s="73"/>
      <c r="C866" s="73"/>
      <c r="D866" s="73"/>
      <c r="E866" s="73"/>
      <c r="F866" s="73"/>
      <c r="G866" s="73"/>
      <c r="H866" s="73"/>
    </row>
    <row r="867" spans="1:8" ht="15.75" customHeight="1">
      <c r="A867" s="73"/>
      <c r="B867" s="73"/>
      <c r="C867" s="73"/>
      <c r="D867" s="73"/>
      <c r="E867" s="73"/>
      <c r="F867" s="73"/>
      <c r="G867" s="73"/>
      <c r="H867" s="73"/>
    </row>
    <row r="868" spans="1:8" ht="15.75" customHeight="1">
      <c r="A868" s="73"/>
      <c r="B868" s="73"/>
      <c r="C868" s="73"/>
      <c r="D868" s="73"/>
      <c r="E868" s="73"/>
      <c r="F868" s="73"/>
      <c r="G868" s="73"/>
      <c r="H868" s="73"/>
    </row>
    <row r="869" spans="1:8" ht="15.75" customHeight="1">
      <c r="A869" s="73"/>
      <c r="B869" s="73"/>
      <c r="C869" s="73"/>
      <c r="D869" s="73"/>
      <c r="E869" s="73"/>
      <c r="F869" s="73"/>
      <c r="G869" s="73"/>
      <c r="H869" s="73"/>
    </row>
    <row r="870" spans="1:8" ht="15.75" customHeight="1">
      <c r="A870" s="73"/>
      <c r="B870" s="73"/>
      <c r="C870" s="73"/>
      <c r="D870" s="73"/>
      <c r="E870" s="73"/>
      <c r="F870" s="73"/>
      <c r="G870" s="73"/>
      <c r="H870" s="73"/>
    </row>
    <row r="871" spans="1:8" ht="15.75" customHeight="1">
      <c r="A871" s="73"/>
      <c r="B871" s="73"/>
      <c r="C871" s="73"/>
      <c r="D871" s="73"/>
      <c r="E871" s="73"/>
      <c r="F871" s="73"/>
      <c r="G871" s="73"/>
      <c r="H871" s="73"/>
    </row>
    <row r="872" spans="1:8" ht="15.75" customHeight="1">
      <c r="A872" s="73"/>
      <c r="B872" s="73"/>
      <c r="C872" s="73"/>
      <c r="D872" s="73"/>
      <c r="E872" s="73"/>
      <c r="F872" s="73"/>
      <c r="G872" s="73"/>
      <c r="H872" s="73"/>
    </row>
    <row r="873" spans="1:8" ht="15.75" customHeight="1">
      <c r="A873" s="73"/>
      <c r="B873" s="73"/>
      <c r="C873" s="73"/>
      <c r="D873" s="73"/>
      <c r="E873" s="73"/>
      <c r="F873" s="73"/>
      <c r="G873" s="73"/>
      <c r="H873" s="73"/>
    </row>
    <row r="874" spans="1:8" ht="15.75" customHeight="1">
      <c r="A874" s="73"/>
      <c r="B874" s="73"/>
      <c r="C874" s="73"/>
      <c r="D874" s="73"/>
      <c r="E874" s="73"/>
      <c r="F874" s="73"/>
      <c r="G874" s="73"/>
      <c r="H874" s="73"/>
    </row>
    <row r="875" spans="1:8" ht="15.75" customHeight="1">
      <c r="A875" s="73"/>
      <c r="B875" s="73"/>
      <c r="C875" s="73"/>
      <c r="D875" s="73"/>
      <c r="E875" s="73"/>
      <c r="F875" s="73"/>
      <c r="G875" s="73"/>
      <c r="H875" s="73"/>
    </row>
    <row r="876" spans="1:8" ht="15.75" customHeight="1">
      <c r="A876" s="73"/>
      <c r="B876" s="73"/>
      <c r="C876" s="73"/>
      <c r="D876" s="73"/>
      <c r="E876" s="73"/>
      <c r="F876" s="73"/>
      <c r="G876" s="73"/>
      <c r="H876" s="73"/>
    </row>
    <row r="877" spans="1:8" ht="15.75" customHeight="1">
      <c r="A877" s="73"/>
      <c r="B877" s="73"/>
      <c r="C877" s="73"/>
      <c r="D877" s="73"/>
      <c r="E877" s="73"/>
      <c r="F877" s="73"/>
      <c r="G877" s="73"/>
      <c r="H877" s="73"/>
    </row>
    <row r="878" spans="1:8" ht="15.75" customHeight="1">
      <c r="A878" s="73"/>
      <c r="B878" s="73"/>
      <c r="C878" s="73"/>
      <c r="D878" s="73"/>
      <c r="E878" s="73"/>
      <c r="F878" s="73"/>
      <c r="G878" s="73"/>
      <c r="H878" s="73"/>
    </row>
    <row r="879" spans="1:8" ht="15.75" customHeight="1">
      <c r="A879" s="73"/>
      <c r="B879" s="73"/>
      <c r="C879" s="73"/>
      <c r="D879" s="73"/>
      <c r="E879" s="73"/>
      <c r="F879" s="73"/>
      <c r="G879" s="73"/>
      <c r="H879" s="73"/>
    </row>
    <row r="880" spans="1:8" ht="15.75" customHeight="1">
      <c r="A880" s="73"/>
      <c r="B880" s="73"/>
      <c r="C880" s="73"/>
      <c r="D880" s="73"/>
      <c r="E880" s="73"/>
      <c r="F880" s="73"/>
      <c r="G880" s="73"/>
      <c r="H880" s="73"/>
    </row>
    <row r="881" spans="1:8" ht="15.75" customHeight="1">
      <c r="A881" s="73"/>
      <c r="B881" s="73"/>
      <c r="C881" s="73"/>
      <c r="D881" s="73"/>
      <c r="E881" s="73"/>
      <c r="F881" s="73"/>
      <c r="G881" s="73"/>
      <c r="H881" s="73"/>
    </row>
    <row r="882" spans="1:8" ht="15.75" customHeight="1">
      <c r="A882" s="73"/>
      <c r="B882" s="73"/>
      <c r="C882" s="73"/>
      <c r="D882" s="73"/>
      <c r="E882" s="73"/>
      <c r="F882" s="73"/>
      <c r="G882" s="73"/>
      <c r="H882" s="73"/>
    </row>
    <row r="883" spans="1:8" ht="15.75" customHeight="1">
      <c r="A883" s="73"/>
      <c r="B883" s="73"/>
      <c r="C883" s="73"/>
      <c r="D883" s="73"/>
      <c r="E883" s="73"/>
      <c r="F883" s="73"/>
      <c r="G883" s="73"/>
      <c r="H883" s="73"/>
    </row>
    <row r="884" spans="1:8" ht="15.75" customHeight="1">
      <c r="A884" s="73"/>
      <c r="B884" s="73"/>
      <c r="C884" s="73"/>
      <c r="D884" s="73"/>
      <c r="E884" s="73"/>
      <c r="F884" s="73"/>
      <c r="G884" s="73"/>
      <c r="H884" s="73"/>
    </row>
    <row r="885" spans="1:8" ht="15.75" customHeight="1">
      <c r="A885" s="73"/>
      <c r="B885" s="73"/>
      <c r="C885" s="73"/>
      <c r="D885" s="73"/>
      <c r="E885" s="73"/>
      <c r="F885" s="73"/>
      <c r="G885" s="73"/>
      <c r="H885" s="73"/>
    </row>
    <row r="886" spans="1:8" ht="15.75" customHeight="1">
      <c r="A886" s="73"/>
      <c r="B886" s="73"/>
      <c r="C886" s="73"/>
      <c r="D886" s="73"/>
      <c r="E886" s="73"/>
      <c r="F886" s="73"/>
      <c r="G886" s="73"/>
      <c r="H886" s="73"/>
    </row>
    <row r="887" spans="1:8" ht="15.75" customHeight="1">
      <c r="A887" s="73"/>
      <c r="B887" s="73"/>
      <c r="C887" s="73"/>
      <c r="D887" s="73"/>
      <c r="E887" s="73"/>
      <c r="F887" s="73"/>
      <c r="G887" s="73"/>
      <c r="H887" s="73"/>
    </row>
    <row r="888" spans="1:8" ht="15.75" customHeight="1">
      <c r="A888" s="73"/>
      <c r="B888" s="73"/>
      <c r="C888" s="73"/>
      <c r="D888" s="73"/>
      <c r="E888" s="73"/>
      <c r="F888" s="73"/>
      <c r="G888" s="73"/>
      <c r="H888" s="73"/>
    </row>
    <row r="889" spans="1:8" ht="15.75" customHeight="1">
      <c r="A889" s="73"/>
      <c r="B889" s="73"/>
      <c r="C889" s="73"/>
      <c r="D889" s="73"/>
      <c r="E889" s="73"/>
      <c r="F889" s="73"/>
      <c r="G889" s="73"/>
      <c r="H889" s="73"/>
    </row>
    <row r="890" spans="1:8" ht="15.75" customHeight="1">
      <c r="A890" s="73"/>
      <c r="B890" s="73"/>
      <c r="C890" s="73"/>
      <c r="D890" s="73"/>
      <c r="E890" s="73"/>
      <c r="F890" s="73"/>
      <c r="G890" s="73"/>
      <c r="H890" s="73"/>
    </row>
    <row r="891" spans="1:8" ht="15.75" customHeight="1">
      <c r="A891" s="73"/>
      <c r="B891" s="73"/>
      <c r="C891" s="73"/>
      <c r="D891" s="73"/>
      <c r="E891" s="73"/>
      <c r="F891" s="73"/>
      <c r="G891" s="73"/>
      <c r="H891" s="73"/>
    </row>
    <row r="892" spans="1:8" ht="15.75" customHeight="1">
      <c r="A892" s="73"/>
      <c r="B892" s="73"/>
      <c r="C892" s="73"/>
      <c r="D892" s="73"/>
      <c r="E892" s="73"/>
      <c r="F892" s="73"/>
      <c r="G892" s="73"/>
      <c r="H892" s="73"/>
    </row>
    <row r="893" spans="1:8" ht="15.75" customHeight="1">
      <c r="A893" s="73"/>
      <c r="B893" s="73"/>
      <c r="C893" s="73"/>
      <c r="D893" s="73"/>
      <c r="E893" s="73"/>
      <c r="F893" s="73"/>
      <c r="G893" s="73"/>
      <c r="H893" s="73"/>
    </row>
    <row r="894" spans="1:8" ht="15.75" customHeight="1">
      <c r="A894" s="73"/>
      <c r="B894" s="73"/>
      <c r="C894" s="73"/>
      <c r="D894" s="73"/>
      <c r="E894" s="73"/>
      <c r="F894" s="73"/>
      <c r="G894" s="73"/>
      <c r="H894" s="73"/>
    </row>
    <row r="895" spans="1:8" ht="15.75" customHeight="1">
      <c r="A895" s="73"/>
      <c r="B895" s="73"/>
      <c r="C895" s="73"/>
      <c r="D895" s="73"/>
      <c r="E895" s="73"/>
      <c r="F895" s="73"/>
      <c r="G895" s="73"/>
      <c r="H895" s="73"/>
    </row>
    <row r="896" spans="1:8" ht="15.75" customHeight="1">
      <c r="A896" s="73"/>
      <c r="B896" s="73"/>
      <c r="C896" s="73"/>
      <c r="D896" s="73"/>
      <c r="E896" s="73"/>
      <c r="F896" s="73"/>
      <c r="G896" s="73"/>
      <c r="H896" s="73"/>
    </row>
    <row r="897" spans="1:8" ht="15.75" customHeight="1">
      <c r="A897" s="73"/>
      <c r="B897" s="73"/>
      <c r="C897" s="73"/>
      <c r="D897" s="73"/>
      <c r="E897" s="73"/>
      <c r="F897" s="73"/>
      <c r="G897" s="73"/>
      <c r="H897" s="73"/>
    </row>
    <row r="898" spans="1:8" ht="15.75" customHeight="1">
      <c r="A898" s="73"/>
      <c r="B898" s="73"/>
      <c r="C898" s="73"/>
      <c r="D898" s="73"/>
      <c r="E898" s="73"/>
      <c r="F898" s="73"/>
      <c r="G898" s="73"/>
      <c r="H898" s="73"/>
    </row>
    <row r="899" spans="1:8" ht="15.75" customHeight="1">
      <c r="A899" s="73"/>
      <c r="B899" s="73"/>
      <c r="C899" s="73"/>
      <c r="D899" s="73"/>
      <c r="E899" s="73"/>
      <c r="F899" s="73"/>
      <c r="G899" s="73"/>
      <c r="H899" s="73"/>
    </row>
    <row r="900" spans="1:8" ht="15.75" customHeight="1">
      <c r="A900" s="73"/>
      <c r="B900" s="73"/>
      <c r="C900" s="73"/>
      <c r="D900" s="73"/>
      <c r="E900" s="73"/>
      <c r="F900" s="73"/>
      <c r="G900" s="73"/>
      <c r="H900" s="73"/>
    </row>
    <row r="901" spans="1:8" ht="15.75" customHeight="1">
      <c r="A901" s="73"/>
      <c r="B901" s="73"/>
      <c r="C901" s="73"/>
      <c r="D901" s="73"/>
      <c r="E901" s="73"/>
      <c r="F901" s="73"/>
      <c r="G901" s="73"/>
      <c r="H901" s="73"/>
    </row>
    <row r="902" spans="1:8" ht="15.75" customHeight="1">
      <c r="A902" s="73"/>
      <c r="B902" s="73"/>
      <c r="C902" s="73"/>
      <c r="D902" s="73"/>
      <c r="E902" s="73"/>
      <c r="F902" s="73"/>
      <c r="G902" s="73"/>
      <c r="H902" s="73"/>
    </row>
    <row r="903" spans="1:8" ht="15.75" customHeight="1">
      <c r="A903" s="73"/>
      <c r="B903" s="73"/>
      <c r="C903" s="73"/>
      <c r="D903" s="73"/>
      <c r="E903" s="73"/>
      <c r="F903" s="73"/>
      <c r="G903" s="73"/>
      <c r="H903" s="73"/>
    </row>
    <row r="904" spans="1:8" ht="15.75" customHeight="1">
      <c r="A904" s="73"/>
      <c r="B904" s="73"/>
      <c r="C904" s="73"/>
      <c r="D904" s="73"/>
      <c r="E904" s="73"/>
      <c r="F904" s="73"/>
      <c r="G904" s="73"/>
      <c r="H904" s="73"/>
    </row>
    <row r="905" spans="1:8" ht="15.75" customHeight="1">
      <c r="A905" s="73"/>
      <c r="B905" s="73"/>
      <c r="C905" s="73"/>
      <c r="D905" s="73"/>
      <c r="E905" s="73"/>
      <c r="F905" s="73"/>
      <c r="G905" s="73"/>
      <c r="H905" s="73"/>
    </row>
    <row r="906" spans="1:8" ht="15.75" customHeight="1">
      <c r="A906" s="73"/>
      <c r="B906" s="73"/>
      <c r="C906" s="73"/>
      <c r="D906" s="73"/>
      <c r="E906" s="73"/>
      <c r="F906" s="73"/>
      <c r="G906" s="73"/>
      <c r="H906" s="73"/>
    </row>
    <row r="907" spans="1:8" ht="15.75" customHeight="1">
      <c r="A907" s="73"/>
      <c r="B907" s="73"/>
      <c r="C907" s="73"/>
      <c r="D907" s="73"/>
      <c r="E907" s="73"/>
      <c r="F907" s="73"/>
      <c r="G907" s="73"/>
      <c r="H907" s="73"/>
    </row>
    <row r="908" spans="1:8" ht="15.75" customHeight="1">
      <c r="A908" s="73"/>
      <c r="B908" s="73"/>
      <c r="C908" s="73"/>
      <c r="D908" s="73"/>
      <c r="E908" s="73"/>
      <c r="F908" s="73"/>
      <c r="G908" s="73"/>
      <c r="H908" s="73"/>
    </row>
    <row r="909" spans="1:8" ht="15.75" customHeight="1">
      <c r="A909" s="73"/>
      <c r="B909" s="73"/>
      <c r="C909" s="73"/>
      <c r="D909" s="73"/>
      <c r="E909" s="73"/>
      <c r="F909" s="73"/>
      <c r="G909" s="73"/>
      <c r="H909" s="73"/>
    </row>
    <row r="910" spans="1:8" ht="15.75" customHeight="1">
      <c r="A910" s="73"/>
      <c r="B910" s="73"/>
      <c r="C910" s="73"/>
      <c r="D910" s="73"/>
      <c r="E910" s="73"/>
      <c r="F910" s="73"/>
      <c r="G910" s="73"/>
      <c r="H910" s="73"/>
    </row>
    <row r="911" spans="1:8" ht="15.75" customHeight="1">
      <c r="A911" s="73"/>
      <c r="B911" s="73"/>
      <c r="C911" s="73"/>
      <c r="D911" s="73"/>
      <c r="E911" s="73"/>
      <c r="F911" s="73"/>
      <c r="G911" s="73"/>
      <c r="H911" s="73"/>
    </row>
    <row r="912" spans="1:8" ht="15.75" customHeight="1">
      <c r="A912" s="73"/>
      <c r="B912" s="73"/>
      <c r="C912" s="73"/>
      <c r="D912" s="73"/>
      <c r="E912" s="73"/>
      <c r="F912" s="73"/>
      <c r="G912" s="73"/>
      <c r="H912" s="73"/>
    </row>
    <row r="913" spans="1:8" ht="15.75" customHeight="1">
      <c r="A913" s="73"/>
      <c r="B913" s="73"/>
      <c r="C913" s="73"/>
      <c r="D913" s="73"/>
      <c r="E913" s="73"/>
      <c r="F913" s="73"/>
      <c r="G913" s="73"/>
      <c r="H913" s="73"/>
    </row>
    <row r="914" spans="1:8" ht="15.75" customHeight="1">
      <c r="A914" s="73"/>
      <c r="B914" s="73"/>
      <c r="C914" s="73"/>
      <c r="D914" s="73"/>
      <c r="E914" s="73"/>
      <c r="F914" s="73"/>
      <c r="G914" s="73"/>
      <c r="H914" s="73"/>
    </row>
    <row r="915" spans="1:8" ht="15.75" customHeight="1">
      <c r="A915" s="73"/>
      <c r="B915" s="73"/>
      <c r="C915" s="73"/>
      <c r="D915" s="73"/>
      <c r="E915" s="73"/>
      <c r="F915" s="73"/>
      <c r="G915" s="73"/>
      <c r="H915" s="73"/>
    </row>
    <row r="916" spans="1:8" ht="15.75" customHeight="1">
      <c r="A916" s="73"/>
      <c r="B916" s="73"/>
      <c r="C916" s="73"/>
      <c r="D916" s="73"/>
      <c r="E916" s="73"/>
      <c r="F916" s="73"/>
      <c r="G916" s="73"/>
      <c r="H916" s="73"/>
    </row>
    <row r="917" spans="1:8" ht="15.75" customHeight="1">
      <c r="A917" s="73"/>
      <c r="B917" s="73"/>
      <c r="C917" s="73"/>
      <c r="D917" s="73"/>
      <c r="E917" s="73"/>
      <c r="F917" s="73"/>
      <c r="G917" s="73"/>
      <c r="H917" s="73"/>
    </row>
    <row r="918" spans="1:8" ht="15.75" customHeight="1">
      <c r="A918" s="73"/>
      <c r="B918" s="73"/>
      <c r="C918" s="73"/>
      <c r="D918" s="73"/>
      <c r="E918" s="73"/>
      <c r="F918" s="73"/>
      <c r="G918" s="73"/>
      <c r="H918" s="73"/>
    </row>
    <row r="919" spans="1:8" ht="15.75" customHeight="1">
      <c r="A919" s="73"/>
      <c r="B919" s="73"/>
      <c r="C919" s="73"/>
      <c r="D919" s="73"/>
      <c r="E919" s="73"/>
      <c r="F919" s="73"/>
      <c r="G919" s="73"/>
      <c r="H919" s="73"/>
    </row>
    <row r="920" spans="1:8" ht="15.75" customHeight="1">
      <c r="A920" s="73"/>
      <c r="B920" s="73"/>
      <c r="C920" s="73"/>
      <c r="D920" s="73"/>
      <c r="E920" s="73"/>
      <c r="F920" s="73"/>
      <c r="G920" s="73"/>
      <c r="H920" s="73"/>
    </row>
    <row r="921" spans="1:8" ht="15.75" customHeight="1">
      <c r="A921" s="73"/>
      <c r="B921" s="73"/>
      <c r="C921" s="73"/>
      <c r="D921" s="73"/>
      <c r="E921" s="73"/>
      <c r="F921" s="73"/>
      <c r="G921" s="73"/>
      <c r="H921" s="73"/>
    </row>
    <row r="922" spans="1:8" ht="15.75" customHeight="1">
      <c r="A922" s="73"/>
      <c r="B922" s="73"/>
      <c r="C922" s="73"/>
      <c r="D922" s="73"/>
      <c r="E922" s="73"/>
      <c r="F922" s="73"/>
      <c r="G922" s="73"/>
      <c r="H922" s="73"/>
    </row>
    <row r="923" spans="1:8" ht="15.75" customHeight="1">
      <c r="A923" s="73"/>
      <c r="B923" s="73"/>
      <c r="C923" s="73"/>
      <c r="D923" s="73"/>
      <c r="E923" s="73"/>
      <c r="F923" s="73"/>
      <c r="G923" s="73"/>
      <c r="H923" s="73"/>
    </row>
    <row r="924" spans="1:8" ht="15.75" customHeight="1">
      <c r="A924" s="73"/>
      <c r="B924" s="73"/>
      <c r="C924" s="73"/>
      <c r="D924" s="73"/>
      <c r="E924" s="73"/>
      <c r="F924" s="73"/>
      <c r="G924" s="73"/>
      <c r="H924" s="73"/>
    </row>
    <row r="925" spans="1:8" ht="15.75" customHeight="1">
      <c r="A925" s="73"/>
      <c r="B925" s="73"/>
      <c r="C925" s="73"/>
      <c r="D925" s="73"/>
      <c r="E925" s="73"/>
      <c r="F925" s="73"/>
      <c r="G925" s="73"/>
      <c r="H925" s="73"/>
    </row>
    <row r="926" spans="1:8" ht="15.75" customHeight="1">
      <c r="A926" s="73"/>
      <c r="B926" s="73"/>
      <c r="C926" s="73"/>
      <c r="D926" s="73"/>
      <c r="E926" s="73"/>
      <c r="F926" s="73"/>
      <c r="G926" s="73"/>
      <c r="H926" s="73"/>
    </row>
    <row r="927" spans="1:8" ht="15.75" customHeight="1">
      <c r="A927" s="73"/>
      <c r="B927" s="73"/>
      <c r="C927" s="73"/>
      <c r="D927" s="73"/>
      <c r="E927" s="73"/>
      <c r="F927" s="73"/>
      <c r="G927" s="73"/>
      <c r="H927" s="73"/>
    </row>
    <row r="928" spans="1:8" ht="15.75" customHeight="1">
      <c r="A928" s="73"/>
      <c r="B928" s="73"/>
      <c r="C928" s="73"/>
      <c r="D928" s="73"/>
      <c r="E928" s="73"/>
      <c r="F928" s="73"/>
      <c r="G928" s="73"/>
      <c r="H928" s="73"/>
    </row>
    <row r="929" spans="1:8" ht="15.75" customHeight="1">
      <c r="A929" s="73"/>
      <c r="B929" s="73"/>
      <c r="C929" s="73"/>
      <c r="D929" s="73"/>
      <c r="E929" s="73"/>
      <c r="F929" s="73"/>
      <c r="G929" s="73"/>
      <c r="H929" s="73"/>
    </row>
    <row r="930" spans="1:8" ht="15.75" customHeight="1">
      <c r="A930" s="73"/>
      <c r="B930" s="73"/>
      <c r="C930" s="73"/>
      <c r="D930" s="73"/>
      <c r="E930" s="73"/>
      <c r="F930" s="73"/>
      <c r="G930" s="73"/>
      <c r="H930" s="73"/>
    </row>
    <row r="931" spans="1:8" ht="15.75" customHeight="1">
      <c r="A931" s="73"/>
      <c r="B931" s="73"/>
      <c r="C931" s="73"/>
      <c r="D931" s="73"/>
      <c r="E931" s="73"/>
      <c r="F931" s="73"/>
      <c r="G931" s="73"/>
      <c r="H931" s="73"/>
    </row>
    <row r="932" spans="1:8" ht="15.75" customHeight="1">
      <c r="A932" s="73"/>
      <c r="B932" s="73"/>
      <c r="C932" s="73"/>
      <c r="D932" s="73"/>
      <c r="E932" s="73"/>
      <c r="F932" s="73"/>
      <c r="G932" s="73"/>
      <c r="H932" s="73"/>
    </row>
    <row r="933" spans="1:8" ht="15.75" customHeight="1">
      <c r="A933" s="73"/>
      <c r="B933" s="73"/>
      <c r="C933" s="73"/>
      <c r="D933" s="73"/>
      <c r="E933" s="73"/>
      <c r="F933" s="73"/>
      <c r="G933" s="73"/>
      <c r="H933" s="73"/>
    </row>
    <row r="934" spans="1:8" ht="15.75" customHeight="1">
      <c r="A934" s="73"/>
      <c r="B934" s="73"/>
      <c r="C934" s="73"/>
      <c r="D934" s="73"/>
      <c r="E934" s="73"/>
      <c r="F934" s="73"/>
      <c r="G934" s="73"/>
      <c r="H934" s="73"/>
    </row>
    <row r="935" spans="1:8" ht="15.75" customHeight="1">
      <c r="A935" s="73"/>
      <c r="B935" s="73"/>
      <c r="C935" s="73"/>
      <c r="D935" s="73"/>
      <c r="E935" s="73"/>
      <c r="F935" s="73"/>
      <c r="G935" s="73"/>
      <c r="H935" s="73"/>
    </row>
    <row r="936" spans="1:8" ht="15.75" customHeight="1">
      <c r="A936" s="73"/>
      <c r="B936" s="73"/>
      <c r="C936" s="73"/>
      <c r="D936" s="73"/>
      <c r="E936" s="73"/>
      <c r="F936" s="73"/>
      <c r="G936" s="73"/>
      <c r="H936" s="73"/>
    </row>
    <row r="937" spans="1:8" ht="15.75" customHeight="1">
      <c r="A937" s="73"/>
      <c r="B937" s="73"/>
      <c r="C937" s="73"/>
      <c r="D937" s="73"/>
      <c r="E937" s="73"/>
      <c r="F937" s="73"/>
      <c r="G937" s="73"/>
      <c r="H937" s="73"/>
    </row>
    <row r="938" spans="1:8" ht="15.75" customHeight="1">
      <c r="A938" s="73"/>
      <c r="B938" s="73"/>
      <c r="C938" s="73"/>
      <c r="D938" s="73"/>
      <c r="E938" s="73"/>
      <c r="F938" s="73"/>
      <c r="G938" s="73"/>
      <c r="H938" s="73"/>
    </row>
    <row r="939" spans="1:8" ht="15.75" customHeight="1">
      <c r="A939" s="73"/>
      <c r="B939" s="73"/>
      <c r="C939" s="73"/>
      <c r="D939" s="73"/>
      <c r="E939" s="73"/>
      <c r="F939" s="73"/>
      <c r="G939" s="73"/>
      <c r="H939" s="73"/>
    </row>
    <row r="940" spans="1:8" ht="15.75" customHeight="1">
      <c r="A940" s="73"/>
      <c r="B940" s="73"/>
      <c r="C940" s="73"/>
      <c r="D940" s="73"/>
      <c r="E940" s="73"/>
      <c r="F940" s="73"/>
      <c r="G940" s="73"/>
      <c r="H940" s="73"/>
    </row>
    <row r="941" spans="1:8" ht="15.75" customHeight="1">
      <c r="A941" s="73"/>
      <c r="B941" s="73"/>
      <c r="C941" s="73"/>
      <c r="D941" s="73"/>
      <c r="E941" s="73"/>
      <c r="F941" s="73"/>
      <c r="G941" s="73"/>
      <c r="H941" s="73"/>
    </row>
    <row r="942" spans="1:8" ht="15.75" customHeight="1">
      <c r="A942" s="73"/>
      <c r="B942" s="73"/>
      <c r="C942" s="73"/>
      <c r="D942" s="73"/>
      <c r="E942" s="73"/>
      <c r="F942" s="73"/>
      <c r="G942" s="73"/>
      <c r="H942" s="73"/>
    </row>
    <row r="943" spans="1:8" ht="15.75" customHeight="1">
      <c r="A943" s="73"/>
      <c r="B943" s="73"/>
      <c r="C943" s="73"/>
      <c r="D943" s="73"/>
      <c r="E943" s="73"/>
      <c r="F943" s="73"/>
      <c r="G943" s="73"/>
      <c r="H943" s="73"/>
    </row>
    <row r="944" spans="1:8" ht="15.75" customHeight="1">
      <c r="A944" s="73"/>
      <c r="B944" s="73"/>
      <c r="C944" s="73"/>
      <c r="D944" s="73"/>
      <c r="E944" s="73"/>
      <c r="F944" s="73"/>
      <c r="G944" s="73"/>
      <c r="H944" s="73"/>
    </row>
    <row r="945" spans="1:8" ht="15.75" customHeight="1">
      <c r="A945" s="73"/>
      <c r="B945" s="73"/>
      <c r="C945" s="73"/>
      <c r="D945" s="73"/>
      <c r="E945" s="73"/>
      <c r="F945" s="73"/>
      <c r="G945" s="73"/>
      <c r="H945" s="73"/>
    </row>
    <row r="946" spans="1:8" ht="15.75" customHeight="1">
      <c r="A946" s="73"/>
      <c r="B946" s="73"/>
      <c r="C946" s="73"/>
      <c r="D946" s="73"/>
      <c r="E946" s="73"/>
      <c r="F946" s="73"/>
      <c r="G946" s="73"/>
      <c r="H946" s="73"/>
    </row>
    <row r="947" spans="1:8" ht="15.75" customHeight="1">
      <c r="A947" s="73"/>
      <c r="B947" s="73"/>
      <c r="C947" s="73"/>
      <c r="D947" s="73"/>
      <c r="E947" s="73"/>
      <c r="F947" s="73"/>
      <c r="G947" s="73"/>
      <c r="H947" s="73"/>
    </row>
    <row r="948" spans="1:8" ht="15.75" customHeight="1">
      <c r="A948" s="73"/>
      <c r="B948" s="73"/>
      <c r="C948" s="73"/>
      <c r="D948" s="73"/>
      <c r="E948" s="73"/>
      <c r="F948" s="73"/>
      <c r="G948" s="73"/>
      <c r="H948" s="73"/>
    </row>
    <row r="949" spans="1:8" ht="15.75" customHeight="1">
      <c r="A949" s="73"/>
      <c r="B949" s="73"/>
      <c r="C949" s="73"/>
      <c r="D949" s="73"/>
      <c r="E949" s="73"/>
      <c r="F949" s="73"/>
      <c r="G949" s="73"/>
      <c r="H949" s="73"/>
    </row>
    <row r="950" spans="1:8" ht="15.75" customHeight="1">
      <c r="A950" s="73"/>
      <c r="B950" s="73"/>
      <c r="C950" s="73"/>
      <c r="D950" s="73"/>
      <c r="E950" s="73"/>
      <c r="F950" s="73"/>
      <c r="G950" s="73"/>
      <c r="H950" s="73"/>
    </row>
    <row r="951" spans="1:8" ht="15.75" customHeight="1">
      <c r="A951" s="73"/>
      <c r="B951" s="73"/>
      <c r="C951" s="73"/>
      <c r="D951" s="73"/>
      <c r="E951" s="73"/>
      <c r="F951" s="73"/>
      <c r="G951" s="73"/>
      <c r="H951" s="73"/>
    </row>
    <row r="952" spans="1:8" ht="15.75" customHeight="1">
      <c r="A952" s="73"/>
      <c r="B952" s="73"/>
      <c r="C952" s="73"/>
      <c r="D952" s="73"/>
      <c r="E952" s="73"/>
      <c r="F952" s="73"/>
      <c r="G952" s="73"/>
      <c r="H952" s="73"/>
    </row>
    <row r="953" spans="1:8" ht="15.75" customHeight="1">
      <c r="A953" s="73"/>
      <c r="B953" s="73"/>
      <c r="C953" s="73"/>
      <c r="D953" s="73"/>
      <c r="E953" s="73"/>
      <c r="F953" s="73"/>
      <c r="G953" s="73"/>
      <c r="H953" s="73"/>
    </row>
    <row r="954" spans="1:8" ht="15.75" customHeight="1">
      <c r="A954" s="73"/>
      <c r="B954" s="73"/>
      <c r="C954" s="73"/>
      <c r="D954" s="73"/>
      <c r="E954" s="73"/>
      <c r="F954" s="73"/>
      <c r="G954" s="73"/>
      <c r="H954" s="73"/>
    </row>
    <row r="955" spans="1:8" ht="15.75" customHeight="1">
      <c r="A955" s="73"/>
      <c r="B955" s="73"/>
      <c r="C955" s="73"/>
      <c r="D955" s="73"/>
      <c r="E955" s="73"/>
      <c r="F955" s="73"/>
      <c r="G955" s="73"/>
      <c r="H955" s="73"/>
    </row>
    <row r="956" spans="1:8" ht="15.75" customHeight="1">
      <c r="A956" s="73"/>
      <c r="B956" s="73"/>
      <c r="C956" s="73"/>
      <c r="D956" s="73"/>
      <c r="E956" s="73"/>
      <c r="F956" s="73"/>
      <c r="G956" s="73"/>
      <c r="H956" s="73"/>
    </row>
    <row r="957" spans="1:8" ht="15.75" customHeight="1">
      <c r="A957" s="73"/>
      <c r="B957" s="73"/>
      <c r="C957" s="73"/>
      <c r="D957" s="73"/>
      <c r="E957" s="73"/>
      <c r="F957" s="73"/>
      <c r="G957" s="73"/>
      <c r="H957" s="73"/>
    </row>
    <row r="958" spans="1:8" ht="15.75" customHeight="1">
      <c r="A958" s="73"/>
      <c r="B958" s="73"/>
      <c r="C958" s="73"/>
      <c r="D958" s="73"/>
      <c r="E958" s="73"/>
      <c r="F958" s="73"/>
      <c r="G958" s="73"/>
      <c r="H958" s="73"/>
    </row>
    <row r="959" spans="1:8" ht="15.75" customHeight="1">
      <c r="A959" s="73"/>
      <c r="B959" s="73"/>
      <c r="C959" s="73"/>
      <c r="D959" s="73"/>
      <c r="E959" s="73"/>
      <c r="F959" s="73"/>
      <c r="G959" s="73"/>
      <c r="H959" s="73"/>
    </row>
    <row r="960" spans="1:8" ht="15.75" customHeight="1">
      <c r="A960" s="73"/>
      <c r="B960" s="73"/>
      <c r="C960" s="73"/>
      <c r="D960" s="73"/>
      <c r="E960" s="73"/>
      <c r="F960" s="73"/>
      <c r="G960" s="73"/>
      <c r="H960" s="73"/>
    </row>
    <row r="961" spans="1:8" ht="15.75" customHeight="1">
      <c r="A961" s="73"/>
      <c r="B961" s="73"/>
      <c r="C961" s="73"/>
      <c r="D961" s="73"/>
      <c r="E961" s="73"/>
      <c r="F961" s="73"/>
      <c r="G961" s="73"/>
      <c r="H961" s="73"/>
    </row>
    <row r="962" spans="1:8" ht="15.75" customHeight="1">
      <c r="A962" s="73"/>
      <c r="B962" s="73"/>
      <c r="C962" s="73"/>
      <c r="D962" s="73"/>
      <c r="E962" s="73"/>
      <c r="F962" s="73"/>
      <c r="G962" s="73"/>
      <c r="H962" s="73"/>
    </row>
    <row r="963" spans="1:8" ht="15.75" customHeight="1">
      <c r="A963" s="73"/>
      <c r="B963" s="73"/>
      <c r="C963" s="73"/>
      <c r="D963" s="73"/>
      <c r="E963" s="73"/>
      <c r="F963" s="73"/>
      <c r="G963" s="73"/>
      <c r="H963" s="73"/>
    </row>
    <row r="964" spans="1:8" ht="15.75" customHeight="1">
      <c r="A964" s="73"/>
      <c r="B964" s="73"/>
      <c r="C964" s="73"/>
      <c r="D964" s="73"/>
      <c r="E964" s="73"/>
      <c r="F964" s="73"/>
      <c r="G964" s="73"/>
      <c r="H964" s="73"/>
    </row>
    <row r="965" spans="1:8" ht="15.75" customHeight="1">
      <c r="A965" s="73"/>
      <c r="B965" s="73"/>
      <c r="C965" s="73"/>
      <c r="D965" s="73"/>
      <c r="E965" s="73"/>
      <c r="F965" s="73"/>
      <c r="G965" s="73"/>
      <c r="H965" s="73"/>
    </row>
    <row r="966" spans="1:8" ht="15.75" customHeight="1">
      <c r="A966" s="73"/>
      <c r="B966" s="73"/>
      <c r="C966" s="73"/>
      <c r="D966" s="73"/>
      <c r="E966" s="73"/>
      <c r="F966" s="73"/>
      <c r="G966" s="73"/>
      <c r="H966" s="73"/>
    </row>
    <row r="967" spans="1:8" ht="15.75" customHeight="1">
      <c r="A967" s="73"/>
      <c r="B967" s="73"/>
      <c r="C967" s="73"/>
      <c r="D967" s="73"/>
      <c r="E967" s="73"/>
      <c r="F967" s="73"/>
      <c r="G967" s="73"/>
      <c r="H967" s="73"/>
    </row>
    <row r="968" spans="1:8" ht="15.75" customHeight="1">
      <c r="A968" s="73"/>
      <c r="B968" s="73"/>
      <c r="C968" s="73"/>
      <c r="D968" s="73"/>
      <c r="E968" s="73"/>
      <c r="F968" s="73"/>
      <c r="G968" s="73"/>
      <c r="H968" s="73"/>
    </row>
    <row r="969" spans="1:8" ht="15.75" customHeight="1">
      <c r="A969" s="73"/>
      <c r="B969" s="73"/>
      <c r="C969" s="73"/>
      <c r="D969" s="73"/>
      <c r="E969" s="73"/>
      <c r="F969" s="73"/>
      <c r="G969" s="73"/>
      <c r="H969" s="73"/>
    </row>
    <row r="970" spans="1:8" ht="15.75" customHeight="1">
      <c r="A970" s="73"/>
      <c r="B970" s="73"/>
      <c r="C970" s="73"/>
      <c r="D970" s="73"/>
      <c r="E970" s="73"/>
      <c r="F970" s="73"/>
      <c r="G970" s="73"/>
      <c r="H970" s="73"/>
    </row>
    <row r="971" spans="1:8" ht="15.75" customHeight="1">
      <c r="A971" s="73"/>
      <c r="B971" s="73"/>
      <c r="C971" s="73"/>
      <c r="D971" s="73"/>
      <c r="E971" s="73"/>
      <c r="F971" s="73"/>
      <c r="G971" s="73"/>
      <c r="H971" s="73"/>
    </row>
    <row r="972" spans="1:8" ht="15.75" customHeight="1">
      <c r="A972" s="73"/>
      <c r="B972" s="73"/>
      <c r="C972" s="73"/>
      <c r="D972" s="73"/>
      <c r="E972" s="73"/>
      <c r="F972" s="73"/>
      <c r="G972" s="73"/>
      <c r="H972" s="73"/>
    </row>
    <row r="973" spans="1:8" ht="15.75" customHeight="1">
      <c r="A973" s="73"/>
      <c r="B973" s="73"/>
      <c r="C973" s="73"/>
      <c r="D973" s="73"/>
      <c r="E973" s="73"/>
      <c r="F973" s="73"/>
      <c r="G973" s="73"/>
      <c r="H973" s="73"/>
    </row>
    <row r="974" spans="1:8" ht="15.75" customHeight="1">
      <c r="A974" s="73"/>
      <c r="B974" s="73"/>
      <c r="C974" s="73"/>
      <c r="D974" s="73"/>
      <c r="E974" s="73"/>
      <c r="F974" s="73"/>
      <c r="G974" s="73"/>
      <c r="H974" s="73"/>
    </row>
    <row r="975" spans="1:8" ht="15.75" customHeight="1">
      <c r="A975" s="73"/>
      <c r="B975" s="73"/>
      <c r="C975" s="73"/>
      <c r="D975" s="73"/>
      <c r="E975" s="73"/>
      <c r="F975" s="73"/>
      <c r="G975" s="73"/>
      <c r="H975" s="73"/>
    </row>
    <row r="976" spans="1:8" ht="15.75" customHeight="1">
      <c r="A976" s="73"/>
      <c r="B976" s="73"/>
      <c r="C976" s="73"/>
      <c r="D976" s="73"/>
      <c r="E976" s="73"/>
      <c r="F976" s="73"/>
      <c r="G976" s="73"/>
      <c r="H976" s="73"/>
    </row>
    <row r="977" spans="1:8" ht="15.75" customHeight="1">
      <c r="A977" s="73"/>
      <c r="B977" s="73"/>
      <c r="C977" s="73"/>
      <c r="D977" s="73"/>
      <c r="E977" s="73"/>
      <c r="F977" s="73"/>
      <c r="G977" s="73"/>
      <c r="H977" s="73"/>
    </row>
    <row r="978" spans="1:8" ht="15.75" customHeight="1">
      <c r="A978" s="73"/>
      <c r="B978" s="73"/>
      <c r="C978" s="73"/>
      <c r="D978" s="73"/>
      <c r="E978" s="73"/>
      <c r="F978" s="73"/>
      <c r="G978" s="73"/>
      <c r="H978" s="73"/>
    </row>
    <row r="979" spans="1:8" ht="15.75" customHeight="1">
      <c r="A979" s="73"/>
      <c r="B979" s="73"/>
      <c r="C979" s="73"/>
      <c r="D979" s="73"/>
      <c r="E979" s="73"/>
      <c r="F979" s="73"/>
      <c r="G979" s="73"/>
      <c r="H979" s="73"/>
    </row>
    <row r="980" spans="1:8" ht="15.75" customHeight="1">
      <c r="A980" s="73"/>
      <c r="B980" s="73"/>
      <c r="C980" s="73"/>
      <c r="D980" s="73"/>
      <c r="E980" s="73"/>
      <c r="F980" s="73"/>
      <c r="G980" s="73"/>
      <c r="H980" s="73"/>
    </row>
    <row r="981" spans="1:8" ht="15.75" customHeight="1">
      <c r="A981" s="73"/>
      <c r="B981" s="73"/>
      <c r="C981" s="73"/>
      <c r="D981" s="73"/>
      <c r="E981" s="73"/>
      <c r="F981" s="73"/>
      <c r="G981" s="73"/>
      <c r="H981" s="73"/>
    </row>
    <row r="982" spans="1:8" ht="15.75" customHeight="1">
      <c r="A982" s="73"/>
      <c r="B982" s="73"/>
      <c r="C982" s="73"/>
      <c r="D982" s="73"/>
      <c r="E982" s="73"/>
      <c r="F982" s="73"/>
      <c r="G982" s="73"/>
      <c r="H982" s="73"/>
    </row>
    <row r="983" spans="1:8" ht="15.75" customHeight="1">
      <c r="A983" s="73"/>
      <c r="B983" s="73"/>
      <c r="C983" s="73"/>
      <c r="D983" s="73"/>
      <c r="E983" s="73"/>
      <c r="F983" s="73"/>
      <c r="G983" s="73"/>
      <c r="H983" s="73"/>
    </row>
    <row r="984" spans="1:8" ht="15.75" customHeight="1">
      <c r="A984" s="73"/>
      <c r="B984" s="73"/>
      <c r="C984" s="73"/>
      <c r="D984" s="73"/>
      <c r="E984" s="73"/>
      <c r="F984" s="73"/>
      <c r="G984" s="73"/>
      <c r="H984" s="73"/>
    </row>
    <row r="985" spans="1:8" ht="15.75" customHeight="1">
      <c r="A985" s="73"/>
      <c r="B985" s="73"/>
      <c r="C985" s="73"/>
      <c r="D985" s="73"/>
      <c r="E985" s="73"/>
      <c r="F985" s="73"/>
      <c r="G985" s="73"/>
      <c r="H985" s="73"/>
    </row>
    <row r="986" spans="1:8" ht="15.75" customHeight="1">
      <c r="A986" s="73"/>
      <c r="B986" s="73"/>
      <c r="C986" s="73"/>
      <c r="D986" s="73"/>
      <c r="E986" s="73"/>
      <c r="F986" s="73"/>
      <c r="G986" s="73"/>
      <c r="H986" s="73"/>
    </row>
    <row r="987" spans="1:8" ht="15.75" customHeight="1">
      <c r="A987" s="73"/>
      <c r="B987" s="73"/>
      <c r="C987" s="73"/>
      <c r="D987" s="73"/>
      <c r="E987" s="73"/>
      <c r="F987" s="73"/>
      <c r="G987" s="73"/>
      <c r="H987" s="73"/>
    </row>
    <row r="988" spans="1:8" ht="15.75" customHeight="1">
      <c r="A988" s="73"/>
      <c r="B988" s="73"/>
      <c r="C988" s="73"/>
      <c r="D988" s="73"/>
      <c r="E988" s="73"/>
      <c r="F988" s="73"/>
      <c r="G988" s="73"/>
      <c r="H988" s="73"/>
    </row>
    <row r="989" spans="1:8" ht="15.75" customHeight="1">
      <c r="A989" s="73"/>
      <c r="B989" s="73"/>
      <c r="C989" s="73"/>
      <c r="D989" s="73"/>
      <c r="E989" s="73"/>
      <c r="F989" s="73"/>
      <c r="G989" s="73"/>
      <c r="H989" s="73"/>
    </row>
    <row r="990" spans="1:8" ht="15.75" customHeight="1">
      <c r="A990" s="73"/>
      <c r="B990" s="73"/>
      <c r="C990" s="73"/>
      <c r="D990" s="73"/>
      <c r="E990" s="73"/>
      <c r="F990" s="73"/>
      <c r="G990" s="73"/>
      <c r="H990" s="73"/>
    </row>
    <row r="991" spans="1:8" ht="15.75" customHeight="1">
      <c r="A991" s="73"/>
      <c r="B991" s="73"/>
      <c r="C991" s="73"/>
      <c r="D991" s="73"/>
      <c r="E991" s="73"/>
      <c r="F991" s="73"/>
      <c r="G991" s="73"/>
      <c r="H991" s="73"/>
    </row>
    <row r="992" spans="1:8" ht="15.75" customHeight="1">
      <c r="A992" s="73"/>
      <c r="B992" s="73"/>
      <c r="C992" s="73"/>
      <c r="D992" s="73"/>
      <c r="E992" s="73"/>
      <c r="F992" s="73"/>
      <c r="G992" s="73"/>
      <c r="H992" s="73"/>
    </row>
    <row r="993" spans="1:8" ht="15.75" customHeight="1">
      <c r="A993" s="73"/>
      <c r="B993" s="73"/>
      <c r="C993" s="73"/>
      <c r="D993" s="73"/>
      <c r="E993" s="73"/>
      <c r="F993" s="73"/>
      <c r="G993" s="73"/>
      <c r="H993" s="73"/>
    </row>
    <row r="994" spans="1:8" ht="15.75" customHeight="1">
      <c r="A994" s="73"/>
      <c r="B994" s="73"/>
      <c r="C994" s="73"/>
      <c r="D994" s="73"/>
      <c r="E994" s="73"/>
      <c r="F994" s="73"/>
      <c r="G994" s="73"/>
      <c r="H994" s="73"/>
    </row>
    <row r="995" spans="1:8" ht="15.75" customHeight="1">
      <c r="A995" s="73"/>
      <c r="B995" s="73"/>
      <c r="C995" s="73"/>
      <c r="D995" s="73"/>
      <c r="E995" s="73"/>
      <c r="F995" s="73"/>
      <c r="G995" s="73"/>
      <c r="H995" s="73"/>
    </row>
    <row r="996" spans="1:8" ht="15.75" customHeight="1">
      <c r="A996" s="73"/>
      <c r="B996" s="73"/>
      <c r="C996" s="73"/>
      <c r="D996" s="73"/>
      <c r="E996" s="73"/>
      <c r="F996" s="73"/>
      <c r="G996" s="73"/>
      <c r="H996" s="73"/>
    </row>
    <row r="997" spans="1:8" ht="15.75" customHeight="1">
      <c r="A997" s="73"/>
      <c r="B997" s="73"/>
      <c r="C997" s="73"/>
      <c r="D997" s="73"/>
      <c r="E997" s="73"/>
      <c r="F997" s="73"/>
      <c r="G997" s="73"/>
      <c r="H997" s="73"/>
    </row>
    <row r="998" spans="1:8" ht="15.75" customHeight="1">
      <c r="A998" s="73"/>
      <c r="B998" s="73"/>
      <c r="C998" s="73"/>
      <c r="D998" s="73"/>
      <c r="E998" s="73"/>
      <c r="F998" s="73"/>
      <c r="G998" s="73"/>
      <c r="H998" s="73"/>
    </row>
    <row r="999" spans="1:8" ht="15.75" customHeight="1">
      <c r="A999" s="73"/>
      <c r="B999" s="73"/>
      <c r="C999" s="73"/>
      <c r="D999" s="73"/>
      <c r="E999" s="73"/>
      <c r="F999" s="73"/>
      <c r="G999" s="73"/>
      <c r="H999" s="73"/>
    </row>
    <row r="1000" spans="1:8" ht="15.75" customHeight="1">
      <c r="A1000" s="73"/>
      <c r="B1000" s="73"/>
      <c r="C1000" s="73"/>
      <c r="D1000" s="73"/>
      <c r="E1000" s="73"/>
      <c r="F1000" s="73"/>
      <c r="G1000" s="73"/>
      <c r="H1000" s="73"/>
    </row>
  </sheetData>
  <mergeCells count="13">
    <mergeCell ref="A32:A35"/>
    <mergeCell ref="A1:G2"/>
    <mergeCell ref="A3:B3"/>
    <mergeCell ref="C3:C4"/>
    <mergeCell ref="D3:D4"/>
    <mergeCell ref="E3:E4"/>
    <mergeCell ref="G3:G4"/>
    <mergeCell ref="A5:A10"/>
    <mergeCell ref="A11:A16"/>
    <mergeCell ref="A17:A21"/>
    <mergeCell ref="A22:A28"/>
    <mergeCell ref="F22:F28"/>
    <mergeCell ref="A29:A31"/>
  </mergeCells>
  <phoneticPr fontId="30" type="noConversion"/>
  <pageMargins left="0.25" right="0.25" top="0.75" bottom="0.75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1000"/>
  <sheetViews>
    <sheetView workbookViewId="0"/>
  </sheetViews>
  <sheetFormatPr defaultColWidth="14.42578125" defaultRowHeight="15" customHeight="1"/>
  <cols>
    <col min="1" max="1" width="28" customWidth="1"/>
    <col min="2" max="2" width="78" customWidth="1"/>
    <col min="3" max="3" width="11.85546875" customWidth="1"/>
    <col min="4" max="4" width="12.85546875" customWidth="1"/>
    <col min="5" max="5" width="12.42578125" customWidth="1"/>
    <col min="6" max="6" width="21.140625" customWidth="1"/>
    <col min="7" max="7" width="31.5703125" customWidth="1"/>
    <col min="8" max="8" width="10.140625" customWidth="1"/>
    <col min="9" max="9" width="8.85546875" customWidth="1"/>
  </cols>
  <sheetData>
    <row r="1" spans="1:9" ht="16.5" customHeight="1">
      <c r="A1" s="625" t="s">
        <v>225</v>
      </c>
      <c r="B1" s="611"/>
      <c r="C1" s="611"/>
      <c r="D1" s="611"/>
      <c r="E1" s="611"/>
      <c r="F1" s="611"/>
      <c r="G1" s="552"/>
      <c r="H1" s="73"/>
      <c r="I1" s="73"/>
    </row>
    <row r="2" spans="1:9" ht="18" customHeight="1">
      <c r="A2" s="610"/>
      <c r="B2" s="615"/>
      <c r="C2" s="615"/>
      <c r="D2" s="615"/>
      <c r="E2" s="615"/>
      <c r="F2" s="615"/>
      <c r="G2" s="552"/>
      <c r="H2" s="73"/>
      <c r="I2" s="73"/>
    </row>
    <row r="3" spans="1:9" ht="16.5" customHeight="1">
      <c r="A3" s="699" t="s">
        <v>513</v>
      </c>
      <c r="B3" s="711"/>
      <c r="C3" s="678" t="s">
        <v>462</v>
      </c>
      <c r="D3" s="688" t="s">
        <v>585</v>
      </c>
      <c r="E3" s="341" t="s">
        <v>544</v>
      </c>
      <c r="F3" s="678" t="s">
        <v>686</v>
      </c>
      <c r="G3" s="678" t="s">
        <v>514</v>
      </c>
      <c r="H3" s="678" t="s">
        <v>515</v>
      </c>
      <c r="I3" s="73"/>
    </row>
    <row r="4" spans="1:9" ht="16.5" customHeight="1">
      <c r="A4" s="553" t="s">
        <v>8</v>
      </c>
      <c r="B4" s="553" t="s">
        <v>9</v>
      </c>
      <c r="C4" s="606"/>
      <c r="D4" s="621"/>
      <c r="E4" s="210" t="s">
        <v>10</v>
      </c>
      <c r="F4" s="606"/>
      <c r="G4" s="636"/>
      <c r="H4" s="606"/>
      <c r="I4" s="73"/>
    </row>
    <row r="5" spans="1:9" ht="16.5" customHeight="1">
      <c r="A5" s="666" t="s">
        <v>687</v>
      </c>
      <c r="B5" s="173" t="s">
        <v>688</v>
      </c>
      <c r="C5" s="352">
        <f t="shared" ref="C5:C32" si="0">D5*2-1000</f>
        <v>557000</v>
      </c>
      <c r="D5" s="352">
        <v>279000</v>
      </c>
      <c r="E5" s="534"/>
      <c r="F5" s="732"/>
      <c r="G5" s="554" t="s">
        <v>689</v>
      </c>
      <c r="H5" s="169"/>
      <c r="I5" s="73"/>
    </row>
    <row r="6" spans="1:9" ht="16.5" customHeight="1">
      <c r="A6" s="605"/>
      <c r="B6" s="173" t="s">
        <v>690</v>
      </c>
      <c r="C6" s="352">
        <f t="shared" si="0"/>
        <v>97000</v>
      </c>
      <c r="D6" s="352">
        <v>49000</v>
      </c>
      <c r="E6" s="176"/>
      <c r="F6" s="654"/>
      <c r="G6" s="555" t="s">
        <v>691</v>
      </c>
      <c r="H6" s="173"/>
      <c r="I6" s="1"/>
    </row>
    <row r="7" spans="1:9" ht="16.5" customHeight="1">
      <c r="A7" s="605"/>
      <c r="B7" s="173" t="s">
        <v>692</v>
      </c>
      <c r="C7" s="352">
        <f t="shared" si="0"/>
        <v>317000</v>
      </c>
      <c r="D7" s="352">
        <v>159000</v>
      </c>
      <c r="E7" s="176"/>
      <c r="F7" s="654"/>
      <c r="G7" s="555" t="s">
        <v>693</v>
      </c>
      <c r="H7" s="173"/>
      <c r="I7" s="1"/>
    </row>
    <row r="8" spans="1:9" ht="16.5" customHeight="1">
      <c r="A8" s="605"/>
      <c r="B8" s="173" t="s">
        <v>694</v>
      </c>
      <c r="C8" s="352">
        <f t="shared" si="0"/>
        <v>1097000</v>
      </c>
      <c r="D8" s="352">
        <v>549000</v>
      </c>
      <c r="E8" s="535"/>
      <c r="F8" s="654"/>
      <c r="G8" s="555" t="s">
        <v>695</v>
      </c>
      <c r="H8" s="173"/>
      <c r="I8" s="1"/>
    </row>
    <row r="9" spans="1:9" ht="15.75" customHeight="1">
      <c r="A9" s="605"/>
      <c r="B9" s="401" t="s">
        <v>696</v>
      </c>
      <c r="C9" s="352">
        <f t="shared" si="0"/>
        <v>1297000</v>
      </c>
      <c r="D9" s="353">
        <v>649000</v>
      </c>
      <c r="E9" s="176"/>
      <c r="F9" s="654"/>
      <c r="G9" s="555" t="s">
        <v>697</v>
      </c>
      <c r="H9" s="173"/>
      <c r="I9" s="73"/>
    </row>
    <row r="10" spans="1:9" ht="16.5" customHeight="1">
      <c r="A10" s="606"/>
      <c r="B10" s="173" t="s">
        <v>698</v>
      </c>
      <c r="C10" s="359">
        <f t="shared" si="0"/>
        <v>1797000</v>
      </c>
      <c r="D10" s="352">
        <v>899000</v>
      </c>
      <c r="E10" s="556"/>
      <c r="F10" s="655"/>
      <c r="G10" s="557" t="s">
        <v>693</v>
      </c>
      <c r="H10" s="175"/>
      <c r="I10" s="73"/>
    </row>
    <row r="11" spans="1:9" ht="16.5" customHeight="1">
      <c r="A11" s="666" t="s">
        <v>699</v>
      </c>
      <c r="B11" s="169" t="s">
        <v>700</v>
      </c>
      <c r="C11" s="352">
        <f t="shared" si="0"/>
        <v>89000</v>
      </c>
      <c r="D11" s="344">
        <v>45000</v>
      </c>
      <c r="E11" s="534"/>
      <c r="F11" s="456"/>
      <c r="G11" s="554" t="s">
        <v>701</v>
      </c>
      <c r="H11" s="169"/>
      <c r="I11" s="73"/>
    </row>
    <row r="12" spans="1:9" ht="16.5" customHeight="1">
      <c r="A12" s="605"/>
      <c r="B12" s="173" t="s">
        <v>702</v>
      </c>
      <c r="C12" s="352">
        <f t="shared" si="0"/>
        <v>19000</v>
      </c>
      <c r="D12" s="352">
        <v>10000</v>
      </c>
      <c r="E12" s="535"/>
      <c r="F12" s="456"/>
      <c r="G12" s="555" t="s">
        <v>703</v>
      </c>
      <c r="H12" s="173"/>
      <c r="I12" s="73"/>
    </row>
    <row r="13" spans="1:9" ht="16.5" customHeight="1">
      <c r="A13" s="605"/>
      <c r="B13" s="173" t="s">
        <v>704</v>
      </c>
      <c r="C13" s="352">
        <f t="shared" si="0"/>
        <v>19000</v>
      </c>
      <c r="D13" s="352">
        <v>10000</v>
      </c>
      <c r="E13" s="535"/>
      <c r="F13" s="456"/>
      <c r="G13" s="555" t="s">
        <v>703</v>
      </c>
      <c r="H13" s="173"/>
      <c r="I13" s="73"/>
    </row>
    <row r="14" spans="1:9" ht="16.5" customHeight="1">
      <c r="A14" s="605"/>
      <c r="B14" s="173" t="s">
        <v>705</v>
      </c>
      <c r="C14" s="352">
        <f t="shared" si="0"/>
        <v>219000</v>
      </c>
      <c r="D14" s="352">
        <v>110000</v>
      </c>
      <c r="E14" s="535"/>
      <c r="F14" s="456"/>
      <c r="G14" s="555" t="s">
        <v>706</v>
      </c>
      <c r="H14" s="173"/>
      <c r="I14" s="73"/>
    </row>
    <row r="15" spans="1:9" ht="16.5" customHeight="1">
      <c r="A15" s="606"/>
      <c r="B15" s="175" t="s">
        <v>707</v>
      </c>
      <c r="C15" s="359">
        <f t="shared" si="0"/>
        <v>219000</v>
      </c>
      <c r="D15" s="359">
        <v>110000</v>
      </c>
      <c r="E15" s="538"/>
      <c r="F15" s="479"/>
      <c r="G15" s="557" t="s">
        <v>695</v>
      </c>
      <c r="H15" s="175"/>
      <c r="I15" s="73"/>
    </row>
    <row r="16" spans="1:9" ht="16.5" customHeight="1">
      <c r="A16" s="733" t="s">
        <v>708</v>
      </c>
      <c r="B16" s="173" t="s">
        <v>709</v>
      </c>
      <c r="C16" s="352">
        <f t="shared" si="0"/>
        <v>397000</v>
      </c>
      <c r="D16" s="352">
        <v>199000</v>
      </c>
      <c r="E16" s="535"/>
      <c r="F16" s="456"/>
      <c r="G16" s="554" t="s">
        <v>701</v>
      </c>
      <c r="H16" s="169"/>
      <c r="I16" s="73"/>
    </row>
    <row r="17" spans="1:9" ht="16.5" customHeight="1">
      <c r="A17" s="605"/>
      <c r="B17" s="173" t="s">
        <v>710</v>
      </c>
      <c r="C17" s="352">
        <f t="shared" si="0"/>
        <v>597000</v>
      </c>
      <c r="D17" s="352">
        <v>299000</v>
      </c>
      <c r="E17" s="535"/>
      <c r="F17" s="456"/>
      <c r="G17" s="555" t="s">
        <v>711</v>
      </c>
      <c r="H17" s="173"/>
      <c r="I17" s="73"/>
    </row>
    <row r="18" spans="1:9" ht="16.5" customHeight="1">
      <c r="A18" s="605"/>
      <c r="B18" s="252" t="s">
        <v>712</v>
      </c>
      <c r="C18" s="352">
        <f t="shared" si="0"/>
        <v>597000</v>
      </c>
      <c r="D18" s="352">
        <v>299000</v>
      </c>
      <c r="E18" s="535"/>
      <c r="F18" s="456"/>
      <c r="G18" s="555" t="s">
        <v>713</v>
      </c>
      <c r="H18" s="173"/>
      <c r="I18" s="73"/>
    </row>
    <row r="19" spans="1:9" ht="16.5" customHeight="1">
      <c r="A19" s="605"/>
      <c r="B19" s="173" t="s">
        <v>714</v>
      </c>
      <c r="C19" s="352">
        <f t="shared" si="0"/>
        <v>797000</v>
      </c>
      <c r="D19" s="352">
        <v>399000</v>
      </c>
      <c r="E19" s="535"/>
      <c r="F19" s="456"/>
      <c r="G19" s="555" t="s">
        <v>715</v>
      </c>
      <c r="H19" s="173"/>
      <c r="I19" s="73"/>
    </row>
    <row r="20" spans="1:9" ht="66">
      <c r="A20" s="606"/>
      <c r="B20" s="158" t="s">
        <v>239</v>
      </c>
      <c r="C20" s="359">
        <f t="shared" si="0"/>
        <v>597000</v>
      </c>
      <c r="D20" s="359">
        <v>299000</v>
      </c>
      <c r="E20" s="556"/>
      <c r="F20" s="479"/>
      <c r="G20" s="557" t="s">
        <v>716</v>
      </c>
      <c r="H20" s="175"/>
      <c r="I20" s="73"/>
    </row>
    <row r="21" spans="1:9" ht="16.5" customHeight="1">
      <c r="A21" s="666" t="s">
        <v>717</v>
      </c>
      <c r="B21" s="248" t="s">
        <v>718</v>
      </c>
      <c r="C21" s="352">
        <f t="shared" si="0"/>
        <v>75000</v>
      </c>
      <c r="D21" s="344">
        <v>38000</v>
      </c>
      <c r="E21" s="534"/>
      <c r="F21" s="456"/>
      <c r="G21" s="554" t="s">
        <v>697</v>
      </c>
      <c r="H21" s="169"/>
      <c r="I21" s="73"/>
    </row>
    <row r="22" spans="1:9" ht="16.5" customHeight="1">
      <c r="A22" s="605"/>
      <c r="B22" s="252" t="s">
        <v>719</v>
      </c>
      <c r="C22" s="352">
        <f t="shared" si="0"/>
        <v>197000</v>
      </c>
      <c r="D22" s="352">
        <v>99000</v>
      </c>
      <c r="E22" s="535"/>
      <c r="F22" s="267"/>
      <c r="G22" s="555" t="s">
        <v>720</v>
      </c>
      <c r="H22" s="173"/>
      <c r="I22" s="73"/>
    </row>
    <row r="23" spans="1:9" ht="16.5" customHeight="1">
      <c r="A23" s="605"/>
      <c r="B23" s="1" t="s">
        <v>721</v>
      </c>
      <c r="C23" s="352">
        <f t="shared" si="0"/>
        <v>897000</v>
      </c>
      <c r="D23" s="353">
        <v>449000</v>
      </c>
      <c r="E23" s="535"/>
      <c r="F23" s="267"/>
      <c r="G23" s="555" t="s">
        <v>722</v>
      </c>
      <c r="H23" s="173"/>
      <c r="I23" s="73"/>
    </row>
    <row r="24" spans="1:9" ht="16.5" customHeight="1">
      <c r="A24" s="605"/>
      <c r="B24" s="252" t="s">
        <v>723</v>
      </c>
      <c r="C24" s="352">
        <f t="shared" si="0"/>
        <v>998800</v>
      </c>
      <c r="D24" s="352">
        <v>499900</v>
      </c>
      <c r="E24" s="535"/>
      <c r="F24" s="267"/>
      <c r="G24" s="555" t="s">
        <v>724</v>
      </c>
      <c r="H24" s="173"/>
      <c r="I24" s="1"/>
    </row>
    <row r="25" spans="1:9" ht="16.5" customHeight="1">
      <c r="A25" s="606"/>
      <c r="B25" s="256" t="s">
        <v>725</v>
      </c>
      <c r="C25" s="359">
        <f t="shared" si="0"/>
        <v>1899000</v>
      </c>
      <c r="D25" s="359">
        <v>950000</v>
      </c>
      <c r="E25" s="556"/>
      <c r="F25" s="558"/>
      <c r="G25" s="557" t="s">
        <v>695</v>
      </c>
      <c r="H25" s="175"/>
      <c r="I25" s="1"/>
    </row>
    <row r="26" spans="1:9" ht="16.5" customHeight="1">
      <c r="A26" s="709" t="s">
        <v>726</v>
      </c>
      <c r="B26" s="447" t="s">
        <v>727</v>
      </c>
      <c r="C26" s="352">
        <f t="shared" si="0"/>
        <v>117000</v>
      </c>
      <c r="D26" s="402">
        <v>59000</v>
      </c>
      <c r="E26" s="535"/>
      <c r="F26" s="732"/>
      <c r="G26" s="554" t="s">
        <v>720</v>
      </c>
      <c r="H26" s="169"/>
      <c r="I26" s="1"/>
    </row>
    <row r="27" spans="1:9" ht="16.5" customHeight="1">
      <c r="A27" s="605"/>
      <c r="B27" s="442" t="s">
        <v>728</v>
      </c>
      <c r="C27" s="352">
        <f t="shared" si="0"/>
        <v>257000</v>
      </c>
      <c r="D27" s="352">
        <v>129000</v>
      </c>
      <c r="E27" s="535"/>
      <c r="F27" s="654"/>
      <c r="G27" s="555" t="s">
        <v>695</v>
      </c>
      <c r="H27" s="173"/>
      <c r="I27" s="73"/>
    </row>
    <row r="28" spans="1:9" ht="16.5" customHeight="1">
      <c r="A28" s="605"/>
      <c r="B28" s="442" t="s">
        <v>729</v>
      </c>
      <c r="C28" s="372">
        <f t="shared" si="0"/>
        <v>337000</v>
      </c>
      <c r="D28" s="352">
        <v>169000</v>
      </c>
      <c r="E28" s="535"/>
      <c r="F28" s="654"/>
      <c r="G28" s="555" t="s">
        <v>730</v>
      </c>
      <c r="H28" s="173"/>
      <c r="I28" s="73"/>
    </row>
    <row r="29" spans="1:9" ht="16.5" customHeight="1">
      <c r="A29" s="605"/>
      <c r="B29" s="447" t="s">
        <v>731</v>
      </c>
      <c r="C29" s="352">
        <f t="shared" si="0"/>
        <v>717000</v>
      </c>
      <c r="D29" s="352">
        <v>359000</v>
      </c>
      <c r="E29" s="176"/>
      <c r="F29" s="654"/>
      <c r="G29" s="555" t="s">
        <v>720</v>
      </c>
      <c r="H29" s="173"/>
      <c r="I29" s="73"/>
    </row>
    <row r="30" spans="1:9" ht="16.5" customHeight="1">
      <c r="A30" s="605"/>
      <c r="B30" s="447" t="s">
        <v>732</v>
      </c>
      <c r="C30" s="352">
        <f t="shared" si="0"/>
        <v>197000</v>
      </c>
      <c r="D30" s="402">
        <v>99000</v>
      </c>
      <c r="E30" s="535"/>
      <c r="F30" s="654"/>
      <c r="G30" s="555" t="s">
        <v>720</v>
      </c>
      <c r="H30" s="173"/>
      <c r="I30" s="73"/>
    </row>
    <row r="31" spans="1:9" ht="16.5" customHeight="1">
      <c r="A31" s="605"/>
      <c r="B31" s="442" t="s">
        <v>733</v>
      </c>
      <c r="C31" s="352">
        <f t="shared" si="0"/>
        <v>337000</v>
      </c>
      <c r="D31" s="513">
        <v>169000</v>
      </c>
      <c r="E31" s="176"/>
      <c r="F31" s="654"/>
      <c r="G31" s="555" t="s">
        <v>734</v>
      </c>
      <c r="H31" s="173"/>
      <c r="I31" s="73"/>
    </row>
    <row r="32" spans="1:9" ht="16.5" customHeight="1">
      <c r="A32" s="606"/>
      <c r="B32" s="443" t="s">
        <v>735</v>
      </c>
      <c r="C32" s="359">
        <f t="shared" si="0"/>
        <v>377000</v>
      </c>
      <c r="D32" s="547">
        <v>189000</v>
      </c>
      <c r="E32" s="538"/>
      <c r="F32" s="655"/>
      <c r="G32" s="557" t="s">
        <v>711</v>
      </c>
      <c r="H32" s="175"/>
      <c r="I32" s="73"/>
    </row>
    <row r="33" spans="1:9" ht="16.5" customHeight="1">
      <c r="A33" s="73"/>
      <c r="B33" s="73"/>
      <c r="C33" s="73"/>
      <c r="D33" s="340"/>
      <c r="E33" s="176"/>
      <c r="F33" s="350"/>
      <c r="G33" s="552"/>
      <c r="H33" s="1"/>
      <c r="I33" s="73"/>
    </row>
    <row r="34" spans="1:9" ht="16.5" customHeight="1">
      <c r="A34" s="73"/>
      <c r="B34" s="73"/>
      <c r="C34" s="73"/>
      <c r="D34" s="73"/>
      <c r="E34" s="176"/>
      <c r="F34" s="176"/>
      <c r="G34" s="552"/>
      <c r="H34" s="73"/>
      <c r="I34" s="73"/>
    </row>
    <row r="35" spans="1:9" ht="16.5" customHeight="1">
      <c r="A35" s="73"/>
      <c r="B35" s="73"/>
      <c r="C35" s="73"/>
      <c r="D35" s="73"/>
      <c r="E35" s="559"/>
      <c r="F35" s="176"/>
      <c r="G35" s="552"/>
      <c r="H35" s="73"/>
      <c r="I35" s="73"/>
    </row>
    <row r="36" spans="1:9" ht="16.5" customHeight="1">
      <c r="A36" s="73"/>
      <c r="B36" s="73"/>
      <c r="C36" s="73"/>
      <c r="D36" s="73"/>
      <c r="E36" s="176"/>
      <c r="F36" s="176"/>
      <c r="G36" s="552"/>
      <c r="H36" s="73"/>
      <c r="I36" s="73"/>
    </row>
    <row r="37" spans="1:9" ht="16.5" customHeight="1">
      <c r="A37" s="73"/>
      <c r="B37" s="73"/>
      <c r="C37" s="73"/>
      <c r="D37" s="73"/>
      <c r="E37" s="551"/>
      <c r="F37" s="176"/>
      <c r="G37" s="552"/>
      <c r="H37" s="73"/>
      <c r="I37" s="73"/>
    </row>
    <row r="38" spans="1:9" ht="16.5" customHeight="1">
      <c r="A38" s="73"/>
      <c r="B38" s="73"/>
      <c r="C38" s="73"/>
      <c r="D38" s="73"/>
      <c r="E38" s="551"/>
      <c r="F38" s="176"/>
      <c r="G38" s="552"/>
      <c r="H38" s="73"/>
      <c r="I38" s="73"/>
    </row>
    <row r="39" spans="1:9" ht="16.5" customHeight="1">
      <c r="A39" s="73"/>
      <c r="B39" s="73"/>
      <c r="C39" s="73"/>
      <c r="D39" s="73"/>
      <c r="E39" s="176"/>
      <c r="F39" s="176"/>
      <c r="G39" s="552"/>
      <c r="H39" s="73"/>
      <c r="I39" s="73"/>
    </row>
    <row r="40" spans="1:9" ht="16.5" customHeight="1">
      <c r="A40" s="73"/>
      <c r="B40" s="73"/>
      <c r="C40" s="73"/>
      <c r="D40" s="73"/>
      <c r="E40" s="551"/>
      <c r="F40" s="176"/>
      <c r="G40" s="552"/>
      <c r="H40" s="73"/>
      <c r="I40" s="73"/>
    </row>
    <row r="41" spans="1:9" ht="16.5" customHeight="1">
      <c r="A41" s="73"/>
      <c r="B41" s="73"/>
      <c r="C41" s="73"/>
      <c r="D41" s="73"/>
      <c r="E41" s="551"/>
      <c r="F41" s="176"/>
      <c r="G41" s="552"/>
      <c r="H41" s="73"/>
      <c r="I41" s="73"/>
    </row>
    <row r="42" spans="1:9" ht="16.5" customHeight="1">
      <c r="A42" s="73"/>
      <c r="B42" s="73"/>
      <c r="C42" s="73"/>
      <c r="D42" s="73"/>
      <c r="E42" s="551"/>
      <c r="F42" s="176"/>
      <c r="G42" s="552"/>
      <c r="H42" s="73"/>
      <c r="I42" s="73"/>
    </row>
    <row r="43" spans="1:9" ht="16.5" customHeight="1">
      <c r="A43" s="73"/>
      <c r="B43" s="73"/>
      <c r="C43" s="73"/>
      <c r="D43" s="73"/>
      <c r="E43" s="176"/>
      <c r="F43" s="176"/>
      <c r="G43" s="552"/>
      <c r="H43" s="73"/>
      <c r="I43" s="73"/>
    </row>
    <row r="44" spans="1:9" ht="16.5" customHeight="1">
      <c r="A44" s="73"/>
      <c r="B44" s="73"/>
      <c r="C44" s="73"/>
      <c r="D44" s="73"/>
      <c r="E44" s="176"/>
      <c r="F44" s="176"/>
      <c r="G44" s="552"/>
      <c r="H44" s="73"/>
      <c r="I44" s="73"/>
    </row>
    <row r="45" spans="1:9" ht="16.5" customHeight="1">
      <c r="A45" s="73"/>
      <c r="B45" s="73"/>
      <c r="C45" s="73"/>
      <c r="D45" s="73"/>
      <c r="E45" s="176"/>
      <c r="F45" s="176"/>
      <c r="G45" s="552"/>
      <c r="H45" s="73"/>
      <c r="I45" s="73"/>
    </row>
    <row r="46" spans="1:9" ht="16.5" customHeight="1">
      <c r="A46" s="73"/>
      <c r="B46" s="73"/>
      <c r="C46" s="73"/>
      <c r="D46" s="73"/>
      <c r="E46" s="176"/>
      <c r="F46" s="176"/>
      <c r="G46" s="552"/>
      <c r="H46" s="73"/>
      <c r="I46" s="73"/>
    </row>
    <row r="47" spans="1:9" ht="16.5" customHeight="1">
      <c r="A47" s="73"/>
      <c r="B47" s="73"/>
      <c r="C47" s="73"/>
      <c r="D47" s="73"/>
      <c r="E47" s="176"/>
      <c r="F47" s="176"/>
      <c r="G47" s="552"/>
      <c r="H47" s="73"/>
      <c r="I47" s="73"/>
    </row>
    <row r="48" spans="1:9" ht="16.5" customHeight="1">
      <c r="A48" s="73"/>
      <c r="B48" s="73"/>
      <c r="C48" s="73"/>
      <c r="D48" s="73"/>
      <c r="E48" s="176"/>
      <c r="F48" s="176"/>
      <c r="G48" s="552"/>
      <c r="H48" s="73"/>
      <c r="I48" s="73"/>
    </row>
    <row r="49" spans="1:9" ht="16.5" customHeight="1">
      <c r="A49" s="73"/>
      <c r="B49" s="73"/>
      <c r="C49" s="73"/>
      <c r="D49" s="73"/>
      <c r="E49" s="176"/>
      <c r="F49" s="176"/>
      <c r="G49" s="552"/>
      <c r="H49" s="73"/>
      <c r="I49" s="73"/>
    </row>
    <row r="50" spans="1:9" ht="16.5" customHeight="1">
      <c r="A50" s="73"/>
      <c r="B50" s="73"/>
      <c r="C50" s="73"/>
      <c r="D50" s="73"/>
      <c r="E50" s="176"/>
      <c r="F50" s="176"/>
      <c r="G50" s="552"/>
      <c r="H50" s="73"/>
      <c r="I50" s="73"/>
    </row>
    <row r="51" spans="1:9" ht="16.5" customHeight="1">
      <c r="A51" s="73"/>
      <c r="B51" s="73"/>
      <c r="C51" s="73"/>
      <c r="D51" s="73"/>
      <c r="E51" s="176"/>
      <c r="F51" s="176"/>
      <c r="G51" s="552"/>
      <c r="H51" s="73"/>
      <c r="I51" s="73"/>
    </row>
    <row r="52" spans="1:9" ht="16.5" customHeight="1">
      <c r="A52" s="73"/>
      <c r="B52" s="73"/>
      <c r="C52" s="73"/>
      <c r="D52" s="73"/>
      <c r="E52" s="176"/>
      <c r="F52" s="176"/>
      <c r="G52" s="552"/>
      <c r="H52" s="73"/>
      <c r="I52" s="73"/>
    </row>
    <row r="53" spans="1:9" ht="16.5" customHeight="1">
      <c r="A53" s="73"/>
      <c r="B53" s="73"/>
      <c r="C53" s="73"/>
      <c r="D53" s="73"/>
      <c r="E53" s="176"/>
      <c r="F53" s="176"/>
      <c r="G53" s="552"/>
      <c r="H53" s="73"/>
      <c r="I53" s="73"/>
    </row>
    <row r="54" spans="1:9" ht="16.5" customHeight="1">
      <c r="A54" s="73"/>
      <c r="B54" s="73"/>
      <c r="C54" s="73"/>
      <c r="D54" s="73"/>
      <c r="E54" s="176"/>
      <c r="F54" s="176"/>
      <c r="G54" s="552"/>
      <c r="H54" s="73"/>
      <c r="I54" s="73"/>
    </row>
    <row r="55" spans="1:9" ht="16.5" customHeight="1">
      <c r="A55" s="73"/>
      <c r="B55" s="73"/>
      <c r="C55" s="73"/>
      <c r="D55" s="73"/>
      <c r="E55" s="176"/>
      <c r="F55" s="176"/>
      <c r="G55" s="552"/>
      <c r="H55" s="73"/>
      <c r="I55" s="73"/>
    </row>
    <row r="56" spans="1:9" ht="16.5" customHeight="1">
      <c r="A56" s="73"/>
      <c r="B56" s="73"/>
      <c r="C56" s="73"/>
      <c r="D56" s="73"/>
      <c r="E56" s="176"/>
      <c r="F56" s="176"/>
      <c r="G56" s="552"/>
      <c r="H56" s="73"/>
      <c r="I56" s="73"/>
    </row>
    <row r="57" spans="1:9" ht="16.5" customHeight="1">
      <c r="A57" s="73"/>
      <c r="B57" s="73"/>
      <c r="C57" s="73"/>
      <c r="D57" s="73"/>
      <c r="E57" s="176"/>
      <c r="F57" s="176"/>
      <c r="G57" s="552"/>
      <c r="H57" s="73"/>
      <c r="I57" s="73"/>
    </row>
    <row r="58" spans="1:9" ht="16.5" customHeight="1">
      <c r="A58" s="73"/>
      <c r="B58" s="73"/>
      <c r="C58" s="73"/>
      <c r="D58" s="73"/>
      <c r="E58" s="176"/>
      <c r="F58" s="176"/>
      <c r="G58" s="552"/>
      <c r="H58" s="73"/>
      <c r="I58" s="73"/>
    </row>
    <row r="59" spans="1:9" ht="16.5" customHeight="1">
      <c r="A59" s="73"/>
      <c r="B59" s="73"/>
      <c r="C59" s="73"/>
      <c r="D59" s="73"/>
      <c r="E59" s="176"/>
      <c r="F59" s="176"/>
      <c r="G59" s="552"/>
      <c r="H59" s="73"/>
      <c r="I59" s="73"/>
    </row>
    <row r="60" spans="1:9" ht="16.5" customHeight="1">
      <c r="A60" s="73"/>
      <c r="B60" s="73"/>
      <c r="C60" s="73"/>
      <c r="D60" s="73"/>
      <c r="E60" s="176"/>
      <c r="F60" s="176"/>
      <c r="G60" s="552"/>
      <c r="H60" s="73"/>
      <c r="I60" s="73"/>
    </row>
    <row r="61" spans="1:9" ht="16.5" customHeight="1">
      <c r="A61" s="73"/>
      <c r="B61" s="73"/>
      <c r="C61" s="73"/>
      <c r="D61" s="73"/>
      <c r="E61" s="176"/>
      <c r="F61" s="176"/>
      <c r="G61" s="552"/>
      <c r="H61" s="73"/>
      <c r="I61" s="73"/>
    </row>
    <row r="62" spans="1:9" ht="16.5" customHeight="1">
      <c r="A62" s="73"/>
      <c r="B62" s="73"/>
      <c r="C62" s="73"/>
      <c r="D62" s="73"/>
      <c r="E62" s="176"/>
      <c r="F62" s="176"/>
      <c r="G62" s="552"/>
      <c r="H62" s="73"/>
      <c r="I62" s="73"/>
    </row>
    <row r="63" spans="1:9" ht="16.5" customHeight="1">
      <c r="A63" s="73"/>
      <c r="B63" s="73"/>
      <c r="C63" s="73"/>
      <c r="D63" s="73"/>
      <c r="E63" s="176"/>
      <c r="F63" s="176"/>
      <c r="G63" s="552"/>
      <c r="H63" s="73"/>
      <c r="I63" s="73"/>
    </row>
    <row r="64" spans="1:9" ht="16.5" customHeight="1">
      <c r="A64" s="73"/>
      <c r="B64" s="73"/>
      <c r="C64" s="73"/>
      <c r="D64" s="73"/>
      <c r="E64" s="176"/>
      <c r="F64" s="176"/>
      <c r="G64" s="552"/>
      <c r="H64" s="73"/>
      <c r="I64" s="73"/>
    </row>
    <row r="65" spans="1:9" ht="16.5" customHeight="1">
      <c r="A65" s="73"/>
      <c r="B65" s="73"/>
      <c r="C65" s="73"/>
      <c r="D65" s="73"/>
      <c r="E65" s="176"/>
      <c r="F65" s="176"/>
      <c r="G65" s="552"/>
      <c r="H65" s="73"/>
      <c r="I65" s="73"/>
    </row>
    <row r="66" spans="1:9" ht="16.5" customHeight="1">
      <c r="A66" s="73"/>
      <c r="B66" s="73"/>
      <c r="C66" s="73"/>
      <c r="D66" s="73"/>
      <c r="E66" s="176"/>
      <c r="F66" s="176"/>
      <c r="G66" s="552"/>
      <c r="H66" s="73"/>
      <c r="I66" s="73"/>
    </row>
    <row r="67" spans="1:9" ht="16.5" customHeight="1">
      <c r="A67" s="73"/>
      <c r="B67" s="73"/>
      <c r="C67" s="73"/>
      <c r="D67" s="73"/>
      <c r="E67" s="176"/>
      <c r="F67" s="176"/>
      <c r="G67" s="552"/>
      <c r="H67" s="73"/>
      <c r="I67" s="73"/>
    </row>
    <row r="68" spans="1:9" ht="16.5" customHeight="1">
      <c r="A68" s="73"/>
      <c r="B68" s="73"/>
      <c r="C68" s="73"/>
      <c r="D68" s="73"/>
      <c r="E68" s="176"/>
      <c r="F68" s="176"/>
      <c r="G68" s="552"/>
      <c r="H68" s="73"/>
      <c r="I68" s="73"/>
    </row>
    <row r="69" spans="1:9" ht="16.5" customHeight="1">
      <c r="A69" s="73"/>
      <c r="B69" s="73"/>
      <c r="C69" s="73"/>
      <c r="D69" s="73"/>
      <c r="E69" s="176"/>
      <c r="F69" s="176"/>
      <c r="G69" s="552"/>
      <c r="H69" s="73"/>
      <c r="I69" s="73"/>
    </row>
    <row r="70" spans="1:9" ht="16.5" customHeight="1">
      <c r="A70" s="73"/>
      <c r="B70" s="73"/>
      <c r="C70" s="73"/>
      <c r="D70" s="73"/>
      <c r="E70" s="176"/>
      <c r="F70" s="176"/>
      <c r="G70" s="552"/>
      <c r="H70" s="73"/>
      <c r="I70" s="73"/>
    </row>
    <row r="71" spans="1:9" ht="16.5" customHeight="1">
      <c r="A71" s="73"/>
      <c r="B71" s="73"/>
      <c r="C71" s="73"/>
      <c r="D71" s="73"/>
      <c r="E71" s="176"/>
      <c r="F71" s="176"/>
      <c r="G71" s="552"/>
      <c r="H71" s="73"/>
      <c r="I71" s="73"/>
    </row>
    <row r="72" spans="1:9" ht="16.5" customHeight="1">
      <c r="A72" s="73"/>
      <c r="B72" s="73"/>
      <c r="C72" s="73"/>
      <c r="D72" s="73"/>
      <c r="E72" s="176"/>
      <c r="F72" s="176"/>
      <c r="G72" s="552"/>
      <c r="H72" s="73"/>
      <c r="I72" s="73"/>
    </row>
    <row r="73" spans="1:9" ht="16.5" customHeight="1">
      <c r="A73" s="73"/>
      <c r="B73" s="73"/>
      <c r="C73" s="73"/>
      <c r="D73" s="73"/>
      <c r="E73" s="176"/>
      <c r="F73" s="176"/>
      <c r="G73" s="552"/>
      <c r="H73" s="73"/>
      <c r="I73" s="73"/>
    </row>
    <row r="74" spans="1:9" ht="16.5" customHeight="1">
      <c r="A74" s="73"/>
      <c r="B74" s="73"/>
      <c r="C74" s="73"/>
      <c r="D74" s="73"/>
      <c r="E74" s="176"/>
      <c r="F74" s="176"/>
      <c r="G74" s="552"/>
      <c r="H74" s="73"/>
      <c r="I74" s="73"/>
    </row>
    <row r="75" spans="1:9" ht="16.5" customHeight="1">
      <c r="A75" s="73"/>
      <c r="B75" s="73"/>
      <c r="C75" s="73"/>
      <c r="D75" s="73"/>
      <c r="E75" s="176"/>
      <c r="F75" s="176"/>
      <c r="G75" s="552"/>
      <c r="H75" s="73"/>
      <c r="I75" s="73"/>
    </row>
    <row r="76" spans="1:9" ht="16.5" customHeight="1">
      <c r="A76" s="73"/>
      <c r="B76" s="73"/>
      <c r="C76" s="73"/>
      <c r="D76" s="73"/>
      <c r="E76" s="176"/>
      <c r="F76" s="176"/>
      <c r="G76" s="552"/>
      <c r="H76" s="73"/>
      <c r="I76" s="73"/>
    </row>
    <row r="77" spans="1:9" ht="16.5" customHeight="1">
      <c r="A77" s="73"/>
      <c r="B77" s="73"/>
      <c r="C77" s="73"/>
      <c r="D77" s="73"/>
      <c r="E77" s="176"/>
      <c r="F77" s="176"/>
      <c r="G77" s="552"/>
      <c r="H77" s="73"/>
      <c r="I77" s="73"/>
    </row>
    <row r="78" spans="1:9" ht="16.5" customHeight="1">
      <c r="A78" s="73"/>
      <c r="B78" s="73"/>
      <c r="C78" s="73"/>
      <c r="D78" s="73"/>
      <c r="E78" s="176"/>
      <c r="F78" s="176"/>
      <c r="G78" s="552"/>
      <c r="H78" s="73"/>
      <c r="I78" s="73"/>
    </row>
    <row r="79" spans="1:9" ht="16.5" customHeight="1">
      <c r="A79" s="73"/>
      <c r="B79" s="73"/>
      <c r="C79" s="73"/>
      <c r="D79" s="73"/>
      <c r="E79" s="176"/>
      <c r="F79" s="176"/>
      <c r="G79" s="552"/>
      <c r="H79" s="73"/>
      <c r="I79" s="73"/>
    </row>
    <row r="80" spans="1:9" ht="16.5" customHeight="1">
      <c r="A80" s="73"/>
      <c r="B80" s="73"/>
      <c r="C80" s="73"/>
      <c r="D80" s="73"/>
      <c r="E80" s="176"/>
      <c r="F80" s="176"/>
      <c r="G80" s="552"/>
      <c r="H80" s="73"/>
      <c r="I80" s="73"/>
    </row>
    <row r="81" spans="1:9" ht="16.5" customHeight="1">
      <c r="A81" s="73"/>
      <c r="B81" s="73"/>
      <c r="C81" s="73"/>
      <c r="D81" s="73"/>
      <c r="E81" s="176"/>
      <c r="F81" s="176"/>
      <c r="G81" s="552"/>
      <c r="H81" s="73"/>
      <c r="I81" s="73"/>
    </row>
    <row r="82" spans="1:9" ht="16.5" customHeight="1">
      <c r="A82" s="73"/>
      <c r="B82" s="73"/>
      <c r="C82" s="73"/>
      <c r="D82" s="73"/>
      <c r="E82" s="176"/>
      <c r="F82" s="176"/>
      <c r="G82" s="552"/>
      <c r="H82" s="73"/>
      <c r="I82" s="73"/>
    </row>
    <row r="83" spans="1:9" ht="16.5" customHeight="1">
      <c r="A83" s="73"/>
      <c r="B83" s="73"/>
      <c r="C83" s="73"/>
      <c r="D83" s="73"/>
      <c r="E83" s="176"/>
      <c r="F83" s="176"/>
      <c r="G83" s="552"/>
      <c r="H83" s="73"/>
      <c r="I83" s="73"/>
    </row>
    <row r="84" spans="1:9" ht="16.5" customHeight="1">
      <c r="A84" s="73"/>
      <c r="B84" s="73"/>
      <c r="C84" s="73"/>
      <c r="D84" s="73"/>
      <c r="E84" s="176"/>
      <c r="F84" s="176"/>
      <c r="G84" s="552"/>
      <c r="H84" s="73"/>
      <c r="I84" s="73"/>
    </row>
    <row r="85" spans="1:9" ht="16.5" customHeight="1">
      <c r="A85" s="73"/>
      <c r="B85" s="73"/>
      <c r="C85" s="73"/>
      <c r="D85" s="73"/>
      <c r="E85" s="176"/>
      <c r="F85" s="176"/>
      <c r="G85" s="552"/>
      <c r="H85" s="73"/>
      <c r="I85" s="73"/>
    </row>
    <row r="86" spans="1:9" ht="16.5" customHeight="1">
      <c r="A86" s="73"/>
      <c r="B86" s="73"/>
      <c r="C86" s="73"/>
      <c r="D86" s="73"/>
      <c r="E86" s="176"/>
      <c r="F86" s="176"/>
      <c r="G86" s="552"/>
      <c r="H86" s="73"/>
      <c r="I86" s="73"/>
    </row>
    <row r="87" spans="1:9" ht="16.5" customHeight="1">
      <c r="A87" s="73"/>
      <c r="B87" s="73"/>
      <c r="C87" s="73"/>
      <c r="D87" s="73"/>
      <c r="E87" s="176"/>
      <c r="F87" s="176"/>
      <c r="G87" s="552"/>
      <c r="H87" s="73"/>
      <c r="I87" s="73"/>
    </row>
    <row r="88" spans="1:9" ht="16.5" customHeight="1">
      <c r="A88" s="73"/>
      <c r="B88" s="73"/>
      <c r="C88" s="73"/>
      <c r="D88" s="73"/>
      <c r="E88" s="176"/>
      <c r="F88" s="176"/>
      <c r="G88" s="552"/>
      <c r="H88" s="73"/>
      <c r="I88" s="73"/>
    </row>
    <row r="89" spans="1:9" ht="16.5" customHeight="1">
      <c r="A89" s="73"/>
      <c r="B89" s="73"/>
      <c r="C89" s="73"/>
      <c r="D89" s="73"/>
      <c r="E89" s="176"/>
      <c r="F89" s="176"/>
      <c r="G89" s="552"/>
      <c r="H89" s="73"/>
      <c r="I89" s="73"/>
    </row>
    <row r="90" spans="1:9" ht="16.5" customHeight="1">
      <c r="A90" s="73"/>
      <c r="B90" s="73"/>
      <c r="C90" s="73"/>
      <c r="D90" s="73"/>
      <c r="E90" s="176"/>
      <c r="F90" s="176"/>
      <c r="G90" s="552"/>
      <c r="H90" s="73"/>
      <c r="I90" s="73"/>
    </row>
    <row r="91" spans="1:9" ht="16.5" customHeight="1">
      <c r="A91" s="73"/>
      <c r="B91" s="73"/>
      <c r="C91" s="73"/>
      <c r="D91" s="73"/>
      <c r="E91" s="176"/>
      <c r="F91" s="176"/>
      <c r="G91" s="552"/>
      <c r="H91" s="73"/>
      <c r="I91" s="73"/>
    </row>
    <row r="92" spans="1:9" ht="16.5" customHeight="1">
      <c r="A92" s="73"/>
      <c r="B92" s="73"/>
      <c r="C92" s="73"/>
      <c r="D92" s="73"/>
      <c r="E92" s="176"/>
      <c r="F92" s="176"/>
      <c r="G92" s="552"/>
      <c r="H92" s="73"/>
      <c r="I92" s="73"/>
    </row>
    <row r="93" spans="1:9" ht="16.5" customHeight="1">
      <c r="A93" s="73"/>
      <c r="B93" s="73"/>
      <c r="C93" s="73"/>
      <c r="D93" s="73"/>
      <c r="E93" s="176"/>
      <c r="F93" s="176"/>
      <c r="G93" s="552"/>
      <c r="H93" s="73"/>
      <c r="I93" s="73"/>
    </row>
    <row r="94" spans="1:9" ht="16.5" customHeight="1">
      <c r="A94" s="73"/>
      <c r="B94" s="73"/>
      <c r="C94" s="73"/>
      <c r="D94" s="73"/>
      <c r="E94" s="176"/>
      <c r="F94" s="176"/>
      <c r="G94" s="552"/>
      <c r="H94" s="73"/>
      <c r="I94" s="73"/>
    </row>
    <row r="95" spans="1:9" ht="16.5" customHeight="1">
      <c r="A95" s="73"/>
      <c r="B95" s="73"/>
      <c r="C95" s="73"/>
      <c r="D95" s="73"/>
      <c r="E95" s="176"/>
      <c r="F95" s="176"/>
      <c r="G95" s="552"/>
      <c r="H95" s="73"/>
      <c r="I95" s="73"/>
    </row>
    <row r="96" spans="1:9" ht="16.5" customHeight="1">
      <c r="A96" s="73"/>
      <c r="B96" s="73"/>
      <c r="C96" s="73"/>
      <c r="D96" s="73"/>
      <c r="E96" s="176"/>
      <c r="F96" s="176"/>
      <c r="G96" s="552"/>
      <c r="H96" s="73"/>
      <c r="I96" s="73"/>
    </row>
    <row r="97" spans="1:9" ht="16.5" customHeight="1">
      <c r="A97" s="73"/>
      <c r="B97" s="73"/>
      <c r="C97" s="73"/>
      <c r="D97" s="73"/>
      <c r="E97" s="176"/>
      <c r="F97" s="176"/>
      <c r="G97" s="552"/>
      <c r="H97" s="73"/>
      <c r="I97" s="73"/>
    </row>
    <row r="98" spans="1:9" ht="16.5" customHeight="1">
      <c r="A98" s="73"/>
      <c r="B98" s="73"/>
      <c r="C98" s="73"/>
      <c r="D98" s="73"/>
      <c r="E98" s="176"/>
      <c r="F98" s="176"/>
      <c r="G98" s="552"/>
      <c r="H98" s="73"/>
      <c r="I98" s="73"/>
    </row>
    <row r="99" spans="1:9" ht="16.5" customHeight="1">
      <c r="A99" s="73"/>
      <c r="B99" s="73"/>
      <c r="C99" s="73"/>
      <c r="D99" s="73"/>
      <c r="E99" s="176"/>
      <c r="F99" s="176"/>
      <c r="G99" s="552"/>
      <c r="H99" s="73"/>
      <c r="I99" s="73"/>
    </row>
    <row r="100" spans="1:9" ht="16.5" customHeight="1">
      <c r="A100" s="73"/>
      <c r="B100" s="73"/>
      <c r="C100" s="73"/>
      <c r="D100" s="73"/>
      <c r="E100" s="176"/>
      <c r="F100" s="176"/>
      <c r="G100" s="552"/>
      <c r="H100" s="73"/>
      <c r="I100" s="73"/>
    </row>
    <row r="101" spans="1:9" ht="16.5" customHeight="1">
      <c r="A101" s="73"/>
      <c r="B101" s="73"/>
      <c r="C101" s="73"/>
      <c r="D101" s="73"/>
      <c r="E101" s="176"/>
      <c r="F101" s="176"/>
      <c r="G101" s="552"/>
      <c r="H101" s="73"/>
      <c r="I101" s="73"/>
    </row>
    <row r="102" spans="1:9" ht="16.5" customHeight="1">
      <c r="A102" s="73"/>
      <c r="B102" s="73"/>
      <c r="C102" s="73"/>
      <c r="D102" s="73"/>
      <c r="E102" s="176"/>
      <c r="F102" s="176"/>
      <c r="G102" s="552"/>
      <c r="H102" s="73"/>
      <c r="I102" s="73"/>
    </row>
    <row r="103" spans="1:9" ht="16.5" customHeight="1">
      <c r="A103" s="73"/>
      <c r="B103" s="73"/>
      <c r="C103" s="73"/>
      <c r="D103" s="73"/>
      <c r="E103" s="176"/>
      <c r="F103" s="176"/>
      <c r="G103" s="552"/>
      <c r="H103" s="73"/>
      <c r="I103" s="73"/>
    </row>
    <row r="104" spans="1:9" ht="16.5" customHeight="1">
      <c r="A104" s="73"/>
      <c r="B104" s="73"/>
      <c r="C104" s="73"/>
      <c r="D104" s="73"/>
      <c r="E104" s="176"/>
      <c r="F104" s="176"/>
      <c r="G104" s="552"/>
      <c r="H104" s="73"/>
      <c r="I104" s="73"/>
    </row>
    <row r="105" spans="1:9" ht="16.5" customHeight="1">
      <c r="A105" s="73"/>
      <c r="B105" s="73"/>
      <c r="C105" s="73"/>
      <c r="D105" s="73"/>
      <c r="E105" s="176"/>
      <c r="F105" s="176"/>
      <c r="G105" s="552"/>
      <c r="H105" s="73"/>
      <c r="I105" s="73"/>
    </row>
    <row r="106" spans="1:9" ht="16.5" customHeight="1">
      <c r="A106" s="73"/>
      <c r="B106" s="73"/>
      <c r="C106" s="73"/>
      <c r="D106" s="73"/>
      <c r="E106" s="176"/>
      <c r="F106" s="176"/>
      <c r="G106" s="552"/>
      <c r="H106" s="73"/>
      <c r="I106" s="73"/>
    </row>
    <row r="107" spans="1:9" ht="16.5" customHeight="1">
      <c r="A107" s="73"/>
      <c r="B107" s="73"/>
      <c r="C107" s="73"/>
      <c r="D107" s="73"/>
      <c r="E107" s="176"/>
      <c r="F107" s="176"/>
      <c r="G107" s="552"/>
      <c r="H107" s="73"/>
      <c r="I107" s="73"/>
    </row>
    <row r="108" spans="1:9" ht="16.5" customHeight="1">
      <c r="A108" s="73"/>
      <c r="B108" s="73"/>
      <c r="C108" s="73"/>
      <c r="D108" s="73"/>
      <c r="E108" s="176"/>
      <c r="F108" s="176"/>
      <c r="G108" s="552"/>
      <c r="H108" s="73"/>
      <c r="I108" s="73"/>
    </row>
    <row r="109" spans="1:9" ht="16.5" customHeight="1">
      <c r="A109" s="73"/>
      <c r="B109" s="73"/>
      <c r="C109" s="73"/>
      <c r="D109" s="73"/>
      <c r="E109" s="176"/>
      <c r="F109" s="176"/>
      <c r="G109" s="552"/>
      <c r="H109" s="73"/>
      <c r="I109" s="73"/>
    </row>
    <row r="110" spans="1:9" ht="16.5" customHeight="1">
      <c r="A110" s="73"/>
      <c r="B110" s="73"/>
      <c r="C110" s="73"/>
      <c r="D110" s="73"/>
      <c r="E110" s="176"/>
      <c r="F110" s="176"/>
      <c r="G110" s="552"/>
      <c r="H110" s="73"/>
      <c r="I110" s="73"/>
    </row>
    <row r="111" spans="1:9" ht="16.5" customHeight="1">
      <c r="A111" s="73"/>
      <c r="B111" s="73"/>
      <c r="C111" s="73"/>
      <c r="D111" s="73"/>
      <c r="E111" s="176"/>
      <c r="F111" s="176"/>
      <c r="G111" s="552"/>
      <c r="H111" s="73"/>
      <c r="I111" s="73"/>
    </row>
    <row r="112" spans="1:9" ht="16.5" customHeight="1">
      <c r="A112" s="73"/>
      <c r="B112" s="73"/>
      <c r="C112" s="73"/>
      <c r="D112" s="73"/>
      <c r="E112" s="176"/>
      <c r="F112" s="176"/>
      <c r="G112" s="552"/>
      <c r="H112" s="73"/>
      <c r="I112" s="73"/>
    </row>
    <row r="113" spans="1:9" ht="16.5" customHeight="1">
      <c r="A113" s="73"/>
      <c r="B113" s="73"/>
      <c r="C113" s="73"/>
      <c r="D113" s="73"/>
      <c r="E113" s="176"/>
      <c r="F113" s="176"/>
      <c r="G113" s="552"/>
      <c r="H113" s="73"/>
      <c r="I113" s="73"/>
    </row>
    <row r="114" spans="1:9" ht="16.5" customHeight="1">
      <c r="A114" s="73"/>
      <c r="B114" s="73"/>
      <c r="C114" s="73"/>
      <c r="D114" s="73"/>
      <c r="E114" s="176"/>
      <c r="F114" s="176"/>
      <c r="G114" s="552"/>
      <c r="H114" s="73"/>
      <c r="I114" s="73"/>
    </row>
    <row r="115" spans="1:9" ht="16.5" customHeight="1">
      <c r="A115" s="73"/>
      <c r="B115" s="73"/>
      <c r="C115" s="73"/>
      <c r="D115" s="73"/>
      <c r="E115" s="176"/>
      <c r="F115" s="176"/>
      <c r="G115" s="552"/>
      <c r="H115" s="73"/>
      <c r="I115" s="73"/>
    </row>
    <row r="116" spans="1:9" ht="16.5" customHeight="1">
      <c r="A116" s="73"/>
      <c r="B116" s="73"/>
      <c r="C116" s="73"/>
      <c r="D116" s="73"/>
      <c r="E116" s="176"/>
      <c r="F116" s="176"/>
      <c r="G116" s="552"/>
      <c r="H116" s="73"/>
      <c r="I116" s="73"/>
    </row>
    <row r="117" spans="1:9" ht="16.5" customHeight="1">
      <c r="A117" s="73"/>
      <c r="B117" s="73"/>
      <c r="C117" s="73"/>
      <c r="D117" s="73"/>
      <c r="E117" s="176"/>
      <c r="F117" s="176"/>
      <c r="G117" s="552"/>
      <c r="H117" s="73"/>
      <c r="I117" s="73"/>
    </row>
    <row r="118" spans="1:9" ht="16.5" customHeight="1">
      <c r="A118" s="73"/>
      <c r="B118" s="73"/>
      <c r="C118" s="73"/>
      <c r="D118" s="73"/>
      <c r="E118" s="176"/>
      <c r="F118" s="176"/>
      <c r="G118" s="552"/>
      <c r="H118" s="73"/>
      <c r="I118" s="73"/>
    </row>
    <row r="119" spans="1:9" ht="16.5" customHeight="1">
      <c r="A119" s="73"/>
      <c r="B119" s="73"/>
      <c r="C119" s="73"/>
      <c r="D119" s="73"/>
      <c r="E119" s="176"/>
      <c r="F119" s="176"/>
      <c r="G119" s="552"/>
      <c r="H119" s="73"/>
      <c r="I119" s="73"/>
    </row>
    <row r="120" spans="1:9" ht="16.5" customHeight="1">
      <c r="A120" s="73"/>
      <c r="B120" s="73"/>
      <c r="C120" s="73"/>
      <c r="D120" s="73"/>
      <c r="E120" s="176"/>
      <c r="F120" s="176"/>
      <c r="G120" s="552"/>
      <c r="H120" s="73"/>
      <c r="I120" s="73"/>
    </row>
    <row r="121" spans="1:9" ht="16.5" customHeight="1">
      <c r="A121" s="73"/>
      <c r="B121" s="73"/>
      <c r="C121" s="73"/>
      <c r="D121" s="73"/>
      <c r="E121" s="176"/>
      <c r="F121" s="176"/>
      <c r="G121" s="552"/>
      <c r="H121" s="73"/>
      <c r="I121" s="73"/>
    </row>
    <row r="122" spans="1:9" ht="16.5" customHeight="1">
      <c r="A122" s="73"/>
      <c r="B122" s="73"/>
      <c r="C122" s="73"/>
      <c r="D122" s="73"/>
      <c r="E122" s="176"/>
      <c r="F122" s="176"/>
      <c r="G122" s="552"/>
      <c r="H122" s="73"/>
      <c r="I122" s="73"/>
    </row>
    <row r="123" spans="1:9" ht="16.5" customHeight="1">
      <c r="A123" s="73"/>
      <c r="B123" s="73"/>
      <c r="C123" s="73"/>
      <c r="D123" s="73"/>
      <c r="E123" s="176"/>
      <c r="F123" s="176"/>
      <c r="G123" s="552"/>
      <c r="H123" s="73"/>
      <c r="I123" s="73"/>
    </row>
    <row r="124" spans="1:9" ht="16.5" customHeight="1">
      <c r="A124" s="73"/>
      <c r="B124" s="73"/>
      <c r="C124" s="73"/>
      <c r="D124" s="73"/>
      <c r="E124" s="176"/>
      <c r="F124" s="176"/>
      <c r="G124" s="552"/>
      <c r="H124" s="73"/>
      <c r="I124" s="73"/>
    </row>
    <row r="125" spans="1:9" ht="16.5" customHeight="1">
      <c r="A125" s="73"/>
      <c r="B125" s="73"/>
      <c r="C125" s="73"/>
      <c r="D125" s="73"/>
      <c r="E125" s="176"/>
      <c r="F125" s="176"/>
      <c r="G125" s="552"/>
      <c r="H125" s="73"/>
      <c r="I125" s="73"/>
    </row>
    <row r="126" spans="1:9" ht="16.5" customHeight="1">
      <c r="A126" s="73"/>
      <c r="B126" s="73"/>
      <c r="C126" s="73"/>
      <c r="D126" s="73"/>
      <c r="E126" s="176"/>
      <c r="F126" s="176"/>
      <c r="G126" s="552"/>
      <c r="H126" s="73"/>
      <c r="I126" s="73"/>
    </row>
    <row r="127" spans="1:9" ht="16.5" customHeight="1">
      <c r="A127" s="73"/>
      <c r="B127" s="73"/>
      <c r="C127" s="73"/>
      <c r="D127" s="73"/>
      <c r="E127" s="176"/>
      <c r="F127" s="176"/>
      <c r="G127" s="552"/>
      <c r="H127" s="73"/>
      <c r="I127" s="73"/>
    </row>
    <row r="128" spans="1:9" ht="16.5" customHeight="1">
      <c r="A128" s="73"/>
      <c r="B128" s="73"/>
      <c r="C128" s="73"/>
      <c r="D128" s="73"/>
      <c r="E128" s="176"/>
      <c r="F128" s="176"/>
      <c r="G128" s="552"/>
      <c r="H128" s="73"/>
      <c r="I128" s="73"/>
    </row>
    <row r="129" spans="1:9" ht="16.5" customHeight="1">
      <c r="A129" s="73"/>
      <c r="B129" s="73"/>
      <c r="C129" s="73"/>
      <c r="D129" s="73"/>
      <c r="E129" s="176"/>
      <c r="F129" s="176"/>
      <c r="G129" s="552"/>
      <c r="H129" s="73"/>
      <c r="I129" s="73"/>
    </row>
    <row r="130" spans="1:9" ht="16.5" customHeight="1">
      <c r="A130" s="73"/>
      <c r="B130" s="73"/>
      <c r="C130" s="73"/>
      <c r="D130" s="73"/>
      <c r="E130" s="176"/>
      <c r="F130" s="176"/>
      <c r="G130" s="552"/>
      <c r="H130" s="73"/>
      <c r="I130" s="73"/>
    </row>
    <row r="131" spans="1:9" ht="16.5" customHeight="1">
      <c r="A131" s="73"/>
      <c r="B131" s="73"/>
      <c r="C131" s="73"/>
      <c r="D131" s="73"/>
      <c r="E131" s="176"/>
      <c r="F131" s="176"/>
      <c r="G131" s="552"/>
      <c r="H131" s="73"/>
      <c r="I131" s="73"/>
    </row>
    <row r="132" spans="1:9" ht="16.5" customHeight="1">
      <c r="A132" s="73"/>
      <c r="B132" s="73"/>
      <c r="C132" s="73"/>
      <c r="D132" s="73"/>
      <c r="E132" s="176"/>
      <c r="F132" s="176"/>
      <c r="G132" s="552"/>
      <c r="H132" s="73"/>
      <c r="I132" s="73"/>
    </row>
    <row r="133" spans="1:9" ht="16.5" customHeight="1">
      <c r="A133" s="73"/>
      <c r="B133" s="73"/>
      <c r="C133" s="73"/>
      <c r="D133" s="73"/>
      <c r="E133" s="176"/>
      <c r="F133" s="176"/>
      <c r="G133" s="552"/>
      <c r="H133" s="73"/>
      <c r="I133" s="73"/>
    </row>
    <row r="134" spans="1:9" ht="16.5" customHeight="1">
      <c r="A134" s="73"/>
      <c r="B134" s="73"/>
      <c r="C134" s="73"/>
      <c r="D134" s="73"/>
      <c r="E134" s="176"/>
      <c r="F134" s="176"/>
      <c r="G134" s="552"/>
      <c r="H134" s="73"/>
      <c r="I134" s="73"/>
    </row>
    <row r="135" spans="1:9" ht="16.5" customHeight="1">
      <c r="A135" s="73"/>
      <c r="B135" s="73"/>
      <c r="C135" s="73"/>
      <c r="D135" s="73"/>
      <c r="E135" s="176"/>
      <c r="F135" s="176"/>
      <c r="G135" s="552"/>
      <c r="H135" s="73"/>
      <c r="I135" s="73"/>
    </row>
    <row r="136" spans="1:9" ht="16.5" customHeight="1">
      <c r="A136" s="73"/>
      <c r="B136" s="73"/>
      <c r="C136" s="73"/>
      <c r="D136" s="73"/>
      <c r="E136" s="176"/>
      <c r="F136" s="176"/>
      <c r="G136" s="552"/>
      <c r="H136" s="73"/>
      <c r="I136" s="73"/>
    </row>
    <row r="137" spans="1:9" ht="16.5" customHeight="1">
      <c r="A137" s="73"/>
      <c r="B137" s="73"/>
      <c r="C137" s="73"/>
      <c r="D137" s="73"/>
      <c r="E137" s="176"/>
      <c r="F137" s="176"/>
      <c r="G137" s="552"/>
      <c r="H137" s="73"/>
      <c r="I137" s="73"/>
    </row>
    <row r="138" spans="1:9" ht="16.5" customHeight="1">
      <c r="A138" s="73"/>
      <c r="B138" s="73"/>
      <c r="C138" s="73"/>
      <c r="D138" s="73"/>
      <c r="E138" s="176"/>
      <c r="F138" s="176"/>
      <c r="G138" s="552"/>
      <c r="H138" s="73"/>
      <c r="I138" s="73"/>
    </row>
    <row r="139" spans="1:9" ht="16.5" customHeight="1">
      <c r="A139" s="73"/>
      <c r="B139" s="73"/>
      <c r="C139" s="73"/>
      <c r="D139" s="73"/>
      <c r="E139" s="176"/>
      <c r="F139" s="176"/>
      <c r="G139" s="552"/>
      <c r="H139" s="73"/>
      <c r="I139" s="73"/>
    </row>
    <row r="140" spans="1:9" ht="16.5" customHeight="1">
      <c r="A140" s="73"/>
      <c r="B140" s="73"/>
      <c r="C140" s="73"/>
      <c r="D140" s="73"/>
      <c r="E140" s="176"/>
      <c r="F140" s="176"/>
      <c r="G140" s="552"/>
      <c r="H140" s="73"/>
      <c r="I140" s="73"/>
    </row>
    <row r="141" spans="1:9" ht="16.5" customHeight="1">
      <c r="A141" s="73"/>
      <c r="B141" s="73"/>
      <c r="C141" s="73"/>
      <c r="D141" s="73"/>
      <c r="E141" s="176"/>
      <c r="F141" s="176"/>
      <c r="G141" s="552"/>
      <c r="H141" s="73"/>
      <c r="I141" s="73"/>
    </row>
    <row r="142" spans="1:9" ht="16.5" customHeight="1">
      <c r="A142" s="73"/>
      <c r="B142" s="73"/>
      <c r="C142" s="73"/>
      <c r="D142" s="73"/>
      <c r="E142" s="176"/>
      <c r="F142" s="176"/>
      <c r="G142" s="552"/>
      <c r="H142" s="73"/>
      <c r="I142" s="73"/>
    </row>
    <row r="143" spans="1:9" ht="16.5" customHeight="1">
      <c r="A143" s="73"/>
      <c r="B143" s="73"/>
      <c r="C143" s="73"/>
      <c r="D143" s="73"/>
      <c r="E143" s="176"/>
      <c r="F143" s="176"/>
      <c r="G143" s="552"/>
      <c r="H143" s="73"/>
      <c r="I143" s="73"/>
    </row>
    <row r="144" spans="1:9" ht="16.5" customHeight="1">
      <c r="A144" s="73"/>
      <c r="B144" s="73"/>
      <c r="C144" s="73"/>
      <c r="D144" s="73"/>
      <c r="E144" s="176"/>
      <c r="F144" s="176"/>
      <c r="G144" s="552"/>
      <c r="H144" s="73"/>
      <c r="I144" s="73"/>
    </row>
    <row r="145" spans="1:9" ht="16.5" customHeight="1">
      <c r="A145" s="73"/>
      <c r="B145" s="73"/>
      <c r="C145" s="73"/>
      <c r="D145" s="73"/>
      <c r="E145" s="176"/>
      <c r="F145" s="176"/>
      <c r="G145" s="552"/>
      <c r="H145" s="73"/>
      <c r="I145" s="73"/>
    </row>
    <row r="146" spans="1:9" ht="16.5" customHeight="1">
      <c r="A146" s="73"/>
      <c r="B146" s="73"/>
      <c r="C146" s="73"/>
      <c r="D146" s="73"/>
      <c r="E146" s="176"/>
      <c r="F146" s="176"/>
      <c r="G146" s="552"/>
      <c r="H146" s="73"/>
      <c r="I146" s="73"/>
    </row>
    <row r="147" spans="1:9" ht="16.5" customHeight="1">
      <c r="A147" s="73"/>
      <c r="B147" s="73"/>
      <c r="C147" s="73"/>
      <c r="D147" s="73"/>
      <c r="E147" s="176"/>
      <c r="F147" s="176"/>
      <c r="G147" s="552"/>
      <c r="H147" s="73"/>
      <c r="I147" s="73"/>
    </row>
    <row r="148" spans="1:9" ht="16.5" customHeight="1">
      <c r="A148" s="73"/>
      <c r="B148" s="73"/>
      <c r="C148" s="73"/>
      <c r="D148" s="73"/>
      <c r="E148" s="176"/>
      <c r="F148" s="176"/>
      <c r="G148" s="552"/>
      <c r="H148" s="73"/>
      <c r="I148" s="73"/>
    </row>
    <row r="149" spans="1:9" ht="16.5" customHeight="1">
      <c r="A149" s="73"/>
      <c r="B149" s="73"/>
      <c r="C149" s="73"/>
      <c r="D149" s="73"/>
      <c r="E149" s="176"/>
      <c r="F149" s="176"/>
      <c r="G149" s="552"/>
      <c r="H149" s="73"/>
      <c r="I149" s="73"/>
    </row>
    <row r="150" spans="1:9" ht="16.5" customHeight="1">
      <c r="A150" s="73"/>
      <c r="B150" s="73"/>
      <c r="C150" s="73"/>
      <c r="D150" s="73"/>
      <c r="E150" s="176"/>
      <c r="F150" s="176"/>
      <c r="G150" s="552"/>
      <c r="H150" s="73"/>
      <c r="I150" s="73"/>
    </row>
    <row r="151" spans="1:9" ht="16.5" customHeight="1">
      <c r="A151" s="73"/>
      <c r="B151" s="73"/>
      <c r="C151" s="73"/>
      <c r="D151" s="73"/>
      <c r="E151" s="176"/>
      <c r="F151" s="176"/>
      <c r="G151" s="552"/>
      <c r="H151" s="73"/>
      <c r="I151" s="73"/>
    </row>
    <row r="152" spans="1:9" ht="16.5" customHeight="1">
      <c r="A152" s="73"/>
      <c r="B152" s="73"/>
      <c r="C152" s="73"/>
      <c r="D152" s="73"/>
      <c r="E152" s="176"/>
      <c r="F152" s="176"/>
      <c r="G152" s="552"/>
      <c r="H152" s="73"/>
      <c r="I152" s="73"/>
    </row>
    <row r="153" spans="1:9" ht="16.5" customHeight="1">
      <c r="A153" s="73"/>
      <c r="B153" s="73"/>
      <c r="C153" s="73"/>
      <c r="D153" s="73"/>
      <c r="E153" s="176"/>
      <c r="F153" s="176"/>
      <c r="G153" s="552"/>
      <c r="H153" s="73"/>
      <c r="I153" s="73"/>
    </row>
    <row r="154" spans="1:9" ht="16.5" customHeight="1">
      <c r="A154" s="73"/>
      <c r="B154" s="73"/>
      <c r="C154" s="73"/>
      <c r="D154" s="73"/>
      <c r="E154" s="176"/>
      <c r="F154" s="176"/>
      <c r="G154" s="552"/>
      <c r="H154" s="73"/>
      <c r="I154" s="73"/>
    </row>
    <row r="155" spans="1:9" ht="16.5" customHeight="1">
      <c r="A155" s="73"/>
      <c r="B155" s="73"/>
      <c r="C155" s="73"/>
      <c r="D155" s="73"/>
      <c r="E155" s="176"/>
      <c r="F155" s="176"/>
      <c r="G155" s="552"/>
      <c r="H155" s="73"/>
      <c r="I155" s="73"/>
    </row>
    <row r="156" spans="1:9" ht="16.5" customHeight="1">
      <c r="A156" s="73"/>
      <c r="B156" s="73"/>
      <c r="C156" s="73"/>
      <c r="D156" s="73"/>
      <c r="E156" s="176"/>
      <c r="F156" s="176"/>
      <c r="G156" s="552"/>
      <c r="H156" s="73"/>
      <c r="I156" s="73"/>
    </row>
    <row r="157" spans="1:9" ht="16.5" customHeight="1">
      <c r="A157" s="73"/>
      <c r="B157" s="73"/>
      <c r="C157" s="73"/>
      <c r="D157" s="73"/>
      <c r="E157" s="176"/>
      <c r="F157" s="176"/>
      <c r="G157" s="552"/>
      <c r="H157" s="73"/>
      <c r="I157" s="73"/>
    </row>
    <row r="158" spans="1:9" ht="16.5" customHeight="1">
      <c r="A158" s="73"/>
      <c r="B158" s="73"/>
      <c r="C158" s="73"/>
      <c r="D158" s="73"/>
      <c r="E158" s="176"/>
      <c r="F158" s="176"/>
      <c r="G158" s="552"/>
      <c r="H158" s="73"/>
      <c r="I158" s="73"/>
    </row>
    <row r="159" spans="1:9" ht="16.5" customHeight="1">
      <c r="A159" s="73"/>
      <c r="B159" s="73"/>
      <c r="C159" s="73"/>
      <c r="D159" s="73"/>
      <c r="E159" s="176"/>
      <c r="F159" s="176"/>
      <c r="G159" s="552"/>
      <c r="H159" s="73"/>
      <c r="I159" s="73"/>
    </row>
    <row r="160" spans="1:9" ht="16.5" customHeight="1">
      <c r="A160" s="73"/>
      <c r="B160" s="73"/>
      <c r="C160" s="73"/>
      <c r="D160" s="73"/>
      <c r="E160" s="176"/>
      <c r="F160" s="176"/>
      <c r="G160" s="552"/>
      <c r="H160" s="73"/>
      <c r="I160" s="73"/>
    </row>
    <row r="161" spans="1:9" ht="16.5" customHeight="1">
      <c r="A161" s="73"/>
      <c r="B161" s="73"/>
      <c r="C161" s="73"/>
      <c r="D161" s="73"/>
      <c r="E161" s="176"/>
      <c r="F161" s="176"/>
      <c r="G161" s="552"/>
      <c r="H161" s="73"/>
      <c r="I161" s="73"/>
    </row>
    <row r="162" spans="1:9" ht="16.5" customHeight="1">
      <c r="A162" s="73"/>
      <c r="B162" s="73"/>
      <c r="C162" s="73"/>
      <c r="D162" s="73"/>
      <c r="E162" s="176"/>
      <c r="F162" s="176"/>
      <c r="G162" s="552"/>
      <c r="H162" s="73"/>
      <c r="I162" s="73"/>
    </row>
    <row r="163" spans="1:9" ht="16.5" customHeight="1">
      <c r="A163" s="73"/>
      <c r="B163" s="73"/>
      <c r="C163" s="73"/>
      <c r="D163" s="73"/>
      <c r="E163" s="176"/>
      <c r="F163" s="176"/>
      <c r="G163" s="552"/>
      <c r="H163" s="73"/>
      <c r="I163" s="73"/>
    </row>
    <row r="164" spans="1:9" ht="16.5" customHeight="1">
      <c r="A164" s="73"/>
      <c r="B164" s="73"/>
      <c r="C164" s="73"/>
      <c r="D164" s="73"/>
      <c r="E164" s="176"/>
      <c r="F164" s="176"/>
      <c r="G164" s="552"/>
      <c r="H164" s="73"/>
      <c r="I164" s="73"/>
    </row>
    <row r="165" spans="1:9" ht="16.5" customHeight="1">
      <c r="A165" s="73"/>
      <c r="B165" s="73"/>
      <c r="C165" s="73"/>
      <c r="D165" s="73"/>
      <c r="E165" s="176"/>
      <c r="F165" s="176"/>
      <c r="G165" s="552"/>
      <c r="H165" s="73"/>
      <c r="I165" s="73"/>
    </row>
    <row r="166" spans="1:9" ht="16.5" customHeight="1">
      <c r="A166" s="73"/>
      <c r="B166" s="73"/>
      <c r="C166" s="73"/>
      <c r="D166" s="73"/>
      <c r="E166" s="176"/>
      <c r="F166" s="176"/>
      <c r="G166" s="552"/>
      <c r="H166" s="73"/>
      <c r="I166" s="73"/>
    </row>
    <row r="167" spans="1:9" ht="16.5" customHeight="1">
      <c r="A167" s="73"/>
      <c r="B167" s="73"/>
      <c r="C167" s="73"/>
      <c r="D167" s="73"/>
      <c r="E167" s="176"/>
      <c r="F167" s="176"/>
      <c r="G167" s="552"/>
      <c r="H167" s="73"/>
      <c r="I167" s="73"/>
    </row>
    <row r="168" spans="1:9" ht="16.5" customHeight="1">
      <c r="A168" s="73"/>
      <c r="B168" s="73"/>
      <c r="C168" s="73"/>
      <c r="D168" s="73"/>
      <c r="E168" s="176"/>
      <c r="F168" s="176"/>
      <c r="G168" s="552"/>
      <c r="H168" s="73"/>
      <c r="I168" s="73"/>
    </row>
    <row r="169" spans="1:9" ht="16.5" customHeight="1">
      <c r="A169" s="73"/>
      <c r="B169" s="73"/>
      <c r="C169" s="73"/>
      <c r="D169" s="73"/>
      <c r="E169" s="176"/>
      <c r="F169" s="176"/>
      <c r="G169" s="552"/>
      <c r="H169" s="73"/>
      <c r="I169" s="73"/>
    </row>
    <row r="170" spans="1:9" ht="16.5" customHeight="1">
      <c r="A170" s="73"/>
      <c r="B170" s="73"/>
      <c r="C170" s="73"/>
      <c r="D170" s="73"/>
      <c r="E170" s="176"/>
      <c r="F170" s="176"/>
      <c r="G170" s="552"/>
      <c r="H170" s="73"/>
      <c r="I170" s="73"/>
    </row>
    <row r="171" spans="1:9" ht="16.5" customHeight="1">
      <c r="A171" s="73"/>
      <c r="B171" s="73"/>
      <c r="C171" s="73"/>
      <c r="D171" s="73"/>
      <c r="E171" s="176"/>
      <c r="F171" s="176"/>
      <c r="G171" s="552"/>
      <c r="H171" s="73"/>
      <c r="I171" s="73"/>
    </row>
    <row r="172" spans="1:9" ht="16.5" customHeight="1">
      <c r="A172" s="73"/>
      <c r="B172" s="73"/>
      <c r="C172" s="73"/>
      <c r="D172" s="73"/>
      <c r="E172" s="176"/>
      <c r="F172" s="176"/>
      <c r="G172" s="552"/>
      <c r="H172" s="73"/>
      <c r="I172" s="73"/>
    </row>
    <row r="173" spans="1:9" ht="16.5" customHeight="1">
      <c r="A173" s="73"/>
      <c r="B173" s="73"/>
      <c r="C173" s="73"/>
      <c r="D173" s="73"/>
      <c r="E173" s="176"/>
      <c r="F173" s="176"/>
      <c r="G173" s="552"/>
      <c r="H173" s="73"/>
      <c r="I173" s="73"/>
    </row>
    <row r="174" spans="1:9" ht="16.5" customHeight="1">
      <c r="A174" s="73"/>
      <c r="B174" s="73"/>
      <c r="C174" s="73"/>
      <c r="D174" s="73"/>
      <c r="E174" s="176"/>
      <c r="F174" s="176"/>
      <c r="G174" s="552"/>
      <c r="H174" s="73"/>
      <c r="I174" s="73"/>
    </row>
    <row r="175" spans="1:9" ht="16.5" customHeight="1">
      <c r="A175" s="73"/>
      <c r="B175" s="73"/>
      <c r="C175" s="73"/>
      <c r="D175" s="73"/>
      <c r="E175" s="176"/>
      <c r="F175" s="176"/>
      <c r="G175" s="552"/>
      <c r="H175" s="73"/>
      <c r="I175" s="73"/>
    </row>
    <row r="176" spans="1:9" ht="16.5" customHeight="1">
      <c r="A176" s="73"/>
      <c r="B176" s="73"/>
      <c r="C176" s="73"/>
      <c r="D176" s="73"/>
      <c r="E176" s="176"/>
      <c r="F176" s="176"/>
      <c r="G176" s="552"/>
      <c r="H176" s="73"/>
      <c r="I176" s="73"/>
    </row>
    <row r="177" spans="1:9" ht="16.5" customHeight="1">
      <c r="A177" s="73"/>
      <c r="B177" s="73"/>
      <c r="C177" s="73"/>
      <c r="D177" s="73"/>
      <c r="E177" s="176"/>
      <c r="F177" s="176"/>
      <c r="G177" s="552"/>
      <c r="H177" s="73"/>
      <c r="I177" s="73"/>
    </row>
    <row r="178" spans="1:9" ht="16.5" customHeight="1">
      <c r="A178" s="73"/>
      <c r="B178" s="73"/>
      <c r="C178" s="73"/>
      <c r="D178" s="73"/>
      <c r="E178" s="176"/>
      <c r="F178" s="176"/>
      <c r="G178" s="552"/>
      <c r="H178" s="73"/>
      <c r="I178" s="73"/>
    </row>
    <row r="179" spans="1:9" ht="16.5" customHeight="1">
      <c r="A179" s="73"/>
      <c r="B179" s="73"/>
      <c r="C179" s="73"/>
      <c r="D179" s="73"/>
      <c r="E179" s="176"/>
      <c r="F179" s="176"/>
      <c r="G179" s="552"/>
      <c r="H179" s="73"/>
      <c r="I179" s="73"/>
    </row>
    <row r="180" spans="1:9" ht="16.5" customHeight="1">
      <c r="A180" s="73"/>
      <c r="B180" s="73"/>
      <c r="C180" s="73"/>
      <c r="D180" s="73"/>
      <c r="E180" s="176"/>
      <c r="F180" s="176"/>
      <c r="G180" s="552"/>
      <c r="H180" s="73"/>
      <c r="I180" s="73"/>
    </row>
    <row r="181" spans="1:9" ht="16.5" customHeight="1">
      <c r="A181" s="73"/>
      <c r="B181" s="73"/>
      <c r="C181" s="73"/>
      <c r="D181" s="73"/>
      <c r="E181" s="176"/>
      <c r="F181" s="176"/>
      <c r="G181" s="552"/>
      <c r="H181" s="73"/>
      <c r="I181" s="73"/>
    </row>
    <row r="182" spans="1:9" ht="16.5" customHeight="1">
      <c r="A182" s="73"/>
      <c r="B182" s="73"/>
      <c r="C182" s="73"/>
      <c r="D182" s="73"/>
      <c r="E182" s="176"/>
      <c r="F182" s="176"/>
      <c r="G182" s="552"/>
      <c r="H182" s="73"/>
      <c r="I182" s="73"/>
    </row>
    <row r="183" spans="1:9" ht="16.5" customHeight="1">
      <c r="A183" s="73"/>
      <c r="B183" s="73"/>
      <c r="C183" s="73"/>
      <c r="D183" s="73"/>
      <c r="E183" s="176"/>
      <c r="F183" s="176"/>
      <c r="G183" s="552"/>
      <c r="H183" s="73"/>
      <c r="I183" s="73"/>
    </row>
    <row r="184" spans="1:9" ht="16.5" customHeight="1">
      <c r="A184" s="73"/>
      <c r="B184" s="73"/>
      <c r="C184" s="73"/>
      <c r="D184" s="73"/>
      <c r="E184" s="176"/>
      <c r="F184" s="176"/>
      <c r="G184" s="552"/>
      <c r="H184" s="73"/>
      <c r="I184" s="73"/>
    </row>
    <row r="185" spans="1:9" ht="16.5" customHeight="1">
      <c r="A185" s="73"/>
      <c r="B185" s="73"/>
      <c r="C185" s="73"/>
      <c r="D185" s="73"/>
      <c r="E185" s="176"/>
      <c r="F185" s="176"/>
      <c r="G185" s="552"/>
      <c r="H185" s="73"/>
      <c r="I185" s="73"/>
    </row>
    <row r="186" spans="1:9" ht="16.5" customHeight="1">
      <c r="A186" s="73"/>
      <c r="B186" s="73"/>
      <c r="C186" s="73"/>
      <c r="D186" s="73"/>
      <c r="E186" s="176"/>
      <c r="F186" s="176"/>
      <c r="G186" s="552"/>
      <c r="H186" s="73"/>
      <c r="I186" s="73"/>
    </row>
    <row r="187" spans="1:9" ht="16.5" customHeight="1">
      <c r="A187" s="73"/>
      <c r="B187" s="73"/>
      <c r="C187" s="73"/>
      <c r="D187" s="73"/>
      <c r="E187" s="176"/>
      <c r="F187" s="176"/>
      <c r="G187" s="552"/>
      <c r="H187" s="73"/>
      <c r="I187" s="73"/>
    </row>
    <row r="188" spans="1:9" ht="16.5" customHeight="1">
      <c r="A188" s="73"/>
      <c r="B188" s="73"/>
      <c r="C188" s="73"/>
      <c r="D188" s="73"/>
      <c r="E188" s="176"/>
      <c r="F188" s="176"/>
      <c r="G188" s="552"/>
      <c r="H188" s="73"/>
      <c r="I188" s="73"/>
    </row>
    <row r="189" spans="1:9" ht="16.5" customHeight="1">
      <c r="A189" s="73"/>
      <c r="B189" s="73"/>
      <c r="C189" s="73"/>
      <c r="D189" s="73"/>
      <c r="E189" s="176"/>
      <c r="F189" s="176"/>
      <c r="G189" s="552"/>
      <c r="H189" s="73"/>
      <c r="I189" s="73"/>
    </row>
    <row r="190" spans="1:9" ht="16.5" customHeight="1">
      <c r="A190" s="73"/>
      <c r="B190" s="73"/>
      <c r="C190" s="73"/>
      <c r="D190" s="73"/>
      <c r="E190" s="176"/>
      <c r="F190" s="176"/>
      <c r="G190" s="552"/>
      <c r="H190" s="73"/>
      <c r="I190" s="73"/>
    </row>
    <row r="191" spans="1:9" ht="16.5" customHeight="1">
      <c r="A191" s="73"/>
      <c r="B191" s="73"/>
      <c r="C191" s="73"/>
      <c r="D191" s="73"/>
      <c r="E191" s="176"/>
      <c r="F191" s="176"/>
      <c r="G191" s="552"/>
      <c r="H191" s="73"/>
      <c r="I191" s="73"/>
    </row>
    <row r="192" spans="1:9" ht="16.5" customHeight="1">
      <c r="A192" s="73"/>
      <c r="B192" s="73"/>
      <c r="C192" s="73"/>
      <c r="D192" s="73"/>
      <c r="E192" s="176"/>
      <c r="F192" s="176"/>
      <c r="G192" s="552"/>
      <c r="H192" s="73"/>
      <c r="I192" s="73"/>
    </row>
    <row r="193" spans="1:9" ht="16.5" customHeight="1">
      <c r="A193" s="73"/>
      <c r="B193" s="73"/>
      <c r="C193" s="73"/>
      <c r="D193" s="73"/>
      <c r="E193" s="176"/>
      <c r="F193" s="176"/>
      <c r="G193" s="552"/>
      <c r="H193" s="73"/>
      <c r="I193" s="73"/>
    </row>
    <row r="194" spans="1:9" ht="16.5" customHeight="1">
      <c r="A194" s="73"/>
      <c r="B194" s="73"/>
      <c r="C194" s="73"/>
      <c r="D194" s="73"/>
      <c r="E194" s="176"/>
      <c r="F194" s="176"/>
      <c r="G194" s="552"/>
      <c r="H194" s="73"/>
      <c r="I194" s="73"/>
    </row>
    <row r="195" spans="1:9" ht="16.5" customHeight="1">
      <c r="A195" s="73"/>
      <c r="B195" s="73"/>
      <c r="C195" s="73"/>
      <c r="D195" s="73"/>
      <c r="E195" s="176"/>
      <c r="F195" s="176"/>
      <c r="G195" s="552"/>
      <c r="H195" s="73"/>
      <c r="I195" s="73"/>
    </row>
    <row r="196" spans="1:9" ht="16.5" customHeight="1">
      <c r="A196" s="73"/>
      <c r="B196" s="73"/>
      <c r="C196" s="73"/>
      <c r="D196" s="73"/>
      <c r="E196" s="176"/>
      <c r="F196" s="176"/>
      <c r="G196" s="552"/>
      <c r="H196" s="73"/>
      <c r="I196" s="73"/>
    </row>
    <row r="197" spans="1:9" ht="16.5" customHeight="1">
      <c r="A197" s="73"/>
      <c r="B197" s="73"/>
      <c r="C197" s="73"/>
      <c r="D197" s="73"/>
      <c r="E197" s="176"/>
      <c r="F197" s="176"/>
      <c r="G197" s="552"/>
      <c r="H197" s="73"/>
      <c r="I197" s="73"/>
    </row>
    <row r="198" spans="1:9" ht="16.5" customHeight="1">
      <c r="A198" s="73"/>
      <c r="B198" s="73"/>
      <c r="C198" s="73"/>
      <c r="D198" s="73"/>
      <c r="E198" s="176"/>
      <c r="F198" s="176"/>
      <c r="G198" s="552"/>
      <c r="H198" s="73"/>
      <c r="I198" s="73"/>
    </row>
    <row r="199" spans="1:9" ht="16.5" customHeight="1">
      <c r="A199" s="73"/>
      <c r="B199" s="73"/>
      <c r="C199" s="73"/>
      <c r="D199" s="73"/>
      <c r="E199" s="176"/>
      <c r="F199" s="176"/>
      <c r="G199" s="552"/>
      <c r="H199" s="73"/>
      <c r="I199" s="73"/>
    </row>
    <row r="200" spans="1:9" ht="16.5" customHeight="1">
      <c r="A200" s="73"/>
      <c r="B200" s="73"/>
      <c r="C200" s="73"/>
      <c r="D200" s="73"/>
      <c r="E200" s="176"/>
      <c r="F200" s="176"/>
      <c r="G200" s="552"/>
      <c r="H200" s="73"/>
      <c r="I200" s="73"/>
    </row>
    <row r="201" spans="1:9" ht="16.5" customHeight="1">
      <c r="A201" s="73"/>
      <c r="B201" s="73"/>
      <c r="C201" s="73"/>
      <c r="D201" s="73"/>
      <c r="E201" s="176"/>
      <c r="F201" s="176"/>
      <c r="G201" s="552"/>
      <c r="H201" s="73"/>
      <c r="I201" s="73"/>
    </row>
    <row r="202" spans="1:9" ht="16.5" customHeight="1">
      <c r="A202" s="73"/>
      <c r="B202" s="73"/>
      <c r="C202" s="73"/>
      <c r="D202" s="73"/>
      <c r="E202" s="176"/>
      <c r="F202" s="176"/>
      <c r="G202" s="552"/>
      <c r="H202" s="73"/>
      <c r="I202" s="73"/>
    </row>
    <row r="203" spans="1:9" ht="16.5" customHeight="1">
      <c r="A203" s="73"/>
      <c r="B203" s="73"/>
      <c r="C203" s="73"/>
      <c r="D203" s="73"/>
      <c r="E203" s="176"/>
      <c r="F203" s="176"/>
      <c r="G203" s="552"/>
      <c r="H203" s="73"/>
      <c r="I203" s="73"/>
    </row>
    <row r="204" spans="1:9" ht="16.5" customHeight="1">
      <c r="A204" s="73"/>
      <c r="B204" s="73"/>
      <c r="C204" s="73"/>
      <c r="D204" s="73"/>
      <c r="E204" s="176"/>
      <c r="F204" s="176"/>
      <c r="G204" s="552"/>
      <c r="H204" s="73"/>
      <c r="I204" s="73"/>
    </row>
    <row r="205" spans="1:9" ht="16.5" customHeight="1">
      <c r="A205" s="73"/>
      <c r="B205" s="73"/>
      <c r="C205" s="73"/>
      <c r="D205" s="73"/>
      <c r="E205" s="176"/>
      <c r="F205" s="176"/>
      <c r="G205" s="552"/>
      <c r="H205" s="73"/>
      <c r="I205" s="73"/>
    </row>
    <row r="206" spans="1:9" ht="16.5" customHeight="1">
      <c r="A206" s="73"/>
      <c r="B206" s="73"/>
      <c r="C206" s="73"/>
      <c r="D206" s="73"/>
      <c r="E206" s="176"/>
      <c r="F206" s="176"/>
      <c r="G206" s="552"/>
      <c r="H206" s="73"/>
      <c r="I206" s="73"/>
    </row>
    <row r="207" spans="1:9" ht="16.5" customHeight="1">
      <c r="A207" s="73"/>
      <c r="B207" s="73"/>
      <c r="C207" s="73"/>
      <c r="D207" s="73"/>
      <c r="E207" s="176"/>
      <c r="F207" s="176"/>
      <c r="G207" s="552"/>
      <c r="H207" s="73"/>
      <c r="I207" s="73"/>
    </row>
    <row r="208" spans="1:9" ht="16.5" customHeight="1">
      <c r="A208" s="73"/>
      <c r="B208" s="73"/>
      <c r="C208" s="73"/>
      <c r="D208" s="73"/>
      <c r="E208" s="176"/>
      <c r="F208" s="176"/>
      <c r="G208" s="552"/>
      <c r="H208" s="73"/>
      <c r="I208" s="73"/>
    </row>
    <row r="209" spans="1:9" ht="16.5" customHeight="1">
      <c r="A209" s="73"/>
      <c r="B209" s="73"/>
      <c r="C209" s="73"/>
      <c r="D209" s="73"/>
      <c r="E209" s="176"/>
      <c r="F209" s="176"/>
      <c r="G209" s="552"/>
      <c r="H209" s="73"/>
      <c r="I209" s="73"/>
    </row>
    <row r="210" spans="1:9" ht="16.5" customHeight="1">
      <c r="A210" s="73"/>
      <c r="B210" s="73"/>
      <c r="C210" s="73"/>
      <c r="D210" s="73"/>
      <c r="E210" s="176"/>
      <c r="F210" s="176"/>
      <c r="G210" s="552"/>
      <c r="H210" s="73"/>
      <c r="I210" s="73"/>
    </row>
    <row r="211" spans="1:9" ht="16.5" customHeight="1">
      <c r="A211" s="73"/>
      <c r="B211" s="73"/>
      <c r="C211" s="73"/>
      <c r="D211" s="73"/>
      <c r="E211" s="176"/>
      <c r="F211" s="176"/>
      <c r="G211" s="552"/>
      <c r="H211" s="73"/>
      <c r="I211" s="73"/>
    </row>
    <row r="212" spans="1:9" ht="16.5" customHeight="1">
      <c r="A212" s="73"/>
      <c r="B212" s="73"/>
      <c r="C212" s="73"/>
      <c r="D212" s="73"/>
      <c r="E212" s="176"/>
      <c r="F212" s="176"/>
      <c r="G212" s="552"/>
      <c r="H212" s="73"/>
      <c r="I212" s="73"/>
    </row>
    <row r="213" spans="1:9" ht="16.5" customHeight="1">
      <c r="A213" s="73"/>
      <c r="B213" s="73"/>
      <c r="C213" s="73"/>
      <c r="D213" s="73"/>
      <c r="E213" s="176"/>
      <c r="F213" s="176"/>
      <c r="G213" s="552"/>
      <c r="H213" s="73"/>
      <c r="I213" s="73"/>
    </row>
    <row r="214" spans="1:9" ht="16.5" customHeight="1">
      <c r="A214" s="73"/>
      <c r="B214" s="73"/>
      <c r="C214" s="73"/>
      <c r="D214" s="73"/>
      <c r="E214" s="176"/>
      <c r="F214" s="176"/>
      <c r="G214" s="552"/>
      <c r="H214" s="73"/>
      <c r="I214" s="73"/>
    </row>
    <row r="215" spans="1:9" ht="16.5" customHeight="1">
      <c r="A215" s="73"/>
      <c r="B215" s="73"/>
      <c r="C215" s="73"/>
      <c r="D215" s="73"/>
      <c r="E215" s="176"/>
      <c r="F215" s="176"/>
      <c r="G215" s="552"/>
      <c r="H215" s="73"/>
      <c r="I215" s="73"/>
    </row>
    <row r="216" spans="1:9" ht="16.5" customHeight="1">
      <c r="A216" s="73"/>
      <c r="B216" s="73"/>
      <c r="C216" s="73"/>
      <c r="D216" s="73"/>
      <c r="E216" s="176"/>
      <c r="F216" s="176"/>
      <c r="G216" s="552"/>
      <c r="H216" s="73"/>
      <c r="I216" s="73"/>
    </row>
    <row r="217" spans="1:9" ht="16.5" customHeight="1">
      <c r="A217" s="73"/>
      <c r="B217" s="73"/>
      <c r="C217" s="73"/>
      <c r="D217" s="73"/>
      <c r="E217" s="176"/>
      <c r="F217" s="176"/>
      <c r="G217" s="552"/>
      <c r="H217" s="73"/>
      <c r="I217" s="73"/>
    </row>
    <row r="218" spans="1:9" ht="16.5" customHeight="1">
      <c r="A218" s="73"/>
      <c r="B218" s="73"/>
      <c r="C218" s="73"/>
      <c r="D218" s="73"/>
      <c r="E218" s="176"/>
      <c r="F218" s="176"/>
      <c r="G218" s="552"/>
      <c r="H218" s="73"/>
      <c r="I218" s="73"/>
    </row>
    <row r="219" spans="1:9" ht="16.5" customHeight="1">
      <c r="A219" s="73"/>
      <c r="B219" s="73"/>
      <c r="C219" s="73"/>
      <c r="D219" s="73"/>
      <c r="E219" s="176"/>
      <c r="F219" s="176"/>
      <c r="G219" s="552"/>
      <c r="H219" s="73"/>
      <c r="I219" s="73"/>
    </row>
    <row r="220" spans="1:9" ht="16.5" customHeight="1">
      <c r="A220" s="73"/>
      <c r="B220" s="73"/>
      <c r="C220" s="73"/>
      <c r="D220" s="73"/>
      <c r="E220" s="176"/>
      <c r="F220" s="176"/>
      <c r="G220" s="552"/>
      <c r="H220" s="73"/>
      <c r="I220" s="73"/>
    </row>
    <row r="221" spans="1:9" ht="16.5" customHeight="1">
      <c r="A221" s="73"/>
      <c r="B221" s="73"/>
      <c r="C221" s="73"/>
      <c r="D221" s="73"/>
      <c r="E221" s="176"/>
      <c r="F221" s="176"/>
      <c r="G221" s="552"/>
      <c r="H221" s="73"/>
      <c r="I221" s="73"/>
    </row>
    <row r="222" spans="1:9" ht="16.5" customHeight="1">
      <c r="A222" s="73"/>
      <c r="B222" s="73"/>
      <c r="C222" s="73"/>
      <c r="D222" s="73"/>
      <c r="E222" s="176"/>
      <c r="F222" s="176"/>
      <c r="G222" s="552"/>
      <c r="H222" s="73"/>
      <c r="I222" s="73"/>
    </row>
    <row r="223" spans="1:9" ht="16.5" customHeight="1">
      <c r="A223" s="73"/>
      <c r="B223" s="73"/>
      <c r="C223" s="73"/>
      <c r="D223" s="73"/>
      <c r="E223" s="176"/>
      <c r="F223" s="176"/>
      <c r="G223" s="552"/>
      <c r="H223" s="73"/>
      <c r="I223" s="73"/>
    </row>
    <row r="224" spans="1:9" ht="16.5" customHeight="1">
      <c r="A224" s="73"/>
      <c r="B224" s="73"/>
      <c r="C224" s="73"/>
      <c r="D224" s="73"/>
      <c r="E224" s="176"/>
      <c r="F224" s="176"/>
      <c r="G224" s="552"/>
      <c r="H224" s="73"/>
      <c r="I224" s="73"/>
    </row>
    <row r="225" spans="1:9" ht="16.5" customHeight="1">
      <c r="A225" s="73"/>
      <c r="B225" s="73"/>
      <c r="C225" s="73"/>
      <c r="D225" s="73"/>
      <c r="E225" s="176"/>
      <c r="F225" s="176"/>
      <c r="G225" s="552"/>
      <c r="H225" s="73"/>
      <c r="I225" s="73"/>
    </row>
    <row r="226" spans="1:9" ht="16.5" customHeight="1">
      <c r="A226" s="73"/>
      <c r="B226" s="73"/>
      <c r="C226" s="73"/>
      <c r="D226" s="73"/>
      <c r="E226" s="176"/>
      <c r="F226" s="176"/>
      <c r="G226" s="552"/>
      <c r="H226" s="73"/>
      <c r="I226" s="73"/>
    </row>
    <row r="227" spans="1:9" ht="16.5" customHeight="1">
      <c r="A227" s="73"/>
      <c r="B227" s="73"/>
      <c r="C227" s="73"/>
      <c r="D227" s="73"/>
      <c r="E227" s="176"/>
      <c r="F227" s="176"/>
      <c r="G227" s="552"/>
      <c r="H227" s="73"/>
      <c r="I227" s="73"/>
    </row>
    <row r="228" spans="1:9" ht="16.5" customHeight="1">
      <c r="A228" s="73"/>
      <c r="B228" s="73"/>
      <c r="C228" s="73"/>
      <c r="D228" s="73"/>
      <c r="E228" s="176"/>
      <c r="F228" s="176"/>
      <c r="G228" s="552"/>
      <c r="H228" s="73"/>
      <c r="I228" s="73"/>
    </row>
    <row r="229" spans="1:9" ht="16.5" customHeight="1">
      <c r="A229" s="73"/>
      <c r="B229" s="73"/>
      <c r="C229" s="73"/>
      <c r="D229" s="73"/>
      <c r="E229" s="176"/>
      <c r="F229" s="176"/>
      <c r="G229" s="552"/>
      <c r="H229" s="73"/>
      <c r="I229" s="73"/>
    </row>
    <row r="230" spans="1:9" ht="16.5" customHeight="1">
      <c r="A230" s="73"/>
      <c r="B230" s="73"/>
      <c r="C230" s="73"/>
      <c r="D230" s="73"/>
      <c r="E230" s="176"/>
      <c r="F230" s="176"/>
      <c r="G230" s="552"/>
      <c r="H230" s="73"/>
      <c r="I230" s="73"/>
    </row>
    <row r="231" spans="1:9" ht="16.5" customHeight="1">
      <c r="A231" s="73"/>
      <c r="B231" s="73"/>
      <c r="C231" s="73"/>
      <c r="D231" s="73"/>
      <c r="E231" s="176"/>
      <c r="F231" s="176"/>
      <c r="G231" s="552"/>
      <c r="H231" s="73"/>
      <c r="I231" s="73"/>
    </row>
    <row r="232" spans="1:9" ht="16.5" customHeight="1">
      <c r="A232" s="73"/>
      <c r="B232" s="73"/>
      <c r="C232" s="73"/>
      <c r="D232" s="73"/>
      <c r="E232" s="176"/>
      <c r="F232" s="176"/>
      <c r="G232" s="552"/>
      <c r="H232" s="73"/>
      <c r="I232" s="73"/>
    </row>
    <row r="233" spans="1:9" ht="15.7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spans="1:9" ht="15.7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spans="1:9" ht="15.7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spans="1:9" ht="15.7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spans="1:9" ht="15.7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spans="1:9" ht="15.7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spans="1:9" ht="15.7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spans="1:9" ht="15.7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spans="1:9" ht="15.7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spans="1:9" ht="15.7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spans="1:9" ht="15.7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spans="1:9" ht="15.7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spans="1:9" ht="15.7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spans="1:9" ht="15.7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spans="1:9" ht="15.7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spans="1:9" ht="15.7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spans="1:9" ht="15.7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spans="1:9" ht="15.7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spans="1:9" ht="15.7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spans="1:9" ht="15.7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spans="1:9" ht="15.7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spans="1:9" ht="15.7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spans="1:9" ht="15.7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spans="1:9" ht="15.7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spans="1:9" ht="15.7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spans="1:9" ht="15.7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spans="1:9" ht="15.7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spans="1:9" ht="15.7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spans="1:9" ht="15.7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spans="1:9" ht="15.7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spans="1:9" ht="15.7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spans="1:9" ht="15.7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spans="1:9" ht="15.7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spans="1:9" ht="15.7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spans="1:9" ht="15.7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spans="1:9" ht="15.7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spans="1:9" ht="15.7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spans="1:9" ht="15.7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spans="1:9" ht="15.7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spans="1:9" ht="15.7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spans="1:9" ht="15.7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spans="1:9" ht="15.7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spans="1:9" ht="15.7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spans="1:9" ht="15.7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spans="1:9" ht="15.7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spans="1:9" ht="15.7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spans="1:9" ht="15.7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spans="1:9" ht="15.7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spans="1:9" ht="15.7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spans="1:9" ht="15.7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spans="1:9" ht="15.7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spans="1:9" ht="15.7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spans="1:9" ht="15.7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spans="1:9" ht="15.7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spans="1:9" ht="15.7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spans="1:9" ht="15.7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spans="1:9" ht="15.7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spans="1:9" ht="15.7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spans="1:9" ht="15.7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spans="1:9" ht="15.7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spans="1:9" ht="15.7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spans="1:9" ht="15.7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spans="1:9" ht="15.7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spans="1:9" ht="15.7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spans="1:9" ht="15.7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spans="1:9" ht="15.7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spans="1:9" ht="15.7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spans="1:9" ht="15.7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spans="1:9" ht="15.7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spans="1:9" ht="15.7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spans="1:9" ht="15.7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spans="1:9" ht="15.7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spans="1:9" ht="15.7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spans="1:9" ht="15.7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spans="1:9" ht="15.7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spans="1:9" ht="15.7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spans="1:9" ht="15.7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spans="1:9" ht="15.7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spans="1:9" ht="15.7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spans="1:9" ht="15.7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spans="1:9" ht="15.7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spans="1:9" ht="15.7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spans="1:9" ht="15.7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spans="1:9" ht="15.7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spans="1:9" ht="15.7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spans="1:9" ht="15.7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spans="1:9" ht="15.7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spans="1:9" ht="15.7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spans="1:9" ht="15.7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spans="1:9" ht="15.7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spans="1:9" ht="15.7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spans="1:9" ht="15.7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spans="1:9" ht="15.7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spans="1:9" ht="15.7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spans="1:9" ht="15.7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spans="1:9" ht="15.7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spans="1:9" ht="15.7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spans="1:9" ht="15.7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spans="1:9" ht="15.7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spans="1:9" ht="15.7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spans="1:9" ht="15.7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spans="1:9" ht="15.7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spans="1:9" ht="15.7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spans="1:9" ht="15.7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spans="1:9" ht="15.7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spans="1:9" ht="15.7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spans="1:9" ht="15.7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spans="1:9" ht="15.7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spans="1:9" ht="15.7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spans="1:9" ht="15.7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spans="1:9" ht="15.7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spans="1:9" ht="15.7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spans="1:9" ht="15.7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spans="1:9" ht="15.7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spans="1:9" ht="15.7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spans="1:9" ht="15.7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spans="1:9" ht="15.7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spans="1:9" ht="15.7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spans="1:9" ht="15.7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spans="1:9" ht="15.7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spans="1:9" ht="15.7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spans="1:9" ht="15.7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spans="1:9" ht="15.7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spans="1:9" ht="15.7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spans="1:9" ht="15.7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spans="1:9" ht="15.7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spans="1:9" ht="15.7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spans="1:9" ht="15.7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spans="1:9" ht="15.7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spans="1:9" ht="15.7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spans="1:9" ht="15.7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spans="1:9" ht="15.7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spans="1:9" ht="15.7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spans="1:9" ht="15.7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spans="1:9" ht="15.7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spans="1:9" ht="15.7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spans="1:9" ht="15.7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spans="1:9" ht="15.7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spans="1:9" ht="15.7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spans="1:9" ht="15.7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spans="1:9" ht="15.7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spans="1:9" ht="15.7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spans="1:9" ht="15.7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spans="1:9" ht="15.7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spans="1:9" ht="15.7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spans="1:9" ht="15.7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spans="1:9" ht="15.7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spans="1:9" ht="15.7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spans="1:9" ht="15.7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spans="1:9" ht="15.7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spans="1:9" ht="15.7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spans="1:9" ht="15.7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spans="1:9" ht="15.7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spans="1:9" ht="15.7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spans="1:9" ht="15.7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spans="1:9" ht="15.7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spans="1:9" ht="15.7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spans="1:9" ht="15.7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spans="1:9" ht="15.7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spans="1:9" ht="15.7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spans="1:9" ht="15.7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spans="1:9" ht="15.7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spans="1:9" ht="15.7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spans="1:9" ht="15.7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spans="1:9" ht="15.7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spans="1:9" ht="15.7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spans="1:9" ht="15.7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spans="1:9" ht="15.7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spans="1:9" ht="15.7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spans="1:9" ht="15.7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spans="1:9" ht="15.7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spans="1:9" ht="15.7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spans="1:9" ht="15.7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spans="1:9" ht="15.7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spans="1:9" ht="15.7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spans="1:9" ht="15.7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spans="1:9" ht="15.7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spans="1:9" ht="15.7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spans="1:9" ht="15.7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spans="1:9" ht="15.7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spans="1:9" ht="15.7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spans="1:9" ht="15.7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spans="1:9" ht="15.7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spans="1:9" ht="15.7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spans="1:9" ht="15.7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spans="1:9" ht="15.7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spans="1:9" ht="15.7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spans="1:9" ht="15.7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spans="1:9" ht="15.7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spans="1:9" ht="15.7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spans="1:9" ht="15.7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spans="1:9" ht="15.7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spans="1:9" ht="15.7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spans="1:9" ht="15.7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spans="1:9" ht="15.7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spans="1:9" ht="15.7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spans="1:9" ht="15.7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spans="1:9" ht="15.7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spans="1:9" ht="15.7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spans="1:9" ht="15.7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spans="1:9" ht="15.7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spans="1:9" ht="15.7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spans="1:9" ht="15.7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spans="1:9" ht="15.7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spans="1:9" ht="15.7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spans="1:9" ht="15.7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spans="1:9" ht="15.7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spans="1:9" ht="15.7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spans="1:9" ht="15.7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spans="1:9" ht="15.7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spans="1:9" ht="15.7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spans="1:9" ht="15.7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spans="1:9" ht="15.7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spans="1:9" ht="15.7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spans="1:9" ht="15.7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spans="1:9" ht="15.7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spans="1:9" ht="15.7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spans="1:9" ht="15.7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spans="1:9" ht="15.7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spans="1:9" ht="15.7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spans="1:9" ht="15.7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spans="1:9" ht="15.7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spans="1:9" ht="15.7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spans="1:9" ht="15.7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spans="1:9" ht="15.7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spans="1:9" ht="15.7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spans="1:9" ht="15.7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spans="1:9" ht="15.7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spans="1:9" ht="15.7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spans="1:9" ht="15.7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spans="1:9" ht="15.7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spans="1:9" ht="15.7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spans="1:9" ht="15.7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spans="1:9" ht="15.7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spans="1:9" ht="15.7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spans="1:9" ht="15.7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spans="1:9" ht="15.7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spans="1:9" ht="15.7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spans="1:9" ht="15.7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spans="1:9" ht="15.7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spans="1:9" ht="15.7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spans="1:9" ht="15.7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spans="1:9" ht="15.7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spans="1:9" ht="15.7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spans="1:9" ht="15.7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spans="1:9" ht="15.7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spans="1:9" ht="15.7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spans="1:9" ht="15.7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spans="1:9" ht="15.7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spans="1:9" ht="15.7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spans="1:9" ht="15.7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spans="1:9" ht="15.7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spans="1:9" ht="15.7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spans="1:9" ht="15.7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spans="1:9" ht="15.7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spans="1:9" ht="15.7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spans="1:9" ht="15.7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spans="1:9" ht="15.7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spans="1:9" ht="15.7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spans="1:9" ht="15.7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spans="1:9" ht="15.7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spans="1:9" ht="15.7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spans="1:9" ht="15.7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spans="1:9" ht="15.7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spans="1:9" ht="15.7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spans="1:9" ht="15.7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spans="1:9" ht="15.7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spans="1:9" ht="15.7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spans="1:9" ht="15.7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spans="1:9" ht="15.7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spans="1:9" ht="15.7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spans="1:9" ht="15.7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spans="1:9" ht="15.7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spans="1:9" ht="15.7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spans="1:9" ht="15.7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spans="1:9" ht="15.7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spans="1:9" ht="15.7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spans="1:9" ht="15.7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spans="1:9" ht="15.7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spans="1:9" ht="15.7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spans="1:9" ht="15.7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spans="1:9" ht="15.7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spans="1:9" ht="15.7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spans="1:9" ht="15.7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spans="1:9" ht="15.7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spans="1:9" ht="15.7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spans="1:9" ht="15.7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spans="1:9" ht="15.7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spans="1:9" ht="15.7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spans="1:9" ht="15.7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spans="1:9" ht="15.7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spans="1:9" ht="15.7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spans="1:9" ht="15.7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spans="1:9" ht="15.7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spans="1:9" ht="15.7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spans="1:9" ht="15.7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spans="1:9" ht="15.7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spans="1:9" ht="15.7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spans="1:9" ht="15.7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spans="1:9" ht="15.7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spans="1:9" ht="15.7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spans="1:9" ht="15.7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spans="1:9" ht="15.7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spans="1:9" ht="15.7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spans="1:9" ht="15.7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spans="1:9" ht="15.7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spans="1:9" ht="15.7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spans="1:9" ht="15.7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spans="1:9" ht="15.7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spans="1:9" ht="15.7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spans="1:9" ht="15.7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spans="1:9" ht="15.7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spans="1:9" ht="15.7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spans="1:9" ht="15.7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spans="1:9" ht="15.7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spans="1:9" ht="15.7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spans="1:9" ht="15.7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spans="1:9" ht="15.7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spans="1:9" ht="15.7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spans="1:9" ht="15.7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spans="1:9" ht="15.7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spans="1:9" ht="15.7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spans="1:9" ht="15.7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spans="1:9" ht="15.7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spans="1:9" ht="15.7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spans="1:9" ht="15.7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spans="1:9" ht="15.7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spans="1:9" ht="15.7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spans="1:9" ht="15.7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spans="1:9" ht="15.7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spans="1:9" ht="15.7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spans="1:9" ht="15.7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spans="1:9" ht="15.7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spans="1:9" ht="15.7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spans="1:9" ht="15.7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spans="1:9" ht="15.7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spans="1:9" ht="15.7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spans="1:9" ht="15.7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spans="1:9" ht="15.7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spans="1:9" ht="15.7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spans="1:9" ht="15.7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spans="1:9" ht="15.7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spans="1:9" ht="15.7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spans="1:9" ht="15.7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spans="1:9" ht="15.7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spans="1:9" ht="15.7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spans="1:9" ht="15.7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spans="1:9" ht="15.7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spans="1:9" ht="15.7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spans="1:9" ht="15.7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spans="1:9" ht="15.7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spans="1:9" ht="15.7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spans="1:9" ht="15.7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spans="1:9" ht="15.7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spans="1:9" ht="15.7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spans="1:9" ht="15.7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spans="1:9" ht="15.7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spans="1:9" ht="15.7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spans="1:9" ht="15.7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spans="1:9" ht="15.7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spans="1:9" ht="15.7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spans="1:9" ht="15.7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spans="1:9" ht="15.7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spans="1:9" ht="15.7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spans="1:9" ht="15.7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spans="1:9" ht="15.7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spans="1:9" ht="15.7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spans="1:9" ht="15.7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spans="1:9" ht="15.7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spans="1:9" ht="15.7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spans="1:9" ht="15.7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spans="1:9" ht="15.7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spans="1:9" ht="15.7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spans="1:9" ht="15.7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spans="1:9" ht="15.7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spans="1:9" ht="15.7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spans="1:9" ht="15.7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spans="1:9" ht="15.7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spans="1:9" ht="15.7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spans="1:9" ht="15.7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spans="1:9" ht="15.7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spans="1:9" ht="15.7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spans="1:9" ht="15.7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spans="1:9" ht="15.7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spans="1:9" ht="15.7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spans="1:9" ht="15.7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spans="1:9" ht="15.7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spans="1:9" ht="15.7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spans="1:9" ht="15.7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spans="1:9" ht="15.7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spans="1:9" ht="15.7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spans="1:9" ht="15.7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spans="1:9" ht="15.7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spans="1:9" ht="15.7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spans="1:9" ht="15.7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spans="1:9" ht="15.7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spans="1:9" ht="15.7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spans="1:9" ht="15.7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spans="1:9" ht="15.7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spans="1:9" ht="15.7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spans="1:9" ht="15.7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spans="1:9" ht="15.7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spans="1:9" ht="15.7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spans="1:9" ht="15.7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spans="1:9" ht="15.7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spans="1:9" ht="15.7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spans="1:9" ht="15.7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spans="1:9" ht="15.7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spans="1:9" ht="15.7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spans="1:9" ht="15.7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spans="1:9" ht="15.7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spans="1:9" ht="15.7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spans="1:9" ht="15.7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spans="1:9" ht="15.7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spans="1:9" ht="15.7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spans="1:9" ht="15.7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spans="1:9" ht="15.7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spans="1:9" ht="15.7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spans="1:9" ht="15.7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spans="1:9" ht="15.7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spans="1:9" ht="15.7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spans="1:9" ht="15.7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spans="1:9" ht="15.7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spans="1:9" ht="15.7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spans="1:9" ht="15.7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spans="1:9" ht="15.7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spans="1:9" ht="15.7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spans="1:9" ht="15.7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spans="1:9" ht="15.7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spans="1:9" ht="15.7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spans="1:9" ht="15.7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spans="1:9" ht="15.7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spans="1:9" ht="15.7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spans="1:9" ht="15.7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spans="1:9" ht="15.7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spans="1:9" ht="15.7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spans="1:9" ht="15.7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spans="1:9" ht="15.7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spans="1:9" ht="15.7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spans="1:9" ht="15.7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spans="1:9" ht="15.7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spans="1:9" ht="15.7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spans="1:9" ht="15.7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spans="1:9" ht="15.7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spans="1:9" ht="15.7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spans="1:9" ht="15.7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spans="1:9" ht="15.7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spans="1:9" ht="15.7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spans="1:9" ht="15.7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spans="1:9" ht="15.7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spans="1:9" ht="15.7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spans="1:9" ht="15.7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spans="1:9" ht="15.7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spans="1:9" ht="15.7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spans="1:9" ht="15.7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spans="1:9" ht="15.7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spans="1:9" ht="15.7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spans="1:9" ht="15.7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spans="1:9" ht="15.7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spans="1:9" ht="15.7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spans="1:9" ht="15.7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spans="1:9" ht="15.7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spans="1:9" ht="15.7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spans="1:9" ht="15.7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spans="1:9" ht="15.7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spans="1:9" ht="15.7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spans="1:9" ht="15.7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spans="1:9" ht="15.7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spans="1:9" ht="15.7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spans="1:9" ht="15.7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spans="1:9" ht="15.7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spans="1:9" ht="15.7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spans="1:9" ht="15.7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spans="1:9" ht="15.7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spans="1:9" ht="15.7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spans="1:9" ht="15.7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spans="1:9" ht="15.7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spans="1:9" ht="15.7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spans="1:9" ht="15.7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spans="1:9" ht="15.7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spans="1:9" ht="15.7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spans="1:9" ht="15.7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spans="1:9" ht="15.7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spans="1:9" ht="15.7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spans="1:9" ht="15.7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spans="1:9" ht="15.7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spans="1:9" ht="15.7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spans="1:9" ht="15.7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spans="1:9" ht="15.7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spans="1:9" ht="15.7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spans="1:9" ht="15.7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spans="1:9" ht="15.7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spans="1:9" ht="15.7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spans="1:9" ht="15.7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spans="1:9" ht="15.7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spans="1:9" ht="15.7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spans="1:9" ht="15.7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spans="1:9" ht="15.7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spans="1:9" ht="15.7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spans="1:9" ht="15.7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spans="1:9" ht="15.7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spans="1:9" ht="15.7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spans="1:9" ht="15.7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spans="1:9" ht="15.7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spans="1:9" ht="15.7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spans="1:9" ht="15.7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spans="1:9" ht="15.7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spans="1:9" ht="15.7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spans="1:9" ht="15.7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spans="1:9" ht="15.7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spans="1:9" ht="15.7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spans="1:9" ht="15.7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spans="1:9" ht="15.7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spans="1:9" ht="15.7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spans="1:9" ht="15.7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spans="1:9" ht="15.7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spans="1:9" ht="15.7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spans="1:9" ht="15.7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spans="1:9" ht="15.7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spans="1:9" ht="15.7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spans="1:9" ht="15.7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spans="1:9" ht="15.7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spans="1:9" ht="15.7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spans="1:9" ht="15.7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spans="1:9" ht="15.7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spans="1:9" ht="15.7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spans="1:9" ht="15.7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spans="1:9" ht="15.7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spans="1:9" ht="15.7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spans="1:9" ht="15.7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spans="1:9" ht="15.7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spans="1:9" ht="15.7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spans="1:9" ht="15.7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spans="1:9" ht="15.7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spans="1:9" ht="15.7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spans="1:9" ht="15.7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spans="1:9" ht="15.7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spans="1:9" ht="15.7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spans="1:9" ht="15.7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spans="1:9" ht="15.7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spans="1:9" ht="15.7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spans="1:9" ht="15.7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spans="1:9" ht="15.7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spans="1:9" ht="15.7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spans="1:9" ht="15.7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spans="1:9" ht="15.7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spans="1:9" ht="15.7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spans="1:9" ht="15.7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spans="1:9" ht="15.7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spans="1:9" ht="15.7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spans="1:9" ht="15.7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spans="1:9" ht="15.7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spans="1:9" ht="15.7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spans="1:9" ht="15.7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spans="1:9" ht="15.7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spans="1:9" ht="15.7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spans="1:9" ht="15.7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spans="1:9" ht="15.7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spans="1:9" ht="15.7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spans="1:9" ht="15.7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spans="1:9" ht="15.7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spans="1:9" ht="15.7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spans="1:9" ht="15.7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spans="1:9" ht="15.7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spans="1:9" ht="15.7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spans="1:9" ht="15.7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spans="1:9" ht="15.7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spans="1:9" ht="15.7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spans="1:9" ht="15.7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spans="1:9" ht="15.7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spans="1:9" ht="15.7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spans="1:9" ht="15.7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spans="1:9" ht="15.7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spans="1:9" ht="15.7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spans="1:9" ht="15.7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spans="1:9" ht="15.7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spans="1:9" ht="15.7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spans="1:9" ht="15.7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spans="1:9" ht="15.7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spans="1:9" ht="15.7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spans="1:9" ht="15.7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spans="1:9" ht="15.7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spans="1:9" ht="15.7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spans="1:9" ht="15.7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spans="1:9" ht="15.7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spans="1:9" ht="15.7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spans="1:9" ht="15.7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spans="1:9" ht="15.7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spans="1:9" ht="15.7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spans="1:9" ht="15.7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spans="1:9" ht="15.7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spans="1:9" ht="15.7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spans="1:9" ht="15.7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spans="1:9" ht="15.7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spans="1:9" ht="15.7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spans="1:9" ht="15.7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spans="1:9" ht="15.7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spans="1:9" ht="15.7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spans="1:9" ht="15.7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spans="1:9" ht="15.7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spans="1:9" ht="15.7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spans="1:9" ht="15.7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spans="1:9" ht="15.7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spans="1:9" ht="15.7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spans="1:9" ht="15.7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spans="1:9" ht="15.7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spans="1:9" ht="15.7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spans="1:9" ht="15.7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spans="1:9" ht="15.7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spans="1:9" ht="15.7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spans="1:9" ht="15.7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spans="1:9" ht="15.7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spans="1:9" ht="15.7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spans="1:9" ht="15.7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spans="1:9" ht="15.7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spans="1:9" ht="15.7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spans="1:9" ht="15.7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spans="1:9" ht="15.7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spans="1:9" ht="15.7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spans="1:9" ht="15.7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spans="1:9" ht="15.7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spans="1:9" ht="15.7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spans="1:9" ht="15.7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spans="1:9" ht="15.7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spans="1:9" ht="15.7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spans="1:9" ht="15.7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spans="1:9" ht="15.7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spans="1:9" ht="15.7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spans="1:9" ht="15.7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spans="1:9" ht="15.7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spans="1:9" ht="15.7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spans="1:9" ht="15.7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spans="1:9" ht="15.7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spans="1:9" ht="15.7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spans="1:9" ht="15.7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spans="1:9" ht="15.7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spans="1:9" ht="15.7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spans="1:9" ht="15.7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spans="1:9" ht="15.7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spans="1:9" ht="15.7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spans="1:9" ht="15.7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spans="1:9" ht="15.7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spans="1:9" ht="15.7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spans="1:9" ht="15.7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spans="1:9" ht="15.7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spans="1:9" ht="15.7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spans="1:9" ht="15.7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spans="1:9" ht="15.7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spans="1:9" ht="15.7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spans="1:9" ht="15.7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spans="1:9" ht="15.7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spans="1:9" ht="15.7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spans="1:9" ht="15.7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spans="1:9" ht="15.7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spans="1:9" ht="15.7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spans="1:9" ht="15.7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spans="1:9" ht="15.7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spans="1:9" ht="15.7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spans="1:9" ht="15.7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spans="1:9" ht="15.7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spans="1:9" ht="15.7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spans="1:9" ht="15.7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spans="1:9" ht="15.7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spans="1:9" ht="15.7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spans="1:9" ht="15.7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spans="1:9" ht="15.7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spans="1:9" ht="15.7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spans="1:9" ht="15.7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spans="1:9" ht="15.7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spans="1:9" ht="15.7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spans="1:9" ht="15.7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spans="1:9" ht="15.7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spans="1:9" ht="15.7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spans="1:9" ht="15.7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spans="1:9" ht="15.7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spans="1:9" ht="15.7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spans="1:9" ht="15.7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spans="1:9" ht="15.7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spans="1:9" ht="15.7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spans="1:9" ht="15.7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spans="1:9" ht="15.7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spans="1:9" ht="15.7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spans="1:9" ht="15.7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spans="1:9" ht="15.7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spans="1:9" ht="15.7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spans="1:9" ht="15.7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spans="1:9" ht="15.7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spans="1:9" ht="15.7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spans="1:9" ht="15.7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spans="1:9" ht="15.7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spans="1:9" ht="15.7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spans="1:9" ht="15.7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spans="1:9" ht="15.7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spans="1:9" ht="15.7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spans="1:9" ht="15.7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spans="1:9" ht="15.7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spans="1:9" ht="15.7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spans="1:9" ht="15.7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spans="1:9" ht="15.7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spans="1:9" ht="15.7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spans="1:9" ht="15.7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spans="1:9" ht="15.7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spans="1:9" ht="15.7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spans="1:9" ht="15.7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spans="1:9" ht="15.7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spans="1:9" ht="15.7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spans="1:9" ht="15.7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spans="1:9" ht="15.7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spans="1:9" ht="15.7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spans="1:9" ht="15.7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spans="1:9" ht="15.7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spans="1:9" ht="15.7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spans="1:9" ht="15.7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spans="1:9" ht="15.7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spans="1:9" ht="15.7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spans="1:9" ht="15.7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spans="1:9" ht="15.7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spans="1:9" ht="15.7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spans="1:9" ht="15.7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spans="1:9" ht="15.7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spans="1:9" ht="15.7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spans="1:9" ht="15.7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spans="1:9" ht="15.7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spans="1:9" ht="15.7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spans="1:9" ht="15.7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spans="1:9" ht="15.7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spans="1:9" ht="15.7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spans="1:9" ht="15.7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spans="1:9" ht="15.7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spans="1:9" ht="15.7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spans="1:9" ht="15.7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spans="1:9" ht="15.7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spans="1:9" ht="15.7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spans="1:9" ht="15.7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spans="1:9" ht="15.7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spans="1:9" ht="15.7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spans="1:9" ht="15.7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spans="1:9" ht="15.7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spans="1:9" ht="15.7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spans="1:9" ht="15.7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spans="1:9" ht="15.7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spans="1:9" ht="15.7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spans="1:9" ht="15.7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spans="1:9" ht="15.7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spans="1:9" ht="15.7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spans="1:9" ht="15.7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spans="1:9" ht="15.7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spans="1:9" ht="15.7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spans="1:9" ht="15.7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spans="1:9" ht="15.7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spans="1:9" ht="15.7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spans="1:9" ht="15.7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spans="1:9" ht="15.7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spans="1:9" ht="15.7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spans="1:9" ht="15.7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spans="1:9" ht="15.7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spans="1:9" ht="15.7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spans="1:9" ht="15.7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spans="1:9" ht="15.7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spans="1:9" ht="15.7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spans="1:9" ht="15.7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spans="1:9" ht="15.7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spans="1:9" ht="15.7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spans="1:9" ht="15.7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spans="1:9" ht="15.7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spans="1:9" ht="15.7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spans="1:9" ht="15.7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spans="1:9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mergeCells count="14">
    <mergeCell ref="H3:H4"/>
    <mergeCell ref="A5:A10"/>
    <mergeCell ref="A1:F2"/>
    <mergeCell ref="A3:B3"/>
    <mergeCell ref="C3:C4"/>
    <mergeCell ref="D3:D4"/>
    <mergeCell ref="G3:G4"/>
    <mergeCell ref="F3:F4"/>
    <mergeCell ref="F5:F10"/>
    <mergeCell ref="F26:F32"/>
    <mergeCell ref="A11:A15"/>
    <mergeCell ref="A16:A20"/>
    <mergeCell ref="A21:A25"/>
    <mergeCell ref="A26:A32"/>
  </mergeCells>
  <phoneticPr fontId="30" type="noConversion"/>
  <pageMargins left="0.25" right="0.25" top="0.75" bottom="0.75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I1000"/>
  <sheetViews>
    <sheetView workbookViewId="0"/>
  </sheetViews>
  <sheetFormatPr defaultColWidth="14.42578125" defaultRowHeight="15" customHeight="1"/>
  <cols>
    <col min="1" max="1" width="28" customWidth="1"/>
    <col min="2" max="2" width="115.140625" customWidth="1"/>
    <col min="3" max="3" width="11.85546875" customWidth="1"/>
    <col min="4" max="4" width="12.85546875" customWidth="1"/>
    <col min="5" max="5" width="12.42578125" customWidth="1"/>
    <col min="6" max="6" width="21.140625" customWidth="1"/>
    <col min="7" max="7" width="27.28515625" customWidth="1"/>
    <col min="8" max="8" width="10.140625" customWidth="1"/>
    <col min="9" max="9" width="8.85546875" customWidth="1"/>
  </cols>
  <sheetData>
    <row r="1" spans="1:9" ht="16.5" customHeight="1">
      <c r="A1" s="625" t="s">
        <v>736</v>
      </c>
      <c r="B1" s="611"/>
      <c r="C1" s="611"/>
      <c r="D1" s="611"/>
      <c r="E1" s="611"/>
      <c r="F1" s="611"/>
      <c r="G1" s="552"/>
      <c r="H1" s="73"/>
      <c r="I1" s="73"/>
    </row>
    <row r="2" spans="1:9" ht="18" customHeight="1">
      <c r="A2" s="610"/>
      <c r="B2" s="615"/>
      <c r="C2" s="615"/>
      <c r="D2" s="615"/>
      <c r="E2" s="615"/>
      <c r="F2" s="615"/>
      <c r="G2" s="552"/>
      <c r="H2" s="73"/>
      <c r="I2" s="73"/>
    </row>
    <row r="3" spans="1:9" ht="16.5" customHeight="1">
      <c r="A3" s="699" t="s">
        <v>513</v>
      </c>
      <c r="B3" s="711"/>
      <c r="C3" s="678" t="s">
        <v>462</v>
      </c>
      <c r="D3" s="688" t="s">
        <v>585</v>
      </c>
      <c r="E3" s="341" t="s">
        <v>544</v>
      </c>
      <c r="F3" s="678" t="s">
        <v>737</v>
      </c>
      <c r="G3" s="678" t="s">
        <v>514</v>
      </c>
      <c r="H3" s="678" t="s">
        <v>515</v>
      </c>
      <c r="I3" s="73"/>
    </row>
    <row r="4" spans="1:9" ht="16.5" customHeight="1">
      <c r="A4" s="553" t="s">
        <v>8</v>
      </c>
      <c r="B4" s="553" t="s">
        <v>9</v>
      </c>
      <c r="C4" s="606"/>
      <c r="D4" s="621"/>
      <c r="E4" s="560" t="s">
        <v>738</v>
      </c>
      <c r="F4" s="606"/>
      <c r="G4" s="606"/>
      <c r="H4" s="606"/>
      <c r="I4" s="73"/>
    </row>
    <row r="5" spans="1:9" ht="16.5" customHeight="1">
      <c r="A5" s="666" t="s">
        <v>739</v>
      </c>
      <c r="B5" s="173" t="s">
        <v>740</v>
      </c>
      <c r="C5" s="508">
        <f t="shared" ref="C5:C39" si="0">D5*2-1000</f>
        <v>157000</v>
      </c>
      <c r="D5" s="508">
        <v>79000</v>
      </c>
      <c r="E5" s="229"/>
      <c r="F5" s="229"/>
      <c r="G5" s="561" t="s">
        <v>720</v>
      </c>
      <c r="H5" s="1" t="s">
        <v>741</v>
      </c>
      <c r="I5" s="73"/>
    </row>
    <row r="6" spans="1:9" ht="16.5" customHeight="1">
      <c r="A6" s="605"/>
      <c r="B6" s="173" t="s">
        <v>742</v>
      </c>
      <c r="C6" s="508">
        <f t="shared" si="0"/>
        <v>175000</v>
      </c>
      <c r="D6" s="508">
        <v>88000</v>
      </c>
      <c r="E6" s="176"/>
      <c r="F6" s="546"/>
      <c r="G6" s="561" t="s">
        <v>689</v>
      </c>
      <c r="H6" s="1" t="s">
        <v>741</v>
      </c>
      <c r="I6" s="73"/>
    </row>
    <row r="7" spans="1:9" ht="16.5" customHeight="1">
      <c r="A7" s="605"/>
      <c r="B7" s="173" t="s">
        <v>743</v>
      </c>
      <c r="C7" s="508">
        <f t="shared" si="0"/>
        <v>197000</v>
      </c>
      <c r="D7" s="508">
        <v>99000</v>
      </c>
      <c r="E7" s="176"/>
      <c r="F7" s="546"/>
      <c r="G7" s="561" t="s">
        <v>744</v>
      </c>
      <c r="H7" s="1" t="s">
        <v>741</v>
      </c>
      <c r="I7" s="1"/>
    </row>
    <row r="8" spans="1:9" ht="16.5" customHeight="1">
      <c r="A8" s="605"/>
      <c r="B8" s="173" t="s">
        <v>745</v>
      </c>
      <c r="C8" s="508">
        <f t="shared" si="0"/>
        <v>277000</v>
      </c>
      <c r="D8" s="508">
        <v>139000</v>
      </c>
      <c r="E8" s="176"/>
      <c r="F8" s="546"/>
      <c r="G8" s="561" t="s">
        <v>695</v>
      </c>
      <c r="H8" s="1" t="s">
        <v>741</v>
      </c>
      <c r="I8" s="1"/>
    </row>
    <row r="9" spans="1:9" ht="15.75" customHeight="1">
      <c r="A9" s="606"/>
      <c r="B9" s="175" t="s">
        <v>746</v>
      </c>
      <c r="C9" s="562">
        <f t="shared" si="0"/>
        <v>397000</v>
      </c>
      <c r="D9" s="562">
        <v>199000</v>
      </c>
      <c r="E9" s="550"/>
      <c r="F9" s="550"/>
      <c r="G9" s="563" t="s">
        <v>720</v>
      </c>
      <c r="H9" s="1" t="s">
        <v>741</v>
      </c>
      <c r="I9" s="73"/>
    </row>
    <row r="10" spans="1:9" ht="16.5" customHeight="1">
      <c r="A10" s="666" t="s">
        <v>747</v>
      </c>
      <c r="B10" s="252" t="s">
        <v>748</v>
      </c>
      <c r="C10" s="508">
        <f t="shared" si="0"/>
        <v>197000</v>
      </c>
      <c r="D10" s="508">
        <v>99000</v>
      </c>
      <c r="E10" s="546"/>
      <c r="F10" s="546"/>
      <c r="G10" s="561" t="s">
        <v>749</v>
      </c>
      <c r="H10" s="1" t="s">
        <v>741</v>
      </c>
      <c r="I10" s="73"/>
    </row>
    <row r="11" spans="1:9" ht="16.5" customHeight="1">
      <c r="A11" s="605"/>
      <c r="B11" s="173" t="s">
        <v>750</v>
      </c>
      <c r="C11" s="508">
        <f t="shared" si="0"/>
        <v>197000</v>
      </c>
      <c r="D11" s="508">
        <v>99000</v>
      </c>
      <c r="E11" s="546"/>
      <c r="F11" s="546"/>
      <c r="G11" s="561" t="s">
        <v>751</v>
      </c>
      <c r="H11" s="1" t="s">
        <v>741</v>
      </c>
      <c r="I11" s="73"/>
    </row>
    <row r="12" spans="1:9" ht="16.5" customHeight="1">
      <c r="A12" s="605"/>
      <c r="B12" s="173" t="s">
        <v>752</v>
      </c>
      <c r="C12" s="508">
        <f t="shared" si="0"/>
        <v>597000</v>
      </c>
      <c r="D12" s="508">
        <v>299000</v>
      </c>
      <c r="E12" s="546"/>
      <c r="F12" s="546"/>
      <c r="G12" s="561" t="s">
        <v>695</v>
      </c>
      <c r="H12" s="1" t="s">
        <v>741</v>
      </c>
      <c r="I12" s="73"/>
    </row>
    <row r="13" spans="1:9" ht="17.25" customHeight="1">
      <c r="A13" s="605"/>
      <c r="B13" s="173" t="s">
        <v>753</v>
      </c>
      <c r="C13" s="508">
        <f t="shared" si="0"/>
        <v>1497000</v>
      </c>
      <c r="D13" s="508">
        <v>749000</v>
      </c>
      <c r="E13" s="546"/>
      <c r="F13" s="546"/>
      <c r="G13" s="561" t="s">
        <v>754</v>
      </c>
      <c r="H13" s="1" t="s">
        <v>741</v>
      </c>
      <c r="I13" s="73"/>
    </row>
    <row r="14" spans="1:9" ht="16.5" customHeight="1">
      <c r="A14" s="606"/>
      <c r="B14" s="256" t="s">
        <v>755</v>
      </c>
      <c r="C14" s="562">
        <f t="shared" si="0"/>
        <v>1699000</v>
      </c>
      <c r="D14" s="562">
        <v>850000</v>
      </c>
      <c r="E14" s="556"/>
      <c r="F14" s="550"/>
      <c r="G14" s="563" t="s">
        <v>695</v>
      </c>
      <c r="H14" s="1" t="s">
        <v>741</v>
      </c>
      <c r="I14" s="73"/>
    </row>
    <row r="15" spans="1:9" ht="16.5" customHeight="1">
      <c r="A15" s="666" t="s">
        <v>756</v>
      </c>
      <c r="B15" s="248" t="s">
        <v>757</v>
      </c>
      <c r="C15" s="508">
        <f t="shared" si="0"/>
        <v>397000</v>
      </c>
      <c r="D15" s="503">
        <v>199000</v>
      </c>
      <c r="E15" s="546"/>
      <c r="F15" s="734"/>
      <c r="G15" s="561" t="s">
        <v>758</v>
      </c>
      <c r="H15" s="1" t="s">
        <v>741</v>
      </c>
      <c r="I15" s="73"/>
    </row>
    <row r="16" spans="1:9" ht="16.5" customHeight="1">
      <c r="A16" s="605"/>
      <c r="B16" s="252" t="s">
        <v>277</v>
      </c>
      <c r="C16" s="508">
        <f t="shared" si="0"/>
        <v>477000</v>
      </c>
      <c r="D16" s="508">
        <v>239000</v>
      </c>
      <c r="E16" s="546"/>
      <c r="F16" s="605"/>
      <c r="G16" s="561" t="s">
        <v>759</v>
      </c>
      <c r="H16" s="1" t="s">
        <v>741</v>
      </c>
      <c r="I16" s="73"/>
    </row>
    <row r="17" spans="1:9" ht="16.5" customHeight="1">
      <c r="A17" s="605"/>
      <c r="B17" s="252" t="s">
        <v>760</v>
      </c>
      <c r="C17" s="508">
        <f t="shared" si="0"/>
        <v>699000</v>
      </c>
      <c r="D17" s="508">
        <v>350000</v>
      </c>
      <c r="E17" s="546"/>
      <c r="F17" s="605"/>
      <c r="G17" s="561" t="s">
        <v>758</v>
      </c>
      <c r="H17" s="1" t="s">
        <v>741</v>
      </c>
      <c r="I17" s="73"/>
    </row>
    <row r="18" spans="1:9" ht="16.5" customHeight="1">
      <c r="A18" s="606"/>
      <c r="B18" s="256" t="s">
        <v>761</v>
      </c>
      <c r="C18" s="562">
        <f t="shared" si="0"/>
        <v>797000</v>
      </c>
      <c r="D18" s="562">
        <v>399000</v>
      </c>
      <c r="E18" s="550"/>
      <c r="F18" s="606"/>
      <c r="G18" s="563" t="s">
        <v>758</v>
      </c>
      <c r="H18" s="1" t="s">
        <v>741</v>
      </c>
      <c r="I18" s="73"/>
    </row>
    <row r="19" spans="1:9" ht="16.5" customHeight="1">
      <c r="A19" s="689" t="s">
        <v>762</v>
      </c>
      <c r="B19" s="173" t="s">
        <v>763</v>
      </c>
      <c r="C19" s="508">
        <f t="shared" si="0"/>
        <v>117000</v>
      </c>
      <c r="D19" s="508">
        <v>59000</v>
      </c>
      <c r="E19" s="173"/>
      <c r="F19" s="734"/>
      <c r="G19" s="561" t="s">
        <v>720</v>
      </c>
      <c r="H19" s="1" t="s">
        <v>741</v>
      </c>
      <c r="I19" s="1"/>
    </row>
    <row r="20" spans="1:9" ht="16.5" customHeight="1">
      <c r="A20" s="605"/>
      <c r="B20" s="173" t="s">
        <v>764</v>
      </c>
      <c r="C20" s="508">
        <f t="shared" si="0"/>
        <v>297000</v>
      </c>
      <c r="D20" s="508">
        <v>149000</v>
      </c>
      <c r="E20" s="173"/>
      <c r="F20" s="605"/>
      <c r="G20" s="561" t="s">
        <v>765</v>
      </c>
      <c r="H20" s="1" t="s">
        <v>741</v>
      </c>
      <c r="I20" s="1"/>
    </row>
    <row r="21" spans="1:9" ht="16.5" customHeight="1">
      <c r="A21" s="605"/>
      <c r="B21" s="173" t="s">
        <v>766</v>
      </c>
      <c r="C21" s="508">
        <f t="shared" si="0"/>
        <v>437000</v>
      </c>
      <c r="D21" s="508">
        <v>219000</v>
      </c>
      <c r="E21" s="173"/>
      <c r="F21" s="605"/>
      <c r="G21" s="561" t="s">
        <v>767</v>
      </c>
      <c r="H21" s="1" t="s">
        <v>741</v>
      </c>
      <c r="I21" s="73"/>
    </row>
    <row r="22" spans="1:9" ht="16.5" customHeight="1">
      <c r="A22" s="606"/>
      <c r="B22" s="173" t="s">
        <v>768</v>
      </c>
      <c r="C22" s="562">
        <f t="shared" si="0"/>
        <v>977000</v>
      </c>
      <c r="D22" s="508">
        <v>489000</v>
      </c>
      <c r="E22" s="556"/>
      <c r="F22" s="606"/>
      <c r="G22" s="563" t="s">
        <v>693</v>
      </c>
      <c r="H22" s="1" t="s">
        <v>741</v>
      </c>
      <c r="I22" s="73"/>
    </row>
    <row r="23" spans="1:9" ht="16.5" customHeight="1">
      <c r="A23" s="670" t="s">
        <v>726</v>
      </c>
      <c r="B23" s="420" t="s">
        <v>769</v>
      </c>
      <c r="C23" s="508">
        <f t="shared" si="0"/>
        <v>197000</v>
      </c>
      <c r="D23" s="505">
        <v>99000</v>
      </c>
      <c r="E23" s="546"/>
      <c r="F23" s="229"/>
      <c r="G23" s="561" t="s">
        <v>703</v>
      </c>
      <c r="H23" s="1" t="s">
        <v>741</v>
      </c>
      <c r="I23" s="73"/>
    </row>
    <row r="24" spans="1:9" ht="16.5" customHeight="1">
      <c r="A24" s="605"/>
      <c r="B24" s="447" t="s">
        <v>770</v>
      </c>
      <c r="C24" s="508">
        <f t="shared" si="0"/>
        <v>237000</v>
      </c>
      <c r="D24" s="108">
        <v>119000</v>
      </c>
      <c r="E24" s="546"/>
      <c r="F24" s="546"/>
      <c r="G24" s="561" t="s">
        <v>720</v>
      </c>
      <c r="H24" s="1" t="s">
        <v>741</v>
      </c>
      <c r="I24" s="73"/>
    </row>
    <row r="25" spans="1:9" ht="16.5" customHeight="1">
      <c r="A25" s="605"/>
      <c r="B25" s="442" t="s">
        <v>771</v>
      </c>
      <c r="C25" s="508">
        <f t="shared" si="0"/>
        <v>117000</v>
      </c>
      <c r="D25" s="510">
        <v>59000</v>
      </c>
      <c r="E25" s="546"/>
      <c r="F25" s="546"/>
      <c r="G25" s="561" t="s">
        <v>697</v>
      </c>
      <c r="H25" s="1" t="s">
        <v>741</v>
      </c>
      <c r="I25" s="73"/>
    </row>
    <row r="26" spans="1:9" ht="16.5" customHeight="1">
      <c r="A26" s="605"/>
      <c r="B26" s="442" t="s">
        <v>540</v>
      </c>
      <c r="C26" s="508">
        <f t="shared" si="0"/>
        <v>1397000</v>
      </c>
      <c r="D26" s="510">
        <v>699000</v>
      </c>
      <c r="E26" s="456"/>
      <c r="F26" s="546"/>
      <c r="G26" s="561" t="s">
        <v>689</v>
      </c>
      <c r="H26" s="1" t="s">
        <v>741</v>
      </c>
      <c r="I26" s="73"/>
    </row>
    <row r="27" spans="1:9" ht="16.5" customHeight="1">
      <c r="A27" s="605"/>
      <c r="B27" s="447" t="s">
        <v>772</v>
      </c>
      <c r="C27" s="508">
        <f t="shared" si="0"/>
        <v>217000</v>
      </c>
      <c r="D27" s="108">
        <v>109000</v>
      </c>
      <c r="E27" s="546"/>
      <c r="F27" s="546"/>
      <c r="G27" s="561" t="s">
        <v>720</v>
      </c>
      <c r="H27" s="1" t="s">
        <v>741</v>
      </c>
      <c r="I27" s="73"/>
    </row>
    <row r="28" spans="1:9" ht="16.5" customHeight="1">
      <c r="A28" s="605"/>
      <c r="B28" s="442" t="s">
        <v>773</v>
      </c>
      <c r="C28" s="508">
        <f t="shared" si="0"/>
        <v>597000</v>
      </c>
      <c r="D28" s="510">
        <v>299000</v>
      </c>
      <c r="E28" s="176"/>
      <c r="F28" s="546"/>
      <c r="G28" s="561" t="s">
        <v>774</v>
      </c>
      <c r="H28" s="1" t="s">
        <v>741</v>
      </c>
      <c r="I28" s="73"/>
    </row>
    <row r="29" spans="1:9" ht="16.5" customHeight="1">
      <c r="A29" s="606"/>
      <c r="B29" s="443" t="s">
        <v>775</v>
      </c>
      <c r="C29" s="562">
        <f t="shared" si="0"/>
        <v>779000</v>
      </c>
      <c r="D29" s="564">
        <v>390000</v>
      </c>
      <c r="E29" s="550"/>
      <c r="F29" s="550"/>
      <c r="G29" s="563" t="s">
        <v>697</v>
      </c>
      <c r="H29" s="73" t="s">
        <v>741</v>
      </c>
      <c r="I29" s="73"/>
    </row>
    <row r="30" spans="1:9" ht="16.5" customHeight="1">
      <c r="A30" s="670" t="s">
        <v>776</v>
      </c>
      <c r="B30" s="169" t="s">
        <v>777</v>
      </c>
      <c r="C30" s="508">
        <f t="shared" si="0"/>
        <v>1077000</v>
      </c>
      <c r="D30" s="565">
        <v>539000</v>
      </c>
      <c r="E30" s="566"/>
      <c r="F30" s="734"/>
      <c r="G30" s="561" t="s">
        <v>689</v>
      </c>
      <c r="H30" s="73" t="s">
        <v>741</v>
      </c>
      <c r="I30" s="73"/>
    </row>
    <row r="31" spans="1:9" ht="16.5" customHeight="1">
      <c r="A31" s="605"/>
      <c r="B31" s="173" t="s">
        <v>778</v>
      </c>
      <c r="C31" s="508">
        <f t="shared" si="0"/>
        <v>797000</v>
      </c>
      <c r="D31" s="508">
        <v>399000</v>
      </c>
      <c r="E31" s="173"/>
      <c r="F31" s="605"/>
      <c r="G31" s="561" t="s">
        <v>779</v>
      </c>
      <c r="H31" s="73" t="s">
        <v>741</v>
      </c>
      <c r="I31" s="73"/>
    </row>
    <row r="32" spans="1:9" ht="16.5" customHeight="1">
      <c r="A32" s="636"/>
      <c r="B32" s="175" t="s">
        <v>780</v>
      </c>
      <c r="C32" s="562">
        <f t="shared" si="0"/>
        <v>797000</v>
      </c>
      <c r="D32" s="565">
        <v>399000</v>
      </c>
      <c r="E32" s="175"/>
      <c r="F32" s="606"/>
      <c r="G32" s="563" t="s">
        <v>697</v>
      </c>
      <c r="H32" s="73" t="s">
        <v>741</v>
      </c>
      <c r="I32" s="73"/>
    </row>
    <row r="33" spans="1:9" ht="16.5" customHeight="1">
      <c r="A33" s="735" t="s">
        <v>781</v>
      </c>
      <c r="B33" s="169" t="s">
        <v>782</v>
      </c>
      <c r="C33" s="508">
        <f t="shared" si="0"/>
        <v>297000</v>
      </c>
      <c r="D33" s="508">
        <v>149000</v>
      </c>
      <c r="E33" s="176"/>
      <c r="F33" s="176"/>
      <c r="G33" s="552"/>
      <c r="H33" s="73"/>
      <c r="I33" s="73"/>
    </row>
    <row r="34" spans="1:9" ht="16.5" customHeight="1">
      <c r="A34" s="614"/>
      <c r="B34" s="173" t="s">
        <v>783</v>
      </c>
      <c r="C34" s="508">
        <f t="shared" si="0"/>
        <v>317000</v>
      </c>
      <c r="D34" s="510">
        <v>159000</v>
      </c>
      <c r="E34" s="551"/>
      <c r="F34" s="176"/>
      <c r="G34" s="552"/>
      <c r="H34" s="73"/>
      <c r="I34" s="73"/>
    </row>
    <row r="35" spans="1:9" ht="16.5" customHeight="1">
      <c r="A35" s="614"/>
      <c r="B35" s="173" t="s">
        <v>784</v>
      </c>
      <c r="C35" s="508">
        <f t="shared" si="0"/>
        <v>257000</v>
      </c>
      <c r="D35" s="108">
        <v>129000</v>
      </c>
      <c r="E35" s="551"/>
      <c r="F35" s="176"/>
      <c r="G35" s="552"/>
      <c r="H35" s="73"/>
      <c r="I35" s="73"/>
    </row>
    <row r="36" spans="1:9" ht="16.5" customHeight="1">
      <c r="A36" s="614"/>
      <c r="B36" s="173" t="s">
        <v>785</v>
      </c>
      <c r="C36" s="508">
        <f t="shared" si="0"/>
        <v>237000</v>
      </c>
      <c r="D36" s="510">
        <v>119000</v>
      </c>
      <c r="E36" s="176"/>
      <c r="F36" s="176"/>
      <c r="G36" s="552"/>
      <c r="H36" s="73"/>
      <c r="I36" s="73"/>
    </row>
    <row r="37" spans="1:9" ht="16.5" customHeight="1">
      <c r="A37" s="614"/>
      <c r="B37" s="173" t="s">
        <v>786</v>
      </c>
      <c r="C37" s="508">
        <f t="shared" si="0"/>
        <v>233000</v>
      </c>
      <c r="D37" s="108">
        <v>117000</v>
      </c>
      <c r="E37" s="551"/>
      <c r="F37" s="176"/>
      <c r="G37" s="552"/>
      <c r="H37" s="73"/>
      <c r="I37" s="73"/>
    </row>
    <row r="38" spans="1:9" ht="16.5" customHeight="1">
      <c r="A38" s="614"/>
      <c r="B38" s="173" t="s">
        <v>787</v>
      </c>
      <c r="C38" s="508">
        <f t="shared" si="0"/>
        <v>197000</v>
      </c>
      <c r="D38" s="510">
        <v>99000</v>
      </c>
      <c r="E38" s="551"/>
      <c r="F38" s="176"/>
      <c r="G38" s="552"/>
      <c r="H38" s="73"/>
      <c r="I38" s="73"/>
    </row>
    <row r="39" spans="1:9" ht="16.5" customHeight="1">
      <c r="A39" s="616"/>
      <c r="B39" s="175" t="s">
        <v>615</v>
      </c>
      <c r="C39" s="562">
        <f t="shared" si="0"/>
        <v>597000</v>
      </c>
      <c r="D39" s="564">
        <v>299000</v>
      </c>
      <c r="E39" s="551"/>
      <c r="F39" s="176"/>
      <c r="G39" s="552"/>
      <c r="H39" s="73"/>
      <c r="I39" s="73"/>
    </row>
    <row r="40" spans="1:9" ht="16.5" customHeight="1">
      <c r="A40" s="73"/>
      <c r="B40" s="73"/>
      <c r="C40" s="73"/>
      <c r="D40" s="73"/>
      <c r="E40" s="176"/>
      <c r="F40" s="176"/>
      <c r="G40" s="552"/>
      <c r="H40" s="73"/>
      <c r="I40" s="73"/>
    </row>
    <row r="41" spans="1:9" ht="16.5" customHeight="1">
      <c r="A41" s="73"/>
      <c r="B41" s="73"/>
      <c r="C41" s="73"/>
      <c r="D41" s="73"/>
      <c r="E41" s="176"/>
      <c r="F41" s="176"/>
      <c r="G41" s="552"/>
      <c r="H41" s="73"/>
      <c r="I41" s="73"/>
    </row>
    <row r="42" spans="1:9" ht="16.5" customHeight="1">
      <c r="A42" s="73"/>
      <c r="B42" s="73"/>
      <c r="C42" s="73"/>
      <c r="D42" s="73"/>
      <c r="E42" s="176"/>
      <c r="F42" s="176"/>
      <c r="G42" s="552"/>
      <c r="H42" s="73"/>
      <c r="I42" s="73"/>
    </row>
    <row r="43" spans="1:9" ht="16.5" customHeight="1">
      <c r="A43" s="73"/>
      <c r="B43" s="73"/>
      <c r="C43" s="73"/>
      <c r="D43" s="73"/>
      <c r="E43" s="176"/>
      <c r="F43" s="176"/>
      <c r="G43" s="552"/>
      <c r="H43" s="73"/>
      <c r="I43" s="73"/>
    </row>
    <row r="44" spans="1:9" ht="16.5" customHeight="1">
      <c r="A44" s="73"/>
      <c r="B44" s="73"/>
      <c r="C44" s="73"/>
      <c r="D44" s="73"/>
      <c r="E44" s="176"/>
      <c r="F44" s="176"/>
      <c r="G44" s="552"/>
      <c r="H44" s="73"/>
      <c r="I44" s="73"/>
    </row>
    <row r="45" spans="1:9" ht="16.5" customHeight="1">
      <c r="A45" s="73"/>
      <c r="B45" s="73"/>
      <c r="C45" s="73"/>
      <c r="D45" s="73"/>
      <c r="E45" s="176"/>
      <c r="F45" s="176"/>
      <c r="G45" s="552"/>
      <c r="H45" s="73"/>
      <c r="I45" s="73"/>
    </row>
    <row r="46" spans="1:9" ht="16.5" customHeight="1">
      <c r="A46" s="73"/>
      <c r="B46" s="73"/>
      <c r="C46" s="73"/>
      <c r="D46" s="73"/>
      <c r="E46" s="176"/>
      <c r="F46" s="176"/>
      <c r="G46" s="552"/>
      <c r="H46" s="73"/>
      <c r="I46" s="73"/>
    </row>
    <row r="47" spans="1:9" ht="16.5" customHeight="1">
      <c r="A47" s="73"/>
      <c r="B47" s="73"/>
      <c r="C47" s="73"/>
      <c r="D47" s="73"/>
      <c r="E47" s="176"/>
      <c r="F47" s="176"/>
      <c r="G47" s="552"/>
      <c r="H47" s="73"/>
      <c r="I47" s="73"/>
    </row>
    <row r="48" spans="1:9" ht="16.5" customHeight="1">
      <c r="A48" s="73"/>
      <c r="B48" s="73"/>
      <c r="C48" s="73"/>
      <c r="D48" s="73"/>
      <c r="E48" s="176"/>
      <c r="F48" s="176"/>
      <c r="G48" s="552"/>
      <c r="H48" s="73"/>
      <c r="I48" s="73"/>
    </row>
    <row r="49" spans="1:9" ht="16.5" customHeight="1">
      <c r="A49" s="73"/>
      <c r="B49" s="73"/>
      <c r="C49" s="73"/>
      <c r="D49" s="73"/>
      <c r="E49" s="176"/>
      <c r="F49" s="176"/>
      <c r="G49" s="552"/>
      <c r="H49" s="73"/>
      <c r="I49" s="73"/>
    </row>
    <row r="50" spans="1:9" ht="16.5" customHeight="1">
      <c r="A50" s="73"/>
      <c r="B50" s="73"/>
      <c r="C50" s="73"/>
      <c r="D50" s="73"/>
      <c r="E50" s="176"/>
      <c r="F50" s="176"/>
      <c r="G50" s="552"/>
      <c r="H50" s="73"/>
      <c r="I50" s="73"/>
    </row>
    <row r="51" spans="1:9" ht="16.5" customHeight="1">
      <c r="A51" s="73"/>
      <c r="B51" s="73"/>
      <c r="C51" s="73"/>
      <c r="D51" s="73"/>
      <c r="E51" s="176"/>
      <c r="F51" s="176"/>
      <c r="G51" s="552"/>
      <c r="H51" s="73"/>
      <c r="I51" s="73"/>
    </row>
    <row r="52" spans="1:9" ht="16.5" customHeight="1">
      <c r="A52" s="73"/>
      <c r="B52" s="73"/>
      <c r="C52" s="73"/>
      <c r="D52" s="73"/>
      <c r="E52" s="176"/>
      <c r="F52" s="176"/>
      <c r="G52" s="552"/>
      <c r="H52" s="73"/>
      <c r="I52" s="73"/>
    </row>
    <row r="53" spans="1:9" ht="16.5" customHeight="1">
      <c r="A53" s="73"/>
      <c r="B53" s="73"/>
      <c r="C53" s="73"/>
      <c r="D53" s="73"/>
      <c r="E53" s="176"/>
      <c r="F53" s="176"/>
      <c r="G53" s="552"/>
      <c r="H53" s="73"/>
      <c r="I53" s="73"/>
    </row>
    <row r="54" spans="1:9" ht="16.5" customHeight="1">
      <c r="A54" s="73"/>
      <c r="B54" s="73"/>
      <c r="C54" s="73"/>
      <c r="D54" s="73"/>
      <c r="E54" s="176"/>
      <c r="F54" s="176"/>
      <c r="G54" s="552"/>
      <c r="H54" s="73"/>
      <c r="I54" s="73"/>
    </row>
    <row r="55" spans="1:9" ht="16.5" customHeight="1">
      <c r="A55" s="73"/>
      <c r="B55" s="73"/>
      <c r="C55" s="73"/>
      <c r="D55" s="73"/>
      <c r="E55" s="176"/>
      <c r="F55" s="176"/>
      <c r="G55" s="552"/>
      <c r="H55" s="73"/>
      <c r="I55" s="73"/>
    </row>
    <row r="56" spans="1:9" ht="16.5" customHeight="1">
      <c r="A56" s="73"/>
      <c r="B56" s="73"/>
      <c r="C56" s="73"/>
      <c r="D56" s="73"/>
      <c r="E56" s="176"/>
      <c r="F56" s="176"/>
      <c r="G56" s="552"/>
      <c r="H56" s="73"/>
      <c r="I56" s="73"/>
    </row>
    <row r="57" spans="1:9" ht="16.5" customHeight="1">
      <c r="A57" s="73"/>
      <c r="B57" s="73"/>
      <c r="C57" s="73"/>
      <c r="D57" s="73"/>
      <c r="E57" s="176"/>
      <c r="F57" s="176"/>
      <c r="G57" s="552"/>
      <c r="H57" s="73"/>
      <c r="I57" s="73"/>
    </row>
    <row r="58" spans="1:9" ht="16.5" customHeight="1">
      <c r="A58" s="73"/>
      <c r="B58" s="73"/>
      <c r="C58" s="73"/>
      <c r="D58" s="73"/>
      <c r="E58" s="176"/>
      <c r="F58" s="176"/>
      <c r="G58" s="552"/>
      <c r="H58" s="73"/>
      <c r="I58" s="73"/>
    </row>
    <row r="59" spans="1:9" ht="16.5" customHeight="1">
      <c r="A59" s="73"/>
      <c r="B59" s="73"/>
      <c r="C59" s="73"/>
      <c r="D59" s="73"/>
      <c r="E59" s="176"/>
      <c r="F59" s="176"/>
      <c r="G59" s="552"/>
      <c r="H59" s="73"/>
      <c r="I59" s="73"/>
    </row>
    <row r="60" spans="1:9" ht="16.5" customHeight="1">
      <c r="A60" s="73"/>
      <c r="B60" s="73"/>
      <c r="C60" s="73"/>
      <c r="D60" s="73"/>
      <c r="E60" s="176"/>
      <c r="F60" s="176"/>
      <c r="G60" s="552"/>
      <c r="H60" s="73"/>
      <c r="I60" s="73"/>
    </row>
    <row r="61" spans="1:9" ht="16.5" customHeight="1">
      <c r="A61" s="73"/>
      <c r="B61" s="73"/>
      <c r="C61" s="73"/>
      <c r="D61" s="73"/>
      <c r="E61" s="176"/>
      <c r="F61" s="176"/>
      <c r="G61" s="552"/>
      <c r="H61" s="73"/>
      <c r="I61" s="73"/>
    </row>
    <row r="62" spans="1:9" ht="16.5" customHeight="1">
      <c r="A62" s="73"/>
      <c r="B62" s="73"/>
      <c r="C62" s="73"/>
      <c r="D62" s="73"/>
      <c r="E62" s="176"/>
      <c r="F62" s="176"/>
      <c r="G62" s="552"/>
      <c r="H62" s="73"/>
      <c r="I62" s="73"/>
    </row>
    <row r="63" spans="1:9" ht="16.5" customHeight="1">
      <c r="A63" s="73"/>
      <c r="B63" s="73"/>
      <c r="C63" s="73"/>
      <c r="D63" s="73"/>
      <c r="E63" s="176"/>
      <c r="F63" s="176"/>
      <c r="G63" s="552"/>
      <c r="H63" s="73"/>
      <c r="I63" s="73"/>
    </row>
    <row r="64" spans="1:9" ht="16.5" customHeight="1">
      <c r="A64" s="73"/>
      <c r="B64" s="73"/>
      <c r="C64" s="73"/>
      <c r="D64" s="73"/>
      <c r="E64" s="176"/>
      <c r="F64" s="176"/>
      <c r="G64" s="552"/>
      <c r="H64" s="73"/>
      <c r="I64" s="73"/>
    </row>
    <row r="65" spans="1:9" ht="16.5" customHeight="1">
      <c r="A65" s="73"/>
      <c r="B65" s="73"/>
      <c r="C65" s="73"/>
      <c r="D65" s="73"/>
      <c r="E65" s="176"/>
      <c r="F65" s="176"/>
      <c r="G65" s="552"/>
      <c r="H65" s="73"/>
      <c r="I65" s="73"/>
    </row>
    <row r="66" spans="1:9" ht="16.5" customHeight="1">
      <c r="A66" s="73"/>
      <c r="B66" s="73"/>
      <c r="C66" s="73"/>
      <c r="D66" s="73"/>
      <c r="E66" s="176"/>
      <c r="F66" s="176"/>
      <c r="G66" s="552"/>
      <c r="H66" s="73"/>
      <c r="I66" s="73"/>
    </row>
    <row r="67" spans="1:9" ht="16.5" customHeight="1">
      <c r="A67" s="73"/>
      <c r="B67" s="73"/>
      <c r="C67" s="73"/>
      <c r="D67" s="73"/>
      <c r="E67" s="176"/>
      <c r="F67" s="176"/>
      <c r="G67" s="552"/>
      <c r="H67" s="73"/>
      <c r="I67" s="73"/>
    </row>
    <row r="68" spans="1:9" ht="16.5" customHeight="1">
      <c r="A68" s="73"/>
      <c r="B68" s="73"/>
      <c r="C68" s="73"/>
      <c r="D68" s="73"/>
      <c r="E68" s="176"/>
      <c r="F68" s="176"/>
      <c r="G68" s="552"/>
      <c r="H68" s="73"/>
      <c r="I68" s="73"/>
    </row>
    <row r="69" spans="1:9" ht="16.5" customHeight="1">
      <c r="A69" s="73"/>
      <c r="B69" s="73"/>
      <c r="C69" s="73"/>
      <c r="D69" s="73"/>
      <c r="E69" s="176"/>
      <c r="F69" s="176"/>
      <c r="G69" s="552"/>
      <c r="H69" s="73"/>
      <c r="I69" s="73"/>
    </row>
    <row r="70" spans="1:9" ht="16.5" customHeight="1">
      <c r="A70" s="73"/>
      <c r="B70" s="73"/>
      <c r="C70" s="73"/>
      <c r="D70" s="73"/>
      <c r="E70" s="176"/>
      <c r="F70" s="176"/>
      <c r="G70" s="552"/>
      <c r="H70" s="73"/>
      <c r="I70" s="73"/>
    </row>
    <row r="71" spans="1:9" ht="16.5" customHeight="1">
      <c r="A71" s="73"/>
      <c r="B71" s="73"/>
      <c r="C71" s="73"/>
      <c r="D71" s="73"/>
      <c r="E71" s="176"/>
      <c r="F71" s="176"/>
      <c r="G71" s="552"/>
      <c r="H71" s="73"/>
      <c r="I71" s="73"/>
    </row>
    <row r="72" spans="1:9" ht="16.5" customHeight="1">
      <c r="A72" s="73"/>
      <c r="B72" s="73"/>
      <c r="C72" s="73"/>
      <c r="D72" s="73"/>
      <c r="E72" s="176"/>
      <c r="F72" s="176"/>
      <c r="G72" s="552"/>
      <c r="H72" s="73"/>
      <c r="I72" s="73"/>
    </row>
    <row r="73" spans="1:9" ht="16.5" customHeight="1">
      <c r="A73" s="73"/>
      <c r="B73" s="73"/>
      <c r="C73" s="73"/>
      <c r="D73" s="73"/>
      <c r="E73" s="176"/>
      <c r="F73" s="176"/>
      <c r="G73" s="552"/>
      <c r="H73" s="73"/>
      <c r="I73" s="73"/>
    </row>
    <row r="74" spans="1:9" ht="16.5" customHeight="1">
      <c r="A74" s="73"/>
      <c r="B74" s="73"/>
      <c r="C74" s="73"/>
      <c r="D74" s="73"/>
      <c r="E74" s="176"/>
      <c r="F74" s="176"/>
      <c r="G74" s="552"/>
      <c r="H74" s="73"/>
      <c r="I74" s="73"/>
    </row>
    <row r="75" spans="1:9" ht="16.5" customHeight="1">
      <c r="A75" s="73"/>
      <c r="B75" s="73"/>
      <c r="C75" s="73"/>
      <c r="D75" s="73"/>
      <c r="E75" s="176"/>
      <c r="F75" s="176"/>
      <c r="G75" s="552"/>
      <c r="H75" s="73"/>
      <c r="I75" s="73"/>
    </row>
    <row r="76" spans="1:9" ht="16.5" customHeight="1">
      <c r="A76" s="73"/>
      <c r="B76" s="73"/>
      <c r="C76" s="73"/>
      <c r="D76" s="73"/>
      <c r="E76" s="176"/>
      <c r="F76" s="176"/>
      <c r="G76" s="552"/>
      <c r="H76" s="73"/>
      <c r="I76" s="73"/>
    </row>
    <row r="77" spans="1:9" ht="16.5" customHeight="1">
      <c r="A77" s="73"/>
      <c r="B77" s="73"/>
      <c r="C77" s="73"/>
      <c r="D77" s="73"/>
      <c r="E77" s="176"/>
      <c r="F77" s="176"/>
      <c r="G77" s="552"/>
      <c r="H77" s="73"/>
      <c r="I77" s="73"/>
    </row>
    <row r="78" spans="1:9" ht="16.5" customHeight="1">
      <c r="A78" s="73"/>
      <c r="B78" s="73"/>
      <c r="C78" s="73"/>
      <c r="D78" s="73"/>
      <c r="E78" s="176"/>
      <c r="F78" s="176"/>
      <c r="G78" s="552"/>
      <c r="H78" s="73"/>
      <c r="I78" s="73"/>
    </row>
    <row r="79" spans="1:9" ht="16.5" customHeight="1">
      <c r="A79" s="73"/>
      <c r="B79" s="73"/>
      <c r="C79" s="73"/>
      <c r="D79" s="73"/>
      <c r="E79" s="176"/>
      <c r="F79" s="176"/>
      <c r="G79" s="552"/>
      <c r="H79" s="73"/>
      <c r="I79" s="73"/>
    </row>
    <row r="80" spans="1:9" ht="16.5" customHeight="1">
      <c r="A80" s="73"/>
      <c r="B80" s="73"/>
      <c r="C80" s="73"/>
      <c r="D80" s="73"/>
      <c r="E80" s="176"/>
      <c r="F80" s="176"/>
      <c r="G80" s="552"/>
      <c r="H80" s="73"/>
      <c r="I80" s="73"/>
    </row>
    <row r="81" spans="1:9" ht="16.5" customHeight="1">
      <c r="A81" s="73"/>
      <c r="B81" s="73"/>
      <c r="C81" s="73"/>
      <c r="D81" s="73"/>
      <c r="E81" s="176"/>
      <c r="F81" s="176"/>
      <c r="G81" s="552"/>
      <c r="H81" s="73"/>
      <c r="I81" s="73"/>
    </row>
    <row r="82" spans="1:9" ht="16.5" customHeight="1">
      <c r="A82" s="73"/>
      <c r="B82" s="73"/>
      <c r="C82" s="73"/>
      <c r="D82" s="73"/>
      <c r="E82" s="176"/>
      <c r="F82" s="176"/>
      <c r="G82" s="552"/>
      <c r="H82" s="73"/>
      <c r="I82" s="73"/>
    </row>
    <row r="83" spans="1:9" ht="16.5" customHeight="1">
      <c r="A83" s="73"/>
      <c r="B83" s="73"/>
      <c r="C83" s="73"/>
      <c r="D83" s="73"/>
      <c r="E83" s="176"/>
      <c r="F83" s="176"/>
      <c r="G83" s="552"/>
      <c r="H83" s="73"/>
      <c r="I83" s="73"/>
    </row>
    <row r="84" spans="1:9" ht="16.5" customHeight="1">
      <c r="A84" s="73"/>
      <c r="B84" s="73"/>
      <c r="C84" s="73"/>
      <c r="D84" s="73"/>
      <c r="E84" s="176"/>
      <c r="F84" s="176"/>
      <c r="G84" s="552"/>
      <c r="H84" s="73"/>
      <c r="I84" s="73"/>
    </row>
    <row r="85" spans="1:9" ht="16.5" customHeight="1">
      <c r="A85" s="73"/>
      <c r="B85" s="73"/>
      <c r="C85" s="73"/>
      <c r="D85" s="73"/>
      <c r="E85" s="176"/>
      <c r="F85" s="176"/>
      <c r="G85" s="552"/>
      <c r="H85" s="73"/>
      <c r="I85" s="73"/>
    </row>
    <row r="86" spans="1:9" ht="16.5" customHeight="1">
      <c r="A86" s="73"/>
      <c r="B86" s="73"/>
      <c r="C86" s="73"/>
      <c r="D86" s="73"/>
      <c r="E86" s="176"/>
      <c r="F86" s="176"/>
      <c r="G86" s="552"/>
      <c r="H86" s="73"/>
      <c r="I86" s="73"/>
    </row>
    <row r="87" spans="1:9" ht="16.5" customHeight="1">
      <c r="A87" s="73"/>
      <c r="B87" s="73"/>
      <c r="C87" s="73"/>
      <c r="D87" s="73"/>
      <c r="E87" s="176"/>
      <c r="F87" s="176"/>
      <c r="G87" s="552"/>
      <c r="H87" s="73"/>
      <c r="I87" s="73"/>
    </row>
    <row r="88" spans="1:9" ht="16.5" customHeight="1">
      <c r="A88" s="73"/>
      <c r="B88" s="73"/>
      <c r="C88" s="73"/>
      <c r="D88" s="73"/>
      <c r="E88" s="176"/>
      <c r="F88" s="176"/>
      <c r="G88" s="552"/>
      <c r="H88" s="73"/>
      <c r="I88" s="73"/>
    </row>
    <row r="89" spans="1:9" ht="16.5" customHeight="1">
      <c r="A89" s="73"/>
      <c r="B89" s="73"/>
      <c r="C89" s="73"/>
      <c r="D89" s="73"/>
      <c r="E89" s="176"/>
      <c r="F89" s="176"/>
      <c r="G89" s="552"/>
      <c r="H89" s="73"/>
      <c r="I89" s="73"/>
    </row>
    <row r="90" spans="1:9" ht="16.5" customHeight="1">
      <c r="A90" s="73"/>
      <c r="B90" s="73"/>
      <c r="C90" s="73"/>
      <c r="D90" s="73"/>
      <c r="E90" s="176"/>
      <c r="F90" s="176"/>
      <c r="G90" s="552"/>
      <c r="H90" s="73"/>
      <c r="I90" s="73"/>
    </row>
    <row r="91" spans="1:9" ht="16.5" customHeight="1">
      <c r="A91" s="73"/>
      <c r="B91" s="73"/>
      <c r="C91" s="73"/>
      <c r="D91" s="73"/>
      <c r="E91" s="176"/>
      <c r="F91" s="176"/>
      <c r="G91" s="552"/>
      <c r="H91" s="73"/>
      <c r="I91" s="73"/>
    </row>
    <row r="92" spans="1:9" ht="16.5" customHeight="1">
      <c r="A92" s="73"/>
      <c r="B92" s="73"/>
      <c r="C92" s="73"/>
      <c r="D92" s="73"/>
      <c r="E92" s="176"/>
      <c r="F92" s="176"/>
      <c r="G92" s="552"/>
      <c r="H92" s="73"/>
      <c r="I92" s="73"/>
    </row>
    <row r="93" spans="1:9" ht="16.5" customHeight="1">
      <c r="A93" s="73"/>
      <c r="B93" s="73"/>
      <c r="C93" s="73"/>
      <c r="D93" s="73"/>
      <c r="E93" s="176"/>
      <c r="F93" s="176"/>
      <c r="G93" s="552"/>
      <c r="H93" s="73"/>
      <c r="I93" s="73"/>
    </row>
    <row r="94" spans="1:9" ht="16.5" customHeight="1">
      <c r="A94" s="73"/>
      <c r="B94" s="73"/>
      <c r="C94" s="73"/>
      <c r="D94" s="73"/>
      <c r="E94" s="176"/>
      <c r="F94" s="176"/>
      <c r="G94" s="552"/>
      <c r="H94" s="73"/>
      <c r="I94" s="73"/>
    </row>
    <row r="95" spans="1:9" ht="16.5" customHeight="1">
      <c r="A95" s="73"/>
      <c r="B95" s="73"/>
      <c r="C95" s="73"/>
      <c r="D95" s="73"/>
      <c r="E95" s="176"/>
      <c r="F95" s="176"/>
      <c r="G95" s="552"/>
      <c r="H95" s="73"/>
      <c r="I95" s="73"/>
    </row>
    <row r="96" spans="1:9" ht="16.5" customHeight="1">
      <c r="A96" s="73"/>
      <c r="B96" s="73"/>
      <c r="C96" s="73"/>
      <c r="D96" s="73"/>
      <c r="E96" s="176"/>
      <c r="F96" s="176"/>
      <c r="G96" s="552"/>
      <c r="H96" s="73"/>
      <c r="I96" s="73"/>
    </row>
    <row r="97" spans="1:9" ht="16.5" customHeight="1">
      <c r="A97" s="73"/>
      <c r="B97" s="73"/>
      <c r="C97" s="73"/>
      <c r="D97" s="73"/>
      <c r="E97" s="176"/>
      <c r="F97" s="176"/>
      <c r="G97" s="552"/>
      <c r="H97" s="73"/>
      <c r="I97" s="73"/>
    </row>
    <row r="98" spans="1:9" ht="16.5" customHeight="1">
      <c r="A98" s="73"/>
      <c r="B98" s="73"/>
      <c r="C98" s="73"/>
      <c r="D98" s="73"/>
      <c r="E98" s="176"/>
      <c r="F98" s="176"/>
      <c r="G98" s="552"/>
      <c r="H98" s="73"/>
      <c r="I98" s="73"/>
    </row>
    <row r="99" spans="1:9" ht="16.5" customHeight="1">
      <c r="A99" s="73"/>
      <c r="B99" s="73"/>
      <c r="C99" s="73"/>
      <c r="D99" s="73"/>
      <c r="E99" s="176"/>
      <c r="F99" s="176"/>
      <c r="G99" s="552"/>
      <c r="H99" s="73"/>
      <c r="I99" s="73"/>
    </row>
    <row r="100" spans="1:9" ht="16.5" customHeight="1">
      <c r="A100" s="73"/>
      <c r="B100" s="73"/>
      <c r="C100" s="73"/>
      <c r="D100" s="73"/>
      <c r="E100" s="176"/>
      <c r="F100" s="176"/>
      <c r="G100" s="552"/>
      <c r="H100" s="73"/>
      <c r="I100" s="73"/>
    </row>
    <row r="101" spans="1:9" ht="16.5" customHeight="1">
      <c r="A101" s="73"/>
      <c r="B101" s="73"/>
      <c r="C101" s="73"/>
      <c r="D101" s="73"/>
      <c r="E101" s="176"/>
      <c r="F101" s="176"/>
      <c r="G101" s="552"/>
      <c r="H101" s="73"/>
      <c r="I101" s="73"/>
    </row>
    <row r="102" spans="1:9" ht="16.5" customHeight="1">
      <c r="A102" s="73"/>
      <c r="B102" s="73"/>
      <c r="C102" s="73"/>
      <c r="D102" s="73"/>
      <c r="E102" s="176"/>
      <c r="F102" s="176"/>
      <c r="G102" s="552"/>
      <c r="H102" s="73"/>
      <c r="I102" s="73"/>
    </row>
    <row r="103" spans="1:9" ht="16.5" customHeight="1">
      <c r="A103" s="73"/>
      <c r="B103" s="73"/>
      <c r="C103" s="73"/>
      <c r="D103" s="73"/>
      <c r="E103" s="176"/>
      <c r="F103" s="176"/>
      <c r="G103" s="552"/>
      <c r="H103" s="73"/>
      <c r="I103" s="73"/>
    </row>
    <row r="104" spans="1:9" ht="16.5" customHeight="1">
      <c r="A104" s="73"/>
      <c r="B104" s="73"/>
      <c r="C104" s="73"/>
      <c r="D104" s="73"/>
      <c r="E104" s="176"/>
      <c r="F104" s="176"/>
      <c r="G104" s="552"/>
      <c r="H104" s="73"/>
      <c r="I104" s="73"/>
    </row>
    <row r="105" spans="1:9" ht="16.5" customHeight="1">
      <c r="A105" s="73"/>
      <c r="B105" s="73"/>
      <c r="C105" s="73"/>
      <c r="D105" s="73"/>
      <c r="E105" s="176"/>
      <c r="F105" s="176"/>
      <c r="G105" s="552"/>
      <c r="H105" s="73"/>
      <c r="I105" s="73"/>
    </row>
    <row r="106" spans="1:9" ht="16.5" customHeight="1">
      <c r="A106" s="73"/>
      <c r="B106" s="73"/>
      <c r="C106" s="73"/>
      <c r="D106" s="73"/>
      <c r="E106" s="176"/>
      <c r="F106" s="176"/>
      <c r="G106" s="552"/>
      <c r="H106" s="73"/>
      <c r="I106" s="73"/>
    </row>
    <row r="107" spans="1:9" ht="16.5" customHeight="1">
      <c r="A107" s="73"/>
      <c r="B107" s="73"/>
      <c r="C107" s="73"/>
      <c r="D107" s="73"/>
      <c r="E107" s="176"/>
      <c r="F107" s="176"/>
      <c r="G107" s="552"/>
      <c r="H107" s="73"/>
      <c r="I107" s="73"/>
    </row>
    <row r="108" spans="1:9" ht="16.5" customHeight="1">
      <c r="A108" s="73"/>
      <c r="B108" s="73"/>
      <c r="C108" s="73"/>
      <c r="D108" s="73"/>
      <c r="E108" s="176"/>
      <c r="F108" s="176"/>
      <c r="G108" s="552"/>
      <c r="H108" s="73"/>
      <c r="I108" s="73"/>
    </row>
    <row r="109" spans="1:9" ht="16.5" customHeight="1">
      <c r="A109" s="73"/>
      <c r="B109" s="73"/>
      <c r="C109" s="73"/>
      <c r="D109" s="73"/>
      <c r="E109" s="176"/>
      <c r="F109" s="176"/>
      <c r="G109" s="552"/>
      <c r="H109" s="73"/>
      <c r="I109" s="73"/>
    </row>
    <row r="110" spans="1:9" ht="16.5" customHeight="1">
      <c r="A110" s="73"/>
      <c r="B110" s="73"/>
      <c r="C110" s="73"/>
      <c r="D110" s="73"/>
      <c r="E110" s="176"/>
      <c r="F110" s="176"/>
      <c r="G110" s="552"/>
      <c r="H110" s="73"/>
      <c r="I110" s="73"/>
    </row>
    <row r="111" spans="1:9" ht="16.5" customHeight="1">
      <c r="A111" s="73"/>
      <c r="B111" s="73"/>
      <c r="C111" s="73"/>
      <c r="D111" s="73"/>
      <c r="E111" s="176"/>
      <c r="F111" s="176"/>
      <c r="G111" s="552"/>
      <c r="H111" s="73"/>
      <c r="I111" s="73"/>
    </row>
    <row r="112" spans="1:9" ht="16.5" customHeight="1">
      <c r="A112" s="73"/>
      <c r="B112" s="73"/>
      <c r="C112" s="73"/>
      <c r="D112" s="73"/>
      <c r="E112" s="176"/>
      <c r="F112" s="176"/>
      <c r="G112" s="552"/>
      <c r="H112" s="73"/>
      <c r="I112" s="73"/>
    </row>
    <row r="113" spans="1:9" ht="16.5" customHeight="1">
      <c r="A113" s="73"/>
      <c r="B113" s="73"/>
      <c r="C113" s="73"/>
      <c r="D113" s="73"/>
      <c r="E113" s="176"/>
      <c r="F113" s="176"/>
      <c r="G113" s="552"/>
      <c r="H113" s="73"/>
      <c r="I113" s="73"/>
    </row>
    <row r="114" spans="1:9" ht="16.5" customHeight="1">
      <c r="A114" s="73"/>
      <c r="B114" s="73"/>
      <c r="C114" s="73"/>
      <c r="D114" s="73"/>
      <c r="E114" s="176"/>
      <c r="F114" s="176"/>
      <c r="G114" s="552"/>
      <c r="H114" s="73"/>
      <c r="I114" s="73"/>
    </row>
    <row r="115" spans="1:9" ht="16.5" customHeight="1">
      <c r="A115" s="73"/>
      <c r="B115" s="73"/>
      <c r="C115" s="73"/>
      <c r="D115" s="73"/>
      <c r="E115" s="176"/>
      <c r="F115" s="176"/>
      <c r="G115" s="552"/>
      <c r="H115" s="73"/>
      <c r="I115" s="73"/>
    </row>
    <row r="116" spans="1:9" ht="16.5" customHeight="1">
      <c r="A116" s="73"/>
      <c r="B116" s="73"/>
      <c r="C116" s="73"/>
      <c r="D116" s="73"/>
      <c r="E116" s="176"/>
      <c r="F116" s="176"/>
      <c r="G116" s="552"/>
      <c r="H116" s="73"/>
      <c r="I116" s="73"/>
    </row>
    <row r="117" spans="1:9" ht="16.5" customHeight="1">
      <c r="A117" s="73"/>
      <c r="B117" s="73"/>
      <c r="C117" s="73"/>
      <c r="D117" s="73"/>
      <c r="E117" s="176"/>
      <c r="F117" s="176"/>
      <c r="G117" s="552"/>
      <c r="H117" s="73"/>
      <c r="I117" s="73"/>
    </row>
    <row r="118" spans="1:9" ht="16.5" customHeight="1">
      <c r="A118" s="73"/>
      <c r="B118" s="73"/>
      <c r="C118" s="73"/>
      <c r="D118" s="73"/>
      <c r="E118" s="176"/>
      <c r="F118" s="176"/>
      <c r="G118" s="552"/>
      <c r="H118" s="73"/>
      <c r="I118" s="73"/>
    </row>
    <row r="119" spans="1:9" ht="16.5" customHeight="1">
      <c r="A119" s="73"/>
      <c r="B119" s="73"/>
      <c r="C119" s="73"/>
      <c r="D119" s="73"/>
      <c r="E119" s="176"/>
      <c r="F119" s="176"/>
      <c r="G119" s="552"/>
      <c r="H119" s="73"/>
      <c r="I119" s="73"/>
    </row>
    <row r="120" spans="1:9" ht="16.5" customHeight="1">
      <c r="A120" s="73"/>
      <c r="B120" s="73"/>
      <c r="C120" s="73"/>
      <c r="D120" s="73"/>
      <c r="E120" s="176"/>
      <c r="F120" s="176"/>
      <c r="G120" s="552"/>
      <c r="H120" s="73"/>
      <c r="I120" s="73"/>
    </row>
    <row r="121" spans="1:9" ht="16.5" customHeight="1">
      <c r="A121" s="73"/>
      <c r="B121" s="73"/>
      <c r="C121" s="73"/>
      <c r="D121" s="73"/>
      <c r="E121" s="176"/>
      <c r="F121" s="176"/>
      <c r="G121" s="552"/>
      <c r="H121" s="73"/>
      <c r="I121" s="73"/>
    </row>
    <row r="122" spans="1:9" ht="16.5" customHeight="1">
      <c r="A122" s="73"/>
      <c r="B122" s="73"/>
      <c r="C122" s="73"/>
      <c r="D122" s="73"/>
      <c r="E122" s="176"/>
      <c r="F122" s="176"/>
      <c r="G122" s="552"/>
      <c r="H122" s="73"/>
      <c r="I122" s="73"/>
    </row>
    <row r="123" spans="1:9" ht="16.5" customHeight="1">
      <c r="A123" s="73"/>
      <c r="B123" s="73"/>
      <c r="C123" s="73"/>
      <c r="D123" s="73"/>
      <c r="E123" s="176"/>
      <c r="F123" s="176"/>
      <c r="G123" s="552"/>
      <c r="H123" s="73"/>
      <c r="I123" s="73"/>
    </row>
    <row r="124" spans="1:9" ht="16.5" customHeight="1">
      <c r="A124" s="73"/>
      <c r="B124" s="73"/>
      <c r="C124" s="73"/>
      <c r="D124" s="73"/>
      <c r="E124" s="176"/>
      <c r="F124" s="176"/>
      <c r="G124" s="552"/>
      <c r="H124" s="73"/>
      <c r="I124" s="73"/>
    </row>
    <row r="125" spans="1:9" ht="16.5" customHeight="1">
      <c r="A125" s="73"/>
      <c r="B125" s="73"/>
      <c r="C125" s="73"/>
      <c r="D125" s="73"/>
      <c r="E125" s="176"/>
      <c r="F125" s="176"/>
      <c r="G125" s="552"/>
      <c r="H125" s="73"/>
      <c r="I125" s="73"/>
    </row>
    <row r="126" spans="1:9" ht="16.5" customHeight="1">
      <c r="A126" s="73"/>
      <c r="B126" s="73"/>
      <c r="C126" s="73"/>
      <c r="D126" s="73"/>
      <c r="E126" s="176"/>
      <c r="F126" s="176"/>
      <c r="G126" s="552"/>
      <c r="H126" s="73"/>
      <c r="I126" s="73"/>
    </row>
    <row r="127" spans="1:9" ht="16.5" customHeight="1">
      <c r="A127" s="73"/>
      <c r="B127" s="73"/>
      <c r="C127" s="73"/>
      <c r="D127" s="73"/>
      <c r="E127" s="176"/>
      <c r="F127" s="176"/>
      <c r="G127" s="552"/>
      <c r="H127" s="73"/>
      <c r="I127" s="73"/>
    </row>
    <row r="128" spans="1:9" ht="16.5" customHeight="1">
      <c r="A128" s="73"/>
      <c r="B128" s="73"/>
      <c r="C128" s="73"/>
      <c r="D128" s="73"/>
      <c r="E128" s="176"/>
      <c r="F128" s="176"/>
      <c r="G128" s="552"/>
      <c r="H128" s="73"/>
      <c r="I128" s="73"/>
    </row>
    <row r="129" spans="1:9" ht="16.5" customHeight="1">
      <c r="A129" s="73"/>
      <c r="B129" s="73"/>
      <c r="C129" s="73"/>
      <c r="D129" s="73"/>
      <c r="E129" s="176"/>
      <c r="F129" s="176"/>
      <c r="G129" s="552"/>
      <c r="H129" s="73"/>
      <c r="I129" s="73"/>
    </row>
    <row r="130" spans="1:9" ht="16.5" customHeight="1">
      <c r="A130" s="73"/>
      <c r="B130" s="73"/>
      <c r="C130" s="73"/>
      <c r="D130" s="73"/>
      <c r="E130" s="176"/>
      <c r="F130" s="176"/>
      <c r="G130" s="552"/>
      <c r="H130" s="73"/>
      <c r="I130" s="73"/>
    </row>
    <row r="131" spans="1:9" ht="16.5" customHeight="1">
      <c r="A131" s="73"/>
      <c r="B131" s="73"/>
      <c r="C131" s="73"/>
      <c r="D131" s="73"/>
      <c r="E131" s="176"/>
      <c r="F131" s="176"/>
      <c r="G131" s="552"/>
      <c r="H131" s="73"/>
      <c r="I131" s="73"/>
    </row>
    <row r="132" spans="1:9" ht="16.5" customHeight="1">
      <c r="A132" s="73"/>
      <c r="B132" s="73"/>
      <c r="C132" s="73"/>
      <c r="D132" s="73"/>
      <c r="E132" s="176"/>
      <c r="F132" s="176"/>
      <c r="G132" s="552"/>
      <c r="H132" s="73"/>
      <c r="I132" s="73"/>
    </row>
    <row r="133" spans="1:9" ht="16.5" customHeight="1">
      <c r="A133" s="73"/>
      <c r="B133" s="73"/>
      <c r="C133" s="73"/>
      <c r="D133" s="73"/>
      <c r="E133" s="176"/>
      <c r="F133" s="176"/>
      <c r="G133" s="552"/>
      <c r="H133" s="73"/>
      <c r="I133" s="73"/>
    </row>
    <row r="134" spans="1:9" ht="16.5" customHeight="1">
      <c r="A134" s="73"/>
      <c r="B134" s="73"/>
      <c r="C134" s="73"/>
      <c r="D134" s="73"/>
      <c r="E134" s="176"/>
      <c r="F134" s="176"/>
      <c r="G134" s="552"/>
      <c r="H134" s="73"/>
      <c r="I134" s="73"/>
    </row>
    <row r="135" spans="1:9" ht="16.5" customHeight="1">
      <c r="A135" s="73"/>
      <c r="B135" s="73"/>
      <c r="C135" s="73"/>
      <c r="D135" s="73"/>
      <c r="E135" s="176"/>
      <c r="F135" s="176"/>
      <c r="G135" s="552"/>
      <c r="H135" s="73"/>
      <c r="I135" s="73"/>
    </row>
    <row r="136" spans="1:9" ht="16.5" customHeight="1">
      <c r="A136" s="73"/>
      <c r="B136" s="73"/>
      <c r="C136" s="73"/>
      <c r="D136" s="73"/>
      <c r="E136" s="176"/>
      <c r="F136" s="176"/>
      <c r="G136" s="552"/>
      <c r="H136" s="73"/>
      <c r="I136" s="73"/>
    </row>
    <row r="137" spans="1:9" ht="16.5" customHeight="1">
      <c r="A137" s="73"/>
      <c r="B137" s="73"/>
      <c r="C137" s="73"/>
      <c r="D137" s="73"/>
      <c r="E137" s="176"/>
      <c r="F137" s="176"/>
      <c r="G137" s="552"/>
      <c r="H137" s="73"/>
      <c r="I137" s="73"/>
    </row>
    <row r="138" spans="1:9" ht="16.5" customHeight="1">
      <c r="A138" s="73"/>
      <c r="B138" s="73"/>
      <c r="C138" s="73"/>
      <c r="D138" s="73"/>
      <c r="E138" s="176"/>
      <c r="F138" s="176"/>
      <c r="G138" s="552"/>
      <c r="H138" s="73"/>
      <c r="I138" s="73"/>
    </row>
    <row r="139" spans="1:9" ht="16.5" customHeight="1">
      <c r="A139" s="73"/>
      <c r="B139" s="73"/>
      <c r="C139" s="73"/>
      <c r="D139" s="73"/>
      <c r="E139" s="176"/>
      <c r="F139" s="176"/>
      <c r="G139" s="552"/>
      <c r="H139" s="73"/>
      <c r="I139" s="73"/>
    </row>
    <row r="140" spans="1:9" ht="16.5" customHeight="1">
      <c r="A140" s="73"/>
      <c r="B140" s="73"/>
      <c r="C140" s="73"/>
      <c r="D140" s="73"/>
      <c r="E140" s="176"/>
      <c r="F140" s="176"/>
      <c r="G140" s="552"/>
      <c r="H140" s="73"/>
      <c r="I140" s="73"/>
    </row>
    <row r="141" spans="1:9" ht="16.5" customHeight="1">
      <c r="A141" s="73"/>
      <c r="B141" s="73"/>
      <c r="C141" s="73"/>
      <c r="D141" s="73"/>
      <c r="E141" s="176"/>
      <c r="F141" s="176"/>
      <c r="G141" s="552"/>
      <c r="H141" s="73"/>
      <c r="I141" s="73"/>
    </row>
    <row r="142" spans="1:9" ht="16.5" customHeight="1">
      <c r="A142" s="73"/>
      <c r="B142" s="73"/>
      <c r="C142" s="73"/>
      <c r="D142" s="73"/>
      <c r="E142" s="176"/>
      <c r="F142" s="176"/>
      <c r="G142" s="552"/>
      <c r="H142" s="73"/>
      <c r="I142" s="73"/>
    </row>
    <row r="143" spans="1:9" ht="16.5" customHeight="1">
      <c r="A143" s="73"/>
      <c r="B143" s="73"/>
      <c r="C143" s="73"/>
      <c r="D143" s="73"/>
      <c r="E143" s="176"/>
      <c r="F143" s="176"/>
      <c r="G143" s="552"/>
      <c r="H143" s="73"/>
      <c r="I143" s="73"/>
    </row>
    <row r="144" spans="1:9" ht="16.5" customHeight="1">
      <c r="A144" s="73"/>
      <c r="B144" s="73"/>
      <c r="C144" s="73"/>
      <c r="D144" s="73"/>
      <c r="E144" s="176"/>
      <c r="F144" s="176"/>
      <c r="G144" s="552"/>
      <c r="H144" s="73"/>
      <c r="I144" s="73"/>
    </row>
    <row r="145" spans="1:9" ht="16.5" customHeight="1">
      <c r="A145" s="73"/>
      <c r="B145" s="73"/>
      <c r="C145" s="73"/>
      <c r="D145" s="73"/>
      <c r="E145" s="176"/>
      <c r="F145" s="176"/>
      <c r="G145" s="552"/>
      <c r="H145" s="73"/>
      <c r="I145" s="73"/>
    </row>
    <row r="146" spans="1:9" ht="16.5" customHeight="1">
      <c r="A146" s="73"/>
      <c r="B146" s="73"/>
      <c r="C146" s="73"/>
      <c r="D146" s="73"/>
      <c r="E146" s="176"/>
      <c r="F146" s="176"/>
      <c r="G146" s="552"/>
      <c r="H146" s="73"/>
      <c r="I146" s="73"/>
    </row>
    <row r="147" spans="1:9" ht="16.5" customHeight="1">
      <c r="A147" s="73"/>
      <c r="B147" s="73"/>
      <c r="C147" s="73"/>
      <c r="D147" s="73"/>
      <c r="E147" s="176"/>
      <c r="F147" s="176"/>
      <c r="G147" s="552"/>
      <c r="H147" s="73"/>
      <c r="I147" s="73"/>
    </row>
    <row r="148" spans="1:9" ht="16.5" customHeight="1">
      <c r="A148" s="73"/>
      <c r="B148" s="73"/>
      <c r="C148" s="73"/>
      <c r="D148" s="73"/>
      <c r="E148" s="176"/>
      <c r="F148" s="176"/>
      <c r="G148" s="552"/>
      <c r="H148" s="73"/>
      <c r="I148" s="73"/>
    </row>
    <row r="149" spans="1:9" ht="16.5" customHeight="1">
      <c r="A149" s="73"/>
      <c r="B149" s="73"/>
      <c r="C149" s="73"/>
      <c r="D149" s="73"/>
      <c r="E149" s="176"/>
      <c r="F149" s="176"/>
      <c r="G149" s="552"/>
      <c r="H149" s="73"/>
      <c r="I149" s="73"/>
    </row>
    <row r="150" spans="1:9" ht="16.5" customHeight="1">
      <c r="A150" s="73"/>
      <c r="B150" s="73"/>
      <c r="C150" s="73"/>
      <c r="D150" s="73"/>
      <c r="E150" s="176"/>
      <c r="F150" s="176"/>
      <c r="G150" s="552"/>
      <c r="H150" s="73"/>
      <c r="I150" s="73"/>
    </row>
    <row r="151" spans="1:9" ht="16.5" customHeight="1">
      <c r="A151" s="73"/>
      <c r="B151" s="73"/>
      <c r="C151" s="73"/>
      <c r="D151" s="73"/>
      <c r="E151" s="176"/>
      <c r="F151" s="176"/>
      <c r="G151" s="552"/>
      <c r="H151" s="73"/>
      <c r="I151" s="73"/>
    </row>
    <row r="152" spans="1:9" ht="16.5" customHeight="1">
      <c r="A152" s="73"/>
      <c r="B152" s="73"/>
      <c r="C152" s="73"/>
      <c r="D152" s="73"/>
      <c r="E152" s="176"/>
      <c r="F152" s="176"/>
      <c r="G152" s="552"/>
      <c r="H152" s="73"/>
      <c r="I152" s="73"/>
    </row>
    <row r="153" spans="1:9" ht="16.5" customHeight="1">
      <c r="A153" s="73"/>
      <c r="B153" s="73"/>
      <c r="C153" s="73"/>
      <c r="D153" s="73"/>
      <c r="E153" s="176"/>
      <c r="F153" s="176"/>
      <c r="G153" s="552"/>
      <c r="H153" s="73"/>
      <c r="I153" s="73"/>
    </row>
    <row r="154" spans="1:9" ht="16.5" customHeight="1">
      <c r="A154" s="73"/>
      <c r="B154" s="73"/>
      <c r="C154" s="73"/>
      <c r="D154" s="73"/>
      <c r="E154" s="176"/>
      <c r="F154" s="176"/>
      <c r="G154" s="552"/>
      <c r="H154" s="73"/>
      <c r="I154" s="73"/>
    </row>
    <row r="155" spans="1:9" ht="16.5" customHeight="1">
      <c r="A155" s="73"/>
      <c r="B155" s="73"/>
      <c r="C155" s="73"/>
      <c r="D155" s="73"/>
      <c r="E155" s="176"/>
      <c r="F155" s="176"/>
      <c r="G155" s="552"/>
      <c r="H155" s="73"/>
      <c r="I155" s="73"/>
    </row>
    <row r="156" spans="1:9" ht="16.5" customHeight="1">
      <c r="A156" s="73"/>
      <c r="B156" s="73"/>
      <c r="C156" s="73"/>
      <c r="D156" s="73"/>
      <c r="E156" s="176"/>
      <c r="F156" s="176"/>
      <c r="G156" s="552"/>
      <c r="H156" s="73"/>
      <c r="I156" s="73"/>
    </row>
    <row r="157" spans="1:9" ht="16.5" customHeight="1">
      <c r="A157" s="73"/>
      <c r="B157" s="73"/>
      <c r="C157" s="73"/>
      <c r="D157" s="73"/>
      <c r="E157" s="176"/>
      <c r="F157" s="176"/>
      <c r="G157" s="552"/>
      <c r="H157" s="73"/>
      <c r="I157" s="73"/>
    </row>
    <row r="158" spans="1:9" ht="16.5" customHeight="1">
      <c r="A158" s="73"/>
      <c r="B158" s="73"/>
      <c r="C158" s="73"/>
      <c r="D158" s="73"/>
      <c r="E158" s="176"/>
      <c r="F158" s="176"/>
      <c r="G158" s="552"/>
      <c r="H158" s="73"/>
      <c r="I158" s="73"/>
    </row>
    <row r="159" spans="1:9" ht="16.5" customHeight="1">
      <c r="A159" s="73"/>
      <c r="B159" s="73"/>
      <c r="C159" s="73"/>
      <c r="D159" s="73"/>
      <c r="E159" s="176"/>
      <c r="F159" s="176"/>
      <c r="G159" s="552"/>
      <c r="H159" s="73"/>
      <c r="I159" s="73"/>
    </row>
    <row r="160" spans="1:9" ht="16.5" customHeight="1">
      <c r="A160" s="73"/>
      <c r="B160" s="73"/>
      <c r="C160" s="73"/>
      <c r="D160" s="73"/>
      <c r="E160" s="176"/>
      <c r="F160" s="176"/>
      <c r="G160" s="552"/>
      <c r="H160" s="73"/>
      <c r="I160" s="73"/>
    </row>
    <row r="161" spans="1:9" ht="16.5" customHeight="1">
      <c r="A161" s="73"/>
      <c r="B161" s="73"/>
      <c r="C161" s="73"/>
      <c r="D161" s="73"/>
      <c r="E161" s="176"/>
      <c r="F161" s="176"/>
      <c r="G161" s="552"/>
      <c r="H161" s="73"/>
      <c r="I161" s="73"/>
    </row>
    <row r="162" spans="1:9" ht="16.5" customHeight="1">
      <c r="A162" s="73"/>
      <c r="B162" s="73"/>
      <c r="C162" s="73"/>
      <c r="D162" s="73"/>
      <c r="E162" s="176"/>
      <c r="F162" s="176"/>
      <c r="G162" s="552"/>
      <c r="H162" s="73"/>
      <c r="I162" s="73"/>
    </row>
    <row r="163" spans="1:9" ht="16.5" customHeight="1">
      <c r="A163" s="73"/>
      <c r="B163" s="73"/>
      <c r="C163" s="73"/>
      <c r="D163" s="73"/>
      <c r="E163" s="176"/>
      <c r="F163" s="176"/>
      <c r="G163" s="552"/>
      <c r="H163" s="73"/>
      <c r="I163" s="73"/>
    </row>
    <row r="164" spans="1:9" ht="16.5" customHeight="1">
      <c r="A164" s="73"/>
      <c r="B164" s="73"/>
      <c r="C164" s="73"/>
      <c r="D164" s="73"/>
      <c r="E164" s="176"/>
      <c r="F164" s="176"/>
      <c r="G164" s="552"/>
      <c r="H164" s="73"/>
      <c r="I164" s="73"/>
    </row>
    <row r="165" spans="1:9" ht="16.5" customHeight="1">
      <c r="A165" s="73"/>
      <c r="B165" s="73"/>
      <c r="C165" s="73"/>
      <c r="D165" s="73"/>
      <c r="E165" s="176"/>
      <c r="F165" s="176"/>
      <c r="G165" s="552"/>
      <c r="H165" s="73"/>
      <c r="I165" s="73"/>
    </row>
    <row r="166" spans="1:9" ht="16.5" customHeight="1">
      <c r="A166" s="73"/>
      <c r="B166" s="73"/>
      <c r="C166" s="73"/>
      <c r="D166" s="73"/>
      <c r="E166" s="176"/>
      <c r="F166" s="176"/>
      <c r="G166" s="552"/>
      <c r="H166" s="73"/>
      <c r="I166" s="73"/>
    </row>
    <row r="167" spans="1:9" ht="16.5" customHeight="1">
      <c r="A167" s="73"/>
      <c r="B167" s="73"/>
      <c r="C167" s="73"/>
      <c r="D167" s="73"/>
      <c r="E167" s="176"/>
      <c r="F167" s="176"/>
      <c r="G167" s="552"/>
      <c r="H167" s="73"/>
      <c r="I167" s="73"/>
    </row>
    <row r="168" spans="1:9" ht="16.5" customHeight="1">
      <c r="A168" s="73"/>
      <c r="B168" s="73"/>
      <c r="C168" s="73"/>
      <c r="D168" s="73"/>
      <c r="E168" s="176"/>
      <c r="F168" s="176"/>
      <c r="G168" s="552"/>
      <c r="H168" s="73"/>
      <c r="I168" s="73"/>
    </row>
    <row r="169" spans="1:9" ht="16.5" customHeight="1">
      <c r="A169" s="73"/>
      <c r="B169" s="73"/>
      <c r="C169" s="73"/>
      <c r="D169" s="73"/>
      <c r="E169" s="176"/>
      <c r="F169" s="176"/>
      <c r="G169" s="552"/>
      <c r="H169" s="73"/>
      <c r="I169" s="73"/>
    </row>
    <row r="170" spans="1:9" ht="16.5" customHeight="1">
      <c r="A170" s="73"/>
      <c r="B170" s="73"/>
      <c r="C170" s="73"/>
      <c r="D170" s="73"/>
      <c r="E170" s="176"/>
      <c r="F170" s="176"/>
      <c r="G170" s="552"/>
      <c r="H170" s="73"/>
      <c r="I170" s="73"/>
    </row>
    <row r="171" spans="1:9" ht="16.5" customHeight="1">
      <c r="A171" s="73"/>
      <c r="B171" s="73"/>
      <c r="C171" s="73"/>
      <c r="D171" s="73"/>
      <c r="E171" s="176"/>
      <c r="F171" s="176"/>
      <c r="G171" s="552"/>
      <c r="H171" s="73"/>
      <c r="I171" s="73"/>
    </row>
    <row r="172" spans="1:9" ht="16.5" customHeight="1">
      <c r="A172" s="73"/>
      <c r="B172" s="73"/>
      <c r="C172" s="73"/>
      <c r="D172" s="73"/>
      <c r="E172" s="176"/>
      <c r="F172" s="176"/>
      <c r="G172" s="552"/>
      <c r="H172" s="73"/>
      <c r="I172" s="73"/>
    </row>
    <row r="173" spans="1:9" ht="16.5" customHeight="1">
      <c r="A173" s="73"/>
      <c r="B173" s="73"/>
      <c r="C173" s="73"/>
      <c r="D173" s="73"/>
      <c r="E173" s="176"/>
      <c r="F173" s="176"/>
      <c r="G173" s="552"/>
      <c r="H173" s="73"/>
      <c r="I173" s="73"/>
    </row>
    <row r="174" spans="1:9" ht="16.5" customHeight="1">
      <c r="A174" s="73"/>
      <c r="B174" s="73"/>
      <c r="C174" s="73"/>
      <c r="D174" s="73"/>
      <c r="E174" s="176"/>
      <c r="F174" s="176"/>
      <c r="G174" s="552"/>
      <c r="H174" s="73"/>
      <c r="I174" s="73"/>
    </row>
    <row r="175" spans="1:9" ht="16.5" customHeight="1">
      <c r="A175" s="73"/>
      <c r="B175" s="73"/>
      <c r="C175" s="73"/>
      <c r="D175" s="73"/>
      <c r="E175" s="176"/>
      <c r="F175" s="176"/>
      <c r="G175" s="552"/>
      <c r="H175" s="73"/>
      <c r="I175" s="73"/>
    </row>
    <row r="176" spans="1:9" ht="16.5" customHeight="1">
      <c r="A176" s="73"/>
      <c r="B176" s="73"/>
      <c r="C176" s="73"/>
      <c r="D176" s="73"/>
      <c r="E176" s="176"/>
      <c r="F176" s="176"/>
      <c r="G176" s="552"/>
      <c r="H176" s="73"/>
      <c r="I176" s="73"/>
    </row>
    <row r="177" spans="1:9" ht="16.5" customHeight="1">
      <c r="A177" s="73"/>
      <c r="B177" s="73"/>
      <c r="C177" s="73"/>
      <c r="D177" s="73"/>
      <c r="E177" s="176"/>
      <c r="F177" s="176"/>
      <c r="G177" s="552"/>
      <c r="H177" s="73"/>
      <c r="I177" s="73"/>
    </row>
    <row r="178" spans="1:9" ht="16.5" customHeight="1">
      <c r="A178" s="73"/>
      <c r="B178" s="73"/>
      <c r="C178" s="73"/>
      <c r="D178" s="73"/>
      <c r="E178" s="176"/>
      <c r="F178" s="176"/>
      <c r="G178" s="552"/>
      <c r="H178" s="73"/>
      <c r="I178" s="73"/>
    </row>
    <row r="179" spans="1:9" ht="16.5" customHeight="1">
      <c r="A179" s="73"/>
      <c r="B179" s="73"/>
      <c r="C179" s="73"/>
      <c r="D179" s="73"/>
      <c r="E179" s="176"/>
      <c r="F179" s="176"/>
      <c r="G179" s="552"/>
      <c r="H179" s="73"/>
      <c r="I179" s="73"/>
    </row>
    <row r="180" spans="1:9" ht="16.5" customHeight="1">
      <c r="A180" s="73"/>
      <c r="B180" s="73"/>
      <c r="C180" s="73"/>
      <c r="D180" s="73"/>
      <c r="E180" s="176"/>
      <c r="F180" s="176"/>
      <c r="G180" s="552"/>
      <c r="H180" s="73"/>
      <c r="I180" s="73"/>
    </row>
    <row r="181" spans="1:9" ht="16.5" customHeight="1">
      <c r="A181" s="73"/>
      <c r="B181" s="73"/>
      <c r="C181" s="73"/>
      <c r="D181" s="73"/>
      <c r="E181" s="176"/>
      <c r="F181" s="176"/>
      <c r="G181" s="552"/>
      <c r="H181" s="73"/>
      <c r="I181" s="73"/>
    </row>
    <row r="182" spans="1:9" ht="16.5" customHeight="1">
      <c r="A182" s="73"/>
      <c r="B182" s="73"/>
      <c r="C182" s="73"/>
      <c r="D182" s="73"/>
      <c r="E182" s="176"/>
      <c r="F182" s="176"/>
      <c r="G182" s="552"/>
      <c r="H182" s="73"/>
      <c r="I182" s="73"/>
    </row>
    <row r="183" spans="1:9" ht="16.5" customHeight="1">
      <c r="A183" s="73"/>
      <c r="B183" s="73"/>
      <c r="C183" s="73"/>
      <c r="D183" s="73"/>
      <c r="E183" s="176"/>
      <c r="F183" s="176"/>
      <c r="G183" s="552"/>
      <c r="H183" s="73"/>
      <c r="I183" s="73"/>
    </row>
    <row r="184" spans="1:9" ht="16.5" customHeight="1">
      <c r="A184" s="73"/>
      <c r="B184" s="73"/>
      <c r="C184" s="73"/>
      <c r="D184" s="73"/>
      <c r="E184" s="176"/>
      <c r="F184" s="176"/>
      <c r="G184" s="552"/>
      <c r="H184" s="73"/>
      <c r="I184" s="73"/>
    </row>
    <row r="185" spans="1:9" ht="16.5" customHeight="1">
      <c r="A185" s="73"/>
      <c r="B185" s="73"/>
      <c r="C185" s="73"/>
      <c r="D185" s="73"/>
      <c r="E185" s="176"/>
      <c r="F185" s="176"/>
      <c r="G185" s="552"/>
      <c r="H185" s="73"/>
      <c r="I185" s="73"/>
    </row>
    <row r="186" spans="1:9" ht="16.5" customHeight="1">
      <c r="A186" s="73"/>
      <c r="B186" s="73"/>
      <c r="C186" s="73"/>
      <c r="D186" s="73"/>
      <c r="E186" s="176"/>
      <c r="F186" s="176"/>
      <c r="G186" s="552"/>
      <c r="H186" s="73"/>
      <c r="I186" s="73"/>
    </row>
    <row r="187" spans="1:9" ht="16.5" customHeight="1">
      <c r="A187" s="73"/>
      <c r="B187" s="73"/>
      <c r="C187" s="73"/>
      <c r="D187" s="73"/>
      <c r="E187" s="176"/>
      <c r="F187" s="176"/>
      <c r="G187" s="552"/>
      <c r="H187" s="73"/>
      <c r="I187" s="73"/>
    </row>
    <row r="188" spans="1:9" ht="16.5" customHeight="1">
      <c r="A188" s="73"/>
      <c r="B188" s="73"/>
      <c r="C188" s="73"/>
      <c r="D188" s="73"/>
      <c r="E188" s="176"/>
      <c r="F188" s="176"/>
      <c r="G188" s="552"/>
      <c r="H188" s="73"/>
      <c r="I188" s="73"/>
    </row>
    <row r="189" spans="1:9" ht="16.5" customHeight="1">
      <c r="A189" s="73"/>
      <c r="B189" s="73"/>
      <c r="C189" s="73"/>
      <c r="D189" s="73"/>
      <c r="E189" s="176"/>
      <c r="F189" s="176"/>
      <c r="G189" s="552"/>
      <c r="H189" s="73"/>
      <c r="I189" s="73"/>
    </row>
    <row r="190" spans="1:9" ht="16.5" customHeight="1">
      <c r="A190" s="73"/>
      <c r="B190" s="73"/>
      <c r="C190" s="73"/>
      <c r="D190" s="73"/>
      <c r="E190" s="176"/>
      <c r="F190" s="176"/>
      <c r="G190" s="552"/>
      <c r="H190" s="73"/>
      <c r="I190" s="73"/>
    </row>
    <row r="191" spans="1:9" ht="16.5" customHeight="1">
      <c r="A191" s="73"/>
      <c r="B191" s="73"/>
      <c r="C191" s="73"/>
      <c r="D191" s="73"/>
      <c r="E191" s="176"/>
      <c r="F191" s="176"/>
      <c r="G191" s="552"/>
      <c r="H191" s="73"/>
      <c r="I191" s="73"/>
    </row>
    <row r="192" spans="1:9" ht="16.5" customHeight="1">
      <c r="A192" s="73"/>
      <c r="B192" s="73"/>
      <c r="C192" s="73"/>
      <c r="D192" s="73"/>
      <c r="E192" s="176"/>
      <c r="F192" s="176"/>
      <c r="G192" s="552"/>
      <c r="H192" s="73"/>
      <c r="I192" s="73"/>
    </row>
    <row r="193" spans="1:9" ht="16.5" customHeight="1">
      <c r="A193" s="73"/>
      <c r="B193" s="73"/>
      <c r="C193" s="73"/>
      <c r="D193" s="73"/>
      <c r="E193" s="176"/>
      <c r="F193" s="176"/>
      <c r="G193" s="552"/>
      <c r="H193" s="73"/>
      <c r="I193" s="73"/>
    </row>
    <row r="194" spans="1:9" ht="16.5" customHeight="1">
      <c r="A194" s="73"/>
      <c r="B194" s="73"/>
      <c r="C194" s="73"/>
      <c r="D194" s="73"/>
      <c r="E194" s="176"/>
      <c r="F194" s="176"/>
      <c r="G194" s="552"/>
      <c r="H194" s="73"/>
      <c r="I194" s="73"/>
    </row>
    <row r="195" spans="1:9" ht="16.5" customHeight="1">
      <c r="A195" s="73"/>
      <c r="B195" s="73"/>
      <c r="C195" s="73"/>
      <c r="D195" s="73"/>
      <c r="E195" s="176"/>
      <c r="F195" s="176"/>
      <c r="G195" s="552"/>
      <c r="H195" s="73"/>
      <c r="I195" s="73"/>
    </row>
    <row r="196" spans="1:9" ht="16.5" customHeight="1">
      <c r="A196" s="73"/>
      <c r="B196" s="73"/>
      <c r="C196" s="73"/>
      <c r="D196" s="73"/>
      <c r="E196" s="176"/>
      <c r="F196" s="176"/>
      <c r="G196" s="552"/>
      <c r="H196" s="73"/>
      <c r="I196" s="73"/>
    </row>
    <row r="197" spans="1:9" ht="16.5" customHeight="1">
      <c r="A197" s="73"/>
      <c r="B197" s="73"/>
      <c r="C197" s="73"/>
      <c r="D197" s="73"/>
      <c r="E197" s="176"/>
      <c r="F197" s="176"/>
      <c r="G197" s="552"/>
      <c r="H197" s="73"/>
      <c r="I197" s="73"/>
    </row>
    <row r="198" spans="1:9" ht="16.5" customHeight="1">
      <c r="A198" s="73"/>
      <c r="B198" s="73"/>
      <c r="C198" s="73"/>
      <c r="D198" s="73"/>
      <c r="E198" s="176"/>
      <c r="F198" s="176"/>
      <c r="G198" s="552"/>
      <c r="H198" s="73"/>
      <c r="I198" s="73"/>
    </row>
    <row r="199" spans="1:9" ht="16.5" customHeight="1">
      <c r="A199" s="73"/>
      <c r="B199" s="73"/>
      <c r="C199" s="73"/>
      <c r="D199" s="73"/>
      <c r="E199" s="176"/>
      <c r="F199" s="176"/>
      <c r="G199" s="552"/>
      <c r="H199" s="73"/>
      <c r="I199" s="73"/>
    </row>
    <row r="200" spans="1:9" ht="16.5" customHeight="1">
      <c r="A200" s="73"/>
      <c r="B200" s="73"/>
      <c r="C200" s="73"/>
      <c r="D200" s="73"/>
      <c r="E200" s="176"/>
      <c r="F200" s="176"/>
      <c r="G200" s="552"/>
      <c r="H200" s="73"/>
      <c r="I200" s="73"/>
    </row>
    <row r="201" spans="1:9" ht="16.5" customHeight="1">
      <c r="A201" s="73"/>
      <c r="B201" s="73"/>
      <c r="C201" s="73"/>
      <c r="D201" s="73"/>
      <c r="E201" s="176"/>
      <c r="F201" s="176"/>
      <c r="G201" s="552"/>
      <c r="H201" s="73"/>
      <c r="I201" s="73"/>
    </row>
    <row r="202" spans="1:9" ht="16.5" customHeight="1">
      <c r="A202" s="73"/>
      <c r="B202" s="73"/>
      <c r="C202" s="73"/>
      <c r="D202" s="73"/>
      <c r="E202" s="176"/>
      <c r="F202" s="176"/>
      <c r="G202" s="552"/>
      <c r="H202" s="73"/>
      <c r="I202" s="73"/>
    </row>
    <row r="203" spans="1:9" ht="16.5" customHeight="1">
      <c r="A203" s="73"/>
      <c r="B203" s="73"/>
      <c r="C203" s="73"/>
      <c r="D203" s="73"/>
      <c r="E203" s="176"/>
      <c r="F203" s="176"/>
      <c r="G203" s="552"/>
      <c r="H203" s="73"/>
      <c r="I203" s="73"/>
    </row>
    <row r="204" spans="1:9" ht="16.5" customHeight="1">
      <c r="A204" s="73"/>
      <c r="B204" s="73"/>
      <c r="C204" s="73"/>
      <c r="D204" s="73"/>
      <c r="E204" s="176"/>
      <c r="F204" s="176"/>
      <c r="G204" s="552"/>
      <c r="H204" s="73"/>
      <c r="I204" s="73"/>
    </row>
    <row r="205" spans="1:9" ht="16.5" customHeight="1">
      <c r="A205" s="73"/>
      <c r="B205" s="73"/>
      <c r="C205" s="73"/>
      <c r="D205" s="73"/>
      <c r="E205" s="176"/>
      <c r="F205" s="176"/>
      <c r="G205" s="552"/>
      <c r="H205" s="73"/>
      <c r="I205" s="73"/>
    </row>
    <row r="206" spans="1:9" ht="16.5" customHeight="1">
      <c r="A206" s="73"/>
      <c r="B206" s="73"/>
      <c r="C206" s="73"/>
      <c r="D206" s="73"/>
      <c r="E206" s="176"/>
      <c r="F206" s="176"/>
      <c r="G206" s="552"/>
      <c r="H206" s="73"/>
      <c r="I206" s="73"/>
    </row>
    <row r="207" spans="1:9" ht="16.5" customHeight="1">
      <c r="A207" s="73"/>
      <c r="B207" s="73"/>
      <c r="C207" s="73"/>
      <c r="D207" s="73"/>
      <c r="E207" s="176"/>
      <c r="F207" s="176"/>
      <c r="G207" s="552"/>
      <c r="H207" s="73"/>
      <c r="I207" s="73"/>
    </row>
    <row r="208" spans="1:9" ht="16.5" customHeight="1">
      <c r="A208" s="73"/>
      <c r="B208" s="73"/>
      <c r="C208" s="73"/>
      <c r="D208" s="73"/>
      <c r="E208" s="176"/>
      <c r="F208" s="176"/>
      <c r="G208" s="552"/>
      <c r="H208" s="73"/>
      <c r="I208" s="73"/>
    </row>
    <row r="209" spans="1:9" ht="16.5" customHeight="1">
      <c r="A209" s="73"/>
      <c r="B209" s="73"/>
      <c r="C209" s="73"/>
      <c r="D209" s="73"/>
      <c r="E209" s="176"/>
      <c r="F209" s="176"/>
      <c r="G209" s="552"/>
      <c r="H209" s="73"/>
      <c r="I209" s="73"/>
    </row>
    <row r="210" spans="1:9" ht="16.5" customHeight="1">
      <c r="A210" s="73"/>
      <c r="B210" s="73"/>
      <c r="C210" s="73"/>
      <c r="D210" s="73"/>
      <c r="E210" s="176"/>
      <c r="F210" s="176"/>
      <c r="G210" s="552"/>
      <c r="H210" s="73"/>
      <c r="I210" s="73"/>
    </row>
    <row r="211" spans="1:9" ht="16.5" customHeight="1">
      <c r="A211" s="73"/>
      <c r="B211" s="73"/>
      <c r="C211" s="73"/>
      <c r="D211" s="73"/>
      <c r="E211" s="176"/>
      <c r="F211" s="176"/>
      <c r="G211" s="552"/>
      <c r="H211" s="73"/>
      <c r="I211" s="73"/>
    </row>
    <row r="212" spans="1:9" ht="16.5" customHeight="1">
      <c r="A212" s="73"/>
      <c r="B212" s="73"/>
      <c r="C212" s="73"/>
      <c r="D212" s="73"/>
      <c r="E212" s="176"/>
      <c r="F212" s="176"/>
      <c r="G212" s="552"/>
      <c r="H212" s="73"/>
      <c r="I212" s="73"/>
    </row>
    <row r="213" spans="1:9" ht="16.5" customHeight="1">
      <c r="A213" s="73"/>
      <c r="B213" s="73"/>
      <c r="C213" s="73"/>
      <c r="D213" s="73"/>
      <c r="E213" s="176"/>
      <c r="F213" s="176"/>
      <c r="G213" s="552"/>
      <c r="H213" s="73"/>
      <c r="I213" s="73"/>
    </row>
    <row r="214" spans="1:9" ht="16.5" customHeight="1">
      <c r="A214" s="73"/>
      <c r="B214" s="73"/>
      <c r="C214" s="73"/>
      <c r="D214" s="73"/>
      <c r="E214" s="176"/>
      <c r="F214" s="176"/>
      <c r="G214" s="552"/>
      <c r="H214" s="73"/>
      <c r="I214" s="73"/>
    </row>
    <row r="215" spans="1:9" ht="16.5" customHeight="1">
      <c r="A215" s="73"/>
      <c r="B215" s="73"/>
      <c r="C215" s="73"/>
      <c r="D215" s="73"/>
      <c r="E215" s="176"/>
      <c r="F215" s="176"/>
      <c r="G215" s="552"/>
      <c r="H215" s="73"/>
      <c r="I215" s="73"/>
    </row>
    <row r="216" spans="1:9" ht="16.5" customHeight="1">
      <c r="A216" s="73"/>
      <c r="B216" s="73"/>
      <c r="C216" s="73"/>
      <c r="D216" s="73"/>
      <c r="E216" s="176"/>
      <c r="F216" s="176"/>
      <c r="G216" s="552"/>
      <c r="H216" s="73"/>
      <c r="I216" s="73"/>
    </row>
    <row r="217" spans="1:9" ht="16.5" customHeight="1">
      <c r="A217" s="73"/>
      <c r="B217" s="73"/>
      <c r="C217" s="73"/>
      <c r="D217" s="73"/>
      <c r="E217" s="176"/>
      <c r="F217" s="176"/>
      <c r="G217" s="552"/>
      <c r="H217" s="73"/>
      <c r="I217" s="73"/>
    </row>
    <row r="218" spans="1:9" ht="16.5" customHeight="1">
      <c r="A218" s="73"/>
      <c r="B218" s="73"/>
      <c r="C218" s="73"/>
      <c r="D218" s="73"/>
      <c r="E218" s="176"/>
      <c r="F218" s="176"/>
      <c r="G218" s="552"/>
      <c r="H218" s="73"/>
      <c r="I218" s="73"/>
    </row>
    <row r="219" spans="1:9" ht="16.5" customHeight="1">
      <c r="A219" s="73"/>
      <c r="B219" s="73"/>
      <c r="C219" s="73"/>
      <c r="D219" s="73"/>
      <c r="E219" s="176"/>
      <c r="F219" s="176"/>
      <c r="G219" s="552"/>
      <c r="H219" s="73"/>
      <c r="I219" s="73"/>
    </row>
    <row r="220" spans="1:9" ht="16.5" customHeight="1">
      <c r="A220" s="73"/>
      <c r="B220" s="73"/>
      <c r="C220" s="73"/>
      <c r="D220" s="73"/>
      <c r="E220" s="176"/>
      <c r="F220" s="176"/>
      <c r="G220" s="552"/>
      <c r="H220" s="73"/>
      <c r="I220" s="73"/>
    </row>
    <row r="221" spans="1:9" ht="16.5" customHeight="1">
      <c r="A221" s="73"/>
      <c r="B221" s="73"/>
      <c r="C221" s="73"/>
      <c r="D221" s="73"/>
      <c r="E221" s="176"/>
      <c r="F221" s="176"/>
      <c r="G221" s="552"/>
      <c r="H221" s="73"/>
      <c r="I221" s="73"/>
    </row>
    <row r="222" spans="1:9" ht="16.5" customHeight="1">
      <c r="A222" s="73"/>
      <c r="B222" s="73"/>
      <c r="C222" s="73"/>
      <c r="D222" s="73"/>
      <c r="E222" s="176"/>
      <c r="F222" s="176"/>
      <c r="G222" s="552"/>
      <c r="H222" s="73"/>
      <c r="I222" s="73"/>
    </row>
    <row r="223" spans="1:9" ht="16.5" customHeight="1">
      <c r="A223" s="73"/>
      <c r="B223" s="73"/>
      <c r="C223" s="73"/>
      <c r="D223" s="73"/>
      <c r="E223" s="176"/>
      <c r="F223" s="176"/>
      <c r="G223" s="552"/>
      <c r="H223" s="73"/>
      <c r="I223" s="73"/>
    </row>
    <row r="224" spans="1:9" ht="16.5" customHeight="1">
      <c r="A224" s="73"/>
      <c r="B224" s="73"/>
      <c r="C224" s="73"/>
      <c r="D224" s="73"/>
      <c r="E224" s="176"/>
      <c r="F224" s="176"/>
      <c r="G224" s="552"/>
      <c r="H224" s="73"/>
      <c r="I224" s="73"/>
    </row>
    <row r="225" spans="1:9" ht="16.5" customHeight="1">
      <c r="A225" s="73"/>
      <c r="B225" s="73"/>
      <c r="C225" s="73"/>
      <c r="D225" s="73"/>
      <c r="E225" s="176"/>
      <c r="F225" s="176"/>
      <c r="G225" s="552"/>
      <c r="H225" s="73"/>
      <c r="I225" s="73"/>
    </row>
    <row r="226" spans="1:9" ht="16.5" customHeight="1">
      <c r="A226" s="73"/>
      <c r="B226" s="73"/>
      <c r="C226" s="73"/>
      <c r="D226" s="73"/>
      <c r="E226" s="176"/>
      <c r="F226" s="176"/>
      <c r="G226" s="552"/>
      <c r="H226" s="73"/>
      <c r="I226" s="73"/>
    </row>
    <row r="227" spans="1:9" ht="16.5" customHeight="1">
      <c r="A227" s="73"/>
      <c r="B227" s="73"/>
      <c r="C227" s="73"/>
      <c r="D227" s="73"/>
      <c r="E227" s="176"/>
      <c r="F227" s="176"/>
      <c r="G227" s="552"/>
      <c r="H227" s="73"/>
      <c r="I227" s="73"/>
    </row>
    <row r="228" spans="1:9" ht="16.5" customHeight="1">
      <c r="A228" s="73"/>
      <c r="B228" s="73"/>
      <c r="C228" s="73"/>
      <c r="D228" s="73"/>
      <c r="E228" s="176"/>
      <c r="F228" s="176"/>
      <c r="G228" s="552"/>
      <c r="H228" s="73"/>
      <c r="I228" s="73"/>
    </row>
    <row r="229" spans="1:9" ht="16.5" customHeight="1">
      <c r="A229" s="73"/>
      <c r="B229" s="73"/>
      <c r="C229" s="73"/>
      <c r="D229" s="73"/>
      <c r="E229" s="176"/>
      <c r="F229" s="176"/>
      <c r="G229" s="552"/>
      <c r="H229" s="73"/>
      <c r="I229" s="73"/>
    </row>
    <row r="230" spans="1:9" ht="16.5" customHeight="1">
      <c r="A230" s="73"/>
      <c r="B230" s="73"/>
      <c r="C230" s="73"/>
      <c r="D230" s="73"/>
      <c r="E230" s="176"/>
      <c r="F230" s="176"/>
      <c r="G230" s="552"/>
      <c r="H230" s="73"/>
      <c r="I230" s="73"/>
    </row>
    <row r="231" spans="1:9" ht="16.5" customHeight="1">
      <c r="A231" s="73"/>
      <c r="B231" s="73"/>
      <c r="C231" s="73"/>
      <c r="D231" s="73"/>
      <c r="E231" s="176"/>
      <c r="F231" s="176"/>
      <c r="G231" s="552"/>
      <c r="H231" s="73"/>
      <c r="I231" s="73"/>
    </row>
    <row r="232" spans="1:9" ht="16.5" customHeight="1">
      <c r="A232" s="73"/>
      <c r="B232" s="73"/>
      <c r="C232" s="73"/>
      <c r="D232" s="73"/>
      <c r="E232" s="176"/>
      <c r="F232" s="176"/>
      <c r="G232" s="552"/>
      <c r="H232" s="73"/>
      <c r="I232" s="73"/>
    </row>
    <row r="233" spans="1:9" ht="16.5" customHeight="1">
      <c r="A233" s="73"/>
      <c r="B233" s="73"/>
      <c r="C233" s="73"/>
      <c r="D233" s="73"/>
      <c r="E233" s="176"/>
      <c r="F233" s="176"/>
      <c r="G233" s="552"/>
      <c r="H233" s="73"/>
      <c r="I233" s="73"/>
    </row>
    <row r="234" spans="1:9" ht="16.5" customHeight="1">
      <c r="A234" s="73"/>
      <c r="B234" s="73"/>
      <c r="C234" s="73"/>
      <c r="D234" s="73"/>
      <c r="E234" s="176"/>
      <c r="F234" s="176"/>
      <c r="G234" s="552"/>
      <c r="H234" s="73"/>
      <c r="I234" s="73"/>
    </row>
    <row r="235" spans="1:9" ht="16.5" customHeight="1">
      <c r="A235" s="73"/>
      <c r="B235" s="73"/>
      <c r="C235" s="73"/>
      <c r="D235" s="73"/>
      <c r="E235" s="176"/>
      <c r="F235" s="176"/>
      <c r="G235" s="552"/>
      <c r="H235" s="73"/>
      <c r="I235" s="73"/>
    </row>
    <row r="236" spans="1:9" ht="16.5" customHeight="1">
      <c r="A236" s="73"/>
      <c r="B236" s="73"/>
      <c r="C236" s="73"/>
      <c r="D236" s="73"/>
      <c r="E236" s="176"/>
      <c r="F236" s="176"/>
      <c r="G236" s="552"/>
      <c r="H236" s="73"/>
      <c r="I236" s="73"/>
    </row>
    <row r="237" spans="1:9" ht="16.5" customHeight="1">
      <c r="A237" s="73"/>
      <c r="B237" s="73"/>
      <c r="C237" s="73"/>
      <c r="D237" s="73"/>
      <c r="E237" s="176"/>
      <c r="F237" s="176"/>
      <c r="G237" s="552"/>
      <c r="H237" s="73"/>
      <c r="I237" s="73"/>
    </row>
    <row r="238" spans="1:9" ht="16.5" customHeight="1">
      <c r="A238" s="73"/>
      <c r="B238" s="73"/>
      <c r="C238" s="73"/>
      <c r="D238" s="73"/>
      <c r="E238" s="176"/>
      <c r="F238" s="176"/>
      <c r="G238" s="552"/>
      <c r="H238" s="73"/>
      <c r="I238" s="73"/>
    </row>
    <row r="239" spans="1:9" ht="16.5" customHeight="1">
      <c r="A239" s="73"/>
      <c r="B239" s="73"/>
      <c r="C239" s="73"/>
      <c r="D239" s="73"/>
      <c r="E239" s="176"/>
      <c r="F239" s="176"/>
      <c r="G239" s="552"/>
      <c r="H239" s="73"/>
      <c r="I239" s="73"/>
    </row>
    <row r="240" spans="1:9" ht="15.7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spans="1:9" ht="15.7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spans="1:9" ht="15.7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spans="1:9" ht="15.7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spans="1:9" ht="15.7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spans="1:9" ht="15.7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spans="1:9" ht="15.7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spans="1:9" ht="15.7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spans="1:9" ht="15.7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spans="1:9" ht="15.7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spans="1:9" ht="15.7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spans="1:9" ht="15.7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spans="1:9" ht="15.7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spans="1:9" ht="15.7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spans="1:9" ht="15.7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spans="1:9" ht="15.7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spans="1:9" ht="15.7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spans="1:9" ht="15.7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spans="1:9" ht="15.7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spans="1:9" ht="15.7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spans="1:9" ht="15.7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spans="1:9" ht="15.7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spans="1:9" ht="15.7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spans="1:9" ht="15.7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spans="1:9" ht="15.7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spans="1:9" ht="15.7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spans="1:9" ht="15.7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spans="1:9" ht="15.7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spans="1:9" ht="15.7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spans="1:9" ht="15.7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spans="1:9" ht="15.7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spans="1:9" ht="15.7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spans="1:9" ht="15.7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spans="1:9" ht="15.7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spans="1:9" ht="15.7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spans="1:9" ht="15.7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spans="1:9" ht="15.7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spans="1:9" ht="15.7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spans="1:9" ht="15.7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spans="1:9" ht="15.7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spans="1:9" ht="15.7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spans="1:9" ht="15.7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spans="1:9" ht="15.7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spans="1:9" ht="15.7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spans="1:9" ht="15.7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spans="1:9" ht="15.7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spans="1:9" ht="15.7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spans="1:9" ht="15.7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spans="1:9" ht="15.7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spans="1:9" ht="15.7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spans="1:9" ht="15.7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spans="1:9" ht="15.7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spans="1:9" ht="15.7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spans="1:9" ht="15.7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spans="1:9" ht="15.7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spans="1:9" ht="15.7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spans="1:9" ht="15.7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spans="1:9" ht="15.7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spans="1:9" ht="15.7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spans="1:9" ht="15.7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spans="1:9" ht="15.7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spans="1:9" ht="15.7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spans="1:9" ht="15.7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spans="1:9" ht="15.7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spans="1:9" ht="15.7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spans="1:9" ht="15.7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spans="1:9" ht="15.7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spans="1:9" ht="15.7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spans="1:9" ht="15.7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spans="1:9" ht="15.7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spans="1:9" ht="15.7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spans="1:9" ht="15.7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spans="1:9" ht="15.7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spans="1:9" ht="15.7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spans="1:9" ht="15.7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spans="1:9" ht="15.7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spans="1:9" ht="15.7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spans="1:9" ht="15.7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spans="1:9" ht="15.7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spans="1:9" ht="15.7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spans="1:9" ht="15.7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spans="1:9" ht="15.7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spans="1:9" ht="15.7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spans="1:9" ht="15.7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spans="1:9" ht="15.7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spans="1:9" ht="15.7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spans="1:9" ht="15.7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spans="1:9" ht="15.7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spans="1:9" ht="15.7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spans="1:9" ht="15.7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spans="1:9" ht="15.7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spans="1:9" ht="15.7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spans="1:9" ht="15.7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spans="1:9" ht="15.7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spans="1:9" ht="15.7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spans="1:9" ht="15.7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spans="1:9" ht="15.7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spans="1:9" ht="15.7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spans="1:9" ht="15.7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spans="1:9" ht="15.7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spans="1:9" ht="15.7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spans="1:9" ht="15.7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spans="1:9" ht="15.7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spans="1:9" ht="15.7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spans="1:9" ht="15.7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spans="1:9" ht="15.7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spans="1:9" ht="15.7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spans="1:9" ht="15.7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spans="1:9" ht="15.7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spans="1:9" ht="15.7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spans="1:9" ht="15.7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spans="1:9" ht="15.7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spans="1:9" ht="15.7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spans="1:9" ht="15.7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spans="1:9" ht="15.7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spans="1:9" ht="15.7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spans="1:9" ht="15.7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spans="1:9" ht="15.7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spans="1:9" ht="15.7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spans="1:9" ht="15.7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spans="1:9" ht="15.7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spans="1:9" ht="15.7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spans="1:9" ht="15.7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spans="1:9" ht="15.7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spans="1:9" ht="15.7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spans="1:9" ht="15.7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spans="1:9" ht="15.7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spans="1:9" ht="15.7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spans="1:9" ht="15.7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spans="1:9" ht="15.7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spans="1:9" ht="15.7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spans="1:9" ht="15.7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spans="1:9" ht="15.7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spans="1:9" ht="15.7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spans="1:9" ht="15.7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spans="1:9" ht="15.7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spans="1:9" ht="15.7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spans="1:9" ht="15.7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spans="1:9" ht="15.7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spans="1:9" ht="15.7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spans="1:9" ht="15.7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spans="1:9" ht="15.7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spans="1:9" ht="15.7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spans="1:9" ht="15.7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spans="1:9" ht="15.7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spans="1:9" ht="15.7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spans="1:9" ht="15.7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spans="1:9" ht="15.7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spans="1:9" ht="15.7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spans="1:9" ht="15.7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spans="1:9" ht="15.7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spans="1:9" ht="15.7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spans="1:9" ht="15.7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spans="1:9" ht="15.7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spans="1:9" ht="15.7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spans="1:9" ht="15.7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spans="1:9" ht="15.7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spans="1:9" ht="15.7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spans="1:9" ht="15.7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spans="1:9" ht="15.7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spans="1:9" ht="15.7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spans="1:9" ht="15.7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spans="1:9" ht="15.7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spans="1:9" ht="15.7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spans="1:9" ht="15.7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spans="1:9" ht="15.7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spans="1:9" ht="15.7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spans="1:9" ht="15.7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spans="1:9" ht="15.7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spans="1:9" ht="15.7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spans="1:9" ht="15.7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spans="1:9" ht="15.7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spans="1:9" ht="15.7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spans="1:9" ht="15.7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spans="1:9" ht="15.7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spans="1:9" ht="15.7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spans="1:9" ht="15.7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spans="1:9" ht="15.7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spans="1:9" ht="15.7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spans="1:9" ht="15.7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spans="1:9" ht="15.7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spans="1:9" ht="15.7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spans="1:9" ht="15.7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spans="1:9" ht="15.7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spans="1:9" ht="15.7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spans="1:9" ht="15.7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spans="1:9" ht="15.7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spans="1:9" ht="15.7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spans="1:9" ht="15.7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spans="1:9" ht="15.7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spans="1:9" ht="15.7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spans="1:9" ht="15.7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spans="1:9" ht="15.7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spans="1:9" ht="15.7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spans="1:9" ht="15.7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spans="1:9" ht="15.7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spans="1:9" ht="15.7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spans="1:9" ht="15.7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spans="1:9" ht="15.7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spans="1:9" ht="15.7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spans="1:9" ht="15.7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spans="1:9" ht="15.7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spans="1:9" ht="15.7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spans="1:9" ht="15.7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spans="1:9" ht="15.7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spans="1:9" ht="15.7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spans="1:9" ht="15.7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spans="1:9" ht="15.7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spans="1:9" ht="15.7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spans="1:9" ht="15.7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spans="1:9" ht="15.7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spans="1:9" ht="15.7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spans="1:9" ht="15.7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spans="1:9" ht="15.7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spans="1:9" ht="15.7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spans="1:9" ht="15.7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spans="1:9" ht="15.7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spans="1:9" ht="15.7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spans="1:9" ht="15.7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spans="1:9" ht="15.7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spans="1:9" ht="15.7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spans="1:9" ht="15.7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spans="1:9" ht="15.7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spans="1:9" ht="15.7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spans="1:9" ht="15.7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spans="1:9" ht="15.7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spans="1:9" ht="15.7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spans="1:9" ht="15.7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spans="1:9" ht="15.7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spans="1:9" ht="15.7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spans="1:9" ht="15.7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spans="1:9" ht="15.7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spans="1:9" ht="15.7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spans="1:9" ht="15.7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spans="1:9" ht="15.7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spans="1:9" ht="15.7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spans="1:9" ht="15.7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spans="1:9" ht="15.7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spans="1:9" ht="15.7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spans="1:9" ht="15.7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spans="1:9" ht="15.7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spans="1:9" ht="15.7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spans="1:9" ht="15.7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spans="1:9" ht="15.7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spans="1:9" ht="15.7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spans="1:9" ht="15.7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spans="1:9" ht="15.7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spans="1:9" ht="15.7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spans="1:9" ht="15.7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spans="1:9" ht="15.7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spans="1:9" ht="15.7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spans="1:9" ht="15.7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spans="1:9" ht="15.7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spans="1:9" ht="15.7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spans="1:9" ht="15.7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spans="1:9" ht="15.7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spans="1:9" ht="15.7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spans="1:9" ht="15.7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spans="1:9" ht="15.7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spans="1:9" ht="15.7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spans="1:9" ht="15.7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spans="1:9" ht="15.7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spans="1:9" ht="15.7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spans="1:9" ht="15.7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spans="1:9" ht="15.7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spans="1:9" ht="15.7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spans="1:9" ht="15.7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spans="1:9" ht="15.7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spans="1:9" ht="15.7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spans="1:9" ht="15.7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spans="1:9" ht="15.7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spans="1:9" ht="15.7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spans="1:9" ht="15.7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spans="1:9" ht="15.7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spans="1:9" ht="15.7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spans="1:9" ht="15.7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spans="1:9" ht="15.7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spans="1:9" ht="15.7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spans="1:9" ht="15.7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spans="1:9" ht="15.7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spans="1:9" ht="15.7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spans="1:9" ht="15.7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spans="1:9" ht="15.7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spans="1:9" ht="15.7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spans="1:9" ht="15.7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spans="1:9" ht="15.7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spans="1:9" ht="15.7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spans="1:9" ht="15.7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spans="1:9" ht="15.7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spans="1:9" ht="15.7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spans="1:9" ht="15.7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spans="1:9" ht="15.7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spans="1:9" ht="15.7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spans="1:9" ht="15.7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spans="1:9" ht="15.7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spans="1:9" ht="15.7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spans="1:9" ht="15.7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spans="1:9" ht="15.7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spans="1:9" ht="15.7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spans="1:9" ht="15.7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spans="1:9" ht="15.7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spans="1:9" ht="15.7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spans="1:9" ht="15.7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spans="1:9" ht="15.7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spans="1:9" ht="15.7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spans="1:9" ht="15.7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spans="1:9" ht="15.7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spans="1:9" ht="15.7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spans="1:9" ht="15.7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spans="1:9" ht="15.7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spans="1:9" ht="15.7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spans="1:9" ht="15.7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spans="1:9" ht="15.7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spans="1:9" ht="15.7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spans="1:9" ht="15.7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spans="1:9" ht="15.7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spans="1:9" ht="15.7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spans="1:9" ht="15.7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spans="1:9" ht="15.7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spans="1:9" ht="15.7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spans="1:9" ht="15.7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spans="1:9" ht="15.7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spans="1:9" ht="15.7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spans="1:9" ht="15.7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spans="1:9" ht="15.7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spans="1:9" ht="15.7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spans="1:9" ht="15.7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spans="1:9" ht="15.7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spans="1:9" ht="15.7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spans="1:9" ht="15.7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spans="1:9" ht="15.7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spans="1:9" ht="15.7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spans="1:9" ht="15.7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spans="1:9" ht="15.7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spans="1:9" ht="15.7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spans="1:9" ht="15.7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spans="1:9" ht="15.7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spans="1:9" ht="15.7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spans="1:9" ht="15.7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spans="1:9" ht="15.7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spans="1:9" ht="15.7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spans="1:9" ht="15.7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spans="1:9" ht="15.7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spans="1:9" ht="15.7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spans="1:9" ht="15.7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spans="1:9" ht="15.7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spans="1:9" ht="15.7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spans="1:9" ht="15.7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spans="1:9" ht="15.7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spans="1:9" ht="15.7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spans="1:9" ht="15.7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spans="1:9" ht="15.7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spans="1:9" ht="15.7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spans="1:9" ht="15.7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spans="1:9" ht="15.7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spans="1:9" ht="15.7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spans="1:9" ht="15.7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spans="1:9" ht="15.7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spans="1:9" ht="15.7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spans="1:9" ht="15.7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spans="1:9" ht="15.7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spans="1:9" ht="15.7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spans="1:9" ht="15.7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spans="1:9" ht="15.7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spans="1:9" ht="15.7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spans="1:9" ht="15.7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spans="1:9" ht="15.7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spans="1:9" ht="15.7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spans="1:9" ht="15.7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spans="1:9" ht="15.7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spans="1:9" ht="15.7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spans="1:9" ht="15.7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spans="1:9" ht="15.7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spans="1:9" ht="15.7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spans="1:9" ht="15.7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spans="1:9" ht="15.7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spans="1:9" ht="15.7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spans="1:9" ht="15.7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spans="1:9" ht="15.7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spans="1:9" ht="15.7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spans="1:9" ht="15.7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spans="1:9" ht="15.7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spans="1:9" ht="15.7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spans="1:9" ht="15.7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spans="1:9" ht="15.7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spans="1:9" ht="15.7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spans="1:9" ht="15.7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spans="1:9" ht="15.7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spans="1:9" ht="15.7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spans="1:9" ht="15.7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spans="1:9" ht="15.7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spans="1:9" ht="15.7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spans="1:9" ht="15.7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spans="1:9" ht="15.7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spans="1:9" ht="15.7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spans="1:9" ht="15.7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spans="1:9" ht="15.7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spans="1:9" ht="15.7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spans="1:9" ht="15.7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spans="1:9" ht="15.7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spans="1:9" ht="15.7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spans="1:9" ht="15.7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spans="1:9" ht="15.7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spans="1:9" ht="15.7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spans="1:9" ht="15.7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spans="1:9" ht="15.7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spans="1:9" ht="15.7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spans="1:9" ht="15.7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spans="1:9" ht="15.7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spans="1:9" ht="15.7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spans="1:9" ht="15.7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spans="1:9" ht="15.7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spans="1:9" ht="15.7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spans="1:9" ht="15.7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spans="1:9" ht="15.7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spans="1:9" ht="15.7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spans="1:9" ht="15.7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spans="1:9" ht="15.7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spans="1:9" ht="15.7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spans="1:9" ht="15.7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spans="1:9" ht="15.7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spans="1:9" ht="15.7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spans="1:9" ht="15.7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spans="1:9" ht="15.7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spans="1:9" ht="15.7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spans="1:9" ht="15.7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spans="1:9" ht="15.7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spans="1:9" ht="15.7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spans="1:9" ht="15.7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spans="1:9" ht="15.7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spans="1:9" ht="15.7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spans="1:9" ht="15.7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spans="1:9" ht="15.7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spans="1:9" ht="15.7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spans="1:9" ht="15.7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spans="1:9" ht="15.7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spans="1:9" ht="15.7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spans="1:9" ht="15.7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spans="1:9" ht="15.7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spans="1:9" ht="15.7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spans="1:9" ht="15.7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spans="1:9" ht="15.7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spans="1:9" ht="15.7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spans="1:9" ht="15.7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spans="1:9" ht="15.7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spans="1:9" ht="15.7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spans="1:9" ht="15.7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spans="1:9" ht="15.7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spans="1:9" ht="15.7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spans="1:9" ht="15.7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spans="1:9" ht="15.7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spans="1:9" ht="15.7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spans="1:9" ht="15.7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spans="1:9" ht="15.7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spans="1:9" ht="15.7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spans="1:9" ht="15.7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spans="1:9" ht="15.7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spans="1:9" ht="15.7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spans="1:9" ht="15.7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spans="1:9" ht="15.7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spans="1:9" ht="15.7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spans="1:9" ht="15.7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spans="1:9" ht="15.7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spans="1:9" ht="15.7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spans="1:9" ht="15.7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spans="1:9" ht="15.7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spans="1:9" ht="15.7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spans="1:9" ht="15.7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spans="1:9" ht="15.7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spans="1:9" ht="15.7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spans="1:9" ht="15.7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spans="1:9" ht="15.7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spans="1:9" ht="15.7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spans="1:9" ht="15.7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spans="1:9" ht="15.7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spans="1:9" ht="15.7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spans="1:9" ht="15.7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spans="1:9" ht="15.7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spans="1:9" ht="15.7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spans="1:9" ht="15.7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spans="1:9" ht="15.7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spans="1:9" ht="15.7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spans="1:9" ht="15.7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spans="1:9" ht="15.7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spans="1:9" ht="15.7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spans="1:9" ht="15.7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spans="1:9" ht="15.7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spans="1:9" ht="15.7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spans="1:9" ht="15.7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spans="1:9" ht="15.7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spans="1:9" ht="15.7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spans="1:9" ht="15.7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spans="1:9" ht="15.7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spans="1:9" ht="15.7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spans="1:9" ht="15.7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spans="1:9" ht="15.7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spans="1:9" ht="15.7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spans="1:9" ht="15.7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spans="1:9" ht="15.7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spans="1:9" ht="15.7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spans="1:9" ht="15.7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spans="1:9" ht="15.7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spans="1:9" ht="15.7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spans="1:9" ht="15.7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spans="1:9" ht="15.7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spans="1:9" ht="15.7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spans="1:9" ht="15.7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spans="1:9" ht="15.7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spans="1:9" ht="15.7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spans="1:9" ht="15.7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spans="1:9" ht="15.7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spans="1:9" ht="15.7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spans="1:9" ht="15.7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spans="1:9" ht="15.7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spans="1:9" ht="15.7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spans="1:9" ht="15.7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spans="1:9" ht="15.7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spans="1:9" ht="15.7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spans="1:9" ht="15.7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spans="1:9" ht="15.7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spans="1:9" ht="15.7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spans="1:9" ht="15.7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spans="1:9" ht="15.7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spans="1:9" ht="15.7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spans="1:9" ht="15.7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spans="1:9" ht="15.7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spans="1:9" ht="15.7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spans="1:9" ht="15.7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spans="1:9" ht="15.7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spans="1:9" ht="15.7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spans="1:9" ht="15.7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spans="1:9" ht="15.7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spans="1:9" ht="15.7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spans="1:9" ht="15.7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spans="1:9" ht="15.7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spans="1:9" ht="15.7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spans="1:9" ht="15.7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spans="1:9" ht="15.7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spans="1:9" ht="15.7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spans="1:9" ht="15.7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spans="1:9" ht="15.7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spans="1:9" ht="15.7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spans="1:9" ht="15.7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spans="1:9" ht="15.7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spans="1:9" ht="15.7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spans="1:9" ht="15.7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spans="1:9" ht="15.7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spans="1:9" ht="15.7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spans="1:9" ht="15.7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spans="1:9" ht="15.7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spans="1:9" ht="15.7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spans="1:9" ht="15.7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spans="1:9" ht="15.7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spans="1:9" ht="15.7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spans="1:9" ht="15.7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spans="1:9" ht="15.7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spans="1:9" ht="15.7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spans="1:9" ht="15.7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spans="1:9" ht="15.7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spans="1:9" ht="15.7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spans="1:9" ht="15.7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spans="1:9" ht="15.7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spans="1:9" ht="15.7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spans="1:9" ht="15.7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spans="1:9" ht="15.7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spans="1:9" ht="15.7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spans="1:9" ht="15.7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spans="1:9" ht="15.7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spans="1:9" ht="15.7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spans="1:9" ht="15.7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spans="1:9" ht="15.7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spans="1:9" ht="15.7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spans="1:9" ht="15.7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spans="1:9" ht="15.7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spans="1:9" ht="15.7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spans="1:9" ht="15.7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spans="1:9" ht="15.7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spans="1:9" ht="15.7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spans="1:9" ht="15.7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spans="1:9" ht="15.7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spans="1:9" ht="15.7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spans="1:9" ht="15.7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spans="1:9" ht="15.7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spans="1:9" ht="15.7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spans="1:9" ht="15.7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spans="1:9" ht="15.7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spans="1:9" ht="15.7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spans="1:9" ht="15.7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spans="1:9" ht="15.7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spans="1:9" ht="15.7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spans="1:9" ht="15.7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spans="1:9" ht="15.7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spans="1:9" ht="15.7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spans="1:9" ht="15.7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spans="1:9" ht="15.7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spans="1:9" ht="15.7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spans="1:9" ht="15.7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spans="1:9" ht="15.7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spans="1:9" ht="15.7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spans="1:9" ht="15.7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spans="1:9" ht="15.7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spans="1:9" ht="15.7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spans="1:9" ht="15.7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spans="1:9" ht="15.7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spans="1:9" ht="15.7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spans="1:9" ht="15.7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spans="1:9" ht="15.7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spans="1:9" ht="15.7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spans="1:9" ht="15.7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spans="1:9" ht="15.7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spans="1:9" ht="15.7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spans="1:9" ht="15.7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spans="1:9" ht="15.7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spans="1:9" ht="15.7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spans="1:9" ht="15.7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spans="1:9" ht="15.7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spans="1:9" ht="15.7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spans="1:9" ht="15.7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spans="1:9" ht="15.7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spans="1:9" ht="15.7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spans="1:9" ht="15.7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spans="1:9" ht="15.7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spans="1:9" ht="15.7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spans="1:9" ht="15.7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spans="1:9" ht="15.7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spans="1:9" ht="15.7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spans="1:9" ht="15.7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spans="1:9" ht="15.7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spans="1:9" ht="15.7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spans="1:9" ht="15.7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spans="1:9" ht="15.7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spans="1:9" ht="15.7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spans="1:9" ht="15.7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spans="1:9" ht="15.7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spans="1:9" ht="15.7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spans="1:9" ht="15.7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spans="1:9" ht="15.7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spans="1:9" ht="15.7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spans="1:9" ht="15.7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spans="1:9" ht="15.7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spans="1:9" ht="15.7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spans="1:9" ht="15.7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spans="1:9" ht="15.7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spans="1:9" ht="15.7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spans="1:9" ht="15.7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spans="1:9" ht="15.7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spans="1:9" ht="15.7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spans="1:9" ht="15.7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spans="1:9" ht="15.7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spans="1:9" ht="15.7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spans="1:9" ht="15.7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spans="1:9" ht="15.7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spans="1:9" ht="15.7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spans="1:9" ht="15.7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spans="1:9" ht="15.7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spans="1:9" ht="15.7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spans="1:9" ht="15.7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spans="1:9" ht="15.7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spans="1:9" ht="15.7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spans="1:9" ht="15.7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spans="1:9" ht="15.7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spans="1:9" ht="15.7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spans="1:9" ht="15.7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spans="1:9" ht="15.7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spans="1:9" ht="15.7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spans="1:9" ht="15.7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spans="1:9" ht="15.7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spans="1:9" ht="15.7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spans="1:9" ht="15.7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spans="1:9" ht="15.7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spans="1:9" ht="15.7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spans="1:9" ht="15.7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spans="1:9" ht="15.7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spans="1:9" ht="15.7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spans="1:9" ht="15.7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spans="1:9" ht="15.7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spans="1:9" ht="15.7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spans="1:9" ht="15.7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spans="1:9" ht="15.7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spans="1:9" ht="15.7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spans="1:9" ht="15.7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spans="1:9" ht="15.7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spans="1:9" ht="15.7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spans="1:9" ht="15.7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spans="1:9" ht="15.7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spans="1:9" ht="15.7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spans="1:9" ht="15.7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spans="1:9" ht="15.7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spans="1:9" ht="15.7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spans="1:9" ht="15.7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spans="1:9" ht="15.7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spans="1:9" ht="15.7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spans="1:9" ht="15.7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spans="1:9" ht="15.7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spans="1:9" ht="15.7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spans="1:9" ht="15.7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spans="1:9" ht="15.7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spans="1:9" ht="15.7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spans="1:9" ht="15.7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spans="1:9" ht="15.7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spans="1:9" ht="15.7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spans="1:9" ht="15.7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spans="1:9" ht="15.7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spans="1:9" ht="15.7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spans="1:9" ht="15.7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spans="1:9" ht="15.7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spans="1:9" ht="15.7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spans="1:9" ht="15.7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spans="1:9" ht="15.7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spans="1:9" ht="15.7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spans="1:9" ht="15.7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spans="1:9" ht="15.7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spans="1:9" ht="15.7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spans="1:9" ht="15.7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spans="1:9" ht="15.7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spans="1:9" ht="15.7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spans="1:9" ht="15.7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spans="1:9" ht="15.7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spans="1:9" ht="15.7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spans="1:9" ht="15.7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spans="1:9" ht="15.7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spans="1:9" ht="15.7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spans="1:9" ht="15.7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spans="1:9" ht="15.7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spans="1:9" ht="15.7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spans="1:9" ht="15.7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spans="1:9" ht="15.7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spans="1:9" ht="15.7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spans="1:9" ht="15.7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spans="1:9" ht="15.7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spans="1:9" ht="15.7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spans="1:9" ht="15.7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spans="1:9" ht="15.7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spans="1:9" ht="15.7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spans="1:9" ht="15.7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spans="1:9" ht="15.7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spans="1:9" ht="15.7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spans="1:9" ht="15.7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spans="1:9" ht="15.7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spans="1:9" ht="15.7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spans="1:9" ht="15.7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spans="1:9" ht="15.7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spans="1:9" ht="15.7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spans="1:9" ht="15.7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spans="1:9" ht="15.7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spans="1:9" ht="15.7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spans="1:9" ht="15.7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spans="1:9" ht="15.7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spans="1:9" ht="15.7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spans="1:9" ht="15.7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spans="1:9" ht="15.7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spans="1:9" ht="15.7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spans="1:9" ht="15.7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spans="1:9" ht="15.7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spans="1:9" ht="15.7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spans="1:9" ht="15.7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spans="1:9" ht="15.7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spans="1:9" ht="15.7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spans="1:9" ht="15.7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spans="1:9" ht="15.7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spans="1:9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mergeCells count="17">
    <mergeCell ref="A33:A39"/>
    <mergeCell ref="G3:G4"/>
    <mergeCell ref="H3:H4"/>
    <mergeCell ref="F19:F22"/>
    <mergeCell ref="F30:F32"/>
    <mergeCell ref="A5:A9"/>
    <mergeCell ref="A10:A14"/>
    <mergeCell ref="A15:A18"/>
    <mergeCell ref="F15:F18"/>
    <mergeCell ref="A19:A22"/>
    <mergeCell ref="A23:A29"/>
    <mergeCell ref="A30:A32"/>
    <mergeCell ref="A1:F2"/>
    <mergeCell ref="A3:B3"/>
    <mergeCell ref="C3:C4"/>
    <mergeCell ref="D3:D4"/>
    <mergeCell ref="F3:F4"/>
  </mergeCells>
  <phoneticPr fontId="30" type="noConversion"/>
  <pageMargins left="0.25" right="0.25" top="0.75" bottom="0.75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1000"/>
  <sheetViews>
    <sheetView workbookViewId="0"/>
  </sheetViews>
  <sheetFormatPr defaultColWidth="14.42578125" defaultRowHeight="15" customHeight="1"/>
  <cols>
    <col min="1" max="1" width="28" customWidth="1"/>
    <col min="2" max="2" width="80.85546875" customWidth="1"/>
    <col min="3" max="3" width="11.85546875" customWidth="1"/>
    <col min="4" max="4" width="12.85546875" customWidth="1"/>
    <col min="5" max="5" width="12.42578125" customWidth="1"/>
    <col min="6" max="6" width="21.140625" customWidth="1"/>
    <col min="7" max="7" width="27.28515625" customWidth="1"/>
    <col min="8" max="8" width="10.140625" customWidth="1"/>
    <col min="9" max="9" width="8.85546875" customWidth="1"/>
  </cols>
  <sheetData>
    <row r="1" spans="1:9" ht="16.5" customHeight="1">
      <c r="A1" s="625" t="s">
        <v>788</v>
      </c>
      <c r="B1" s="611"/>
      <c r="C1" s="611"/>
      <c r="D1" s="611"/>
      <c r="E1" s="611"/>
      <c r="F1" s="611"/>
      <c r="G1" s="552"/>
      <c r="H1" s="73"/>
      <c r="I1" s="73"/>
    </row>
    <row r="2" spans="1:9" ht="18" customHeight="1">
      <c r="A2" s="610"/>
      <c r="B2" s="615"/>
      <c r="C2" s="615"/>
      <c r="D2" s="615"/>
      <c r="E2" s="615"/>
      <c r="F2" s="615"/>
      <c r="G2" s="552"/>
      <c r="H2" s="73"/>
      <c r="I2" s="73"/>
    </row>
    <row r="3" spans="1:9" ht="16.5" customHeight="1">
      <c r="A3" s="699" t="s">
        <v>513</v>
      </c>
      <c r="B3" s="700"/>
      <c r="C3" s="678" t="s">
        <v>462</v>
      </c>
      <c r="D3" s="688" t="s">
        <v>585</v>
      </c>
      <c r="E3" s="341" t="s">
        <v>544</v>
      </c>
      <c r="F3" s="678" t="s">
        <v>737</v>
      </c>
      <c r="G3" s="552"/>
      <c r="H3" s="73"/>
      <c r="I3" s="73"/>
    </row>
    <row r="4" spans="1:9" ht="16.5" customHeight="1">
      <c r="A4" s="553" t="s">
        <v>8</v>
      </c>
      <c r="B4" s="263" t="s">
        <v>9</v>
      </c>
      <c r="C4" s="606"/>
      <c r="D4" s="621"/>
      <c r="E4" s="560" t="s">
        <v>738</v>
      </c>
      <c r="F4" s="606"/>
      <c r="G4" s="552"/>
      <c r="H4" s="1"/>
      <c r="I4" s="73"/>
    </row>
    <row r="5" spans="1:9" ht="16.5" customHeight="1">
      <c r="A5" s="666" t="s">
        <v>789</v>
      </c>
      <c r="B5" s="340" t="s">
        <v>790</v>
      </c>
      <c r="C5" s="352">
        <f t="shared" ref="C5:C27" si="0">D5*2-1000</f>
        <v>177000</v>
      </c>
      <c r="D5" s="345">
        <v>89000</v>
      </c>
      <c r="E5" s="561"/>
      <c r="F5" s="736"/>
      <c r="G5" s="552"/>
      <c r="H5" s="1"/>
      <c r="I5" s="73"/>
    </row>
    <row r="6" spans="1:9" ht="16.5" customHeight="1">
      <c r="A6" s="605"/>
      <c r="B6" s="1" t="s">
        <v>284</v>
      </c>
      <c r="C6" s="352">
        <f t="shared" si="0"/>
        <v>797000</v>
      </c>
      <c r="D6" s="353">
        <v>399000</v>
      </c>
      <c r="E6" s="561"/>
      <c r="F6" s="603"/>
      <c r="G6" s="552"/>
      <c r="H6" s="1"/>
      <c r="I6" s="73"/>
    </row>
    <row r="7" spans="1:9" ht="16.5" customHeight="1">
      <c r="A7" s="605"/>
      <c r="B7" s="1" t="s">
        <v>285</v>
      </c>
      <c r="C7" s="352">
        <f t="shared" si="0"/>
        <v>897000</v>
      </c>
      <c r="D7" s="353">
        <v>449000</v>
      </c>
      <c r="E7" s="561"/>
      <c r="F7" s="603"/>
      <c r="G7" s="552"/>
      <c r="H7" s="1"/>
      <c r="I7" s="1"/>
    </row>
    <row r="8" spans="1:9" ht="16.5" customHeight="1">
      <c r="A8" s="606"/>
      <c r="B8" s="174" t="s">
        <v>791</v>
      </c>
      <c r="C8" s="359">
        <f t="shared" si="0"/>
        <v>1737000</v>
      </c>
      <c r="D8" s="360">
        <v>869000</v>
      </c>
      <c r="E8" s="557"/>
      <c r="F8" s="621"/>
      <c r="G8" s="552"/>
      <c r="H8" s="1"/>
      <c r="I8" s="1"/>
    </row>
    <row r="9" spans="1:9" ht="15.75" customHeight="1">
      <c r="A9" s="666" t="s">
        <v>792</v>
      </c>
      <c r="B9" s="387" t="s">
        <v>793</v>
      </c>
      <c r="C9" s="352">
        <f t="shared" si="0"/>
        <v>277000</v>
      </c>
      <c r="D9" s="353">
        <v>139000</v>
      </c>
      <c r="E9" s="561"/>
      <c r="F9" s="736"/>
      <c r="G9" s="552"/>
      <c r="H9" s="1"/>
      <c r="I9" s="73"/>
    </row>
    <row r="10" spans="1:9" ht="16.5" customHeight="1">
      <c r="A10" s="605"/>
      <c r="B10" s="401" t="s">
        <v>794</v>
      </c>
      <c r="C10" s="352">
        <f t="shared" si="0"/>
        <v>277000</v>
      </c>
      <c r="D10" s="353">
        <v>139000</v>
      </c>
      <c r="E10" s="561"/>
      <c r="F10" s="603"/>
      <c r="G10" s="552"/>
      <c r="H10" s="1"/>
      <c r="I10" s="73"/>
    </row>
    <row r="11" spans="1:9" ht="16.5" customHeight="1">
      <c r="A11" s="605"/>
      <c r="B11" s="401" t="s">
        <v>795</v>
      </c>
      <c r="C11" s="352">
        <f t="shared" si="0"/>
        <v>657000</v>
      </c>
      <c r="D11" s="353">
        <v>329000</v>
      </c>
      <c r="E11" s="561"/>
      <c r="F11" s="603"/>
      <c r="G11" s="552"/>
      <c r="H11" s="1"/>
      <c r="I11" s="73"/>
    </row>
    <row r="12" spans="1:9" ht="16.5" customHeight="1">
      <c r="A12" s="606"/>
      <c r="B12" s="158" t="s">
        <v>796</v>
      </c>
      <c r="C12" s="359">
        <f t="shared" si="0"/>
        <v>1497000</v>
      </c>
      <c r="D12" s="360">
        <v>749000</v>
      </c>
      <c r="E12" s="563"/>
      <c r="F12" s="621"/>
      <c r="G12" s="552"/>
      <c r="H12" s="1"/>
      <c r="I12" s="73"/>
    </row>
    <row r="13" spans="1:9" ht="17.25" customHeight="1">
      <c r="A13" s="666" t="s">
        <v>797</v>
      </c>
      <c r="B13" s="420" t="s">
        <v>334</v>
      </c>
      <c r="C13" s="352">
        <f t="shared" si="0"/>
        <v>1197000</v>
      </c>
      <c r="D13" s="345">
        <v>599000</v>
      </c>
      <c r="E13" s="561"/>
      <c r="F13" s="736"/>
      <c r="G13" s="552"/>
      <c r="H13" s="1"/>
      <c r="I13" s="73"/>
    </row>
    <row r="14" spans="1:9" ht="16.5" customHeight="1">
      <c r="A14" s="605"/>
      <c r="B14" s="387" t="s">
        <v>798</v>
      </c>
      <c r="C14" s="352">
        <f t="shared" si="0"/>
        <v>637000</v>
      </c>
      <c r="D14" s="353">
        <v>319000</v>
      </c>
      <c r="E14" s="561"/>
      <c r="F14" s="603"/>
      <c r="G14" s="552"/>
      <c r="H14" s="1"/>
      <c r="I14" s="73"/>
    </row>
    <row r="15" spans="1:9" ht="16.5" customHeight="1">
      <c r="A15" s="605"/>
      <c r="B15" s="387" t="s">
        <v>799</v>
      </c>
      <c r="C15" s="352">
        <f t="shared" si="0"/>
        <v>337000</v>
      </c>
      <c r="D15" s="353">
        <v>169000</v>
      </c>
      <c r="E15" s="561"/>
      <c r="F15" s="603"/>
      <c r="G15" s="552"/>
      <c r="H15" s="1"/>
      <c r="I15" s="73"/>
    </row>
    <row r="16" spans="1:9" ht="70.5" customHeight="1">
      <c r="A16" s="606"/>
      <c r="B16" s="158" t="s">
        <v>800</v>
      </c>
      <c r="C16" s="359">
        <f t="shared" si="0"/>
        <v>517000</v>
      </c>
      <c r="D16" s="360">
        <v>259000</v>
      </c>
      <c r="E16" s="567"/>
      <c r="F16" s="621"/>
      <c r="G16" s="552"/>
      <c r="H16" s="1"/>
      <c r="I16" s="73"/>
    </row>
    <row r="17" spans="1:9" ht="16.5" customHeight="1">
      <c r="A17" s="733" t="s">
        <v>801</v>
      </c>
      <c r="B17" s="401" t="s">
        <v>719</v>
      </c>
      <c r="C17" s="352">
        <f t="shared" si="0"/>
        <v>219000</v>
      </c>
      <c r="D17" s="353">
        <v>110000</v>
      </c>
      <c r="E17" s="568"/>
      <c r="F17" s="561"/>
      <c r="G17" s="552"/>
      <c r="H17" s="1"/>
      <c r="I17" s="73"/>
    </row>
    <row r="18" spans="1:9" ht="16.5" customHeight="1">
      <c r="A18" s="605"/>
      <c r="B18" s="401" t="s">
        <v>802</v>
      </c>
      <c r="C18" s="352">
        <f t="shared" si="0"/>
        <v>219000</v>
      </c>
      <c r="D18" s="353">
        <v>110000</v>
      </c>
      <c r="E18" s="561"/>
      <c r="F18" s="561"/>
      <c r="G18" s="552"/>
      <c r="H18" s="1"/>
      <c r="I18" s="1"/>
    </row>
    <row r="19" spans="1:9" ht="16.5" customHeight="1">
      <c r="A19" s="605"/>
      <c r="B19" s="401" t="s">
        <v>803</v>
      </c>
      <c r="C19" s="352">
        <f t="shared" si="0"/>
        <v>219000</v>
      </c>
      <c r="D19" s="353">
        <v>110000</v>
      </c>
      <c r="E19" s="561"/>
      <c r="F19" s="561"/>
      <c r="G19" s="552"/>
      <c r="H19" s="1"/>
      <c r="I19" s="1"/>
    </row>
    <row r="20" spans="1:9" ht="16.5" customHeight="1">
      <c r="A20" s="606"/>
      <c r="B20" s="404" t="s">
        <v>804</v>
      </c>
      <c r="C20" s="359">
        <f t="shared" si="0"/>
        <v>219000</v>
      </c>
      <c r="D20" s="360">
        <v>110000</v>
      </c>
      <c r="E20" s="563"/>
      <c r="F20" s="563"/>
      <c r="G20" s="552"/>
      <c r="H20" s="1"/>
      <c r="I20" s="73"/>
    </row>
    <row r="21" spans="1:9" ht="16.5" customHeight="1">
      <c r="A21" s="670" t="s">
        <v>726</v>
      </c>
      <c r="B21" s="442" t="s">
        <v>805</v>
      </c>
      <c r="C21" s="352">
        <f t="shared" si="0"/>
        <v>39000</v>
      </c>
      <c r="D21" s="513">
        <v>20000</v>
      </c>
      <c r="E21" s="561"/>
      <c r="F21" s="561"/>
      <c r="G21" s="552"/>
      <c r="H21" s="1"/>
      <c r="I21" s="73"/>
    </row>
    <row r="22" spans="1:9" ht="16.5" customHeight="1">
      <c r="A22" s="605"/>
      <c r="B22" s="447" t="s">
        <v>806</v>
      </c>
      <c r="C22" s="352">
        <f t="shared" si="0"/>
        <v>77000</v>
      </c>
      <c r="D22" s="402">
        <v>39000</v>
      </c>
      <c r="E22" s="561"/>
      <c r="F22" s="561"/>
      <c r="G22" s="552"/>
      <c r="H22" s="1"/>
      <c r="I22" s="73"/>
    </row>
    <row r="23" spans="1:9" ht="16.5" customHeight="1">
      <c r="A23" s="605"/>
      <c r="B23" s="442" t="s">
        <v>807</v>
      </c>
      <c r="C23" s="352">
        <f t="shared" si="0"/>
        <v>197000</v>
      </c>
      <c r="D23" s="513">
        <v>99000</v>
      </c>
      <c r="E23" s="561"/>
      <c r="F23" s="561"/>
      <c r="G23" s="552"/>
      <c r="H23" s="1"/>
      <c r="I23" s="73"/>
    </row>
    <row r="24" spans="1:9" ht="16.5" customHeight="1">
      <c r="A24" s="605"/>
      <c r="B24" s="442" t="s">
        <v>729</v>
      </c>
      <c r="C24" s="352">
        <f t="shared" si="0"/>
        <v>337000</v>
      </c>
      <c r="D24" s="513">
        <v>169000</v>
      </c>
      <c r="E24" s="568"/>
      <c r="F24" s="561"/>
      <c r="G24" s="552"/>
      <c r="H24" s="1"/>
      <c r="I24" s="73"/>
    </row>
    <row r="25" spans="1:9" ht="16.5" customHeight="1">
      <c r="A25" s="605"/>
      <c r="B25" s="447" t="s">
        <v>808</v>
      </c>
      <c r="C25" s="352">
        <f t="shared" si="0"/>
        <v>197000</v>
      </c>
      <c r="D25" s="402">
        <v>99000</v>
      </c>
      <c r="E25" s="561"/>
      <c r="F25" s="561"/>
      <c r="G25" s="552"/>
      <c r="H25" s="1"/>
      <c r="I25" s="73"/>
    </row>
    <row r="26" spans="1:9" ht="16.5" customHeight="1">
      <c r="A26" s="605"/>
      <c r="B26" s="442" t="s">
        <v>809</v>
      </c>
      <c r="C26" s="352">
        <f t="shared" si="0"/>
        <v>197000</v>
      </c>
      <c r="D26" s="513">
        <v>99000</v>
      </c>
      <c r="E26" s="561"/>
      <c r="F26" s="561"/>
      <c r="G26" s="552"/>
      <c r="H26" s="1"/>
      <c r="I26" s="73"/>
    </row>
    <row r="27" spans="1:9" ht="16.5" customHeight="1">
      <c r="A27" s="606"/>
      <c r="B27" s="443" t="s">
        <v>810</v>
      </c>
      <c r="C27" s="359">
        <f t="shared" si="0"/>
        <v>559000</v>
      </c>
      <c r="D27" s="547">
        <v>280000</v>
      </c>
      <c r="E27" s="563"/>
      <c r="F27" s="563"/>
      <c r="G27" s="552"/>
      <c r="H27" s="1"/>
      <c r="I27" s="73"/>
    </row>
    <row r="28" spans="1:9" ht="16.5" customHeight="1">
      <c r="A28" s="73"/>
      <c r="B28" s="73"/>
      <c r="C28" s="73"/>
      <c r="D28" s="340"/>
      <c r="E28" s="176"/>
      <c r="F28" s="350"/>
      <c r="G28" s="552"/>
      <c r="H28" s="73"/>
      <c r="I28" s="73"/>
    </row>
    <row r="29" spans="1:9" ht="16.5" customHeight="1">
      <c r="A29" s="1"/>
      <c r="B29" s="1"/>
      <c r="C29" s="354"/>
      <c r="D29" s="354"/>
      <c r="E29" s="176"/>
      <c r="F29" s="176"/>
      <c r="G29" s="552"/>
      <c r="H29" s="73"/>
      <c r="I29" s="73"/>
    </row>
    <row r="30" spans="1:9" ht="16.5" customHeight="1">
      <c r="A30" s="1"/>
      <c r="B30" s="1"/>
      <c r="C30" s="354"/>
      <c r="D30" s="354"/>
      <c r="E30" s="559"/>
      <c r="F30" s="176"/>
      <c r="G30" s="552"/>
      <c r="H30" s="73"/>
      <c r="I30" s="73"/>
    </row>
    <row r="31" spans="1:9" ht="16.5" customHeight="1">
      <c r="A31" s="1"/>
      <c r="B31" s="1"/>
      <c r="C31" s="1"/>
      <c r="D31" s="537"/>
      <c r="E31" s="176"/>
      <c r="F31" s="176"/>
      <c r="G31" s="552"/>
      <c r="H31" s="73"/>
      <c r="I31" s="73"/>
    </row>
    <row r="32" spans="1:9" ht="16.5" customHeight="1">
      <c r="A32" s="1"/>
      <c r="B32" s="1"/>
      <c r="C32" s="1"/>
      <c r="D32" s="537"/>
      <c r="E32" s="551"/>
      <c r="F32" s="176"/>
      <c r="G32" s="552"/>
      <c r="H32" s="73"/>
      <c r="I32" s="73"/>
    </row>
    <row r="33" spans="1:9" ht="16.5" customHeight="1">
      <c r="A33" s="1"/>
      <c r="B33" s="1"/>
      <c r="C33" s="1"/>
      <c r="D33" s="537"/>
      <c r="E33" s="551"/>
      <c r="F33" s="176"/>
      <c r="G33" s="552"/>
      <c r="H33" s="73"/>
      <c r="I33" s="73"/>
    </row>
    <row r="34" spans="1:9" ht="16.5" customHeight="1">
      <c r="A34" s="73"/>
      <c r="B34" s="73"/>
      <c r="C34" s="73"/>
      <c r="D34" s="73"/>
      <c r="E34" s="176"/>
      <c r="F34" s="176"/>
      <c r="G34" s="552"/>
      <c r="H34" s="73"/>
      <c r="I34" s="73"/>
    </row>
    <row r="35" spans="1:9" ht="16.5" customHeight="1">
      <c r="A35" s="73"/>
      <c r="B35" s="73"/>
      <c r="C35" s="73"/>
      <c r="D35" s="73"/>
      <c r="E35" s="551"/>
      <c r="F35" s="176"/>
      <c r="G35" s="552"/>
      <c r="H35" s="73"/>
      <c r="I35" s="73"/>
    </row>
    <row r="36" spans="1:9" ht="16.5" customHeight="1">
      <c r="A36" s="73"/>
      <c r="B36" s="73"/>
      <c r="C36" s="73"/>
      <c r="D36" s="73"/>
      <c r="E36" s="551"/>
      <c r="F36" s="176"/>
      <c r="G36" s="552"/>
      <c r="H36" s="73"/>
      <c r="I36" s="73"/>
    </row>
    <row r="37" spans="1:9" ht="16.5" customHeight="1">
      <c r="A37" s="73"/>
      <c r="B37" s="73"/>
      <c r="C37" s="73"/>
      <c r="D37" s="73"/>
      <c r="E37" s="551"/>
      <c r="F37" s="176"/>
      <c r="G37" s="552"/>
      <c r="H37" s="73"/>
      <c r="I37" s="73"/>
    </row>
    <row r="38" spans="1:9" ht="16.5" customHeight="1">
      <c r="A38" s="73"/>
      <c r="B38" s="73"/>
      <c r="C38" s="73"/>
      <c r="D38" s="73"/>
      <c r="E38" s="176"/>
      <c r="F38" s="176"/>
      <c r="G38" s="552"/>
      <c r="H38" s="73"/>
      <c r="I38" s="73"/>
    </row>
    <row r="39" spans="1:9" ht="16.5" customHeight="1">
      <c r="A39" s="73"/>
      <c r="B39" s="73"/>
      <c r="C39" s="73"/>
      <c r="D39" s="73"/>
      <c r="E39" s="176"/>
      <c r="F39" s="176"/>
      <c r="G39" s="552"/>
      <c r="H39" s="73"/>
      <c r="I39" s="73"/>
    </row>
    <row r="40" spans="1:9" ht="16.5" customHeight="1">
      <c r="A40" s="73"/>
      <c r="B40" s="73"/>
      <c r="C40" s="73"/>
      <c r="D40" s="73"/>
      <c r="E40" s="176"/>
      <c r="F40" s="176"/>
      <c r="G40" s="552"/>
      <c r="H40" s="73"/>
      <c r="I40" s="73"/>
    </row>
    <row r="41" spans="1:9" ht="16.5" customHeight="1">
      <c r="A41" s="73"/>
      <c r="B41" s="73"/>
      <c r="C41" s="73"/>
      <c r="D41" s="73"/>
      <c r="E41" s="176"/>
      <c r="F41" s="176"/>
      <c r="G41" s="552"/>
      <c r="H41" s="73"/>
      <c r="I41" s="73"/>
    </row>
    <row r="42" spans="1:9" ht="16.5" customHeight="1">
      <c r="A42" s="73"/>
      <c r="B42" s="73"/>
      <c r="C42" s="73"/>
      <c r="D42" s="73"/>
      <c r="E42" s="176"/>
      <c r="F42" s="176"/>
      <c r="G42" s="552"/>
      <c r="H42" s="73"/>
      <c r="I42" s="73"/>
    </row>
    <row r="43" spans="1:9" ht="16.5" customHeight="1">
      <c r="A43" s="73"/>
      <c r="B43" s="73"/>
      <c r="C43" s="73"/>
      <c r="D43" s="73"/>
      <c r="E43" s="176"/>
      <c r="F43" s="176"/>
      <c r="G43" s="552"/>
      <c r="H43" s="73"/>
      <c r="I43" s="73"/>
    </row>
    <row r="44" spans="1:9" ht="16.5" customHeight="1">
      <c r="A44" s="73"/>
      <c r="B44" s="73"/>
      <c r="C44" s="73"/>
      <c r="D44" s="73"/>
      <c r="E44" s="176"/>
      <c r="F44" s="176"/>
      <c r="G44" s="552"/>
      <c r="H44" s="73"/>
      <c r="I44" s="73"/>
    </row>
    <row r="45" spans="1:9" ht="16.5" customHeight="1">
      <c r="A45" s="73"/>
      <c r="B45" s="73"/>
      <c r="C45" s="73"/>
      <c r="D45" s="73"/>
      <c r="E45" s="176"/>
      <c r="F45" s="176"/>
      <c r="G45" s="552"/>
      <c r="H45" s="73"/>
      <c r="I45" s="73"/>
    </row>
    <row r="46" spans="1:9" ht="16.5" customHeight="1">
      <c r="A46" s="73"/>
      <c r="B46" s="73"/>
      <c r="C46" s="73"/>
      <c r="D46" s="73"/>
      <c r="E46" s="176"/>
      <c r="F46" s="176"/>
      <c r="G46" s="552"/>
      <c r="H46" s="73"/>
      <c r="I46" s="73"/>
    </row>
    <row r="47" spans="1:9" ht="16.5" customHeight="1">
      <c r="A47" s="73"/>
      <c r="B47" s="73"/>
      <c r="C47" s="73"/>
      <c r="D47" s="73"/>
      <c r="E47" s="176"/>
      <c r="F47" s="176"/>
      <c r="G47" s="552"/>
      <c r="H47" s="73"/>
      <c r="I47" s="73"/>
    </row>
    <row r="48" spans="1:9" ht="16.5" customHeight="1">
      <c r="A48" s="73"/>
      <c r="B48" s="73"/>
      <c r="C48" s="73"/>
      <c r="D48" s="73"/>
      <c r="E48" s="176"/>
      <c r="F48" s="176"/>
      <c r="G48" s="552"/>
      <c r="H48" s="73"/>
      <c r="I48" s="73"/>
    </row>
    <row r="49" spans="1:9" ht="16.5" customHeight="1">
      <c r="A49" s="73"/>
      <c r="B49" s="73"/>
      <c r="C49" s="73"/>
      <c r="D49" s="73"/>
      <c r="E49" s="176"/>
      <c r="F49" s="176"/>
      <c r="G49" s="552"/>
      <c r="H49" s="73"/>
      <c r="I49" s="73"/>
    </row>
    <row r="50" spans="1:9" ht="16.5" customHeight="1">
      <c r="A50" s="73"/>
      <c r="B50" s="73"/>
      <c r="C50" s="73"/>
      <c r="D50" s="73"/>
      <c r="E50" s="176"/>
      <c r="F50" s="176"/>
      <c r="G50" s="552"/>
      <c r="H50" s="73"/>
      <c r="I50" s="73"/>
    </row>
    <row r="51" spans="1:9" ht="16.5" customHeight="1">
      <c r="A51" s="73"/>
      <c r="B51" s="73"/>
      <c r="C51" s="73"/>
      <c r="D51" s="73"/>
      <c r="E51" s="176"/>
      <c r="F51" s="176"/>
      <c r="G51" s="552"/>
      <c r="H51" s="73"/>
      <c r="I51" s="73"/>
    </row>
    <row r="52" spans="1:9" ht="16.5" customHeight="1">
      <c r="A52" s="73"/>
      <c r="B52" s="73"/>
      <c r="C52" s="73"/>
      <c r="D52" s="73"/>
      <c r="E52" s="176"/>
      <c r="F52" s="176"/>
      <c r="G52" s="552"/>
      <c r="H52" s="73"/>
      <c r="I52" s="73"/>
    </row>
    <row r="53" spans="1:9" ht="16.5" customHeight="1">
      <c r="A53" s="73"/>
      <c r="B53" s="73"/>
      <c r="C53" s="73"/>
      <c r="D53" s="73"/>
      <c r="E53" s="176"/>
      <c r="F53" s="176"/>
      <c r="G53" s="552"/>
      <c r="H53" s="73"/>
      <c r="I53" s="73"/>
    </row>
    <row r="54" spans="1:9" ht="16.5" customHeight="1">
      <c r="A54" s="73"/>
      <c r="B54" s="73"/>
      <c r="C54" s="73"/>
      <c r="D54" s="73"/>
      <c r="E54" s="176"/>
      <c r="F54" s="176"/>
      <c r="G54" s="552"/>
      <c r="H54" s="73"/>
      <c r="I54" s="73"/>
    </row>
    <row r="55" spans="1:9" ht="16.5" customHeight="1">
      <c r="A55" s="73"/>
      <c r="B55" s="73"/>
      <c r="C55" s="73"/>
      <c r="D55" s="73"/>
      <c r="E55" s="176"/>
      <c r="F55" s="176"/>
      <c r="G55" s="552"/>
      <c r="H55" s="73"/>
      <c r="I55" s="73"/>
    </row>
    <row r="56" spans="1:9" ht="16.5" customHeight="1">
      <c r="A56" s="73"/>
      <c r="B56" s="73"/>
      <c r="C56" s="73"/>
      <c r="D56" s="73"/>
      <c r="E56" s="176"/>
      <c r="F56" s="176"/>
      <c r="G56" s="552"/>
      <c r="H56" s="73"/>
      <c r="I56" s="73"/>
    </row>
    <row r="57" spans="1:9" ht="16.5" customHeight="1">
      <c r="A57" s="73"/>
      <c r="B57" s="73"/>
      <c r="C57" s="73"/>
      <c r="D57" s="73"/>
      <c r="E57" s="176"/>
      <c r="F57" s="176"/>
      <c r="G57" s="552"/>
      <c r="H57" s="73"/>
      <c r="I57" s="73"/>
    </row>
    <row r="58" spans="1:9" ht="16.5" customHeight="1">
      <c r="A58" s="73"/>
      <c r="B58" s="73"/>
      <c r="C58" s="73"/>
      <c r="D58" s="73"/>
      <c r="E58" s="176"/>
      <c r="F58" s="176"/>
      <c r="G58" s="552"/>
      <c r="H58" s="73"/>
      <c r="I58" s="73"/>
    </row>
    <row r="59" spans="1:9" ht="16.5" customHeight="1">
      <c r="A59" s="73"/>
      <c r="B59" s="73"/>
      <c r="C59" s="73"/>
      <c r="D59" s="73"/>
      <c r="E59" s="176"/>
      <c r="F59" s="176"/>
      <c r="G59" s="552"/>
      <c r="H59" s="73"/>
      <c r="I59" s="73"/>
    </row>
    <row r="60" spans="1:9" ht="16.5" customHeight="1">
      <c r="A60" s="73"/>
      <c r="B60" s="73"/>
      <c r="C60" s="73"/>
      <c r="D60" s="73"/>
      <c r="E60" s="176"/>
      <c r="F60" s="176"/>
      <c r="G60" s="552"/>
      <c r="H60" s="73"/>
      <c r="I60" s="73"/>
    </row>
    <row r="61" spans="1:9" ht="16.5" customHeight="1">
      <c r="A61" s="73"/>
      <c r="B61" s="73"/>
      <c r="C61" s="73"/>
      <c r="D61" s="73"/>
      <c r="E61" s="176"/>
      <c r="F61" s="176"/>
      <c r="G61" s="552"/>
      <c r="H61" s="73"/>
      <c r="I61" s="73"/>
    </row>
    <row r="62" spans="1:9" ht="16.5" customHeight="1">
      <c r="A62" s="73"/>
      <c r="B62" s="73"/>
      <c r="C62" s="73"/>
      <c r="D62" s="73"/>
      <c r="E62" s="176"/>
      <c r="F62" s="176"/>
      <c r="G62" s="552"/>
      <c r="H62" s="73"/>
      <c r="I62" s="73"/>
    </row>
    <row r="63" spans="1:9" ht="16.5" customHeight="1">
      <c r="A63" s="73"/>
      <c r="B63" s="73"/>
      <c r="C63" s="73"/>
      <c r="D63" s="73"/>
      <c r="E63" s="176"/>
      <c r="F63" s="176"/>
      <c r="G63" s="552"/>
      <c r="H63" s="73"/>
      <c r="I63" s="73"/>
    </row>
    <row r="64" spans="1:9" ht="16.5" customHeight="1">
      <c r="A64" s="73"/>
      <c r="B64" s="73"/>
      <c r="C64" s="73"/>
      <c r="D64" s="73"/>
      <c r="E64" s="176"/>
      <c r="F64" s="176"/>
      <c r="G64" s="552"/>
      <c r="H64" s="73"/>
      <c r="I64" s="73"/>
    </row>
    <row r="65" spans="1:9" ht="16.5" customHeight="1">
      <c r="A65" s="73"/>
      <c r="B65" s="73"/>
      <c r="C65" s="73"/>
      <c r="D65" s="73"/>
      <c r="E65" s="176"/>
      <c r="F65" s="176"/>
      <c r="G65" s="552"/>
      <c r="H65" s="73"/>
      <c r="I65" s="73"/>
    </row>
    <row r="66" spans="1:9" ht="16.5" customHeight="1">
      <c r="A66" s="73"/>
      <c r="B66" s="73"/>
      <c r="C66" s="73"/>
      <c r="D66" s="73"/>
      <c r="E66" s="176"/>
      <c r="F66" s="176"/>
      <c r="G66" s="552"/>
      <c r="H66" s="73"/>
      <c r="I66" s="73"/>
    </row>
    <row r="67" spans="1:9" ht="16.5" customHeight="1">
      <c r="A67" s="73"/>
      <c r="B67" s="73"/>
      <c r="C67" s="73"/>
      <c r="D67" s="73"/>
      <c r="E67" s="176"/>
      <c r="F67" s="176"/>
      <c r="G67" s="552"/>
      <c r="H67" s="73"/>
      <c r="I67" s="73"/>
    </row>
    <row r="68" spans="1:9" ht="16.5" customHeight="1">
      <c r="A68" s="73"/>
      <c r="B68" s="73"/>
      <c r="C68" s="73"/>
      <c r="D68" s="73"/>
      <c r="E68" s="176"/>
      <c r="F68" s="176"/>
      <c r="G68" s="552"/>
      <c r="H68" s="73"/>
      <c r="I68" s="73"/>
    </row>
    <row r="69" spans="1:9" ht="16.5" customHeight="1">
      <c r="A69" s="73"/>
      <c r="B69" s="73"/>
      <c r="C69" s="73"/>
      <c r="D69" s="73"/>
      <c r="E69" s="176"/>
      <c r="F69" s="176"/>
      <c r="G69" s="552"/>
      <c r="H69" s="73"/>
      <c r="I69" s="73"/>
    </row>
    <row r="70" spans="1:9" ht="16.5" customHeight="1">
      <c r="A70" s="73"/>
      <c r="B70" s="73"/>
      <c r="C70" s="73"/>
      <c r="D70" s="73"/>
      <c r="E70" s="176"/>
      <c r="F70" s="176"/>
      <c r="G70" s="552"/>
      <c r="H70" s="73"/>
      <c r="I70" s="73"/>
    </row>
    <row r="71" spans="1:9" ht="16.5" customHeight="1">
      <c r="A71" s="73"/>
      <c r="B71" s="73"/>
      <c r="C71" s="73"/>
      <c r="D71" s="73"/>
      <c r="E71" s="176"/>
      <c r="F71" s="176"/>
      <c r="G71" s="552"/>
      <c r="H71" s="73"/>
      <c r="I71" s="73"/>
    </row>
    <row r="72" spans="1:9" ht="16.5" customHeight="1">
      <c r="A72" s="73"/>
      <c r="B72" s="73"/>
      <c r="C72" s="73"/>
      <c r="D72" s="73"/>
      <c r="E72" s="176"/>
      <c r="F72" s="176"/>
      <c r="G72" s="552"/>
      <c r="H72" s="73"/>
      <c r="I72" s="73"/>
    </row>
    <row r="73" spans="1:9" ht="16.5" customHeight="1">
      <c r="A73" s="73"/>
      <c r="B73" s="73"/>
      <c r="C73" s="73"/>
      <c r="D73" s="73"/>
      <c r="E73" s="176"/>
      <c r="F73" s="176"/>
      <c r="G73" s="552"/>
      <c r="H73" s="73"/>
      <c r="I73" s="73"/>
    </row>
    <row r="74" spans="1:9" ht="16.5" customHeight="1">
      <c r="A74" s="73"/>
      <c r="B74" s="73"/>
      <c r="C74" s="73"/>
      <c r="D74" s="73"/>
      <c r="E74" s="176"/>
      <c r="F74" s="176"/>
      <c r="G74" s="552"/>
      <c r="H74" s="73"/>
      <c r="I74" s="73"/>
    </row>
    <row r="75" spans="1:9" ht="16.5" customHeight="1">
      <c r="A75" s="73"/>
      <c r="B75" s="73"/>
      <c r="C75" s="73"/>
      <c r="D75" s="73"/>
      <c r="E75" s="176"/>
      <c r="F75" s="176"/>
      <c r="G75" s="552"/>
      <c r="H75" s="73"/>
      <c r="I75" s="73"/>
    </row>
    <row r="76" spans="1:9" ht="16.5" customHeight="1">
      <c r="A76" s="73"/>
      <c r="B76" s="73"/>
      <c r="C76" s="73"/>
      <c r="D76" s="73"/>
      <c r="E76" s="176"/>
      <c r="F76" s="176"/>
      <c r="G76" s="552"/>
      <c r="H76" s="73"/>
      <c r="I76" s="73"/>
    </row>
    <row r="77" spans="1:9" ht="16.5" customHeight="1">
      <c r="A77" s="73"/>
      <c r="B77" s="73"/>
      <c r="C77" s="73"/>
      <c r="D77" s="73"/>
      <c r="E77" s="176"/>
      <c r="F77" s="176"/>
      <c r="G77" s="552"/>
      <c r="H77" s="73"/>
      <c r="I77" s="73"/>
    </row>
    <row r="78" spans="1:9" ht="16.5" customHeight="1">
      <c r="A78" s="73"/>
      <c r="B78" s="73"/>
      <c r="C78" s="73"/>
      <c r="D78" s="73"/>
      <c r="E78" s="176"/>
      <c r="F78" s="176"/>
      <c r="G78" s="552"/>
      <c r="H78" s="73"/>
      <c r="I78" s="73"/>
    </row>
    <row r="79" spans="1:9" ht="16.5" customHeight="1">
      <c r="A79" s="73"/>
      <c r="B79" s="73"/>
      <c r="C79" s="73"/>
      <c r="D79" s="73"/>
      <c r="E79" s="176"/>
      <c r="F79" s="176"/>
      <c r="G79" s="552"/>
      <c r="H79" s="73"/>
      <c r="I79" s="73"/>
    </row>
    <row r="80" spans="1:9" ht="16.5" customHeight="1">
      <c r="A80" s="73"/>
      <c r="B80" s="73"/>
      <c r="C80" s="73"/>
      <c r="D80" s="73"/>
      <c r="E80" s="176"/>
      <c r="F80" s="176"/>
      <c r="G80" s="552"/>
      <c r="H80" s="73"/>
      <c r="I80" s="73"/>
    </row>
    <row r="81" spans="1:9" ht="16.5" customHeight="1">
      <c r="A81" s="73"/>
      <c r="B81" s="73"/>
      <c r="C81" s="73"/>
      <c r="D81" s="73"/>
      <c r="E81" s="176"/>
      <c r="F81" s="176"/>
      <c r="G81" s="552"/>
      <c r="H81" s="73"/>
      <c r="I81" s="73"/>
    </row>
    <row r="82" spans="1:9" ht="16.5" customHeight="1">
      <c r="A82" s="73"/>
      <c r="B82" s="73"/>
      <c r="C82" s="73"/>
      <c r="D82" s="73"/>
      <c r="E82" s="176"/>
      <c r="F82" s="176"/>
      <c r="G82" s="552"/>
      <c r="H82" s="73"/>
      <c r="I82" s="73"/>
    </row>
    <row r="83" spans="1:9" ht="16.5" customHeight="1">
      <c r="A83" s="73"/>
      <c r="B83" s="73"/>
      <c r="C83" s="73"/>
      <c r="D83" s="73"/>
      <c r="E83" s="176"/>
      <c r="F83" s="176"/>
      <c r="G83" s="552"/>
      <c r="H83" s="73"/>
      <c r="I83" s="73"/>
    </row>
    <row r="84" spans="1:9" ht="16.5" customHeight="1">
      <c r="A84" s="73"/>
      <c r="B84" s="73"/>
      <c r="C84" s="73"/>
      <c r="D84" s="73"/>
      <c r="E84" s="176"/>
      <c r="F84" s="176"/>
      <c r="G84" s="552"/>
      <c r="H84" s="73"/>
      <c r="I84" s="73"/>
    </row>
    <row r="85" spans="1:9" ht="16.5" customHeight="1">
      <c r="A85" s="73"/>
      <c r="B85" s="73"/>
      <c r="C85" s="73"/>
      <c r="D85" s="73"/>
      <c r="E85" s="176"/>
      <c r="F85" s="176"/>
      <c r="G85" s="552"/>
      <c r="H85" s="73"/>
      <c r="I85" s="73"/>
    </row>
    <row r="86" spans="1:9" ht="16.5" customHeight="1">
      <c r="A86" s="73"/>
      <c r="B86" s="73"/>
      <c r="C86" s="73"/>
      <c r="D86" s="73"/>
      <c r="E86" s="176"/>
      <c r="F86" s="176"/>
      <c r="G86" s="552"/>
      <c r="H86" s="73"/>
      <c r="I86" s="73"/>
    </row>
    <row r="87" spans="1:9" ht="16.5" customHeight="1">
      <c r="A87" s="73"/>
      <c r="B87" s="73"/>
      <c r="C87" s="73"/>
      <c r="D87" s="73"/>
      <c r="E87" s="176"/>
      <c r="F87" s="176"/>
      <c r="G87" s="552"/>
      <c r="H87" s="73"/>
      <c r="I87" s="73"/>
    </row>
    <row r="88" spans="1:9" ht="16.5" customHeight="1">
      <c r="A88" s="73"/>
      <c r="B88" s="73"/>
      <c r="C88" s="73"/>
      <c r="D88" s="73"/>
      <c r="E88" s="176"/>
      <c r="F88" s="176"/>
      <c r="G88" s="552"/>
      <c r="H88" s="73"/>
      <c r="I88" s="73"/>
    </row>
    <row r="89" spans="1:9" ht="16.5" customHeight="1">
      <c r="A89" s="73"/>
      <c r="B89" s="73"/>
      <c r="C89" s="73"/>
      <c r="D89" s="73"/>
      <c r="E89" s="176"/>
      <c r="F89" s="176"/>
      <c r="G89" s="552"/>
      <c r="H89" s="73"/>
      <c r="I89" s="73"/>
    </row>
    <row r="90" spans="1:9" ht="16.5" customHeight="1">
      <c r="A90" s="73"/>
      <c r="B90" s="73"/>
      <c r="C90" s="73"/>
      <c r="D90" s="73"/>
      <c r="E90" s="176"/>
      <c r="F90" s="176"/>
      <c r="G90" s="552"/>
      <c r="H90" s="73"/>
      <c r="I90" s="73"/>
    </row>
    <row r="91" spans="1:9" ht="16.5" customHeight="1">
      <c r="A91" s="73"/>
      <c r="B91" s="73"/>
      <c r="C91" s="73"/>
      <c r="D91" s="73"/>
      <c r="E91" s="176"/>
      <c r="F91" s="176"/>
      <c r="G91" s="552"/>
      <c r="H91" s="73"/>
      <c r="I91" s="73"/>
    </row>
    <row r="92" spans="1:9" ht="16.5" customHeight="1">
      <c r="A92" s="73"/>
      <c r="B92" s="73"/>
      <c r="C92" s="73"/>
      <c r="D92" s="73"/>
      <c r="E92" s="176"/>
      <c r="F92" s="176"/>
      <c r="G92" s="552"/>
      <c r="H92" s="73"/>
      <c r="I92" s="73"/>
    </row>
    <row r="93" spans="1:9" ht="16.5" customHeight="1">
      <c r="A93" s="73"/>
      <c r="B93" s="73"/>
      <c r="C93" s="73"/>
      <c r="D93" s="73"/>
      <c r="E93" s="176"/>
      <c r="F93" s="176"/>
      <c r="G93" s="552"/>
      <c r="H93" s="73"/>
      <c r="I93" s="73"/>
    </row>
    <row r="94" spans="1:9" ht="16.5" customHeight="1">
      <c r="A94" s="73"/>
      <c r="B94" s="73"/>
      <c r="C94" s="73"/>
      <c r="D94" s="73"/>
      <c r="E94" s="176"/>
      <c r="F94" s="176"/>
      <c r="G94" s="552"/>
      <c r="H94" s="73"/>
      <c r="I94" s="73"/>
    </row>
    <row r="95" spans="1:9" ht="16.5" customHeight="1">
      <c r="A95" s="73"/>
      <c r="B95" s="73"/>
      <c r="C95" s="73"/>
      <c r="D95" s="73"/>
      <c r="E95" s="176"/>
      <c r="F95" s="176"/>
      <c r="G95" s="552"/>
      <c r="H95" s="73"/>
      <c r="I95" s="73"/>
    </row>
    <row r="96" spans="1:9" ht="16.5" customHeight="1">
      <c r="A96" s="73"/>
      <c r="B96" s="73"/>
      <c r="C96" s="73"/>
      <c r="D96" s="73"/>
      <c r="E96" s="176"/>
      <c r="F96" s="176"/>
      <c r="G96" s="552"/>
      <c r="H96" s="73"/>
      <c r="I96" s="73"/>
    </row>
    <row r="97" spans="1:9" ht="16.5" customHeight="1">
      <c r="A97" s="73"/>
      <c r="B97" s="73"/>
      <c r="C97" s="73"/>
      <c r="D97" s="73"/>
      <c r="E97" s="176"/>
      <c r="F97" s="176"/>
      <c r="G97" s="552"/>
      <c r="H97" s="73"/>
      <c r="I97" s="73"/>
    </row>
    <row r="98" spans="1:9" ht="16.5" customHeight="1">
      <c r="A98" s="73"/>
      <c r="B98" s="73"/>
      <c r="C98" s="73"/>
      <c r="D98" s="73"/>
      <c r="E98" s="176"/>
      <c r="F98" s="176"/>
      <c r="G98" s="552"/>
      <c r="H98" s="73"/>
      <c r="I98" s="73"/>
    </row>
    <row r="99" spans="1:9" ht="16.5" customHeight="1">
      <c r="A99" s="73"/>
      <c r="B99" s="73"/>
      <c r="C99" s="73"/>
      <c r="D99" s="73"/>
      <c r="E99" s="176"/>
      <c r="F99" s="176"/>
      <c r="G99" s="552"/>
      <c r="H99" s="73"/>
      <c r="I99" s="73"/>
    </row>
    <row r="100" spans="1:9" ht="16.5" customHeight="1">
      <c r="A100" s="73"/>
      <c r="B100" s="73"/>
      <c r="C100" s="73"/>
      <c r="D100" s="73"/>
      <c r="E100" s="176"/>
      <c r="F100" s="176"/>
      <c r="G100" s="552"/>
      <c r="H100" s="73"/>
      <c r="I100" s="73"/>
    </row>
    <row r="101" spans="1:9" ht="16.5" customHeight="1">
      <c r="A101" s="73"/>
      <c r="B101" s="73"/>
      <c r="C101" s="73"/>
      <c r="D101" s="73"/>
      <c r="E101" s="176"/>
      <c r="F101" s="176"/>
      <c r="G101" s="552"/>
      <c r="H101" s="73"/>
      <c r="I101" s="73"/>
    </row>
    <row r="102" spans="1:9" ht="16.5" customHeight="1">
      <c r="A102" s="73"/>
      <c r="B102" s="73"/>
      <c r="C102" s="73"/>
      <c r="D102" s="73"/>
      <c r="E102" s="176"/>
      <c r="F102" s="176"/>
      <c r="G102" s="552"/>
      <c r="H102" s="73"/>
      <c r="I102" s="73"/>
    </row>
    <row r="103" spans="1:9" ht="16.5" customHeight="1">
      <c r="A103" s="73"/>
      <c r="B103" s="73"/>
      <c r="C103" s="73"/>
      <c r="D103" s="73"/>
      <c r="E103" s="176"/>
      <c r="F103" s="176"/>
      <c r="G103" s="552"/>
      <c r="H103" s="73"/>
      <c r="I103" s="73"/>
    </row>
    <row r="104" spans="1:9" ht="16.5" customHeight="1">
      <c r="A104" s="73"/>
      <c r="B104" s="73"/>
      <c r="C104" s="73"/>
      <c r="D104" s="73"/>
      <c r="E104" s="176"/>
      <c r="F104" s="176"/>
      <c r="G104" s="552"/>
      <c r="H104" s="73"/>
      <c r="I104" s="73"/>
    </row>
    <row r="105" spans="1:9" ht="16.5" customHeight="1">
      <c r="A105" s="73"/>
      <c r="B105" s="73"/>
      <c r="C105" s="73"/>
      <c r="D105" s="73"/>
      <c r="E105" s="176"/>
      <c r="F105" s="176"/>
      <c r="G105" s="552"/>
      <c r="H105" s="73"/>
      <c r="I105" s="73"/>
    </row>
    <row r="106" spans="1:9" ht="16.5" customHeight="1">
      <c r="A106" s="73"/>
      <c r="B106" s="73"/>
      <c r="C106" s="73"/>
      <c r="D106" s="73"/>
      <c r="E106" s="176"/>
      <c r="F106" s="176"/>
      <c r="G106" s="552"/>
      <c r="H106" s="73"/>
      <c r="I106" s="73"/>
    </row>
    <row r="107" spans="1:9" ht="16.5" customHeight="1">
      <c r="A107" s="73"/>
      <c r="B107" s="73"/>
      <c r="C107" s="73"/>
      <c r="D107" s="73"/>
      <c r="E107" s="176"/>
      <c r="F107" s="176"/>
      <c r="G107" s="552"/>
      <c r="H107" s="73"/>
      <c r="I107" s="73"/>
    </row>
    <row r="108" spans="1:9" ht="16.5" customHeight="1">
      <c r="A108" s="73"/>
      <c r="B108" s="73"/>
      <c r="C108" s="73"/>
      <c r="D108" s="73"/>
      <c r="E108" s="176"/>
      <c r="F108" s="176"/>
      <c r="G108" s="552"/>
      <c r="H108" s="73"/>
      <c r="I108" s="73"/>
    </row>
    <row r="109" spans="1:9" ht="16.5" customHeight="1">
      <c r="A109" s="73"/>
      <c r="B109" s="73"/>
      <c r="C109" s="73"/>
      <c r="D109" s="73"/>
      <c r="E109" s="176"/>
      <c r="F109" s="176"/>
      <c r="G109" s="552"/>
      <c r="H109" s="73"/>
      <c r="I109" s="73"/>
    </row>
    <row r="110" spans="1:9" ht="16.5" customHeight="1">
      <c r="A110" s="73"/>
      <c r="B110" s="73"/>
      <c r="C110" s="73"/>
      <c r="D110" s="73"/>
      <c r="E110" s="176"/>
      <c r="F110" s="176"/>
      <c r="G110" s="552"/>
      <c r="H110" s="73"/>
      <c r="I110" s="73"/>
    </row>
    <row r="111" spans="1:9" ht="16.5" customHeight="1">
      <c r="A111" s="73"/>
      <c r="B111" s="73"/>
      <c r="C111" s="73"/>
      <c r="D111" s="73"/>
      <c r="E111" s="176"/>
      <c r="F111" s="176"/>
      <c r="G111" s="552"/>
      <c r="H111" s="73"/>
      <c r="I111" s="73"/>
    </row>
    <row r="112" spans="1:9" ht="16.5" customHeight="1">
      <c r="A112" s="73"/>
      <c r="B112" s="73"/>
      <c r="C112" s="73"/>
      <c r="D112" s="73"/>
      <c r="E112" s="176"/>
      <c r="F112" s="176"/>
      <c r="G112" s="552"/>
      <c r="H112" s="73"/>
      <c r="I112" s="73"/>
    </row>
    <row r="113" spans="1:9" ht="16.5" customHeight="1">
      <c r="A113" s="73"/>
      <c r="B113" s="73"/>
      <c r="C113" s="73"/>
      <c r="D113" s="73"/>
      <c r="E113" s="176"/>
      <c r="F113" s="176"/>
      <c r="G113" s="552"/>
      <c r="H113" s="73"/>
      <c r="I113" s="73"/>
    </row>
    <row r="114" spans="1:9" ht="16.5" customHeight="1">
      <c r="A114" s="73"/>
      <c r="B114" s="73"/>
      <c r="C114" s="73"/>
      <c r="D114" s="73"/>
      <c r="E114" s="176"/>
      <c r="F114" s="176"/>
      <c r="G114" s="552"/>
      <c r="H114" s="73"/>
      <c r="I114" s="73"/>
    </row>
    <row r="115" spans="1:9" ht="16.5" customHeight="1">
      <c r="A115" s="73"/>
      <c r="B115" s="73"/>
      <c r="C115" s="73"/>
      <c r="D115" s="73"/>
      <c r="E115" s="176"/>
      <c r="F115" s="176"/>
      <c r="G115" s="552"/>
      <c r="H115" s="73"/>
      <c r="I115" s="73"/>
    </row>
    <row r="116" spans="1:9" ht="16.5" customHeight="1">
      <c r="A116" s="73"/>
      <c r="B116" s="73"/>
      <c r="C116" s="73"/>
      <c r="D116" s="73"/>
      <c r="E116" s="176"/>
      <c r="F116" s="176"/>
      <c r="G116" s="552"/>
      <c r="H116" s="73"/>
      <c r="I116" s="73"/>
    </row>
    <row r="117" spans="1:9" ht="16.5" customHeight="1">
      <c r="A117" s="73"/>
      <c r="B117" s="73"/>
      <c r="C117" s="73"/>
      <c r="D117" s="73"/>
      <c r="E117" s="176"/>
      <c r="F117" s="176"/>
      <c r="G117" s="552"/>
      <c r="H117" s="73"/>
      <c r="I117" s="73"/>
    </row>
    <row r="118" spans="1:9" ht="16.5" customHeight="1">
      <c r="A118" s="73"/>
      <c r="B118" s="73"/>
      <c r="C118" s="73"/>
      <c r="D118" s="73"/>
      <c r="E118" s="176"/>
      <c r="F118" s="176"/>
      <c r="G118" s="552"/>
      <c r="H118" s="73"/>
      <c r="I118" s="73"/>
    </row>
    <row r="119" spans="1:9" ht="16.5" customHeight="1">
      <c r="A119" s="73"/>
      <c r="B119" s="73"/>
      <c r="C119" s="73"/>
      <c r="D119" s="73"/>
      <c r="E119" s="176"/>
      <c r="F119" s="176"/>
      <c r="G119" s="552"/>
      <c r="H119" s="73"/>
      <c r="I119" s="73"/>
    </row>
    <row r="120" spans="1:9" ht="16.5" customHeight="1">
      <c r="A120" s="73"/>
      <c r="B120" s="73"/>
      <c r="C120" s="73"/>
      <c r="D120" s="73"/>
      <c r="E120" s="176"/>
      <c r="F120" s="176"/>
      <c r="G120" s="552"/>
      <c r="H120" s="73"/>
      <c r="I120" s="73"/>
    </row>
    <row r="121" spans="1:9" ht="16.5" customHeight="1">
      <c r="A121" s="73"/>
      <c r="B121" s="73"/>
      <c r="C121" s="73"/>
      <c r="D121" s="73"/>
      <c r="E121" s="176"/>
      <c r="F121" s="176"/>
      <c r="G121" s="552"/>
      <c r="H121" s="73"/>
      <c r="I121" s="73"/>
    </row>
    <row r="122" spans="1:9" ht="16.5" customHeight="1">
      <c r="A122" s="73"/>
      <c r="B122" s="73"/>
      <c r="C122" s="73"/>
      <c r="D122" s="73"/>
      <c r="E122" s="176"/>
      <c r="F122" s="176"/>
      <c r="G122" s="552"/>
      <c r="H122" s="73"/>
      <c r="I122" s="73"/>
    </row>
    <row r="123" spans="1:9" ht="16.5" customHeight="1">
      <c r="A123" s="73"/>
      <c r="B123" s="73"/>
      <c r="C123" s="73"/>
      <c r="D123" s="73"/>
      <c r="E123" s="176"/>
      <c r="F123" s="176"/>
      <c r="G123" s="552"/>
      <c r="H123" s="73"/>
      <c r="I123" s="73"/>
    </row>
    <row r="124" spans="1:9" ht="16.5" customHeight="1">
      <c r="A124" s="73"/>
      <c r="B124" s="73"/>
      <c r="C124" s="73"/>
      <c r="D124" s="73"/>
      <c r="E124" s="176"/>
      <c r="F124" s="176"/>
      <c r="G124" s="552"/>
      <c r="H124" s="73"/>
      <c r="I124" s="73"/>
    </row>
    <row r="125" spans="1:9" ht="16.5" customHeight="1">
      <c r="A125" s="73"/>
      <c r="B125" s="73"/>
      <c r="C125" s="73"/>
      <c r="D125" s="73"/>
      <c r="E125" s="176"/>
      <c r="F125" s="176"/>
      <c r="G125" s="552"/>
      <c r="H125" s="73"/>
      <c r="I125" s="73"/>
    </row>
    <row r="126" spans="1:9" ht="16.5" customHeight="1">
      <c r="A126" s="73"/>
      <c r="B126" s="73"/>
      <c r="C126" s="73"/>
      <c r="D126" s="73"/>
      <c r="E126" s="176"/>
      <c r="F126" s="176"/>
      <c r="G126" s="552"/>
      <c r="H126" s="73"/>
      <c r="I126" s="73"/>
    </row>
    <row r="127" spans="1:9" ht="16.5" customHeight="1">
      <c r="A127" s="73"/>
      <c r="B127" s="73"/>
      <c r="C127" s="73"/>
      <c r="D127" s="73"/>
      <c r="E127" s="176"/>
      <c r="F127" s="176"/>
      <c r="G127" s="552"/>
      <c r="H127" s="73"/>
      <c r="I127" s="73"/>
    </row>
    <row r="128" spans="1:9" ht="16.5" customHeight="1">
      <c r="A128" s="73"/>
      <c r="B128" s="73"/>
      <c r="C128" s="73"/>
      <c r="D128" s="73"/>
      <c r="E128" s="176"/>
      <c r="F128" s="176"/>
      <c r="G128" s="552"/>
      <c r="H128" s="73"/>
      <c r="I128" s="73"/>
    </row>
    <row r="129" spans="1:9" ht="16.5" customHeight="1">
      <c r="A129" s="73"/>
      <c r="B129" s="73"/>
      <c r="C129" s="73"/>
      <c r="D129" s="73"/>
      <c r="E129" s="176"/>
      <c r="F129" s="176"/>
      <c r="G129" s="552"/>
      <c r="H129" s="73"/>
      <c r="I129" s="73"/>
    </row>
    <row r="130" spans="1:9" ht="16.5" customHeight="1">
      <c r="A130" s="73"/>
      <c r="B130" s="73"/>
      <c r="C130" s="73"/>
      <c r="D130" s="73"/>
      <c r="E130" s="176"/>
      <c r="F130" s="176"/>
      <c r="G130" s="552"/>
      <c r="H130" s="73"/>
      <c r="I130" s="73"/>
    </row>
    <row r="131" spans="1:9" ht="16.5" customHeight="1">
      <c r="A131" s="73"/>
      <c r="B131" s="73"/>
      <c r="C131" s="73"/>
      <c r="D131" s="73"/>
      <c r="E131" s="176"/>
      <c r="F131" s="176"/>
      <c r="G131" s="552"/>
      <c r="H131" s="73"/>
      <c r="I131" s="73"/>
    </row>
    <row r="132" spans="1:9" ht="16.5" customHeight="1">
      <c r="A132" s="73"/>
      <c r="B132" s="73"/>
      <c r="C132" s="73"/>
      <c r="D132" s="73"/>
      <c r="E132" s="176"/>
      <c r="F132" s="176"/>
      <c r="G132" s="552"/>
      <c r="H132" s="73"/>
      <c r="I132" s="73"/>
    </row>
    <row r="133" spans="1:9" ht="16.5" customHeight="1">
      <c r="A133" s="73"/>
      <c r="B133" s="73"/>
      <c r="C133" s="73"/>
      <c r="D133" s="73"/>
      <c r="E133" s="176"/>
      <c r="F133" s="176"/>
      <c r="G133" s="552"/>
      <c r="H133" s="73"/>
      <c r="I133" s="73"/>
    </row>
    <row r="134" spans="1:9" ht="16.5" customHeight="1">
      <c r="A134" s="73"/>
      <c r="B134" s="73"/>
      <c r="C134" s="73"/>
      <c r="D134" s="73"/>
      <c r="E134" s="176"/>
      <c r="F134" s="176"/>
      <c r="G134" s="552"/>
      <c r="H134" s="73"/>
      <c r="I134" s="73"/>
    </row>
    <row r="135" spans="1:9" ht="16.5" customHeight="1">
      <c r="A135" s="73"/>
      <c r="B135" s="73"/>
      <c r="C135" s="73"/>
      <c r="D135" s="73"/>
      <c r="E135" s="176"/>
      <c r="F135" s="176"/>
      <c r="G135" s="552"/>
      <c r="H135" s="73"/>
      <c r="I135" s="73"/>
    </row>
    <row r="136" spans="1:9" ht="16.5" customHeight="1">
      <c r="A136" s="73"/>
      <c r="B136" s="73"/>
      <c r="C136" s="73"/>
      <c r="D136" s="73"/>
      <c r="E136" s="176"/>
      <c r="F136" s="176"/>
      <c r="G136" s="552"/>
      <c r="H136" s="73"/>
      <c r="I136" s="73"/>
    </row>
    <row r="137" spans="1:9" ht="16.5" customHeight="1">
      <c r="A137" s="73"/>
      <c r="B137" s="73"/>
      <c r="C137" s="73"/>
      <c r="D137" s="73"/>
      <c r="E137" s="176"/>
      <c r="F137" s="176"/>
      <c r="G137" s="552"/>
      <c r="H137" s="73"/>
      <c r="I137" s="73"/>
    </row>
    <row r="138" spans="1:9" ht="16.5" customHeight="1">
      <c r="A138" s="73"/>
      <c r="B138" s="73"/>
      <c r="C138" s="73"/>
      <c r="D138" s="73"/>
      <c r="E138" s="176"/>
      <c r="F138" s="176"/>
      <c r="G138" s="552"/>
      <c r="H138" s="73"/>
      <c r="I138" s="73"/>
    </row>
    <row r="139" spans="1:9" ht="16.5" customHeight="1">
      <c r="A139" s="73"/>
      <c r="B139" s="73"/>
      <c r="C139" s="73"/>
      <c r="D139" s="73"/>
      <c r="E139" s="176"/>
      <c r="F139" s="176"/>
      <c r="G139" s="552"/>
      <c r="H139" s="73"/>
      <c r="I139" s="73"/>
    </row>
    <row r="140" spans="1:9" ht="16.5" customHeight="1">
      <c r="A140" s="73"/>
      <c r="B140" s="73"/>
      <c r="C140" s="73"/>
      <c r="D140" s="73"/>
      <c r="E140" s="176"/>
      <c r="F140" s="176"/>
      <c r="G140" s="552"/>
      <c r="H140" s="73"/>
      <c r="I140" s="73"/>
    </row>
    <row r="141" spans="1:9" ht="16.5" customHeight="1">
      <c r="A141" s="73"/>
      <c r="B141" s="73"/>
      <c r="C141" s="73"/>
      <c r="D141" s="73"/>
      <c r="E141" s="176"/>
      <c r="F141" s="176"/>
      <c r="G141" s="552"/>
      <c r="H141" s="73"/>
      <c r="I141" s="73"/>
    </row>
    <row r="142" spans="1:9" ht="16.5" customHeight="1">
      <c r="A142" s="73"/>
      <c r="B142" s="73"/>
      <c r="C142" s="73"/>
      <c r="D142" s="73"/>
      <c r="E142" s="176"/>
      <c r="F142" s="176"/>
      <c r="G142" s="552"/>
      <c r="H142" s="73"/>
      <c r="I142" s="73"/>
    </row>
    <row r="143" spans="1:9" ht="16.5" customHeight="1">
      <c r="A143" s="73"/>
      <c r="B143" s="73"/>
      <c r="C143" s="73"/>
      <c r="D143" s="73"/>
      <c r="E143" s="176"/>
      <c r="F143" s="176"/>
      <c r="G143" s="552"/>
      <c r="H143" s="73"/>
      <c r="I143" s="73"/>
    </row>
    <row r="144" spans="1:9" ht="16.5" customHeight="1">
      <c r="A144" s="73"/>
      <c r="B144" s="73"/>
      <c r="C144" s="73"/>
      <c r="D144" s="73"/>
      <c r="E144" s="176"/>
      <c r="F144" s="176"/>
      <c r="G144" s="552"/>
      <c r="H144" s="73"/>
      <c r="I144" s="73"/>
    </row>
    <row r="145" spans="1:9" ht="16.5" customHeight="1">
      <c r="A145" s="73"/>
      <c r="B145" s="73"/>
      <c r="C145" s="73"/>
      <c r="D145" s="73"/>
      <c r="E145" s="176"/>
      <c r="F145" s="176"/>
      <c r="G145" s="552"/>
      <c r="H145" s="73"/>
      <c r="I145" s="73"/>
    </row>
    <row r="146" spans="1:9" ht="16.5" customHeight="1">
      <c r="A146" s="73"/>
      <c r="B146" s="73"/>
      <c r="C146" s="73"/>
      <c r="D146" s="73"/>
      <c r="E146" s="176"/>
      <c r="F146" s="176"/>
      <c r="G146" s="552"/>
      <c r="H146" s="73"/>
      <c r="I146" s="73"/>
    </row>
    <row r="147" spans="1:9" ht="16.5" customHeight="1">
      <c r="A147" s="73"/>
      <c r="B147" s="73"/>
      <c r="C147" s="73"/>
      <c r="D147" s="73"/>
      <c r="E147" s="176"/>
      <c r="F147" s="176"/>
      <c r="G147" s="552"/>
      <c r="H147" s="73"/>
      <c r="I147" s="73"/>
    </row>
    <row r="148" spans="1:9" ht="16.5" customHeight="1">
      <c r="A148" s="73"/>
      <c r="B148" s="73"/>
      <c r="C148" s="73"/>
      <c r="D148" s="73"/>
      <c r="E148" s="176"/>
      <c r="F148" s="176"/>
      <c r="G148" s="552"/>
      <c r="H148" s="73"/>
      <c r="I148" s="73"/>
    </row>
    <row r="149" spans="1:9" ht="16.5" customHeight="1">
      <c r="A149" s="73"/>
      <c r="B149" s="73"/>
      <c r="C149" s="73"/>
      <c r="D149" s="73"/>
      <c r="E149" s="176"/>
      <c r="F149" s="176"/>
      <c r="G149" s="552"/>
      <c r="H149" s="73"/>
      <c r="I149" s="73"/>
    </row>
    <row r="150" spans="1:9" ht="16.5" customHeight="1">
      <c r="A150" s="73"/>
      <c r="B150" s="73"/>
      <c r="C150" s="73"/>
      <c r="D150" s="73"/>
      <c r="E150" s="176"/>
      <c r="F150" s="176"/>
      <c r="G150" s="552"/>
      <c r="H150" s="73"/>
      <c r="I150" s="73"/>
    </row>
    <row r="151" spans="1:9" ht="16.5" customHeight="1">
      <c r="A151" s="73"/>
      <c r="B151" s="73"/>
      <c r="C151" s="73"/>
      <c r="D151" s="73"/>
      <c r="E151" s="176"/>
      <c r="F151" s="176"/>
      <c r="G151" s="552"/>
      <c r="H151" s="73"/>
      <c r="I151" s="73"/>
    </row>
    <row r="152" spans="1:9" ht="16.5" customHeight="1">
      <c r="A152" s="73"/>
      <c r="B152" s="73"/>
      <c r="C152" s="73"/>
      <c r="D152" s="73"/>
      <c r="E152" s="176"/>
      <c r="F152" s="176"/>
      <c r="G152" s="552"/>
      <c r="H152" s="73"/>
      <c r="I152" s="73"/>
    </row>
    <row r="153" spans="1:9" ht="16.5" customHeight="1">
      <c r="A153" s="73"/>
      <c r="B153" s="73"/>
      <c r="C153" s="73"/>
      <c r="D153" s="73"/>
      <c r="E153" s="176"/>
      <c r="F153" s="176"/>
      <c r="G153" s="552"/>
      <c r="H153" s="73"/>
      <c r="I153" s="73"/>
    </row>
    <row r="154" spans="1:9" ht="16.5" customHeight="1">
      <c r="A154" s="73"/>
      <c r="B154" s="73"/>
      <c r="C154" s="73"/>
      <c r="D154" s="73"/>
      <c r="E154" s="176"/>
      <c r="F154" s="176"/>
      <c r="G154" s="552"/>
      <c r="H154" s="73"/>
      <c r="I154" s="73"/>
    </row>
    <row r="155" spans="1:9" ht="16.5" customHeight="1">
      <c r="A155" s="73"/>
      <c r="B155" s="73"/>
      <c r="C155" s="73"/>
      <c r="D155" s="73"/>
      <c r="E155" s="176"/>
      <c r="F155" s="176"/>
      <c r="G155" s="552"/>
      <c r="H155" s="73"/>
      <c r="I155" s="73"/>
    </row>
    <row r="156" spans="1:9" ht="16.5" customHeight="1">
      <c r="A156" s="73"/>
      <c r="B156" s="73"/>
      <c r="C156" s="73"/>
      <c r="D156" s="73"/>
      <c r="E156" s="176"/>
      <c r="F156" s="176"/>
      <c r="G156" s="552"/>
      <c r="H156" s="73"/>
      <c r="I156" s="73"/>
    </row>
    <row r="157" spans="1:9" ht="16.5" customHeight="1">
      <c r="A157" s="73"/>
      <c r="B157" s="73"/>
      <c r="C157" s="73"/>
      <c r="D157" s="73"/>
      <c r="E157" s="176"/>
      <c r="F157" s="176"/>
      <c r="G157" s="552"/>
      <c r="H157" s="73"/>
      <c r="I157" s="73"/>
    </row>
    <row r="158" spans="1:9" ht="16.5" customHeight="1">
      <c r="A158" s="73"/>
      <c r="B158" s="73"/>
      <c r="C158" s="73"/>
      <c r="D158" s="73"/>
      <c r="E158" s="176"/>
      <c r="F158" s="176"/>
      <c r="G158" s="552"/>
      <c r="H158" s="73"/>
      <c r="I158" s="73"/>
    </row>
    <row r="159" spans="1:9" ht="16.5" customHeight="1">
      <c r="A159" s="73"/>
      <c r="B159" s="73"/>
      <c r="C159" s="73"/>
      <c r="D159" s="73"/>
      <c r="E159" s="176"/>
      <c r="F159" s="176"/>
      <c r="G159" s="552"/>
      <c r="H159" s="73"/>
      <c r="I159" s="73"/>
    </row>
    <row r="160" spans="1:9" ht="16.5" customHeight="1">
      <c r="A160" s="73"/>
      <c r="B160" s="73"/>
      <c r="C160" s="73"/>
      <c r="D160" s="73"/>
      <c r="E160" s="176"/>
      <c r="F160" s="176"/>
      <c r="G160" s="552"/>
      <c r="H160" s="73"/>
      <c r="I160" s="73"/>
    </row>
    <row r="161" spans="1:9" ht="16.5" customHeight="1">
      <c r="A161" s="73"/>
      <c r="B161" s="73"/>
      <c r="C161" s="73"/>
      <c r="D161" s="73"/>
      <c r="E161" s="176"/>
      <c r="F161" s="176"/>
      <c r="G161" s="552"/>
      <c r="H161" s="73"/>
      <c r="I161" s="73"/>
    </row>
    <row r="162" spans="1:9" ht="16.5" customHeight="1">
      <c r="A162" s="73"/>
      <c r="B162" s="73"/>
      <c r="C162" s="73"/>
      <c r="D162" s="73"/>
      <c r="E162" s="176"/>
      <c r="F162" s="176"/>
      <c r="G162" s="552"/>
      <c r="H162" s="73"/>
      <c r="I162" s="73"/>
    </row>
    <row r="163" spans="1:9" ht="16.5" customHeight="1">
      <c r="A163" s="73"/>
      <c r="B163" s="73"/>
      <c r="C163" s="73"/>
      <c r="D163" s="73"/>
      <c r="E163" s="176"/>
      <c r="F163" s="176"/>
      <c r="G163" s="552"/>
      <c r="H163" s="73"/>
      <c r="I163" s="73"/>
    </row>
    <row r="164" spans="1:9" ht="16.5" customHeight="1">
      <c r="A164" s="73"/>
      <c r="B164" s="73"/>
      <c r="C164" s="73"/>
      <c r="D164" s="73"/>
      <c r="E164" s="176"/>
      <c r="F164" s="176"/>
      <c r="G164" s="552"/>
      <c r="H164" s="73"/>
      <c r="I164" s="73"/>
    </row>
    <row r="165" spans="1:9" ht="16.5" customHeight="1">
      <c r="A165" s="73"/>
      <c r="B165" s="73"/>
      <c r="C165" s="73"/>
      <c r="D165" s="73"/>
      <c r="E165" s="176"/>
      <c r="F165" s="176"/>
      <c r="G165" s="552"/>
      <c r="H165" s="73"/>
      <c r="I165" s="73"/>
    </row>
    <row r="166" spans="1:9" ht="16.5" customHeight="1">
      <c r="A166" s="73"/>
      <c r="B166" s="73"/>
      <c r="C166" s="73"/>
      <c r="D166" s="73"/>
      <c r="E166" s="176"/>
      <c r="F166" s="176"/>
      <c r="G166" s="552"/>
      <c r="H166" s="73"/>
      <c r="I166" s="73"/>
    </row>
    <row r="167" spans="1:9" ht="16.5" customHeight="1">
      <c r="A167" s="73"/>
      <c r="B167" s="73"/>
      <c r="C167" s="73"/>
      <c r="D167" s="73"/>
      <c r="E167" s="176"/>
      <c r="F167" s="176"/>
      <c r="G167" s="552"/>
      <c r="H167" s="73"/>
      <c r="I167" s="73"/>
    </row>
    <row r="168" spans="1:9" ht="16.5" customHeight="1">
      <c r="A168" s="73"/>
      <c r="B168" s="73"/>
      <c r="C168" s="73"/>
      <c r="D168" s="73"/>
      <c r="E168" s="176"/>
      <c r="F168" s="176"/>
      <c r="G168" s="552"/>
      <c r="H168" s="73"/>
      <c r="I168" s="73"/>
    </row>
    <row r="169" spans="1:9" ht="16.5" customHeight="1">
      <c r="A169" s="73"/>
      <c r="B169" s="73"/>
      <c r="C169" s="73"/>
      <c r="D169" s="73"/>
      <c r="E169" s="176"/>
      <c r="F169" s="176"/>
      <c r="G169" s="552"/>
      <c r="H169" s="73"/>
      <c r="I169" s="73"/>
    </row>
    <row r="170" spans="1:9" ht="16.5" customHeight="1">
      <c r="A170" s="73"/>
      <c r="B170" s="73"/>
      <c r="C170" s="73"/>
      <c r="D170" s="73"/>
      <c r="E170" s="176"/>
      <c r="F170" s="176"/>
      <c r="G170" s="552"/>
      <c r="H170" s="73"/>
      <c r="I170" s="73"/>
    </row>
    <row r="171" spans="1:9" ht="16.5" customHeight="1">
      <c r="A171" s="73"/>
      <c r="B171" s="73"/>
      <c r="C171" s="73"/>
      <c r="D171" s="73"/>
      <c r="E171" s="176"/>
      <c r="F171" s="176"/>
      <c r="G171" s="552"/>
      <c r="H171" s="73"/>
      <c r="I171" s="73"/>
    </row>
    <row r="172" spans="1:9" ht="16.5" customHeight="1">
      <c r="A172" s="73"/>
      <c r="B172" s="73"/>
      <c r="C172" s="73"/>
      <c r="D172" s="73"/>
      <c r="E172" s="176"/>
      <c r="F172" s="176"/>
      <c r="G172" s="552"/>
      <c r="H172" s="73"/>
      <c r="I172" s="73"/>
    </row>
    <row r="173" spans="1:9" ht="16.5" customHeight="1">
      <c r="A173" s="73"/>
      <c r="B173" s="73"/>
      <c r="C173" s="73"/>
      <c r="D173" s="73"/>
      <c r="E173" s="176"/>
      <c r="F173" s="176"/>
      <c r="G173" s="552"/>
      <c r="H173" s="73"/>
      <c r="I173" s="73"/>
    </row>
    <row r="174" spans="1:9" ht="16.5" customHeight="1">
      <c r="A174" s="73"/>
      <c r="B174" s="73"/>
      <c r="C174" s="73"/>
      <c r="D174" s="73"/>
      <c r="E174" s="176"/>
      <c r="F174" s="176"/>
      <c r="G174" s="552"/>
      <c r="H174" s="73"/>
      <c r="I174" s="73"/>
    </row>
    <row r="175" spans="1:9" ht="16.5" customHeight="1">
      <c r="A175" s="73"/>
      <c r="B175" s="73"/>
      <c r="C175" s="73"/>
      <c r="D175" s="73"/>
      <c r="E175" s="176"/>
      <c r="F175" s="176"/>
      <c r="G175" s="552"/>
      <c r="H175" s="73"/>
      <c r="I175" s="73"/>
    </row>
    <row r="176" spans="1:9" ht="16.5" customHeight="1">
      <c r="A176" s="73"/>
      <c r="B176" s="73"/>
      <c r="C176" s="73"/>
      <c r="D176" s="73"/>
      <c r="E176" s="176"/>
      <c r="F176" s="176"/>
      <c r="G176" s="552"/>
      <c r="H176" s="73"/>
      <c r="I176" s="73"/>
    </row>
    <row r="177" spans="1:9" ht="16.5" customHeight="1">
      <c r="A177" s="73"/>
      <c r="B177" s="73"/>
      <c r="C177" s="73"/>
      <c r="D177" s="73"/>
      <c r="E177" s="176"/>
      <c r="F177" s="176"/>
      <c r="G177" s="552"/>
      <c r="H177" s="73"/>
      <c r="I177" s="73"/>
    </row>
    <row r="178" spans="1:9" ht="16.5" customHeight="1">
      <c r="A178" s="73"/>
      <c r="B178" s="73"/>
      <c r="C178" s="73"/>
      <c r="D178" s="73"/>
      <c r="E178" s="176"/>
      <c r="F178" s="176"/>
      <c r="G178" s="552"/>
      <c r="H178" s="73"/>
      <c r="I178" s="73"/>
    </row>
    <row r="179" spans="1:9" ht="16.5" customHeight="1">
      <c r="A179" s="73"/>
      <c r="B179" s="73"/>
      <c r="C179" s="73"/>
      <c r="D179" s="73"/>
      <c r="E179" s="176"/>
      <c r="F179" s="176"/>
      <c r="G179" s="552"/>
      <c r="H179" s="73"/>
      <c r="I179" s="73"/>
    </row>
    <row r="180" spans="1:9" ht="16.5" customHeight="1">
      <c r="A180" s="73"/>
      <c r="B180" s="73"/>
      <c r="C180" s="73"/>
      <c r="D180" s="73"/>
      <c r="E180" s="176"/>
      <c r="F180" s="176"/>
      <c r="G180" s="552"/>
      <c r="H180" s="73"/>
      <c r="I180" s="73"/>
    </row>
    <row r="181" spans="1:9" ht="16.5" customHeight="1">
      <c r="A181" s="73"/>
      <c r="B181" s="73"/>
      <c r="C181" s="73"/>
      <c r="D181" s="73"/>
      <c r="E181" s="176"/>
      <c r="F181" s="176"/>
      <c r="G181" s="552"/>
      <c r="H181" s="73"/>
      <c r="I181" s="73"/>
    </row>
    <row r="182" spans="1:9" ht="16.5" customHeight="1">
      <c r="A182" s="73"/>
      <c r="B182" s="73"/>
      <c r="C182" s="73"/>
      <c r="D182" s="73"/>
      <c r="E182" s="176"/>
      <c r="F182" s="176"/>
      <c r="G182" s="552"/>
      <c r="H182" s="73"/>
      <c r="I182" s="73"/>
    </row>
    <row r="183" spans="1:9" ht="16.5" customHeight="1">
      <c r="A183" s="73"/>
      <c r="B183" s="73"/>
      <c r="C183" s="73"/>
      <c r="D183" s="73"/>
      <c r="E183" s="176"/>
      <c r="F183" s="176"/>
      <c r="G183" s="552"/>
      <c r="H183" s="73"/>
      <c r="I183" s="73"/>
    </row>
    <row r="184" spans="1:9" ht="16.5" customHeight="1">
      <c r="A184" s="73"/>
      <c r="B184" s="73"/>
      <c r="C184" s="73"/>
      <c r="D184" s="73"/>
      <c r="E184" s="176"/>
      <c r="F184" s="176"/>
      <c r="G184" s="552"/>
      <c r="H184" s="73"/>
      <c r="I184" s="73"/>
    </row>
    <row r="185" spans="1:9" ht="16.5" customHeight="1">
      <c r="A185" s="73"/>
      <c r="B185" s="73"/>
      <c r="C185" s="73"/>
      <c r="D185" s="73"/>
      <c r="E185" s="176"/>
      <c r="F185" s="176"/>
      <c r="G185" s="552"/>
      <c r="H185" s="73"/>
      <c r="I185" s="73"/>
    </row>
    <row r="186" spans="1:9" ht="16.5" customHeight="1">
      <c r="A186" s="73"/>
      <c r="B186" s="73"/>
      <c r="C186" s="73"/>
      <c r="D186" s="73"/>
      <c r="E186" s="176"/>
      <c r="F186" s="176"/>
      <c r="G186" s="552"/>
      <c r="H186" s="73"/>
      <c r="I186" s="73"/>
    </row>
    <row r="187" spans="1:9" ht="16.5" customHeight="1">
      <c r="A187" s="73"/>
      <c r="B187" s="73"/>
      <c r="C187" s="73"/>
      <c r="D187" s="73"/>
      <c r="E187" s="176"/>
      <c r="F187" s="176"/>
      <c r="G187" s="552"/>
      <c r="H187" s="73"/>
      <c r="I187" s="73"/>
    </row>
    <row r="188" spans="1:9" ht="16.5" customHeight="1">
      <c r="A188" s="73"/>
      <c r="B188" s="73"/>
      <c r="C188" s="73"/>
      <c r="D188" s="73"/>
      <c r="E188" s="176"/>
      <c r="F188" s="176"/>
      <c r="G188" s="552"/>
      <c r="H188" s="73"/>
      <c r="I188" s="73"/>
    </row>
    <row r="189" spans="1:9" ht="16.5" customHeight="1">
      <c r="A189" s="73"/>
      <c r="B189" s="73"/>
      <c r="C189" s="73"/>
      <c r="D189" s="73"/>
      <c r="E189" s="176"/>
      <c r="F189" s="176"/>
      <c r="G189" s="552"/>
      <c r="H189" s="73"/>
      <c r="I189" s="73"/>
    </row>
    <row r="190" spans="1:9" ht="16.5" customHeight="1">
      <c r="A190" s="73"/>
      <c r="B190" s="73"/>
      <c r="C190" s="73"/>
      <c r="D190" s="73"/>
      <c r="E190" s="176"/>
      <c r="F190" s="176"/>
      <c r="G190" s="552"/>
      <c r="H190" s="73"/>
      <c r="I190" s="73"/>
    </row>
    <row r="191" spans="1:9" ht="16.5" customHeight="1">
      <c r="A191" s="73"/>
      <c r="B191" s="73"/>
      <c r="C191" s="73"/>
      <c r="D191" s="73"/>
      <c r="E191" s="176"/>
      <c r="F191" s="176"/>
      <c r="G191" s="552"/>
      <c r="H191" s="73"/>
      <c r="I191" s="73"/>
    </row>
    <row r="192" spans="1:9" ht="16.5" customHeight="1">
      <c r="A192" s="73"/>
      <c r="B192" s="73"/>
      <c r="C192" s="73"/>
      <c r="D192" s="73"/>
      <c r="E192" s="176"/>
      <c r="F192" s="176"/>
      <c r="G192" s="552"/>
      <c r="H192" s="73"/>
      <c r="I192" s="73"/>
    </row>
    <row r="193" spans="1:9" ht="16.5" customHeight="1">
      <c r="A193" s="73"/>
      <c r="B193" s="73"/>
      <c r="C193" s="73"/>
      <c r="D193" s="73"/>
      <c r="E193" s="176"/>
      <c r="F193" s="176"/>
      <c r="G193" s="552"/>
      <c r="H193" s="73"/>
      <c r="I193" s="73"/>
    </row>
    <row r="194" spans="1:9" ht="16.5" customHeight="1">
      <c r="A194" s="73"/>
      <c r="B194" s="73"/>
      <c r="C194" s="73"/>
      <c r="D194" s="73"/>
      <c r="E194" s="176"/>
      <c r="F194" s="176"/>
      <c r="G194" s="552"/>
      <c r="H194" s="73"/>
      <c r="I194" s="73"/>
    </row>
    <row r="195" spans="1:9" ht="16.5" customHeight="1">
      <c r="A195" s="73"/>
      <c r="B195" s="73"/>
      <c r="C195" s="73"/>
      <c r="D195" s="73"/>
      <c r="E195" s="176"/>
      <c r="F195" s="176"/>
      <c r="G195" s="552"/>
      <c r="H195" s="73"/>
      <c r="I195" s="73"/>
    </row>
    <row r="196" spans="1:9" ht="16.5" customHeight="1">
      <c r="A196" s="73"/>
      <c r="B196" s="73"/>
      <c r="C196" s="73"/>
      <c r="D196" s="73"/>
      <c r="E196" s="176"/>
      <c r="F196" s="176"/>
      <c r="G196" s="552"/>
      <c r="H196" s="73"/>
      <c r="I196" s="73"/>
    </row>
    <row r="197" spans="1:9" ht="16.5" customHeight="1">
      <c r="A197" s="73"/>
      <c r="B197" s="73"/>
      <c r="C197" s="73"/>
      <c r="D197" s="73"/>
      <c r="E197" s="176"/>
      <c r="F197" s="176"/>
      <c r="G197" s="552"/>
      <c r="H197" s="73"/>
      <c r="I197" s="73"/>
    </row>
    <row r="198" spans="1:9" ht="16.5" customHeight="1">
      <c r="A198" s="73"/>
      <c r="B198" s="73"/>
      <c r="C198" s="73"/>
      <c r="D198" s="73"/>
      <c r="E198" s="176"/>
      <c r="F198" s="176"/>
      <c r="G198" s="552"/>
      <c r="H198" s="73"/>
      <c r="I198" s="73"/>
    </row>
    <row r="199" spans="1:9" ht="16.5" customHeight="1">
      <c r="A199" s="73"/>
      <c r="B199" s="73"/>
      <c r="C199" s="73"/>
      <c r="D199" s="73"/>
      <c r="E199" s="176"/>
      <c r="F199" s="176"/>
      <c r="G199" s="552"/>
      <c r="H199" s="73"/>
      <c r="I199" s="73"/>
    </row>
    <row r="200" spans="1:9" ht="16.5" customHeight="1">
      <c r="A200" s="73"/>
      <c r="B200" s="73"/>
      <c r="C200" s="73"/>
      <c r="D200" s="73"/>
      <c r="E200" s="176"/>
      <c r="F200" s="176"/>
      <c r="G200" s="552"/>
      <c r="H200" s="73"/>
      <c r="I200" s="73"/>
    </row>
    <row r="201" spans="1:9" ht="16.5" customHeight="1">
      <c r="A201" s="73"/>
      <c r="B201" s="73"/>
      <c r="C201" s="73"/>
      <c r="D201" s="73"/>
      <c r="E201" s="176"/>
      <c r="F201" s="176"/>
      <c r="G201" s="552"/>
      <c r="H201" s="73"/>
      <c r="I201" s="73"/>
    </row>
    <row r="202" spans="1:9" ht="16.5" customHeight="1">
      <c r="A202" s="73"/>
      <c r="B202" s="73"/>
      <c r="C202" s="73"/>
      <c r="D202" s="73"/>
      <c r="E202" s="176"/>
      <c r="F202" s="176"/>
      <c r="G202" s="552"/>
      <c r="H202" s="73"/>
      <c r="I202" s="73"/>
    </row>
    <row r="203" spans="1:9" ht="16.5" customHeight="1">
      <c r="A203" s="73"/>
      <c r="B203" s="73"/>
      <c r="C203" s="73"/>
      <c r="D203" s="73"/>
      <c r="E203" s="176"/>
      <c r="F203" s="176"/>
      <c r="G203" s="552"/>
      <c r="H203" s="73"/>
      <c r="I203" s="73"/>
    </row>
    <row r="204" spans="1:9" ht="16.5" customHeight="1">
      <c r="A204" s="73"/>
      <c r="B204" s="73"/>
      <c r="C204" s="73"/>
      <c r="D204" s="73"/>
      <c r="E204" s="176"/>
      <c r="F204" s="176"/>
      <c r="G204" s="552"/>
      <c r="H204" s="73"/>
      <c r="I204" s="73"/>
    </row>
    <row r="205" spans="1:9" ht="16.5" customHeight="1">
      <c r="A205" s="73"/>
      <c r="B205" s="73"/>
      <c r="C205" s="73"/>
      <c r="D205" s="73"/>
      <c r="E205" s="176"/>
      <c r="F205" s="176"/>
      <c r="G205" s="552"/>
      <c r="H205" s="73"/>
      <c r="I205" s="73"/>
    </row>
    <row r="206" spans="1:9" ht="16.5" customHeight="1">
      <c r="A206" s="73"/>
      <c r="B206" s="73"/>
      <c r="C206" s="73"/>
      <c r="D206" s="73"/>
      <c r="E206" s="176"/>
      <c r="F206" s="176"/>
      <c r="G206" s="552"/>
      <c r="H206" s="73"/>
      <c r="I206" s="73"/>
    </row>
    <row r="207" spans="1:9" ht="16.5" customHeight="1">
      <c r="A207" s="73"/>
      <c r="B207" s="73"/>
      <c r="C207" s="73"/>
      <c r="D207" s="73"/>
      <c r="E207" s="176"/>
      <c r="F207" s="176"/>
      <c r="G207" s="552"/>
      <c r="H207" s="73"/>
      <c r="I207" s="73"/>
    </row>
    <row r="208" spans="1:9" ht="16.5" customHeight="1">
      <c r="A208" s="73"/>
      <c r="B208" s="73"/>
      <c r="C208" s="73"/>
      <c r="D208" s="73"/>
      <c r="E208" s="176"/>
      <c r="F208" s="176"/>
      <c r="G208" s="552"/>
      <c r="H208" s="73"/>
      <c r="I208" s="73"/>
    </row>
    <row r="209" spans="1:9" ht="16.5" customHeight="1">
      <c r="A209" s="73"/>
      <c r="B209" s="73"/>
      <c r="C209" s="73"/>
      <c r="D209" s="73"/>
      <c r="E209" s="176"/>
      <c r="F209" s="176"/>
      <c r="G209" s="552"/>
      <c r="H209" s="73"/>
      <c r="I209" s="73"/>
    </row>
    <row r="210" spans="1:9" ht="16.5" customHeight="1">
      <c r="A210" s="73"/>
      <c r="B210" s="73"/>
      <c r="C210" s="73"/>
      <c r="D210" s="73"/>
      <c r="E210" s="176"/>
      <c r="F210" s="176"/>
      <c r="G210" s="552"/>
      <c r="H210" s="73"/>
      <c r="I210" s="73"/>
    </row>
    <row r="211" spans="1:9" ht="16.5" customHeight="1">
      <c r="A211" s="73"/>
      <c r="B211" s="73"/>
      <c r="C211" s="73"/>
      <c r="D211" s="73"/>
      <c r="E211" s="176"/>
      <c r="F211" s="176"/>
      <c r="G211" s="552"/>
      <c r="H211" s="73"/>
      <c r="I211" s="73"/>
    </row>
    <row r="212" spans="1:9" ht="16.5" customHeight="1">
      <c r="A212" s="73"/>
      <c r="B212" s="73"/>
      <c r="C212" s="73"/>
      <c r="D212" s="73"/>
      <c r="E212" s="176"/>
      <c r="F212" s="176"/>
      <c r="G212" s="552"/>
      <c r="H212" s="73"/>
      <c r="I212" s="73"/>
    </row>
    <row r="213" spans="1:9" ht="16.5" customHeight="1">
      <c r="A213" s="73"/>
      <c r="B213" s="73"/>
      <c r="C213" s="73"/>
      <c r="D213" s="73"/>
      <c r="E213" s="176"/>
      <c r="F213" s="176"/>
      <c r="G213" s="552"/>
      <c r="H213" s="73"/>
      <c r="I213" s="73"/>
    </row>
    <row r="214" spans="1:9" ht="16.5" customHeight="1">
      <c r="A214" s="73"/>
      <c r="B214" s="73"/>
      <c r="C214" s="73"/>
      <c r="D214" s="73"/>
      <c r="E214" s="176"/>
      <c r="F214" s="176"/>
      <c r="G214" s="552"/>
      <c r="H214" s="73"/>
      <c r="I214" s="73"/>
    </row>
    <row r="215" spans="1:9" ht="16.5" customHeight="1">
      <c r="A215" s="73"/>
      <c r="B215" s="73"/>
      <c r="C215" s="73"/>
      <c r="D215" s="73"/>
      <c r="E215" s="176"/>
      <c r="F215" s="176"/>
      <c r="G215" s="552"/>
      <c r="H215" s="73"/>
      <c r="I215" s="73"/>
    </row>
    <row r="216" spans="1:9" ht="16.5" customHeight="1">
      <c r="A216" s="73"/>
      <c r="B216" s="73"/>
      <c r="C216" s="73"/>
      <c r="D216" s="73"/>
      <c r="E216" s="176"/>
      <c r="F216" s="176"/>
      <c r="G216" s="552"/>
      <c r="H216" s="73"/>
      <c r="I216" s="73"/>
    </row>
    <row r="217" spans="1:9" ht="16.5" customHeight="1">
      <c r="A217" s="73"/>
      <c r="B217" s="73"/>
      <c r="C217" s="73"/>
      <c r="D217" s="73"/>
      <c r="E217" s="176"/>
      <c r="F217" s="176"/>
      <c r="G217" s="552"/>
      <c r="H217" s="73"/>
      <c r="I217" s="73"/>
    </row>
    <row r="218" spans="1:9" ht="16.5" customHeight="1">
      <c r="A218" s="73"/>
      <c r="B218" s="73"/>
      <c r="C218" s="73"/>
      <c r="D218" s="73"/>
      <c r="E218" s="176"/>
      <c r="F218" s="176"/>
      <c r="G218" s="552"/>
      <c r="H218" s="73"/>
      <c r="I218" s="73"/>
    </row>
    <row r="219" spans="1:9" ht="16.5" customHeight="1">
      <c r="A219" s="73"/>
      <c r="B219" s="73"/>
      <c r="C219" s="73"/>
      <c r="D219" s="73"/>
      <c r="E219" s="176"/>
      <c r="F219" s="176"/>
      <c r="G219" s="552"/>
      <c r="H219" s="73"/>
      <c r="I219" s="73"/>
    </row>
    <row r="220" spans="1:9" ht="16.5" customHeight="1">
      <c r="A220" s="73"/>
      <c r="B220" s="73"/>
      <c r="C220" s="73"/>
      <c r="D220" s="73"/>
      <c r="E220" s="176"/>
      <c r="F220" s="176"/>
      <c r="G220" s="552"/>
      <c r="H220" s="73"/>
      <c r="I220" s="73"/>
    </row>
    <row r="221" spans="1:9" ht="16.5" customHeight="1">
      <c r="A221" s="73"/>
      <c r="B221" s="73"/>
      <c r="C221" s="73"/>
      <c r="D221" s="73"/>
      <c r="E221" s="176"/>
      <c r="F221" s="176"/>
      <c r="G221" s="552"/>
      <c r="H221" s="73"/>
      <c r="I221" s="73"/>
    </row>
    <row r="222" spans="1:9" ht="16.5" customHeight="1">
      <c r="A222" s="73"/>
      <c r="B222" s="73"/>
      <c r="C222" s="73"/>
      <c r="D222" s="73"/>
      <c r="E222" s="176"/>
      <c r="F222" s="176"/>
      <c r="G222" s="552"/>
      <c r="H222" s="73"/>
      <c r="I222" s="73"/>
    </row>
    <row r="223" spans="1:9" ht="16.5" customHeight="1">
      <c r="A223" s="73"/>
      <c r="B223" s="73"/>
      <c r="C223" s="73"/>
      <c r="D223" s="73"/>
      <c r="E223" s="176"/>
      <c r="F223" s="176"/>
      <c r="G223" s="552"/>
      <c r="H223" s="73"/>
      <c r="I223" s="73"/>
    </row>
    <row r="224" spans="1:9" ht="16.5" customHeight="1">
      <c r="A224" s="73"/>
      <c r="B224" s="73"/>
      <c r="C224" s="73"/>
      <c r="D224" s="73"/>
      <c r="E224" s="176"/>
      <c r="F224" s="176"/>
      <c r="G224" s="552"/>
      <c r="H224" s="73"/>
      <c r="I224" s="73"/>
    </row>
    <row r="225" spans="1:9" ht="16.5" customHeight="1">
      <c r="A225" s="73"/>
      <c r="B225" s="73"/>
      <c r="C225" s="73"/>
      <c r="D225" s="73"/>
      <c r="E225" s="176"/>
      <c r="F225" s="176"/>
      <c r="G225" s="552"/>
      <c r="H225" s="73"/>
      <c r="I225" s="73"/>
    </row>
    <row r="226" spans="1:9" ht="16.5" customHeight="1">
      <c r="A226" s="73"/>
      <c r="B226" s="73"/>
      <c r="C226" s="73"/>
      <c r="D226" s="73"/>
      <c r="E226" s="176"/>
      <c r="F226" s="176"/>
      <c r="G226" s="552"/>
      <c r="H226" s="73"/>
      <c r="I226" s="73"/>
    </row>
    <row r="227" spans="1:9" ht="16.5" customHeight="1">
      <c r="A227" s="73"/>
      <c r="B227" s="73"/>
      <c r="C227" s="73"/>
      <c r="D227" s="73"/>
      <c r="E227" s="176"/>
      <c r="F227" s="176"/>
      <c r="G227" s="552"/>
      <c r="H227" s="73"/>
      <c r="I227" s="73"/>
    </row>
    <row r="228" spans="1:9" ht="15.7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spans="1:9" ht="15.7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spans="1:9" ht="15.7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spans="1:9" ht="15.7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spans="1:9" ht="15.7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spans="1:9" ht="15.7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spans="1:9" ht="15.7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spans="1:9" ht="15.7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spans="1:9" ht="15.7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spans="1:9" ht="15.7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spans="1:9" ht="15.7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spans="1:9" ht="15.7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spans="1:9" ht="15.7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spans="1:9" ht="15.7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spans="1:9" ht="15.7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spans="1:9" ht="15.7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spans="1:9" ht="15.7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spans="1:9" ht="15.7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spans="1:9" ht="15.7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spans="1:9" ht="15.7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spans="1:9" ht="15.7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spans="1:9" ht="15.7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spans="1:9" ht="15.7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spans="1:9" ht="15.7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spans="1:9" ht="15.7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spans="1:9" ht="15.7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spans="1:9" ht="15.7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spans="1:9" ht="15.7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spans="1:9" ht="15.7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spans="1:9" ht="15.7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spans="1:9" ht="15.7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spans="1:9" ht="15.7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spans="1:9" ht="15.7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spans="1:9" ht="15.7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spans="1:9" ht="15.7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spans="1:9" ht="15.7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spans="1:9" ht="15.7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spans="1:9" ht="15.7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spans="1:9" ht="15.7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spans="1:9" ht="15.7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spans="1:9" ht="15.7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spans="1:9" ht="15.7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spans="1:9" ht="15.7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spans="1:9" ht="15.7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spans="1:9" ht="15.7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spans="1:9" ht="15.7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spans="1:9" ht="15.7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spans="1:9" ht="15.7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spans="1:9" ht="15.7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spans="1:9" ht="15.7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spans="1:9" ht="15.7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spans="1:9" ht="15.7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spans="1:9" ht="15.7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spans="1:9" ht="15.7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spans="1:9" ht="15.7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spans="1:9" ht="15.7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spans="1:9" ht="15.7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spans="1:9" ht="15.7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spans="1:9" ht="15.7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spans="1:9" ht="15.7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spans="1:9" ht="15.7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spans="1:9" ht="15.7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spans="1:9" ht="15.7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spans="1:9" ht="15.7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spans="1:9" ht="15.7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spans="1:9" ht="15.7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spans="1:9" ht="15.7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spans="1:9" ht="15.7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spans="1:9" ht="15.7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spans="1:9" ht="15.7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spans="1:9" ht="15.7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spans="1:9" ht="15.7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spans="1:9" ht="15.7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spans="1:9" ht="15.7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spans="1:9" ht="15.7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spans="1:9" ht="15.7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spans="1:9" ht="15.7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spans="1:9" ht="15.7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spans="1:9" ht="15.7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spans="1:9" ht="15.7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spans="1:9" ht="15.7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spans="1:9" ht="15.7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spans="1:9" ht="15.7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spans="1:9" ht="15.7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spans="1:9" ht="15.7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spans="1:9" ht="15.7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spans="1:9" ht="15.7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spans="1:9" ht="15.7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spans="1:9" ht="15.7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spans="1:9" ht="15.7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spans="1:9" ht="15.7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spans="1:9" ht="15.7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spans="1:9" ht="15.7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spans="1:9" ht="15.7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spans="1:9" ht="15.7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spans="1:9" ht="15.7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spans="1:9" ht="15.7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spans="1:9" ht="15.7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spans="1:9" ht="15.7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spans="1:9" ht="15.7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spans="1:9" ht="15.7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spans="1:9" ht="15.7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spans="1:9" ht="15.7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spans="1:9" ht="15.7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spans="1:9" ht="15.7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spans="1:9" ht="15.7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spans="1:9" ht="15.7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spans="1:9" ht="15.7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spans="1:9" ht="15.7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spans="1:9" ht="15.7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spans="1:9" ht="15.7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spans="1:9" ht="15.7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spans="1:9" ht="15.7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spans="1:9" ht="15.7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spans="1:9" ht="15.7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spans="1:9" ht="15.7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spans="1:9" ht="15.7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spans="1:9" ht="15.7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spans="1:9" ht="15.7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spans="1:9" ht="15.7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spans="1:9" ht="15.7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spans="1:9" ht="15.7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spans="1:9" ht="15.7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spans="1:9" ht="15.7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spans="1:9" ht="15.7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spans="1:9" ht="15.7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spans="1:9" ht="15.7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spans="1:9" ht="15.7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spans="1:9" ht="15.7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spans="1:9" ht="15.7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spans="1:9" ht="15.7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spans="1:9" ht="15.7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spans="1:9" ht="15.7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spans="1:9" ht="15.7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spans="1:9" ht="15.7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spans="1:9" ht="15.7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spans="1:9" ht="15.7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spans="1:9" ht="15.7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spans="1:9" ht="15.7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spans="1:9" ht="15.7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spans="1:9" ht="15.7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spans="1:9" ht="15.7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spans="1:9" ht="15.7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spans="1:9" ht="15.7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spans="1:9" ht="15.7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spans="1:9" ht="15.7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spans="1:9" ht="15.7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spans="1:9" ht="15.7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spans="1:9" ht="15.7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spans="1:9" ht="15.7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spans="1:9" ht="15.7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spans="1:9" ht="15.7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spans="1:9" ht="15.7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spans="1:9" ht="15.7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spans="1:9" ht="15.7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spans="1:9" ht="15.7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spans="1:9" ht="15.7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spans="1:9" ht="15.7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spans="1:9" ht="15.7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spans="1:9" ht="15.7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spans="1:9" ht="15.7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spans="1:9" ht="15.7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spans="1:9" ht="15.7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spans="1:9" ht="15.7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spans="1:9" ht="15.7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spans="1:9" ht="15.7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spans="1:9" ht="15.7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spans="1:9" ht="15.7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spans="1:9" ht="15.7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spans="1:9" ht="15.7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spans="1:9" ht="15.7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spans="1:9" ht="15.7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spans="1:9" ht="15.7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spans="1:9" ht="15.7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spans="1:9" ht="15.7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spans="1:9" ht="15.7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spans="1:9" ht="15.7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spans="1:9" ht="15.7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spans="1:9" ht="15.7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spans="1:9" ht="15.7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spans="1:9" ht="15.7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spans="1:9" ht="15.7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spans="1:9" ht="15.7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spans="1:9" ht="15.7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spans="1:9" ht="15.7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spans="1:9" ht="15.7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spans="1:9" ht="15.7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spans="1:9" ht="15.7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spans="1:9" ht="15.7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spans="1:9" ht="15.7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spans="1:9" ht="15.7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spans="1:9" ht="15.7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spans="1:9" ht="15.7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spans="1:9" ht="15.7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spans="1:9" ht="15.7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spans="1:9" ht="15.7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spans="1:9" ht="15.7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spans="1:9" ht="15.7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spans="1:9" ht="15.7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spans="1:9" ht="15.7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spans="1:9" ht="15.7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spans="1:9" ht="15.7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spans="1:9" ht="15.7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spans="1:9" ht="15.7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spans="1:9" ht="15.7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spans="1:9" ht="15.7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spans="1:9" ht="15.7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spans="1:9" ht="15.7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spans="1:9" ht="15.7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spans="1:9" ht="15.7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spans="1:9" ht="15.7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spans="1:9" ht="15.7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spans="1:9" ht="15.7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spans="1:9" ht="15.7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spans="1:9" ht="15.7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spans="1:9" ht="15.7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spans="1:9" ht="15.7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spans="1:9" ht="15.7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spans="1:9" ht="15.7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spans="1:9" ht="15.7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spans="1:9" ht="15.7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spans="1:9" ht="15.7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spans="1:9" ht="15.7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spans="1:9" ht="15.7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spans="1:9" ht="15.7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spans="1:9" ht="15.7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spans="1:9" ht="15.7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spans="1:9" ht="15.7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spans="1:9" ht="15.7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spans="1:9" ht="15.7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spans="1:9" ht="15.7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spans="1:9" ht="15.7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spans="1:9" ht="15.7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spans="1:9" ht="15.7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spans="1:9" ht="15.7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spans="1:9" ht="15.7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spans="1:9" ht="15.7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spans="1:9" ht="15.7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spans="1:9" ht="15.7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spans="1:9" ht="15.7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spans="1:9" ht="15.7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spans="1:9" ht="15.7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spans="1:9" ht="15.7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spans="1:9" ht="15.7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spans="1:9" ht="15.7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spans="1:9" ht="15.7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spans="1:9" ht="15.7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spans="1:9" ht="15.7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spans="1:9" ht="15.7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spans="1:9" ht="15.7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spans="1:9" ht="15.7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spans="1:9" ht="15.7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spans="1:9" ht="15.7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spans="1:9" ht="15.7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spans="1:9" ht="15.7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spans="1:9" ht="15.7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spans="1:9" ht="15.7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spans="1:9" ht="15.7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spans="1:9" ht="15.7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spans="1:9" ht="15.7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spans="1:9" ht="15.7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spans="1:9" ht="15.7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spans="1:9" ht="15.7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spans="1:9" ht="15.7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spans="1:9" ht="15.7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spans="1:9" ht="15.7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spans="1:9" ht="15.7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spans="1:9" ht="15.7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spans="1:9" ht="15.7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spans="1:9" ht="15.7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spans="1:9" ht="15.7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spans="1:9" ht="15.7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spans="1:9" ht="15.7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spans="1:9" ht="15.7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spans="1:9" ht="15.7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spans="1:9" ht="15.7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spans="1:9" ht="15.7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spans="1:9" ht="15.7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spans="1:9" ht="15.7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spans="1:9" ht="15.7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spans="1:9" ht="15.7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spans="1:9" ht="15.7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spans="1:9" ht="15.7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spans="1:9" ht="15.7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spans="1:9" ht="15.7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spans="1:9" ht="15.7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spans="1:9" ht="15.7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spans="1:9" ht="15.7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spans="1:9" ht="15.7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spans="1:9" ht="15.7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spans="1:9" ht="15.7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spans="1:9" ht="15.7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spans="1:9" ht="15.7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spans="1:9" ht="15.7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spans="1:9" ht="15.7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spans="1:9" ht="15.7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spans="1:9" ht="15.7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spans="1:9" ht="15.7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spans="1:9" ht="15.7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spans="1:9" ht="15.7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spans="1:9" ht="15.7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spans="1:9" ht="15.7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spans="1:9" ht="15.7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spans="1:9" ht="15.7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spans="1:9" ht="15.7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spans="1:9" ht="15.7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spans="1:9" ht="15.7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spans="1:9" ht="15.7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spans="1:9" ht="15.7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spans="1:9" ht="15.7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spans="1:9" ht="15.7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spans="1:9" ht="15.7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spans="1:9" ht="15.7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spans="1:9" ht="15.7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spans="1:9" ht="15.7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spans="1:9" ht="15.7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spans="1:9" ht="15.7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spans="1:9" ht="15.7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spans="1:9" ht="15.7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spans="1:9" ht="15.7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spans="1:9" ht="15.7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spans="1:9" ht="15.7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spans="1:9" ht="15.7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spans="1:9" ht="15.7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spans="1:9" ht="15.7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spans="1:9" ht="15.7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spans="1:9" ht="15.7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spans="1:9" ht="15.7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spans="1:9" ht="15.7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spans="1:9" ht="15.7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spans="1:9" ht="15.7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spans="1:9" ht="15.7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spans="1:9" ht="15.7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spans="1:9" ht="15.7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spans="1:9" ht="15.7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spans="1:9" ht="15.7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spans="1:9" ht="15.7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spans="1:9" ht="15.7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spans="1:9" ht="15.7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spans="1:9" ht="15.7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spans="1:9" ht="15.7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spans="1:9" ht="15.7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spans="1:9" ht="15.7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spans="1:9" ht="15.7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spans="1:9" ht="15.7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spans="1:9" ht="15.7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spans="1:9" ht="15.7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spans="1:9" ht="15.7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spans="1:9" ht="15.7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spans="1:9" ht="15.7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spans="1:9" ht="15.7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spans="1:9" ht="15.7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spans="1:9" ht="15.7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spans="1:9" ht="15.7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spans="1:9" ht="15.7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spans="1:9" ht="15.7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spans="1:9" ht="15.7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spans="1:9" ht="15.7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spans="1:9" ht="15.7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spans="1:9" ht="15.7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spans="1:9" ht="15.7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spans="1:9" ht="15.7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spans="1:9" ht="15.7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spans="1:9" ht="15.7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spans="1:9" ht="15.7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spans="1:9" ht="15.7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spans="1:9" ht="15.7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spans="1:9" ht="15.7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spans="1:9" ht="15.7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spans="1:9" ht="15.7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spans="1:9" ht="15.7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spans="1:9" ht="15.7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spans="1:9" ht="15.7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spans="1:9" ht="15.7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spans="1:9" ht="15.7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spans="1:9" ht="15.7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spans="1:9" ht="15.7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spans="1:9" ht="15.7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spans="1:9" ht="15.7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spans="1:9" ht="15.7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spans="1:9" ht="15.7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spans="1:9" ht="15.7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spans="1:9" ht="15.7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spans="1:9" ht="15.7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spans="1:9" ht="15.7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spans="1:9" ht="15.7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spans="1:9" ht="15.7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spans="1:9" ht="15.7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spans="1:9" ht="15.7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spans="1:9" ht="15.7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spans="1:9" ht="15.7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spans="1:9" ht="15.7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spans="1:9" ht="15.7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spans="1:9" ht="15.7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spans="1:9" ht="15.7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spans="1:9" ht="15.7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spans="1:9" ht="15.7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spans="1:9" ht="15.7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spans="1:9" ht="15.7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spans="1:9" ht="15.7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spans="1:9" ht="15.7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spans="1:9" ht="15.7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spans="1:9" ht="15.7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spans="1:9" ht="15.7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spans="1:9" ht="15.7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spans="1:9" ht="15.7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spans="1:9" ht="15.7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spans="1:9" ht="15.7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spans="1:9" ht="15.7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spans="1:9" ht="15.7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spans="1:9" ht="15.7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spans="1:9" ht="15.7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spans="1:9" ht="15.7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spans="1:9" ht="15.7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spans="1:9" ht="15.7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spans="1:9" ht="15.7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spans="1:9" ht="15.7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spans="1:9" ht="15.7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spans="1:9" ht="15.7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spans="1:9" ht="15.7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spans="1:9" ht="15.7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spans="1:9" ht="15.7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spans="1:9" ht="15.7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spans="1:9" ht="15.7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spans="1:9" ht="15.7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spans="1:9" ht="15.7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spans="1:9" ht="15.7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spans="1:9" ht="15.7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spans="1:9" ht="15.7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spans="1:9" ht="15.7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spans="1:9" ht="15.7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spans="1:9" ht="15.7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spans="1:9" ht="15.7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spans="1:9" ht="15.7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spans="1:9" ht="15.7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spans="1:9" ht="15.7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spans="1:9" ht="15.7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spans="1:9" ht="15.7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spans="1:9" ht="15.7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spans="1:9" ht="15.7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spans="1:9" ht="15.7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spans="1:9" ht="15.7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spans="1:9" ht="15.7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spans="1:9" ht="15.7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spans="1:9" ht="15.7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spans="1:9" ht="15.7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spans="1:9" ht="15.7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spans="1:9" ht="15.7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spans="1:9" ht="15.7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spans="1:9" ht="15.7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spans="1:9" ht="15.7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spans="1:9" ht="15.7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spans="1:9" ht="15.7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spans="1:9" ht="15.7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spans="1:9" ht="15.7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spans="1:9" ht="15.7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spans="1:9" ht="15.7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spans="1:9" ht="15.7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spans="1:9" ht="15.7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spans="1:9" ht="15.7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spans="1:9" ht="15.7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spans="1:9" ht="15.7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spans="1:9" ht="15.7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spans="1:9" ht="15.7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spans="1:9" ht="15.7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spans="1:9" ht="15.7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spans="1:9" ht="15.7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spans="1:9" ht="15.7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spans="1:9" ht="15.7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spans="1:9" ht="15.7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spans="1:9" ht="15.7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spans="1:9" ht="15.7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spans="1:9" ht="15.7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spans="1:9" ht="15.7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spans="1:9" ht="15.7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spans="1:9" ht="15.7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spans="1:9" ht="15.7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spans="1:9" ht="15.7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spans="1:9" ht="15.7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spans="1:9" ht="15.7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spans="1:9" ht="15.7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spans="1:9" ht="15.7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spans="1:9" ht="15.7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spans="1:9" ht="15.7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spans="1:9" ht="15.7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spans="1:9" ht="15.7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spans="1:9" ht="15.7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spans="1:9" ht="15.7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spans="1:9" ht="15.7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spans="1:9" ht="15.7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spans="1:9" ht="15.7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spans="1:9" ht="15.7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spans="1:9" ht="15.7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spans="1:9" ht="15.7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spans="1:9" ht="15.7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spans="1:9" ht="15.7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spans="1:9" ht="15.7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spans="1:9" ht="15.7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spans="1:9" ht="15.7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spans="1:9" ht="15.7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spans="1:9" ht="15.7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spans="1:9" ht="15.7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spans="1:9" ht="15.7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spans="1:9" ht="15.7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spans="1:9" ht="15.7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spans="1:9" ht="15.7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spans="1:9" ht="15.7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spans="1:9" ht="15.7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spans="1:9" ht="15.7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spans="1:9" ht="15.7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spans="1:9" ht="15.7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spans="1:9" ht="15.7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spans="1:9" ht="15.7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spans="1:9" ht="15.7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spans="1:9" ht="15.7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spans="1:9" ht="15.7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spans="1:9" ht="15.7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spans="1:9" ht="15.7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spans="1:9" ht="15.7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spans="1:9" ht="15.7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spans="1:9" ht="15.7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spans="1:9" ht="15.7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spans="1:9" ht="15.7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spans="1:9" ht="15.7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spans="1:9" ht="15.7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spans="1:9" ht="15.7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spans="1:9" ht="15.7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spans="1:9" ht="15.7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spans="1:9" ht="15.7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spans="1:9" ht="15.7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spans="1:9" ht="15.7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spans="1:9" ht="15.7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spans="1:9" ht="15.7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spans="1:9" ht="15.7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spans="1:9" ht="15.7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spans="1:9" ht="15.7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spans="1:9" ht="15.7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spans="1:9" ht="15.7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spans="1:9" ht="15.7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spans="1:9" ht="15.7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spans="1:9" ht="15.7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spans="1:9" ht="15.7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spans="1:9" ht="15.7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spans="1:9" ht="15.7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spans="1:9" ht="15.7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spans="1:9" ht="15.7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spans="1:9" ht="15.7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spans="1:9" ht="15.7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spans="1:9" ht="15.7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spans="1:9" ht="15.7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spans="1:9" ht="15.7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spans="1:9" ht="15.7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spans="1:9" ht="15.7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spans="1:9" ht="15.7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spans="1:9" ht="15.7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spans="1:9" ht="15.7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spans="1:9" ht="15.7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spans="1:9" ht="15.7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spans="1:9" ht="15.7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spans="1:9" ht="15.7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spans="1:9" ht="15.7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spans="1:9" ht="15.7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spans="1:9" ht="15.7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spans="1:9" ht="15.7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spans="1:9" ht="15.7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spans="1:9" ht="15.7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spans="1:9" ht="15.7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spans="1:9" ht="15.7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spans="1:9" ht="15.7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spans="1:9" ht="15.7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spans="1:9" ht="15.7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spans="1:9" ht="15.7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spans="1:9" ht="15.7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spans="1:9" ht="15.7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spans="1:9" ht="15.7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spans="1:9" ht="15.7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spans="1:9" ht="15.7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spans="1:9" ht="15.7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spans="1:9" ht="15.7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spans="1:9" ht="15.7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spans="1:9" ht="15.7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spans="1:9" ht="15.7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spans="1:9" ht="15.7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spans="1:9" ht="15.7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spans="1:9" ht="15.7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spans="1:9" ht="15.7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spans="1:9" ht="15.7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spans="1:9" ht="15.7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spans="1:9" ht="15.7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spans="1:9" ht="15.7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spans="1:9" ht="15.7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spans="1:9" ht="15.7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spans="1:9" ht="15.7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spans="1:9" ht="15.7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spans="1:9" ht="15.7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spans="1:9" ht="15.7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spans="1:9" ht="15.7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spans="1:9" ht="15.7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spans="1:9" ht="15.7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spans="1:9" ht="15.7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spans="1:9" ht="15.7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spans="1:9" ht="15.7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spans="1:9" ht="15.7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spans="1:9" ht="15.7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spans="1:9" ht="15.7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spans="1:9" ht="15.7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spans="1:9" ht="15.7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spans="1:9" ht="15.7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spans="1:9" ht="15.7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spans="1:9" ht="15.7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spans="1:9" ht="15.7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spans="1:9" ht="15.7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spans="1:9" ht="15.7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spans="1:9" ht="15.7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spans="1:9" ht="15.7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spans="1:9" ht="15.7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spans="1:9" ht="15.7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spans="1:9" ht="15.7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spans="1:9" ht="15.7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spans="1:9" ht="15.7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spans="1:9" ht="15.7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spans="1:9" ht="15.7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spans="1:9" ht="15.7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spans="1:9" ht="15.7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spans="1:9" ht="15.7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spans="1:9" ht="15.7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spans="1:9" ht="15.7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spans="1:9" ht="15.7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spans="1:9" ht="15.7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spans="1:9" ht="15.7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spans="1:9" ht="15.7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spans="1:9" ht="15.7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spans="1:9" ht="15.7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spans="1:9" ht="15.7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spans="1:9" ht="15.7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spans="1:9" ht="15.7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spans="1:9" ht="15.7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spans="1:9" ht="15.7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spans="1:9" ht="15.7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spans="1:9" ht="15.7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spans="1:9" ht="15.7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spans="1:9" ht="15.7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spans="1:9" ht="15.7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spans="1:9" ht="15.7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spans="1:9" ht="15.7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spans="1:9" ht="15.7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spans="1:9" ht="15.7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spans="1:9" ht="15.7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spans="1:9" ht="15.7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spans="1:9" ht="15.7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spans="1:9" ht="15.7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spans="1:9" ht="15.7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spans="1:9" ht="15.7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spans="1:9" ht="15.7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spans="1:9" ht="15.7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spans="1:9" ht="15.7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spans="1:9" ht="15.7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spans="1:9" ht="15.7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spans="1:9" ht="15.7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spans="1:9" ht="15.7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spans="1:9" ht="15.7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spans="1:9" ht="15.7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spans="1:9" ht="15.7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spans="1:9" ht="15.7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spans="1:9" ht="15.7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spans="1:9" ht="15.7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spans="1:9" ht="15.7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spans="1:9" ht="15.7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spans="1:9" ht="15.7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spans="1:9" ht="15.7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spans="1:9" ht="15.7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spans="1:9" ht="15.7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spans="1:9" ht="15.7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spans="1:9" ht="15.7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spans="1:9" ht="15.7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spans="1:9" ht="15.7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spans="1:9" ht="15.7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spans="1:9" ht="15.7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spans="1:9" ht="15.7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spans="1:9" ht="15.7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spans="1:9" ht="15.7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spans="1:9" ht="15.7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spans="1:9" ht="15.7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spans="1:9" ht="15.7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spans="1:9" ht="15.7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spans="1:9" ht="15.7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spans="1:9" ht="15.7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spans="1:9" ht="15.7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spans="1:9" ht="15.7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spans="1:9" ht="15.7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spans="1:9" ht="15.7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spans="1:9" ht="15.7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spans="1:9" ht="15.7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spans="1:9" ht="15.7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spans="1:9" ht="15.7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spans="1:9" ht="15.7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spans="1:9" ht="15.7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spans="1:9" ht="15.7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spans="1:9" ht="15.7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spans="1:9" ht="15.7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spans="1:9" ht="15.7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spans="1:9" ht="15.7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spans="1:9" ht="15.7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spans="1:9" ht="15.7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spans="1:9" ht="15.7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spans="1:9" ht="15.7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spans="1:9" ht="15.7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spans="1:9" ht="15.7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spans="1:9" ht="15.7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spans="1:9" ht="15.7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spans="1:9" ht="15.7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spans="1:9" ht="15.7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spans="1:9" ht="15.7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spans="1:9" ht="15.7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spans="1:9" ht="15.7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spans="1:9" ht="15.7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spans="1:9" ht="15.7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spans="1:9" ht="15.7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spans="1:9" ht="15.7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spans="1:9" ht="15.7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spans="1:9" ht="15.7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spans="1:9" ht="15.7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spans="1:9" ht="15.7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spans="1:9" ht="15.7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spans="1:9" ht="15.7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spans="1:9" ht="15.7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spans="1:9" ht="15.7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spans="1:9" ht="15.7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spans="1:9" ht="15.7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spans="1:9" ht="15.7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spans="1:9" ht="15.7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spans="1:9" ht="15.7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spans="1:9" ht="15.7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spans="1:9" ht="15.7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spans="1:9" ht="15.7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spans="1:9" ht="15.7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spans="1:9" ht="15.7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spans="1:9" ht="15.7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spans="1:9" ht="15.7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spans="1:9" ht="15.7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spans="1:9" ht="15.7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spans="1:9" ht="15.7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spans="1:9" ht="15.7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spans="1:9" ht="15.7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spans="1:9" ht="15.7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spans="1:9" ht="15.7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spans="1:9" ht="15.7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spans="1:9" ht="15.7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spans="1:9" ht="15.7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spans="1:9" ht="15.7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spans="1:9" ht="15.7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spans="1:9" ht="15.7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spans="1:9" ht="15.7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spans="1:9" ht="15.7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spans="1:9" ht="15.7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spans="1:9" ht="15.7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spans="1:9" ht="15.7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spans="1:9" ht="15.7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spans="1:9" ht="15.7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spans="1:9" ht="15.7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spans="1:9" ht="15.7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spans="1:9" ht="15.7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spans="1:9" ht="15.7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spans="1:9" ht="15.7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spans="1:9" ht="15.7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spans="1:9" ht="15.7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spans="1:9" ht="15.7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spans="1:9" ht="15.7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spans="1:9" ht="15.7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spans="1:9" ht="15.7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spans="1:9" ht="15.7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spans="1:9" ht="15.7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spans="1:9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mergeCells count="13">
    <mergeCell ref="A21:A27"/>
    <mergeCell ref="A1:F2"/>
    <mergeCell ref="A3:B3"/>
    <mergeCell ref="C3:C4"/>
    <mergeCell ref="D3:D4"/>
    <mergeCell ref="A5:A8"/>
    <mergeCell ref="A9:A12"/>
    <mergeCell ref="A13:A16"/>
    <mergeCell ref="F5:F8"/>
    <mergeCell ref="F9:F12"/>
    <mergeCell ref="F3:F4"/>
    <mergeCell ref="F13:F16"/>
    <mergeCell ref="A17:A20"/>
  </mergeCells>
  <phoneticPr fontId="30" type="noConversion"/>
  <pageMargins left="0.25" right="0.25" top="0.75" bottom="0.75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I1000"/>
  <sheetViews>
    <sheetView workbookViewId="0"/>
  </sheetViews>
  <sheetFormatPr defaultColWidth="14.42578125" defaultRowHeight="15" customHeight="1"/>
  <cols>
    <col min="1" max="1" width="28" customWidth="1"/>
    <col min="2" max="2" width="157.5703125" customWidth="1"/>
    <col min="3" max="3" width="11.85546875" customWidth="1"/>
    <col min="4" max="4" width="12.85546875" customWidth="1"/>
    <col min="5" max="5" width="12.42578125" customWidth="1"/>
    <col min="6" max="6" width="21.140625" customWidth="1"/>
    <col min="7" max="7" width="27.28515625" customWidth="1"/>
    <col min="8" max="8" width="10.140625" customWidth="1"/>
    <col min="9" max="9" width="8.85546875" customWidth="1"/>
  </cols>
  <sheetData>
    <row r="1" spans="1:9" ht="16.5" customHeight="1">
      <c r="A1" s="625" t="s">
        <v>811</v>
      </c>
      <c r="B1" s="611"/>
      <c r="C1" s="611"/>
      <c r="D1" s="611"/>
      <c r="E1" s="611"/>
      <c r="F1" s="611"/>
      <c r="G1" s="552"/>
      <c r="H1" s="73"/>
      <c r="I1" s="73"/>
    </row>
    <row r="2" spans="1:9" ht="18" customHeight="1">
      <c r="A2" s="610"/>
      <c r="B2" s="615"/>
      <c r="C2" s="615"/>
      <c r="D2" s="615"/>
      <c r="E2" s="615"/>
      <c r="F2" s="615"/>
      <c r="G2" s="552"/>
      <c r="H2" s="73"/>
      <c r="I2" s="73"/>
    </row>
    <row r="3" spans="1:9" ht="16.5" customHeight="1">
      <c r="A3" s="699" t="s">
        <v>513</v>
      </c>
      <c r="B3" s="711"/>
      <c r="C3" s="678" t="s">
        <v>462</v>
      </c>
      <c r="D3" s="688" t="s">
        <v>585</v>
      </c>
      <c r="E3" s="341" t="s">
        <v>544</v>
      </c>
      <c r="F3" s="678" t="s">
        <v>812</v>
      </c>
      <c r="G3" s="552"/>
      <c r="H3" s="73"/>
      <c r="I3" s="73"/>
    </row>
    <row r="4" spans="1:9" ht="16.5" customHeight="1">
      <c r="A4" s="553" t="s">
        <v>8</v>
      </c>
      <c r="B4" s="553" t="s">
        <v>9</v>
      </c>
      <c r="C4" s="606"/>
      <c r="D4" s="621"/>
      <c r="E4" s="560" t="s">
        <v>11</v>
      </c>
      <c r="F4" s="606"/>
      <c r="G4" s="552"/>
      <c r="H4" s="1"/>
      <c r="I4" s="73"/>
    </row>
    <row r="5" spans="1:9" ht="16.5" customHeight="1">
      <c r="A5" s="666" t="s">
        <v>813</v>
      </c>
      <c r="B5" s="173" t="s">
        <v>814</v>
      </c>
      <c r="C5" s="352">
        <f t="shared" ref="C5:C8" si="0">D5*2-1000</f>
        <v>557000</v>
      </c>
      <c r="D5" s="352">
        <v>279000</v>
      </c>
      <c r="E5" s="229"/>
      <c r="F5" s="546"/>
      <c r="G5" s="552"/>
      <c r="H5" s="1"/>
      <c r="I5" s="73"/>
    </row>
    <row r="6" spans="1:9" ht="16.5" customHeight="1">
      <c r="A6" s="605"/>
      <c r="B6" s="173" t="s">
        <v>815</v>
      </c>
      <c r="C6" s="352">
        <f t="shared" si="0"/>
        <v>717000</v>
      </c>
      <c r="D6" s="352">
        <v>359000</v>
      </c>
      <c r="E6" s="546"/>
      <c r="F6" s="546"/>
      <c r="G6" s="552"/>
      <c r="H6" s="1"/>
      <c r="I6" s="73"/>
    </row>
    <row r="7" spans="1:9" ht="16.5" customHeight="1">
      <c r="A7" s="605"/>
      <c r="B7" s="569" t="s">
        <v>660</v>
      </c>
      <c r="C7" s="352">
        <f t="shared" si="0"/>
        <v>577000</v>
      </c>
      <c r="D7" s="352">
        <v>289000</v>
      </c>
      <c r="E7" s="570"/>
      <c r="F7" s="546"/>
      <c r="G7" s="552"/>
      <c r="H7" s="1"/>
      <c r="I7" s="1"/>
    </row>
    <row r="8" spans="1:9" ht="16.5" customHeight="1">
      <c r="A8" s="605"/>
      <c r="B8" s="252" t="s">
        <v>816</v>
      </c>
      <c r="C8" s="352">
        <f t="shared" si="0"/>
        <v>1497000</v>
      </c>
      <c r="D8" s="352">
        <v>749000</v>
      </c>
      <c r="E8" s="176"/>
      <c r="F8" s="546"/>
      <c r="G8" s="552"/>
      <c r="H8" s="1"/>
      <c r="I8" s="1"/>
    </row>
    <row r="9" spans="1:9" ht="16.5" customHeight="1">
      <c r="A9" s="605"/>
      <c r="B9" s="252" t="s">
        <v>817</v>
      </c>
      <c r="C9" s="352">
        <v>197000</v>
      </c>
      <c r="D9" s="352">
        <v>99000</v>
      </c>
      <c r="E9" s="176"/>
      <c r="F9" s="546"/>
      <c r="G9" s="552"/>
      <c r="H9" s="1"/>
      <c r="I9" s="1"/>
    </row>
    <row r="10" spans="1:9" ht="15.75" customHeight="1">
      <c r="A10" s="606"/>
      <c r="B10" s="256" t="s">
        <v>818</v>
      </c>
      <c r="C10" s="359">
        <v>1737000</v>
      </c>
      <c r="D10" s="359">
        <v>869000</v>
      </c>
      <c r="E10" s="550"/>
      <c r="F10" s="550"/>
      <c r="G10" s="552"/>
      <c r="H10" s="1"/>
      <c r="I10" s="73"/>
    </row>
    <row r="11" spans="1:9" ht="16.5">
      <c r="A11" s="666" t="s">
        <v>819</v>
      </c>
      <c r="B11" s="571" t="s">
        <v>820</v>
      </c>
      <c r="C11" s="352">
        <f t="shared" ref="C11:C36" si="1">D11*2-1000</f>
        <v>77000</v>
      </c>
      <c r="D11" s="352">
        <v>39000</v>
      </c>
      <c r="E11" s="546"/>
      <c r="F11" s="572"/>
      <c r="G11" s="552"/>
      <c r="H11" s="1"/>
      <c r="I11" s="73"/>
    </row>
    <row r="12" spans="1:9" ht="49.5">
      <c r="A12" s="605"/>
      <c r="B12" s="573" t="s">
        <v>821</v>
      </c>
      <c r="C12" s="352">
        <f t="shared" si="1"/>
        <v>717000</v>
      </c>
      <c r="D12" s="352">
        <v>359000</v>
      </c>
      <c r="E12" s="546"/>
      <c r="F12" s="572"/>
      <c r="G12" s="552"/>
      <c r="H12" s="1"/>
      <c r="I12" s="73"/>
    </row>
    <row r="13" spans="1:9" ht="16.5" customHeight="1">
      <c r="A13" s="605"/>
      <c r="B13" s="173" t="s">
        <v>822</v>
      </c>
      <c r="C13" s="352">
        <f t="shared" si="1"/>
        <v>1197000</v>
      </c>
      <c r="D13" s="352">
        <v>599000</v>
      </c>
      <c r="E13" s="546"/>
      <c r="F13" s="572"/>
      <c r="G13" s="552"/>
      <c r="H13" s="1"/>
      <c r="I13" s="73"/>
    </row>
    <row r="14" spans="1:9" ht="16.5" customHeight="1">
      <c r="A14" s="605"/>
      <c r="B14" s="173" t="s">
        <v>823</v>
      </c>
      <c r="C14" s="352">
        <f t="shared" si="1"/>
        <v>1157000</v>
      </c>
      <c r="D14" s="352">
        <v>579000</v>
      </c>
      <c r="E14" s="546"/>
      <c r="F14" s="572"/>
      <c r="G14" s="552"/>
      <c r="H14" s="1"/>
      <c r="I14" s="73"/>
    </row>
    <row r="15" spans="1:9" ht="18" customHeight="1">
      <c r="A15" s="606"/>
      <c r="B15" s="256" t="s">
        <v>824</v>
      </c>
      <c r="C15" s="359">
        <f t="shared" si="1"/>
        <v>1197000</v>
      </c>
      <c r="D15" s="359">
        <v>599000</v>
      </c>
      <c r="E15" s="574"/>
      <c r="F15" s="572"/>
      <c r="G15" s="552"/>
      <c r="H15" s="1"/>
      <c r="I15" s="73"/>
    </row>
    <row r="16" spans="1:9" ht="16.5" customHeight="1">
      <c r="A16" s="666" t="s">
        <v>825</v>
      </c>
      <c r="B16" s="248" t="s">
        <v>826</v>
      </c>
      <c r="C16" s="352">
        <f t="shared" si="1"/>
        <v>157000</v>
      </c>
      <c r="D16" s="344">
        <v>79000</v>
      </c>
      <c r="E16" s="546"/>
      <c r="F16" s="229"/>
      <c r="G16" s="552"/>
      <c r="H16" s="1"/>
      <c r="I16" s="73"/>
    </row>
    <row r="17" spans="1:9" ht="16.5" customHeight="1">
      <c r="A17" s="605"/>
      <c r="B17" s="252" t="s">
        <v>827</v>
      </c>
      <c r="C17" s="352">
        <f t="shared" si="1"/>
        <v>127000</v>
      </c>
      <c r="D17" s="352">
        <v>64000</v>
      </c>
      <c r="E17" s="546"/>
      <c r="F17" s="546"/>
      <c r="G17" s="575"/>
      <c r="H17" s="1"/>
      <c r="I17" s="73"/>
    </row>
    <row r="18" spans="1:9" ht="16.5" customHeight="1">
      <c r="A18" s="605"/>
      <c r="B18" s="252" t="s">
        <v>707</v>
      </c>
      <c r="C18" s="352">
        <f t="shared" si="1"/>
        <v>235000</v>
      </c>
      <c r="D18" s="352">
        <v>118000</v>
      </c>
      <c r="E18" s="352"/>
      <c r="F18" s="546"/>
      <c r="G18" s="552"/>
      <c r="H18" s="1"/>
      <c r="I18" s="73"/>
    </row>
    <row r="19" spans="1:9" ht="16.5" customHeight="1">
      <c r="A19" s="605"/>
      <c r="B19" s="252" t="s">
        <v>766</v>
      </c>
      <c r="C19" s="352">
        <f t="shared" si="1"/>
        <v>457000</v>
      </c>
      <c r="D19" s="352">
        <v>229000</v>
      </c>
      <c r="E19" s="576"/>
      <c r="F19" s="546"/>
      <c r="G19" s="552"/>
      <c r="H19" s="1"/>
      <c r="I19" s="73"/>
    </row>
    <row r="20" spans="1:9" ht="16.5" customHeight="1">
      <c r="A20" s="606"/>
      <c r="B20" s="256" t="s">
        <v>828</v>
      </c>
      <c r="C20" s="359">
        <f t="shared" si="1"/>
        <v>117000</v>
      </c>
      <c r="D20" s="359">
        <v>59000</v>
      </c>
      <c r="E20" s="546"/>
      <c r="F20" s="550"/>
      <c r="G20" s="552"/>
      <c r="H20" s="1"/>
      <c r="I20" s="73"/>
    </row>
    <row r="21" spans="1:9" ht="16.5" customHeight="1">
      <c r="A21" s="733" t="s">
        <v>829</v>
      </c>
      <c r="B21" s="173" t="s">
        <v>830</v>
      </c>
      <c r="C21" s="352">
        <f t="shared" si="1"/>
        <v>317000</v>
      </c>
      <c r="D21" s="354">
        <v>159000</v>
      </c>
      <c r="E21" s="229"/>
      <c r="F21" s="572"/>
      <c r="G21" s="552"/>
      <c r="H21" s="1"/>
      <c r="I21" s="73"/>
    </row>
    <row r="22" spans="1:9" ht="16.5" customHeight="1">
      <c r="A22" s="605"/>
      <c r="B22" s="173" t="s">
        <v>831</v>
      </c>
      <c r="C22" s="352">
        <f t="shared" si="1"/>
        <v>377000</v>
      </c>
      <c r="D22" s="354">
        <v>189000</v>
      </c>
      <c r="E22" s="546"/>
      <c r="F22" s="572"/>
      <c r="G22" s="552"/>
      <c r="H22" s="1"/>
      <c r="I22" s="1"/>
    </row>
    <row r="23" spans="1:9" ht="16.5" customHeight="1">
      <c r="A23" s="605"/>
      <c r="B23" s="173" t="s">
        <v>832</v>
      </c>
      <c r="C23" s="352">
        <f t="shared" si="1"/>
        <v>197000</v>
      </c>
      <c r="D23" s="354">
        <v>99000</v>
      </c>
      <c r="E23" s="546"/>
      <c r="F23" s="572"/>
      <c r="G23" s="552"/>
      <c r="H23" s="1"/>
      <c r="I23" s="1"/>
    </row>
    <row r="24" spans="1:9" ht="16.5" customHeight="1">
      <c r="A24" s="606"/>
      <c r="B24" s="173" t="s">
        <v>833</v>
      </c>
      <c r="C24" s="359">
        <f t="shared" si="1"/>
        <v>117000</v>
      </c>
      <c r="D24" s="354">
        <v>59000</v>
      </c>
      <c r="E24" s="546"/>
      <c r="F24" s="572"/>
      <c r="G24" s="552"/>
      <c r="H24" s="1"/>
      <c r="I24" s="73"/>
    </row>
    <row r="25" spans="1:9" ht="16.5" customHeight="1">
      <c r="A25" s="661" t="s">
        <v>834</v>
      </c>
      <c r="B25" s="169" t="s">
        <v>835</v>
      </c>
      <c r="C25" s="352">
        <f t="shared" si="1"/>
        <v>157000</v>
      </c>
      <c r="D25" s="346">
        <v>79000</v>
      </c>
      <c r="E25" s="229"/>
      <c r="F25" s="577"/>
      <c r="G25" s="552"/>
      <c r="H25" s="1"/>
      <c r="I25" s="73"/>
    </row>
    <row r="26" spans="1:9" ht="16.5" customHeight="1">
      <c r="A26" s="654"/>
      <c r="B26" s="173" t="s">
        <v>836</v>
      </c>
      <c r="C26" s="352">
        <f t="shared" si="1"/>
        <v>157000</v>
      </c>
      <c r="D26" s="354">
        <v>79000</v>
      </c>
      <c r="E26" s="546"/>
      <c r="F26" s="572"/>
      <c r="G26" s="552"/>
      <c r="H26" s="1"/>
      <c r="I26" s="73"/>
    </row>
    <row r="27" spans="1:9" ht="16.5" customHeight="1">
      <c r="A27" s="654"/>
      <c r="B27" s="173" t="s">
        <v>837</v>
      </c>
      <c r="C27" s="352">
        <f t="shared" si="1"/>
        <v>357000</v>
      </c>
      <c r="D27" s="354">
        <v>179000</v>
      </c>
      <c r="E27" s="546"/>
      <c r="F27" s="572"/>
      <c r="G27" s="552"/>
      <c r="H27" s="1"/>
      <c r="I27" s="73"/>
    </row>
    <row r="28" spans="1:9" ht="16.5" customHeight="1">
      <c r="A28" s="654"/>
      <c r="B28" s="173" t="s">
        <v>838</v>
      </c>
      <c r="C28" s="352">
        <f t="shared" si="1"/>
        <v>77000</v>
      </c>
      <c r="D28" s="354">
        <v>39000</v>
      </c>
      <c r="E28" s="546"/>
      <c r="F28" s="572"/>
      <c r="G28" s="552"/>
      <c r="H28" s="1"/>
      <c r="I28" s="73"/>
    </row>
    <row r="29" spans="1:9" ht="16.5" customHeight="1">
      <c r="A29" s="618"/>
      <c r="B29" s="175" t="s">
        <v>839</v>
      </c>
      <c r="C29" s="359">
        <f t="shared" si="1"/>
        <v>377000</v>
      </c>
      <c r="D29" s="354">
        <v>189000</v>
      </c>
      <c r="E29" s="546"/>
      <c r="F29" s="572"/>
      <c r="G29" s="552"/>
      <c r="H29" s="1"/>
      <c r="I29" s="73"/>
    </row>
    <row r="30" spans="1:9" ht="16.5" customHeight="1">
      <c r="A30" s="666" t="s">
        <v>840</v>
      </c>
      <c r="B30" s="420" t="s">
        <v>841</v>
      </c>
      <c r="C30" s="352">
        <f t="shared" si="1"/>
        <v>55000</v>
      </c>
      <c r="D30" s="578">
        <v>28000</v>
      </c>
      <c r="E30" s="229"/>
      <c r="F30" s="535"/>
      <c r="G30" s="552"/>
      <c r="H30" s="1"/>
      <c r="I30" s="73"/>
    </row>
    <row r="31" spans="1:9" ht="16.5" customHeight="1">
      <c r="A31" s="605"/>
      <c r="B31" s="447" t="s">
        <v>727</v>
      </c>
      <c r="C31" s="352">
        <f t="shared" si="1"/>
        <v>117000</v>
      </c>
      <c r="D31" s="402">
        <v>59000</v>
      </c>
      <c r="E31" s="546"/>
      <c r="F31" s="546"/>
      <c r="G31" s="552"/>
      <c r="H31" s="1"/>
      <c r="I31" s="73"/>
    </row>
    <row r="32" spans="1:9" ht="16.5" customHeight="1">
      <c r="A32" s="605"/>
      <c r="B32" s="442" t="s">
        <v>842</v>
      </c>
      <c r="C32" s="352">
        <f t="shared" si="1"/>
        <v>97000</v>
      </c>
      <c r="D32" s="513">
        <v>49000</v>
      </c>
      <c r="E32" s="572"/>
      <c r="F32" s="546"/>
      <c r="G32" s="552"/>
      <c r="H32" s="1"/>
      <c r="I32" s="73"/>
    </row>
    <row r="33" spans="1:9" ht="16.5" customHeight="1">
      <c r="A33" s="605"/>
      <c r="B33" s="442" t="s">
        <v>843</v>
      </c>
      <c r="C33" s="352">
        <f t="shared" si="1"/>
        <v>157000</v>
      </c>
      <c r="D33" s="513">
        <v>79000</v>
      </c>
      <c r="E33" s="456"/>
      <c r="F33" s="546"/>
      <c r="G33" s="552"/>
      <c r="H33" s="1"/>
      <c r="I33" s="73"/>
    </row>
    <row r="34" spans="1:9" ht="16.5" customHeight="1">
      <c r="A34" s="605"/>
      <c r="B34" s="447" t="s">
        <v>649</v>
      </c>
      <c r="C34" s="352">
        <f t="shared" si="1"/>
        <v>257000</v>
      </c>
      <c r="D34" s="402">
        <v>129000</v>
      </c>
      <c r="E34" s="546"/>
      <c r="F34" s="535"/>
      <c r="G34" s="552"/>
      <c r="H34" s="1"/>
      <c r="I34" s="73"/>
    </row>
    <row r="35" spans="1:9" ht="16.5" customHeight="1">
      <c r="A35" s="605"/>
      <c r="B35" s="442" t="s">
        <v>728</v>
      </c>
      <c r="C35" s="352">
        <f t="shared" si="1"/>
        <v>257000</v>
      </c>
      <c r="D35" s="513">
        <v>129000</v>
      </c>
      <c r="E35" s="176"/>
      <c r="F35" s="546"/>
      <c r="G35" s="552"/>
      <c r="H35" s="1"/>
      <c r="I35" s="73"/>
    </row>
    <row r="36" spans="1:9" ht="16.5" customHeight="1">
      <c r="A36" s="606"/>
      <c r="B36" s="443" t="s">
        <v>844</v>
      </c>
      <c r="C36" s="359">
        <f t="shared" si="1"/>
        <v>337000</v>
      </c>
      <c r="D36" s="547">
        <v>169000</v>
      </c>
      <c r="E36" s="579"/>
      <c r="F36" s="546"/>
      <c r="G36" s="552"/>
      <c r="H36" s="73"/>
      <c r="I36" s="73"/>
    </row>
    <row r="37" spans="1:9" ht="16.5" customHeight="1">
      <c r="A37" s="73"/>
      <c r="B37" s="73"/>
      <c r="C37" s="73"/>
      <c r="D37" s="340"/>
      <c r="E37" s="176"/>
      <c r="F37" s="350"/>
      <c r="G37" s="552"/>
      <c r="H37" s="73"/>
      <c r="I37" s="73"/>
    </row>
    <row r="38" spans="1:9" ht="16.5" customHeight="1">
      <c r="A38" s="73"/>
      <c r="B38" s="73"/>
      <c r="C38" s="73"/>
      <c r="D38" s="73"/>
      <c r="E38" s="176"/>
      <c r="F38" s="176"/>
      <c r="G38" s="552"/>
      <c r="H38" s="73"/>
      <c r="I38" s="73"/>
    </row>
    <row r="39" spans="1:9" ht="16.5" customHeight="1">
      <c r="A39" s="73"/>
      <c r="B39" s="1"/>
      <c r="C39" s="73"/>
      <c r="D39" s="537"/>
      <c r="E39" s="559"/>
      <c r="F39" s="176"/>
      <c r="G39" s="552"/>
      <c r="H39" s="73"/>
      <c r="I39" s="73"/>
    </row>
    <row r="40" spans="1:9" ht="16.5" customHeight="1">
      <c r="A40" s="73"/>
      <c r="B40" s="73"/>
      <c r="C40" s="73"/>
      <c r="D40" s="73"/>
      <c r="E40" s="176"/>
      <c r="F40" s="176"/>
      <c r="G40" s="552"/>
      <c r="H40" s="73"/>
      <c r="I40" s="73"/>
    </row>
    <row r="41" spans="1:9" ht="16.5" customHeight="1">
      <c r="A41" s="73"/>
      <c r="B41" s="73"/>
      <c r="C41" s="73"/>
      <c r="D41" s="537"/>
      <c r="E41" s="551"/>
      <c r="F41" s="176"/>
      <c r="G41" s="552"/>
      <c r="H41" s="73"/>
      <c r="I41" s="73"/>
    </row>
    <row r="42" spans="1:9" ht="16.5" customHeight="1">
      <c r="A42" s="73"/>
      <c r="B42" s="73"/>
      <c r="C42" s="73"/>
      <c r="D42" s="537"/>
      <c r="E42" s="551"/>
      <c r="F42" s="176"/>
      <c r="G42" s="552"/>
      <c r="H42" s="73"/>
      <c r="I42" s="73"/>
    </row>
    <row r="43" spans="1:9" ht="16.5" customHeight="1">
      <c r="A43" s="73"/>
      <c r="B43" s="73"/>
      <c r="C43" s="73"/>
      <c r="D43" s="73"/>
      <c r="E43" s="176"/>
      <c r="F43" s="176"/>
      <c r="G43" s="552"/>
      <c r="H43" s="73"/>
      <c r="I43" s="73"/>
    </row>
    <row r="44" spans="1:9" ht="16.5" customHeight="1">
      <c r="A44" s="73"/>
      <c r="B44" s="73"/>
      <c r="C44" s="73"/>
      <c r="D44" s="73"/>
      <c r="E44" s="551"/>
      <c r="F44" s="176"/>
      <c r="G44" s="552"/>
      <c r="H44" s="73"/>
      <c r="I44" s="73"/>
    </row>
    <row r="45" spans="1:9" ht="16.5" customHeight="1">
      <c r="A45" s="73"/>
      <c r="B45" s="73"/>
      <c r="C45" s="73"/>
      <c r="D45" s="73"/>
      <c r="E45" s="551"/>
      <c r="F45" s="176"/>
      <c r="G45" s="552"/>
      <c r="H45" s="73"/>
      <c r="I45" s="73"/>
    </row>
    <row r="46" spans="1:9" ht="16.5" customHeight="1">
      <c r="A46" s="73"/>
      <c r="B46" s="73"/>
      <c r="C46" s="73"/>
      <c r="D46" s="73"/>
      <c r="E46" s="551"/>
      <c r="F46" s="176"/>
      <c r="G46" s="552"/>
      <c r="H46" s="73"/>
      <c r="I46" s="73"/>
    </row>
    <row r="47" spans="1:9" ht="16.5" customHeight="1">
      <c r="A47" s="73"/>
      <c r="B47" s="73"/>
      <c r="C47" s="73"/>
      <c r="D47" s="73"/>
      <c r="E47" s="176"/>
      <c r="F47" s="176"/>
      <c r="G47" s="552"/>
      <c r="H47" s="73"/>
      <c r="I47" s="73"/>
    </row>
    <row r="48" spans="1:9" ht="16.5" customHeight="1">
      <c r="A48" s="73"/>
      <c r="B48" s="73"/>
      <c r="C48" s="73"/>
      <c r="D48" s="73"/>
      <c r="E48" s="176"/>
      <c r="F48" s="176"/>
      <c r="G48" s="552"/>
      <c r="H48" s="73"/>
      <c r="I48" s="73"/>
    </row>
    <row r="49" spans="1:9" ht="16.5" customHeight="1">
      <c r="A49" s="73"/>
      <c r="B49" s="73"/>
      <c r="C49" s="73"/>
      <c r="D49" s="73"/>
      <c r="E49" s="176"/>
      <c r="F49" s="176"/>
      <c r="G49" s="552"/>
      <c r="H49" s="73"/>
      <c r="I49" s="73"/>
    </row>
    <row r="50" spans="1:9" ht="16.5" customHeight="1">
      <c r="A50" s="73"/>
      <c r="B50" s="73"/>
      <c r="C50" s="73"/>
      <c r="D50" s="73"/>
      <c r="E50" s="176"/>
      <c r="F50" s="176"/>
      <c r="G50" s="552"/>
      <c r="H50" s="73"/>
      <c r="I50" s="73"/>
    </row>
    <row r="51" spans="1:9" ht="16.5" customHeight="1">
      <c r="A51" s="73"/>
      <c r="B51" s="73"/>
      <c r="C51" s="73"/>
      <c r="D51" s="73"/>
      <c r="E51" s="176"/>
      <c r="F51" s="176"/>
      <c r="G51" s="552"/>
      <c r="H51" s="73"/>
      <c r="I51" s="73"/>
    </row>
    <row r="52" spans="1:9" ht="16.5" customHeight="1">
      <c r="A52" s="73"/>
      <c r="B52" s="73"/>
      <c r="C52" s="73"/>
      <c r="D52" s="73"/>
      <c r="E52" s="176"/>
      <c r="F52" s="176"/>
      <c r="G52" s="552"/>
      <c r="H52" s="73"/>
      <c r="I52" s="73"/>
    </row>
    <row r="53" spans="1:9" ht="16.5" customHeight="1">
      <c r="A53" s="73"/>
      <c r="B53" s="73"/>
      <c r="C53" s="73"/>
      <c r="D53" s="73"/>
      <c r="E53" s="176"/>
      <c r="F53" s="176"/>
      <c r="G53" s="552"/>
      <c r="H53" s="73"/>
      <c r="I53" s="73"/>
    </row>
    <row r="54" spans="1:9" ht="16.5" customHeight="1">
      <c r="A54" s="73"/>
      <c r="B54" s="73"/>
      <c r="C54" s="73"/>
      <c r="D54" s="73"/>
      <c r="E54" s="176"/>
      <c r="F54" s="176"/>
      <c r="G54" s="552"/>
      <c r="H54" s="73"/>
      <c r="I54" s="73"/>
    </row>
    <row r="55" spans="1:9" ht="16.5" customHeight="1">
      <c r="A55" s="73"/>
      <c r="B55" s="73"/>
      <c r="C55" s="73"/>
      <c r="D55" s="73"/>
      <c r="E55" s="176"/>
      <c r="F55" s="176"/>
      <c r="G55" s="552"/>
      <c r="H55" s="73"/>
      <c r="I55" s="73"/>
    </row>
    <row r="56" spans="1:9" ht="16.5" customHeight="1">
      <c r="A56" s="73"/>
      <c r="B56" s="73"/>
      <c r="C56" s="73"/>
      <c r="D56" s="73"/>
      <c r="E56" s="176"/>
      <c r="F56" s="176"/>
      <c r="G56" s="552"/>
      <c r="H56" s="73"/>
      <c r="I56" s="73"/>
    </row>
    <row r="57" spans="1:9" ht="16.5" customHeight="1">
      <c r="A57" s="73"/>
      <c r="B57" s="73"/>
      <c r="C57" s="73"/>
      <c r="D57" s="73"/>
      <c r="E57" s="176"/>
      <c r="F57" s="176"/>
      <c r="G57" s="552"/>
      <c r="H57" s="73"/>
      <c r="I57" s="73"/>
    </row>
    <row r="58" spans="1:9" ht="16.5" customHeight="1">
      <c r="A58" s="73"/>
      <c r="B58" s="73"/>
      <c r="C58" s="73"/>
      <c r="D58" s="73"/>
      <c r="E58" s="176"/>
      <c r="F58" s="176"/>
      <c r="G58" s="552"/>
      <c r="H58" s="73"/>
      <c r="I58" s="73"/>
    </row>
    <row r="59" spans="1:9" ht="16.5" customHeight="1">
      <c r="A59" s="73"/>
      <c r="B59" s="73"/>
      <c r="C59" s="73"/>
      <c r="D59" s="73"/>
      <c r="E59" s="176"/>
      <c r="F59" s="176"/>
      <c r="G59" s="552"/>
      <c r="H59" s="73"/>
      <c r="I59" s="73"/>
    </row>
    <row r="60" spans="1:9" ht="16.5" customHeight="1">
      <c r="A60" s="73"/>
      <c r="B60" s="73"/>
      <c r="C60" s="73"/>
      <c r="D60" s="73"/>
      <c r="E60" s="176"/>
      <c r="F60" s="176"/>
      <c r="G60" s="552"/>
      <c r="H60" s="73"/>
      <c r="I60" s="73"/>
    </row>
    <row r="61" spans="1:9" ht="16.5" customHeight="1">
      <c r="A61" s="73"/>
      <c r="B61" s="73"/>
      <c r="C61" s="73"/>
      <c r="D61" s="73"/>
      <c r="E61" s="176"/>
      <c r="F61" s="176"/>
      <c r="G61" s="552"/>
      <c r="H61" s="73"/>
      <c r="I61" s="73"/>
    </row>
    <row r="62" spans="1:9" ht="16.5" customHeight="1">
      <c r="A62" s="73"/>
      <c r="B62" s="73"/>
      <c r="C62" s="73"/>
      <c r="D62" s="73"/>
      <c r="E62" s="176"/>
      <c r="F62" s="176"/>
      <c r="G62" s="552"/>
      <c r="H62" s="73"/>
      <c r="I62" s="73"/>
    </row>
    <row r="63" spans="1:9" ht="16.5" customHeight="1">
      <c r="A63" s="73"/>
      <c r="B63" s="73"/>
      <c r="C63" s="73"/>
      <c r="D63" s="73"/>
      <c r="E63" s="176"/>
      <c r="F63" s="176"/>
      <c r="G63" s="552"/>
      <c r="H63" s="73"/>
      <c r="I63" s="73"/>
    </row>
    <row r="64" spans="1:9" ht="16.5" customHeight="1">
      <c r="A64" s="73"/>
      <c r="B64" s="73"/>
      <c r="C64" s="73"/>
      <c r="D64" s="73"/>
      <c r="E64" s="176"/>
      <c r="F64" s="176"/>
      <c r="G64" s="552"/>
      <c r="H64" s="73"/>
      <c r="I64" s="73"/>
    </row>
    <row r="65" spans="1:9" ht="16.5" customHeight="1">
      <c r="A65" s="73"/>
      <c r="B65" s="73"/>
      <c r="C65" s="73"/>
      <c r="D65" s="73"/>
      <c r="E65" s="176"/>
      <c r="F65" s="176"/>
      <c r="G65" s="552"/>
      <c r="H65" s="73"/>
      <c r="I65" s="73"/>
    </row>
    <row r="66" spans="1:9" ht="16.5" customHeight="1">
      <c r="A66" s="73"/>
      <c r="B66" s="73"/>
      <c r="C66" s="73"/>
      <c r="D66" s="73"/>
      <c r="E66" s="176"/>
      <c r="F66" s="176"/>
      <c r="G66" s="552"/>
      <c r="H66" s="73"/>
      <c r="I66" s="73"/>
    </row>
    <row r="67" spans="1:9" ht="16.5" customHeight="1">
      <c r="A67" s="73"/>
      <c r="B67" s="73"/>
      <c r="C67" s="73"/>
      <c r="D67" s="73"/>
      <c r="E67" s="176"/>
      <c r="F67" s="176"/>
      <c r="G67" s="552"/>
      <c r="H67" s="73"/>
      <c r="I67" s="73"/>
    </row>
    <row r="68" spans="1:9" ht="16.5" customHeight="1">
      <c r="A68" s="73"/>
      <c r="B68" s="73"/>
      <c r="C68" s="73"/>
      <c r="D68" s="73"/>
      <c r="E68" s="176"/>
      <c r="F68" s="176"/>
      <c r="G68" s="552"/>
      <c r="H68" s="73"/>
      <c r="I68" s="73"/>
    </row>
    <row r="69" spans="1:9" ht="16.5" customHeight="1">
      <c r="A69" s="73"/>
      <c r="B69" s="73"/>
      <c r="C69" s="73"/>
      <c r="D69" s="73"/>
      <c r="E69" s="176"/>
      <c r="F69" s="176"/>
      <c r="G69" s="552"/>
      <c r="H69" s="73"/>
      <c r="I69" s="73"/>
    </row>
    <row r="70" spans="1:9" ht="16.5" customHeight="1">
      <c r="A70" s="73"/>
      <c r="B70" s="73"/>
      <c r="C70" s="73"/>
      <c r="D70" s="73"/>
      <c r="E70" s="176"/>
      <c r="F70" s="176"/>
      <c r="G70" s="552"/>
      <c r="H70" s="73"/>
      <c r="I70" s="73"/>
    </row>
    <row r="71" spans="1:9" ht="16.5" customHeight="1">
      <c r="A71" s="73"/>
      <c r="B71" s="73"/>
      <c r="C71" s="73"/>
      <c r="D71" s="73"/>
      <c r="E71" s="176"/>
      <c r="F71" s="176"/>
      <c r="G71" s="552"/>
      <c r="H71" s="73"/>
      <c r="I71" s="73"/>
    </row>
    <row r="72" spans="1:9" ht="16.5" customHeight="1">
      <c r="A72" s="73"/>
      <c r="B72" s="73"/>
      <c r="C72" s="73"/>
      <c r="D72" s="73"/>
      <c r="E72" s="176"/>
      <c r="F72" s="176"/>
      <c r="G72" s="552"/>
      <c r="H72" s="73"/>
      <c r="I72" s="73"/>
    </row>
    <row r="73" spans="1:9" ht="16.5" customHeight="1">
      <c r="A73" s="73"/>
      <c r="B73" s="73"/>
      <c r="C73" s="73"/>
      <c r="D73" s="73"/>
      <c r="E73" s="176"/>
      <c r="F73" s="176"/>
      <c r="G73" s="552"/>
      <c r="H73" s="73"/>
      <c r="I73" s="73"/>
    </row>
    <row r="74" spans="1:9" ht="16.5" customHeight="1">
      <c r="A74" s="73"/>
      <c r="B74" s="73"/>
      <c r="C74" s="73"/>
      <c r="D74" s="73"/>
      <c r="E74" s="176"/>
      <c r="F74" s="176"/>
      <c r="G74" s="552"/>
      <c r="H74" s="73"/>
      <c r="I74" s="73"/>
    </row>
    <row r="75" spans="1:9" ht="16.5" customHeight="1">
      <c r="A75" s="73"/>
      <c r="B75" s="73"/>
      <c r="C75" s="73"/>
      <c r="D75" s="73"/>
      <c r="E75" s="176"/>
      <c r="F75" s="176"/>
      <c r="G75" s="552"/>
      <c r="H75" s="73"/>
      <c r="I75" s="73"/>
    </row>
    <row r="76" spans="1:9" ht="16.5" customHeight="1">
      <c r="A76" s="73"/>
      <c r="B76" s="73"/>
      <c r="C76" s="73"/>
      <c r="D76" s="73"/>
      <c r="E76" s="176"/>
      <c r="F76" s="176"/>
      <c r="G76" s="552"/>
      <c r="H76" s="73"/>
      <c r="I76" s="73"/>
    </row>
    <row r="77" spans="1:9" ht="16.5" customHeight="1">
      <c r="A77" s="73"/>
      <c r="B77" s="73"/>
      <c r="C77" s="73"/>
      <c r="D77" s="73"/>
      <c r="E77" s="176"/>
      <c r="F77" s="176"/>
      <c r="G77" s="552"/>
      <c r="H77" s="73"/>
      <c r="I77" s="73"/>
    </row>
    <row r="78" spans="1:9" ht="16.5" customHeight="1">
      <c r="A78" s="73"/>
      <c r="B78" s="73"/>
      <c r="C78" s="73"/>
      <c r="D78" s="73"/>
      <c r="E78" s="176"/>
      <c r="F78" s="176"/>
      <c r="G78" s="552"/>
      <c r="H78" s="73"/>
      <c r="I78" s="73"/>
    </row>
    <row r="79" spans="1:9" ht="16.5" customHeight="1">
      <c r="A79" s="73"/>
      <c r="B79" s="73"/>
      <c r="C79" s="73"/>
      <c r="D79" s="73"/>
      <c r="E79" s="176"/>
      <c r="F79" s="176"/>
      <c r="G79" s="552"/>
      <c r="H79" s="73"/>
      <c r="I79" s="73"/>
    </row>
    <row r="80" spans="1:9" ht="16.5" customHeight="1">
      <c r="A80" s="73"/>
      <c r="B80" s="73"/>
      <c r="C80" s="73"/>
      <c r="D80" s="73"/>
      <c r="E80" s="176"/>
      <c r="F80" s="176"/>
      <c r="G80" s="552"/>
      <c r="H80" s="73"/>
      <c r="I80" s="73"/>
    </row>
    <row r="81" spans="1:9" ht="16.5" customHeight="1">
      <c r="A81" s="73"/>
      <c r="B81" s="73"/>
      <c r="C81" s="73"/>
      <c r="D81" s="73"/>
      <c r="E81" s="176"/>
      <c r="F81" s="176"/>
      <c r="G81" s="552"/>
      <c r="H81" s="73"/>
      <c r="I81" s="73"/>
    </row>
    <row r="82" spans="1:9" ht="16.5" customHeight="1">
      <c r="A82" s="73"/>
      <c r="B82" s="73"/>
      <c r="C82" s="73"/>
      <c r="D82" s="73"/>
      <c r="E82" s="176"/>
      <c r="F82" s="176"/>
      <c r="G82" s="552"/>
      <c r="H82" s="73"/>
      <c r="I82" s="73"/>
    </row>
    <row r="83" spans="1:9" ht="16.5" customHeight="1">
      <c r="A83" s="73"/>
      <c r="B83" s="73"/>
      <c r="C83" s="73"/>
      <c r="D83" s="73"/>
      <c r="E83" s="176"/>
      <c r="F83" s="176"/>
      <c r="G83" s="552"/>
      <c r="H83" s="73"/>
      <c r="I83" s="73"/>
    </row>
    <row r="84" spans="1:9" ht="16.5" customHeight="1">
      <c r="A84" s="73"/>
      <c r="B84" s="73"/>
      <c r="C84" s="73"/>
      <c r="D84" s="73"/>
      <c r="E84" s="176"/>
      <c r="F84" s="176"/>
      <c r="G84" s="552"/>
      <c r="H84" s="73"/>
      <c r="I84" s="73"/>
    </row>
    <row r="85" spans="1:9" ht="16.5" customHeight="1">
      <c r="A85" s="73"/>
      <c r="B85" s="73"/>
      <c r="C85" s="73"/>
      <c r="D85" s="73"/>
      <c r="E85" s="176"/>
      <c r="F85" s="176"/>
      <c r="G85" s="552"/>
      <c r="H85" s="73"/>
      <c r="I85" s="73"/>
    </row>
    <row r="86" spans="1:9" ht="16.5" customHeight="1">
      <c r="A86" s="73"/>
      <c r="B86" s="73"/>
      <c r="C86" s="73"/>
      <c r="D86" s="73"/>
      <c r="E86" s="176"/>
      <c r="F86" s="176"/>
      <c r="G86" s="552"/>
      <c r="H86" s="73"/>
      <c r="I86" s="73"/>
    </row>
    <row r="87" spans="1:9" ht="16.5" customHeight="1">
      <c r="A87" s="73"/>
      <c r="B87" s="73"/>
      <c r="C87" s="73"/>
      <c r="D87" s="73"/>
      <c r="E87" s="176"/>
      <c r="F87" s="176"/>
      <c r="G87" s="552"/>
      <c r="H87" s="73"/>
      <c r="I87" s="73"/>
    </row>
    <row r="88" spans="1:9" ht="16.5" customHeight="1">
      <c r="A88" s="73"/>
      <c r="B88" s="73"/>
      <c r="C88" s="73"/>
      <c r="D88" s="73"/>
      <c r="E88" s="176"/>
      <c r="F88" s="176"/>
      <c r="G88" s="552"/>
      <c r="H88" s="73"/>
      <c r="I88" s="73"/>
    </row>
    <row r="89" spans="1:9" ht="16.5" customHeight="1">
      <c r="A89" s="73"/>
      <c r="B89" s="73"/>
      <c r="C89" s="73"/>
      <c r="D89" s="73"/>
      <c r="E89" s="176"/>
      <c r="F89" s="176"/>
      <c r="G89" s="552"/>
      <c r="H89" s="73"/>
      <c r="I89" s="73"/>
    </row>
    <row r="90" spans="1:9" ht="16.5" customHeight="1">
      <c r="A90" s="73"/>
      <c r="B90" s="73"/>
      <c r="C90" s="73"/>
      <c r="D90" s="73"/>
      <c r="E90" s="176"/>
      <c r="F90" s="176"/>
      <c r="G90" s="552"/>
      <c r="H90" s="73"/>
      <c r="I90" s="73"/>
    </row>
    <row r="91" spans="1:9" ht="16.5" customHeight="1">
      <c r="A91" s="73"/>
      <c r="B91" s="73"/>
      <c r="C91" s="73"/>
      <c r="D91" s="73"/>
      <c r="E91" s="176"/>
      <c r="F91" s="176"/>
      <c r="G91" s="552"/>
      <c r="H91" s="73"/>
      <c r="I91" s="73"/>
    </row>
    <row r="92" spans="1:9" ht="16.5" customHeight="1">
      <c r="A92" s="73"/>
      <c r="B92" s="73"/>
      <c r="C92" s="73"/>
      <c r="D92" s="73"/>
      <c r="E92" s="176"/>
      <c r="F92" s="176"/>
      <c r="G92" s="552"/>
      <c r="H92" s="73"/>
      <c r="I92" s="73"/>
    </row>
    <row r="93" spans="1:9" ht="16.5" customHeight="1">
      <c r="A93" s="73"/>
      <c r="B93" s="73"/>
      <c r="C93" s="73"/>
      <c r="D93" s="73"/>
      <c r="E93" s="176"/>
      <c r="F93" s="176"/>
      <c r="G93" s="552"/>
      <c r="H93" s="73"/>
      <c r="I93" s="73"/>
    </row>
    <row r="94" spans="1:9" ht="16.5" customHeight="1">
      <c r="A94" s="73"/>
      <c r="B94" s="73"/>
      <c r="C94" s="73"/>
      <c r="D94" s="73"/>
      <c r="E94" s="176"/>
      <c r="F94" s="176"/>
      <c r="G94" s="552"/>
      <c r="H94" s="73"/>
      <c r="I94" s="73"/>
    </row>
    <row r="95" spans="1:9" ht="16.5" customHeight="1">
      <c r="A95" s="73"/>
      <c r="B95" s="73"/>
      <c r="C95" s="73"/>
      <c r="D95" s="73"/>
      <c r="E95" s="176"/>
      <c r="F95" s="176"/>
      <c r="G95" s="552"/>
      <c r="H95" s="73"/>
      <c r="I95" s="73"/>
    </row>
    <row r="96" spans="1:9" ht="16.5" customHeight="1">
      <c r="A96" s="73"/>
      <c r="B96" s="73"/>
      <c r="C96" s="73"/>
      <c r="D96" s="73"/>
      <c r="E96" s="176"/>
      <c r="F96" s="176"/>
      <c r="G96" s="552"/>
      <c r="H96" s="73"/>
      <c r="I96" s="73"/>
    </row>
    <row r="97" spans="1:9" ht="16.5" customHeight="1">
      <c r="A97" s="73"/>
      <c r="B97" s="73"/>
      <c r="C97" s="73"/>
      <c r="D97" s="73"/>
      <c r="E97" s="176"/>
      <c r="F97" s="176"/>
      <c r="G97" s="552"/>
      <c r="H97" s="73"/>
      <c r="I97" s="73"/>
    </row>
    <row r="98" spans="1:9" ht="16.5" customHeight="1">
      <c r="A98" s="73"/>
      <c r="B98" s="73"/>
      <c r="C98" s="73"/>
      <c r="D98" s="73"/>
      <c r="E98" s="176"/>
      <c r="F98" s="176"/>
      <c r="G98" s="552"/>
      <c r="H98" s="73"/>
      <c r="I98" s="73"/>
    </row>
    <row r="99" spans="1:9" ht="16.5" customHeight="1">
      <c r="A99" s="73"/>
      <c r="B99" s="73"/>
      <c r="C99" s="73"/>
      <c r="D99" s="73"/>
      <c r="E99" s="176"/>
      <c r="F99" s="176"/>
      <c r="G99" s="552"/>
      <c r="H99" s="73"/>
      <c r="I99" s="73"/>
    </row>
    <row r="100" spans="1:9" ht="16.5" customHeight="1">
      <c r="A100" s="73"/>
      <c r="B100" s="73"/>
      <c r="C100" s="73"/>
      <c r="D100" s="73"/>
      <c r="E100" s="176"/>
      <c r="F100" s="176"/>
      <c r="G100" s="552"/>
      <c r="H100" s="73"/>
      <c r="I100" s="73"/>
    </row>
    <row r="101" spans="1:9" ht="16.5" customHeight="1">
      <c r="A101" s="73"/>
      <c r="B101" s="73"/>
      <c r="C101" s="73"/>
      <c r="D101" s="73"/>
      <c r="E101" s="176"/>
      <c r="F101" s="176"/>
      <c r="G101" s="552"/>
      <c r="H101" s="73"/>
      <c r="I101" s="73"/>
    </row>
    <row r="102" spans="1:9" ht="16.5" customHeight="1">
      <c r="A102" s="73"/>
      <c r="B102" s="73"/>
      <c r="C102" s="73"/>
      <c r="D102" s="73"/>
      <c r="E102" s="176"/>
      <c r="F102" s="176"/>
      <c r="G102" s="552"/>
      <c r="H102" s="73"/>
      <c r="I102" s="73"/>
    </row>
    <row r="103" spans="1:9" ht="16.5" customHeight="1">
      <c r="A103" s="73"/>
      <c r="B103" s="73"/>
      <c r="C103" s="73"/>
      <c r="D103" s="73"/>
      <c r="E103" s="176"/>
      <c r="F103" s="176"/>
      <c r="G103" s="552"/>
      <c r="H103" s="73"/>
      <c r="I103" s="73"/>
    </row>
    <row r="104" spans="1:9" ht="16.5" customHeight="1">
      <c r="A104" s="73"/>
      <c r="B104" s="73"/>
      <c r="C104" s="73"/>
      <c r="D104" s="73"/>
      <c r="E104" s="176"/>
      <c r="F104" s="176"/>
      <c r="G104" s="552"/>
      <c r="H104" s="73"/>
      <c r="I104" s="73"/>
    </row>
    <row r="105" spans="1:9" ht="16.5" customHeight="1">
      <c r="A105" s="73"/>
      <c r="B105" s="73"/>
      <c r="C105" s="73"/>
      <c r="D105" s="73"/>
      <c r="E105" s="176"/>
      <c r="F105" s="176"/>
      <c r="G105" s="552"/>
      <c r="H105" s="73"/>
      <c r="I105" s="73"/>
    </row>
    <row r="106" spans="1:9" ht="16.5" customHeight="1">
      <c r="A106" s="73"/>
      <c r="B106" s="73"/>
      <c r="C106" s="73"/>
      <c r="D106" s="73"/>
      <c r="E106" s="176"/>
      <c r="F106" s="176"/>
      <c r="G106" s="552"/>
      <c r="H106" s="73"/>
      <c r="I106" s="73"/>
    </row>
    <row r="107" spans="1:9" ht="16.5" customHeight="1">
      <c r="A107" s="73"/>
      <c r="B107" s="73"/>
      <c r="C107" s="73"/>
      <c r="D107" s="73"/>
      <c r="E107" s="176"/>
      <c r="F107" s="176"/>
      <c r="G107" s="552"/>
      <c r="H107" s="73"/>
      <c r="I107" s="73"/>
    </row>
    <row r="108" spans="1:9" ht="16.5" customHeight="1">
      <c r="A108" s="73"/>
      <c r="B108" s="73"/>
      <c r="C108" s="73"/>
      <c r="D108" s="73"/>
      <c r="E108" s="176"/>
      <c r="F108" s="176"/>
      <c r="G108" s="552"/>
      <c r="H108" s="73"/>
      <c r="I108" s="73"/>
    </row>
    <row r="109" spans="1:9" ht="16.5" customHeight="1">
      <c r="A109" s="73"/>
      <c r="B109" s="73"/>
      <c r="C109" s="73"/>
      <c r="D109" s="73"/>
      <c r="E109" s="176"/>
      <c r="F109" s="176"/>
      <c r="G109" s="552"/>
      <c r="H109" s="73"/>
      <c r="I109" s="73"/>
    </row>
    <row r="110" spans="1:9" ht="16.5" customHeight="1">
      <c r="A110" s="73"/>
      <c r="B110" s="73"/>
      <c r="C110" s="73"/>
      <c r="D110" s="73"/>
      <c r="E110" s="176"/>
      <c r="F110" s="176"/>
      <c r="G110" s="552"/>
      <c r="H110" s="73"/>
      <c r="I110" s="73"/>
    </row>
    <row r="111" spans="1:9" ht="16.5" customHeight="1">
      <c r="A111" s="73"/>
      <c r="B111" s="73"/>
      <c r="C111" s="73"/>
      <c r="D111" s="73"/>
      <c r="E111" s="176"/>
      <c r="F111" s="176"/>
      <c r="G111" s="552"/>
      <c r="H111" s="73"/>
      <c r="I111" s="73"/>
    </row>
    <row r="112" spans="1:9" ht="16.5" customHeight="1">
      <c r="A112" s="73"/>
      <c r="B112" s="73"/>
      <c r="C112" s="73"/>
      <c r="D112" s="73"/>
      <c r="E112" s="176"/>
      <c r="F112" s="176"/>
      <c r="G112" s="552"/>
      <c r="H112" s="73"/>
      <c r="I112" s="73"/>
    </row>
    <row r="113" spans="1:9" ht="16.5" customHeight="1">
      <c r="A113" s="73"/>
      <c r="B113" s="73"/>
      <c r="C113" s="73"/>
      <c r="D113" s="73"/>
      <c r="E113" s="176"/>
      <c r="F113" s="176"/>
      <c r="G113" s="552"/>
      <c r="H113" s="73"/>
      <c r="I113" s="73"/>
    </row>
    <row r="114" spans="1:9" ht="16.5" customHeight="1">
      <c r="A114" s="73"/>
      <c r="B114" s="73"/>
      <c r="C114" s="73"/>
      <c r="D114" s="73"/>
      <c r="E114" s="176"/>
      <c r="F114" s="176"/>
      <c r="G114" s="552"/>
      <c r="H114" s="73"/>
      <c r="I114" s="73"/>
    </row>
    <row r="115" spans="1:9" ht="16.5" customHeight="1">
      <c r="A115" s="73"/>
      <c r="B115" s="73"/>
      <c r="C115" s="73"/>
      <c r="D115" s="73"/>
      <c r="E115" s="176"/>
      <c r="F115" s="176"/>
      <c r="G115" s="552"/>
      <c r="H115" s="73"/>
      <c r="I115" s="73"/>
    </row>
    <row r="116" spans="1:9" ht="16.5" customHeight="1">
      <c r="A116" s="73"/>
      <c r="B116" s="73"/>
      <c r="C116" s="73"/>
      <c r="D116" s="73"/>
      <c r="E116" s="176"/>
      <c r="F116" s="176"/>
      <c r="G116" s="552"/>
      <c r="H116" s="73"/>
      <c r="I116" s="73"/>
    </row>
    <row r="117" spans="1:9" ht="16.5" customHeight="1">
      <c r="A117" s="73"/>
      <c r="B117" s="73"/>
      <c r="C117" s="73"/>
      <c r="D117" s="73"/>
      <c r="E117" s="176"/>
      <c r="F117" s="176"/>
      <c r="G117" s="552"/>
      <c r="H117" s="73"/>
      <c r="I117" s="73"/>
    </row>
    <row r="118" spans="1:9" ht="16.5" customHeight="1">
      <c r="A118" s="73"/>
      <c r="B118" s="73"/>
      <c r="C118" s="73"/>
      <c r="D118" s="73"/>
      <c r="E118" s="176"/>
      <c r="F118" s="176"/>
      <c r="G118" s="552"/>
      <c r="H118" s="73"/>
      <c r="I118" s="73"/>
    </row>
    <row r="119" spans="1:9" ht="16.5" customHeight="1">
      <c r="A119" s="73"/>
      <c r="B119" s="73"/>
      <c r="C119" s="73"/>
      <c r="D119" s="73"/>
      <c r="E119" s="176"/>
      <c r="F119" s="176"/>
      <c r="G119" s="552"/>
      <c r="H119" s="73"/>
      <c r="I119" s="73"/>
    </row>
    <row r="120" spans="1:9" ht="16.5" customHeight="1">
      <c r="A120" s="73"/>
      <c r="B120" s="73"/>
      <c r="C120" s="73"/>
      <c r="D120" s="73"/>
      <c r="E120" s="176"/>
      <c r="F120" s="176"/>
      <c r="G120" s="552"/>
      <c r="H120" s="73"/>
      <c r="I120" s="73"/>
    </row>
    <row r="121" spans="1:9" ht="16.5" customHeight="1">
      <c r="A121" s="73"/>
      <c r="B121" s="73"/>
      <c r="C121" s="73"/>
      <c r="D121" s="73"/>
      <c r="E121" s="176"/>
      <c r="F121" s="176"/>
      <c r="G121" s="552"/>
      <c r="H121" s="73"/>
      <c r="I121" s="73"/>
    </row>
    <row r="122" spans="1:9" ht="16.5" customHeight="1">
      <c r="A122" s="73"/>
      <c r="B122" s="73"/>
      <c r="C122" s="73"/>
      <c r="D122" s="73"/>
      <c r="E122" s="176"/>
      <c r="F122" s="176"/>
      <c r="G122" s="552"/>
      <c r="H122" s="73"/>
      <c r="I122" s="73"/>
    </row>
    <row r="123" spans="1:9" ht="16.5" customHeight="1">
      <c r="A123" s="73"/>
      <c r="B123" s="73"/>
      <c r="C123" s="73"/>
      <c r="D123" s="73"/>
      <c r="E123" s="176"/>
      <c r="F123" s="176"/>
      <c r="G123" s="552"/>
      <c r="H123" s="73"/>
      <c r="I123" s="73"/>
    </row>
    <row r="124" spans="1:9" ht="16.5" customHeight="1">
      <c r="A124" s="73"/>
      <c r="B124" s="73"/>
      <c r="C124" s="73"/>
      <c r="D124" s="73"/>
      <c r="E124" s="176"/>
      <c r="F124" s="176"/>
      <c r="G124" s="552"/>
      <c r="H124" s="73"/>
      <c r="I124" s="73"/>
    </row>
    <row r="125" spans="1:9" ht="16.5" customHeight="1">
      <c r="A125" s="73"/>
      <c r="B125" s="73"/>
      <c r="C125" s="73"/>
      <c r="D125" s="73"/>
      <c r="E125" s="176"/>
      <c r="F125" s="176"/>
      <c r="G125" s="552"/>
      <c r="H125" s="73"/>
      <c r="I125" s="73"/>
    </row>
    <row r="126" spans="1:9" ht="16.5" customHeight="1">
      <c r="A126" s="73"/>
      <c r="B126" s="73"/>
      <c r="C126" s="73"/>
      <c r="D126" s="73"/>
      <c r="E126" s="176"/>
      <c r="F126" s="176"/>
      <c r="G126" s="552"/>
      <c r="H126" s="73"/>
      <c r="I126" s="73"/>
    </row>
    <row r="127" spans="1:9" ht="16.5" customHeight="1">
      <c r="A127" s="73"/>
      <c r="B127" s="73"/>
      <c r="C127" s="73"/>
      <c r="D127" s="73"/>
      <c r="E127" s="176"/>
      <c r="F127" s="176"/>
      <c r="G127" s="552"/>
      <c r="H127" s="73"/>
      <c r="I127" s="73"/>
    </row>
    <row r="128" spans="1:9" ht="16.5" customHeight="1">
      <c r="A128" s="73"/>
      <c r="B128" s="73"/>
      <c r="C128" s="73"/>
      <c r="D128" s="73"/>
      <c r="E128" s="176"/>
      <c r="F128" s="176"/>
      <c r="G128" s="552"/>
      <c r="H128" s="73"/>
      <c r="I128" s="73"/>
    </row>
    <row r="129" spans="1:9" ht="16.5" customHeight="1">
      <c r="A129" s="73"/>
      <c r="B129" s="73"/>
      <c r="C129" s="73"/>
      <c r="D129" s="73"/>
      <c r="E129" s="176"/>
      <c r="F129" s="176"/>
      <c r="G129" s="552"/>
      <c r="H129" s="73"/>
      <c r="I129" s="73"/>
    </row>
    <row r="130" spans="1:9" ht="16.5" customHeight="1">
      <c r="A130" s="73"/>
      <c r="B130" s="73"/>
      <c r="C130" s="73"/>
      <c r="D130" s="73"/>
      <c r="E130" s="176"/>
      <c r="F130" s="176"/>
      <c r="G130" s="552"/>
      <c r="H130" s="73"/>
      <c r="I130" s="73"/>
    </row>
    <row r="131" spans="1:9" ht="16.5" customHeight="1">
      <c r="A131" s="73"/>
      <c r="B131" s="73"/>
      <c r="C131" s="73"/>
      <c r="D131" s="73"/>
      <c r="E131" s="176"/>
      <c r="F131" s="176"/>
      <c r="G131" s="552"/>
      <c r="H131" s="73"/>
      <c r="I131" s="73"/>
    </row>
    <row r="132" spans="1:9" ht="16.5" customHeight="1">
      <c r="A132" s="73"/>
      <c r="B132" s="73"/>
      <c r="C132" s="73"/>
      <c r="D132" s="73"/>
      <c r="E132" s="176"/>
      <c r="F132" s="176"/>
      <c r="G132" s="552"/>
      <c r="H132" s="73"/>
      <c r="I132" s="73"/>
    </row>
    <row r="133" spans="1:9" ht="16.5" customHeight="1">
      <c r="A133" s="73"/>
      <c r="B133" s="73"/>
      <c r="C133" s="73"/>
      <c r="D133" s="73"/>
      <c r="E133" s="176"/>
      <c r="F133" s="176"/>
      <c r="G133" s="552"/>
      <c r="H133" s="73"/>
      <c r="I133" s="73"/>
    </row>
    <row r="134" spans="1:9" ht="16.5" customHeight="1">
      <c r="A134" s="73"/>
      <c r="B134" s="73"/>
      <c r="C134" s="73"/>
      <c r="D134" s="73"/>
      <c r="E134" s="176"/>
      <c r="F134" s="176"/>
      <c r="G134" s="552"/>
      <c r="H134" s="73"/>
      <c r="I134" s="73"/>
    </row>
    <row r="135" spans="1:9" ht="16.5" customHeight="1">
      <c r="A135" s="73"/>
      <c r="B135" s="73"/>
      <c r="C135" s="73"/>
      <c r="D135" s="73"/>
      <c r="E135" s="176"/>
      <c r="F135" s="176"/>
      <c r="G135" s="552"/>
      <c r="H135" s="73"/>
      <c r="I135" s="73"/>
    </row>
    <row r="136" spans="1:9" ht="16.5" customHeight="1">
      <c r="A136" s="73"/>
      <c r="B136" s="73"/>
      <c r="C136" s="73"/>
      <c r="D136" s="73"/>
      <c r="E136" s="176"/>
      <c r="F136" s="176"/>
      <c r="G136" s="552"/>
      <c r="H136" s="73"/>
      <c r="I136" s="73"/>
    </row>
    <row r="137" spans="1:9" ht="16.5" customHeight="1">
      <c r="A137" s="73"/>
      <c r="B137" s="73"/>
      <c r="C137" s="73"/>
      <c r="D137" s="73"/>
      <c r="E137" s="176"/>
      <c r="F137" s="176"/>
      <c r="G137" s="552"/>
      <c r="H137" s="73"/>
      <c r="I137" s="73"/>
    </row>
    <row r="138" spans="1:9" ht="16.5" customHeight="1">
      <c r="A138" s="73"/>
      <c r="B138" s="73"/>
      <c r="C138" s="73"/>
      <c r="D138" s="73"/>
      <c r="E138" s="176"/>
      <c r="F138" s="176"/>
      <c r="G138" s="552"/>
      <c r="H138" s="73"/>
      <c r="I138" s="73"/>
    </row>
    <row r="139" spans="1:9" ht="16.5" customHeight="1">
      <c r="A139" s="73"/>
      <c r="B139" s="73"/>
      <c r="C139" s="73"/>
      <c r="D139" s="73"/>
      <c r="E139" s="176"/>
      <c r="F139" s="176"/>
      <c r="G139" s="552"/>
      <c r="H139" s="73"/>
      <c r="I139" s="73"/>
    </row>
    <row r="140" spans="1:9" ht="16.5" customHeight="1">
      <c r="A140" s="73"/>
      <c r="B140" s="73"/>
      <c r="C140" s="73"/>
      <c r="D140" s="73"/>
      <c r="E140" s="176"/>
      <c r="F140" s="176"/>
      <c r="G140" s="552"/>
      <c r="H140" s="73"/>
      <c r="I140" s="73"/>
    </row>
    <row r="141" spans="1:9" ht="16.5" customHeight="1">
      <c r="A141" s="73"/>
      <c r="B141" s="73"/>
      <c r="C141" s="73"/>
      <c r="D141" s="73"/>
      <c r="E141" s="176"/>
      <c r="F141" s="176"/>
      <c r="G141" s="552"/>
      <c r="H141" s="73"/>
      <c r="I141" s="73"/>
    </row>
    <row r="142" spans="1:9" ht="16.5" customHeight="1">
      <c r="A142" s="73"/>
      <c r="B142" s="73"/>
      <c r="C142" s="73"/>
      <c r="D142" s="73"/>
      <c r="E142" s="176"/>
      <c r="F142" s="176"/>
      <c r="G142" s="552"/>
      <c r="H142" s="73"/>
      <c r="I142" s="73"/>
    </row>
    <row r="143" spans="1:9" ht="16.5" customHeight="1">
      <c r="A143" s="73"/>
      <c r="B143" s="73"/>
      <c r="C143" s="73"/>
      <c r="D143" s="73"/>
      <c r="E143" s="176"/>
      <c r="F143" s="176"/>
      <c r="G143" s="552"/>
      <c r="H143" s="73"/>
      <c r="I143" s="73"/>
    </row>
    <row r="144" spans="1:9" ht="16.5" customHeight="1">
      <c r="A144" s="73"/>
      <c r="B144" s="73"/>
      <c r="C144" s="73"/>
      <c r="D144" s="73"/>
      <c r="E144" s="176"/>
      <c r="F144" s="176"/>
      <c r="G144" s="552"/>
      <c r="H144" s="73"/>
      <c r="I144" s="73"/>
    </row>
    <row r="145" spans="1:9" ht="16.5" customHeight="1">
      <c r="A145" s="73"/>
      <c r="B145" s="73"/>
      <c r="C145" s="73"/>
      <c r="D145" s="73"/>
      <c r="E145" s="176"/>
      <c r="F145" s="176"/>
      <c r="G145" s="552"/>
      <c r="H145" s="73"/>
      <c r="I145" s="73"/>
    </row>
    <row r="146" spans="1:9" ht="16.5" customHeight="1">
      <c r="A146" s="73"/>
      <c r="B146" s="73"/>
      <c r="C146" s="73"/>
      <c r="D146" s="73"/>
      <c r="E146" s="176"/>
      <c r="F146" s="176"/>
      <c r="G146" s="552"/>
      <c r="H146" s="73"/>
      <c r="I146" s="73"/>
    </row>
    <row r="147" spans="1:9" ht="16.5" customHeight="1">
      <c r="A147" s="73"/>
      <c r="B147" s="73"/>
      <c r="C147" s="73"/>
      <c r="D147" s="73"/>
      <c r="E147" s="176"/>
      <c r="F147" s="176"/>
      <c r="G147" s="552"/>
      <c r="H147" s="73"/>
      <c r="I147" s="73"/>
    </row>
    <row r="148" spans="1:9" ht="16.5" customHeight="1">
      <c r="A148" s="73"/>
      <c r="B148" s="73"/>
      <c r="C148" s="73"/>
      <c r="D148" s="73"/>
      <c r="E148" s="176"/>
      <c r="F148" s="176"/>
      <c r="G148" s="552"/>
      <c r="H148" s="73"/>
      <c r="I148" s="73"/>
    </row>
    <row r="149" spans="1:9" ht="16.5" customHeight="1">
      <c r="A149" s="73"/>
      <c r="B149" s="73"/>
      <c r="C149" s="73"/>
      <c r="D149" s="73"/>
      <c r="E149" s="176"/>
      <c r="F149" s="176"/>
      <c r="G149" s="552"/>
      <c r="H149" s="73"/>
      <c r="I149" s="73"/>
    </row>
    <row r="150" spans="1:9" ht="16.5" customHeight="1">
      <c r="A150" s="73"/>
      <c r="B150" s="73"/>
      <c r="C150" s="73"/>
      <c r="D150" s="73"/>
      <c r="E150" s="176"/>
      <c r="F150" s="176"/>
      <c r="G150" s="552"/>
      <c r="H150" s="73"/>
      <c r="I150" s="73"/>
    </row>
    <row r="151" spans="1:9" ht="16.5" customHeight="1">
      <c r="A151" s="73"/>
      <c r="B151" s="73"/>
      <c r="C151" s="73"/>
      <c r="D151" s="73"/>
      <c r="E151" s="176"/>
      <c r="F151" s="176"/>
      <c r="G151" s="552"/>
      <c r="H151" s="73"/>
      <c r="I151" s="73"/>
    </row>
    <row r="152" spans="1:9" ht="16.5" customHeight="1">
      <c r="A152" s="73"/>
      <c r="B152" s="73"/>
      <c r="C152" s="73"/>
      <c r="D152" s="73"/>
      <c r="E152" s="176"/>
      <c r="F152" s="176"/>
      <c r="G152" s="552"/>
      <c r="H152" s="73"/>
      <c r="I152" s="73"/>
    </row>
    <row r="153" spans="1:9" ht="16.5" customHeight="1">
      <c r="A153" s="73"/>
      <c r="B153" s="73"/>
      <c r="C153" s="73"/>
      <c r="D153" s="73"/>
      <c r="E153" s="176"/>
      <c r="F153" s="176"/>
      <c r="G153" s="552"/>
      <c r="H153" s="73"/>
      <c r="I153" s="73"/>
    </row>
    <row r="154" spans="1:9" ht="16.5" customHeight="1">
      <c r="A154" s="73"/>
      <c r="B154" s="73"/>
      <c r="C154" s="73"/>
      <c r="D154" s="73"/>
      <c r="E154" s="176"/>
      <c r="F154" s="176"/>
      <c r="G154" s="552"/>
      <c r="H154" s="73"/>
      <c r="I154" s="73"/>
    </row>
    <row r="155" spans="1:9" ht="16.5" customHeight="1">
      <c r="A155" s="73"/>
      <c r="B155" s="73"/>
      <c r="C155" s="73"/>
      <c r="D155" s="73"/>
      <c r="E155" s="176"/>
      <c r="F155" s="176"/>
      <c r="G155" s="552"/>
      <c r="H155" s="73"/>
      <c r="I155" s="73"/>
    </row>
    <row r="156" spans="1:9" ht="16.5" customHeight="1">
      <c r="A156" s="73"/>
      <c r="B156" s="73"/>
      <c r="C156" s="73"/>
      <c r="D156" s="73"/>
      <c r="E156" s="176"/>
      <c r="F156" s="176"/>
      <c r="G156" s="552"/>
      <c r="H156" s="73"/>
      <c r="I156" s="73"/>
    </row>
    <row r="157" spans="1:9" ht="16.5" customHeight="1">
      <c r="A157" s="73"/>
      <c r="B157" s="73"/>
      <c r="C157" s="73"/>
      <c r="D157" s="73"/>
      <c r="E157" s="176"/>
      <c r="F157" s="176"/>
      <c r="G157" s="552"/>
      <c r="H157" s="73"/>
      <c r="I157" s="73"/>
    </row>
    <row r="158" spans="1:9" ht="16.5" customHeight="1">
      <c r="A158" s="73"/>
      <c r="B158" s="73"/>
      <c r="C158" s="73"/>
      <c r="D158" s="73"/>
      <c r="E158" s="176"/>
      <c r="F158" s="176"/>
      <c r="G158" s="552"/>
      <c r="H158" s="73"/>
      <c r="I158" s="73"/>
    </row>
    <row r="159" spans="1:9" ht="16.5" customHeight="1">
      <c r="A159" s="73"/>
      <c r="B159" s="73"/>
      <c r="C159" s="73"/>
      <c r="D159" s="73"/>
      <c r="E159" s="176"/>
      <c r="F159" s="176"/>
      <c r="G159" s="552"/>
      <c r="H159" s="73"/>
      <c r="I159" s="73"/>
    </row>
    <row r="160" spans="1:9" ht="16.5" customHeight="1">
      <c r="A160" s="73"/>
      <c r="B160" s="73"/>
      <c r="C160" s="73"/>
      <c r="D160" s="73"/>
      <c r="E160" s="176"/>
      <c r="F160" s="176"/>
      <c r="G160" s="552"/>
      <c r="H160" s="73"/>
      <c r="I160" s="73"/>
    </row>
    <row r="161" spans="1:9" ht="16.5" customHeight="1">
      <c r="A161" s="73"/>
      <c r="B161" s="73"/>
      <c r="C161" s="73"/>
      <c r="D161" s="73"/>
      <c r="E161" s="176"/>
      <c r="F161" s="176"/>
      <c r="G161" s="552"/>
      <c r="H161" s="73"/>
      <c r="I161" s="73"/>
    </row>
    <row r="162" spans="1:9" ht="16.5" customHeight="1">
      <c r="A162" s="73"/>
      <c r="B162" s="73"/>
      <c r="C162" s="73"/>
      <c r="D162" s="73"/>
      <c r="E162" s="176"/>
      <c r="F162" s="176"/>
      <c r="G162" s="552"/>
      <c r="H162" s="73"/>
      <c r="I162" s="73"/>
    </row>
    <row r="163" spans="1:9" ht="16.5" customHeight="1">
      <c r="A163" s="73"/>
      <c r="B163" s="73"/>
      <c r="C163" s="73"/>
      <c r="D163" s="73"/>
      <c r="E163" s="176"/>
      <c r="F163" s="176"/>
      <c r="G163" s="552"/>
      <c r="H163" s="73"/>
      <c r="I163" s="73"/>
    </row>
    <row r="164" spans="1:9" ht="16.5" customHeight="1">
      <c r="A164" s="73"/>
      <c r="B164" s="73"/>
      <c r="C164" s="73"/>
      <c r="D164" s="73"/>
      <c r="E164" s="176"/>
      <c r="F164" s="176"/>
      <c r="G164" s="552"/>
      <c r="H164" s="73"/>
      <c r="I164" s="73"/>
    </row>
    <row r="165" spans="1:9" ht="16.5" customHeight="1">
      <c r="A165" s="73"/>
      <c r="B165" s="73"/>
      <c r="C165" s="73"/>
      <c r="D165" s="73"/>
      <c r="E165" s="176"/>
      <c r="F165" s="176"/>
      <c r="G165" s="552"/>
      <c r="H165" s="73"/>
      <c r="I165" s="73"/>
    </row>
    <row r="166" spans="1:9" ht="16.5" customHeight="1">
      <c r="A166" s="73"/>
      <c r="B166" s="73"/>
      <c r="C166" s="73"/>
      <c r="D166" s="73"/>
      <c r="E166" s="176"/>
      <c r="F166" s="176"/>
      <c r="G166" s="552"/>
      <c r="H166" s="73"/>
      <c r="I166" s="73"/>
    </row>
    <row r="167" spans="1:9" ht="16.5" customHeight="1">
      <c r="A167" s="73"/>
      <c r="B167" s="73"/>
      <c r="C167" s="73"/>
      <c r="D167" s="73"/>
      <c r="E167" s="176"/>
      <c r="F167" s="176"/>
      <c r="G167" s="552"/>
      <c r="H167" s="73"/>
      <c r="I167" s="73"/>
    </row>
    <row r="168" spans="1:9" ht="16.5" customHeight="1">
      <c r="A168" s="73"/>
      <c r="B168" s="73"/>
      <c r="C168" s="73"/>
      <c r="D168" s="73"/>
      <c r="E168" s="176"/>
      <c r="F168" s="176"/>
      <c r="G168" s="552"/>
      <c r="H168" s="73"/>
      <c r="I168" s="73"/>
    </row>
    <row r="169" spans="1:9" ht="16.5" customHeight="1">
      <c r="A169" s="73"/>
      <c r="B169" s="73"/>
      <c r="C169" s="73"/>
      <c r="D169" s="73"/>
      <c r="E169" s="176"/>
      <c r="F169" s="176"/>
      <c r="G169" s="552"/>
      <c r="H169" s="73"/>
      <c r="I169" s="73"/>
    </row>
    <row r="170" spans="1:9" ht="16.5" customHeight="1">
      <c r="A170" s="73"/>
      <c r="B170" s="73"/>
      <c r="C170" s="73"/>
      <c r="D170" s="73"/>
      <c r="E170" s="176"/>
      <c r="F170" s="176"/>
      <c r="G170" s="552"/>
      <c r="H170" s="73"/>
      <c r="I170" s="73"/>
    </row>
    <row r="171" spans="1:9" ht="16.5" customHeight="1">
      <c r="A171" s="73"/>
      <c r="B171" s="73"/>
      <c r="C171" s="73"/>
      <c r="D171" s="73"/>
      <c r="E171" s="176"/>
      <c r="F171" s="176"/>
      <c r="G171" s="552"/>
      <c r="H171" s="73"/>
      <c r="I171" s="73"/>
    </row>
    <row r="172" spans="1:9" ht="16.5" customHeight="1">
      <c r="A172" s="73"/>
      <c r="B172" s="73"/>
      <c r="C172" s="73"/>
      <c r="D172" s="73"/>
      <c r="E172" s="176"/>
      <c r="F172" s="176"/>
      <c r="G172" s="552"/>
      <c r="H172" s="73"/>
      <c r="I172" s="73"/>
    </row>
    <row r="173" spans="1:9" ht="16.5" customHeight="1">
      <c r="A173" s="73"/>
      <c r="B173" s="73"/>
      <c r="C173" s="73"/>
      <c r="D173" s="73"/>
      <c r="E173" s="176"/>
      <c r="F173" s="176"/>
      <c r="G173" s="552"/>
      <c r="H173" s="73"/>
      <c r="I173" s="73"/>
    </row>
    <row r="174" spans="1:9" ht="16.5" customHeight="1">
      <c r="A174" s="73"/>
      <c r="B174" s="73"/>
      <c r="C174" s="73"/>
      <c r="D174" s="73"/>
      <c r="E174" s="176"/>
      <c r="F174" s="176"/>
      <c r="G174" s="552"/>
      <c r="H174" s="73"/>
      <c r="I174" s="73"/>
    </row>
    <row r="175" spans="1:9" ht="16.5" customHeight="1">
      <c r="A175" s="73"/>
      <c r="B175" s="73"/>
      <c r="C175" s="73"/>
      <c r="D175" s="73"/>
      <c r="E175" s="176"/>
      <c r="F175" s="176"/>
      <c r="G175" s="552"/>
      <c r="H175" s="73"/>
      <c r="I175" s="73"/>
    </row>
    <row r="176" spans="1:9" ht="16.5" customHeight="1">
      <c r="A176" s="73"/>
      <c r="B176" s="73"/>
      <c r="C176" s="73"/>
      <c r="D176" s="73"/>
      <c r="E176" s="176"/>
      <c r="F176" s="176"/>
      <c r="G176" s="552"/>
      <c r="H176" s="73"/>
      <c r="I176" s="73"/>
    </row>
    <row r="177" spans="1:9" ht="16.5" customHeight="1">
      <c r="A177" s="73"/>
      <c r="B177" s="73"/>
      <c r="C177" s="73"/>
      <c r="D177" s="73"/>
      <c r="E177" s="176"/>
      <c r="F177" s="176"/>
      <c r="G177" s="552"/>
      <c r="H177" s="73"/>
      <c r="I177" s="73"/>
    </row>
    <row r="178" spans="1:9" ht="16.5" customHeight="1">
      <c r="A178" s="73"/>
      <c r="B178" s="73"/>
      <c r="C178" s="73"/>
      <c r="D178" s="73"/>
      <c r="E178" s="176"/>
      <c r="F178" s="176"/>
      <c r="G178" s="552"/>
      <c r="H178" s="73"/>
      <c r="I178" s="73"/>
    </row>
    <row r="179" spans="1:9" ht="16.5" customHeight="1">
      <c r="A179" s="73"/>
      <c r="B179" s="73"/>
      <c r="C179" s="73"/>
      <c r="D179" s="73"/>
      <c r="E179" s="176"/>
      <c r="F179" s="176"/>
      <c r="G179" s="552"/>
      <c r="H179" s="73"/>
      <c r="I179" s="73"/>
    </row>
    <row r="180" spans="1:9" ht="16.5" customHeight="1">
      <c r="A180" s="73"/>
      <c r="B180" s="73"/>
      <c r="C180" s="73"/>
      <c r="D180" s="73"/>
      <c r="E180" s="176"/>
      <c r="F180" s="176"/>
      <c r="G180" s="552"/>
      <c r="H180" s="73"/>
      <c r="I180" s="73"/>
    </row>
    <row r="181" spans="1:9" ht="16.5" customHeight="1">
      <c r="A181" s="73"/>
      <c r="B181" s="73"/>
      <c r="C181" s="73"/>
      <c r="D181" s="73"/>
      <c r="E181" s="176"/>
      <c r="F181" s="176"/>
      <c r="G181" s="552"/>
      <c r="H181" s="73"/>
      <c r="I181" s="73"/>
    </row>
    <row r="182" spans="1:9" ht="16.5" customHeight="1">
      <c r="A182" s="73"/>
      <c r="B182" s="73"/>
      <c r="C182" s="73"/>
      <c r="D182" s="73"/>
      <c r="E182" s="176"/>
      <c r="F182" s="176"/>
      <c r="G182" s="552"/>
      <c r="H182" s="73"/>
      <c r="I182" s="73"/>
    </row>
    <row r="183" spans="1:9" ht="16.5" customHeight="1">
      <c r="A183" s="73"/>
      <c r="B183" s="73"/>
      <c r="C183" s="73"/>
      <c r="D183" s="73"/>
      <c r="E183" s="176"/>
      <c r="F183" s="176"/>
      <c r="G183" s="552"/>
      <c r="H183" s="73"/>
      <c r="I183" s="73"/>
    </row>
    <row r="184" spans="1:9" ht="16.5" customHeight="1">
      <c r="A184" s="73"/>
      <c r="B184" s="73"/>
      <c r="C184" s="73"/>
      <c r="D184" s="73"/>
      <c r="E184" s="176"/>
      <c r="F184" s="176"/>
      <c r="G184" s="552"/>
      <c r="H184" s="73"/>
      <c r="I184" s="73"/>
    </row>
    <row r="185" spans="1:9" ht="16.5" customHeight="1">
      <c r="A185" s="73"/>
      <c r="B185" s="73"/>
      <c r="C185" s="73"/>
      <c r="D185" s="73"/>
      <c r="E185" s="176"/>
      <c r="F185" s="176"/>
      <c r="G185" s="552"/>
      <c r="H185" s="73"/>
      <c r="I185" s="73"/>
    </row>
    <row r="186" spans="1:9" ht="16.5" customHeight="1">
      <c r="A186" s="73"/>
      <c r="B186" s="73"/>
      <c r="C186" s="73"/>
      <c r="D186" s="73"/>
      <c r="E186" s="176"/>
      <c r="F186" s="176"/>
      <c r="G186" s="552"/>
      <c r="H186" s="73"/>
      <c r="I186" s="73"/>
    </row>
    <row r="187" spans="1:9" ht="16.5" customHeight="1">
      <c r="A187" s="73"/>
      <c r="B187" s="73"/>
      <c r="C187" s="73"/>
      <c r="D187" s="73"/>
      <c r="E187" s="176"/>
      <c r="F187" s="176"/>
      <c r="G187" s="552"/>
      <c r="H187" s="73"/>
      <c r="I187" s="73"/>
    </row>
    <row r="188" spans="1:9" ht="16.5" customHeight="1">
      <c r="A188" s="73"/>
      <c r="B188" s="73"/>
      <c r="C188" s="73"/>
      <c r="D188" s="73"/>
      <c r="E188" s="176"/>
      <c r="F188" s="176"/>
      <c r="G188" s="552"/>
      <c r="H188" s="73"/>
      <c r="I188" s="73"/>
    </row>
    <row r="189" spans="1:9" ht="16.5" customHeight="1">
      <c r="A189" s="73"/>
      <c r="B189" s="73"/>
      <c r="C189" s="73"/>
      <c r="D189" s="73"/>
      <c r="E189" s="176"/>
      <c r="F189" s="176"/>
      <c r="G189" s="552"/>
      <c r="H189" s="73"/>
      <c r="I189" s="73"/>
    </row>
    <row r="190" spans="1:9" ht="16.5" customHeight="1">
      <c r="A190" s="73"/>
      <c r="B190" s="73"/>
      <c r="C190" s="73"/>
      <c r="D190" s="73"/>
      <c r="E190" s="176"/>
      <c r="F190" s="176"/>
      <c r="G190" s="552"/>
      <c r="H190" s="73"/>
      <c r="I190" s="73"/>
    </row>
    <row r="191" spans="1:9" ht="16.5" customHeight="1">
      <c r="A191" s="73"/>
      <c r="B191" s="73"/>
      <c r="C191" s="73"/>
      <c r="D191" s="73"/>
      <c r="E191" s="176"/>
      <c r="F191" s="176"/>
      <c r="G191" s="552"/>
      <c r="H191" s="73"/>
      <c r="I191" s="73"/>
    </row>
    <row r="192" spans="1:9" ht="16.5" customHeight="1">
      <c r="A192" s="73"/>
      <c r="B192" s="73"/>
      <c r="C192" s="73"/>
      <c r="D192" s="73"/>
      <c r="E192" s="176"/>
      <c r="F192" s="176"/>
      <c r="G192" s="552"/>
      <c r="H192" s="73"/>
      <c r="I192" s="73"/>
    </row>
    <row r="193" spans="1:9" ht="16.5" customHeight="1">
      <c r="A193" s="73"/>
      <c r="B193" s="73"/>
      <c r="C193" s="73"/>
      <c r="D193" s="73"/>
      <c r="E193" s="176"/>
      <c r="F193" s="176"/>
      <c r="G193" s="552"/>
      <c r="H193" s="73"/>
      <c r="I193" s="73"/>
    </row>
    <row r="194" spans="1:9" ht="16.5" customHeight="1">
      <c r="A194" s="73"/>
      <c r="B194" s="73"/>
      <c r="C194" s="73"/>
      <c r="D194" s="73"/>
      <c r="E194" s="176"/>
      <c r="F194" s="176"/>
      <c r="G194" s="552"/>
      <c r="H194" s="73"/>
      <c r="I194" s="73"/>
    </row>
    <row r="195" spans="1:9" ht="16.5" customHeight="1">
      <c r="A195" s="73"/>
      <c r="B195" s="73"/>
      <c r="C195" s="73"/>
      <c r="D195" s="73"/>
      <c r="E195" s="176"/>
      <c r="F195" s="176"/>
      <c r="G195" s="552"/>
      <c r="H195" s="73"/>
      <c r="I195" s="73"/>
    </row>
    <row r="196" spans="1:9" ht="16.5" customHeight="1">
      <c r="A196" s="73"/>
      <c r="B196" s="73"/>
      <c r="C196" s="73"/>
      <c r="D196" s="73"/>
      <c r="E196" s="176"/>
      <c r="F196" s="176"/>
      <c r="G196" s="552"/>
      <c r="H196" s="73"/>
      <c r="I196" s="73"/>
    </row>
    <row r="197" spans="1:9" ht="16.5" customHeight="1">
      <c r="A197" s="73"/>
      <c r="B197" s="73"/>
      <c r="C197" s="73"/>
      <c r="D197" s="73"/>
      <c r="E197" s="176"/>
      <c r="F197" s="176"/>
      <c r="G197" s="552"/>
      <c r="H197" s="73"/>
      <c r="I197" s="73"/>
    </row>
    <row r="198" spans="1:9" ht="16.5" customHeight="1">
      <c r="A198" s="73"/>
      <c r="B198" s="73"/>
      <c r="C198" s="73"/>
      <c r="D198" s="73"/>
      <c r="E198" s="176"/>
      <c r="F198" s="176"/>
      <c r="G198" s="552"/>
      <c r="H198" s="73"/>
      <c r="I198" s="73"/>
    </row>
    <row r="199" spans="1:9" ht="16.5" customHeight="1">
      <c r="A199" s="73"/>
      <c r="B199" s="73"/>
      <c r="C199" s="73"/>
      <c r="D199" s="73"/>
      <c r="E199" s="176"/>
      <c r="F199" s="176"/>
      <c r="G199" s="552"/>
      <c r="H199" s="73"/>
      <c r="I199" s="73"/>
    </row>
    <row r="200" spans="1:9" ht="16.5" customHeight="1">
      <c r="A200" s="73"/>
      <c r="B200" s="73"/>
      <c r="C200" s="73"/>
      <c r="D200" s="73"/>
      <c r="E200" s="176"/>
      <c r="F200" s="176"/>
      <c r="G200" s="552"/>
      <c r="H200" s="73"/>
      <c r="I200" s="73"/>
    </row>
    <row r="201" spans="1:9" ht="16.5" customHeight="1">
      <c r="A201" s="73"/>
      <c r="B201" s="73"/>
      <c r="C201" s="73"/>
      <c r="D201" s="73"/>
      <c r="E201" s="176"/>
      <c r="F201" s="176"/>
      <c r="G201" s="552"/>
      <c r="H201" s="73"/>
      <c r="I201" s="73"/>
    </row>
    <row r="202" spans="1:9" ht="16.5" customHeight="1">
      <c r="A202" s="73"/>
      <c r="B202" s="73"/>
      <c r="C202" s="73"/>
      <c r="D202" s="73"/>
      <c r="E202" s="176"/>
      <c r="F202" s="176"/>
      <c r="G202" s="552"/>
      <c r="H202" s="73"/>
      <c r="I202" s="73"/>
    </row>
    <row r="203" spans="1:9" ht="16.5" customHeight="1">
      <c r="A203" s="73"/>
      <c r="B203" s="73"/>
      <c r="C203" s="73"/>
      <c r="D203" s="73"/>
      <c r="E203" s="176"/>
      <c r="F203" s="176"/>
      <c r="G203" s="552"/>
      <c r="H203" s="73"/>
      <c r="I203" s="73"/>
    </row>
    <row r="204" spans="1:9" ht="16.5" customHeight="1">
      <c r="A204" s="73"/>
      <c r="B204" s="73"/>
      <c r="C204" s="73"/>
      <c r="D204" s="73"/>
      <c r="E204" s="176"/>
      <c r="F204" s="176"/>
      <c r="G204" s="552"/>
      <c r="H204" s="73"/>
      <c r="I204" s="73"/>
    </row>
    <row r="205" spans="1:9" ht="16.5" customHeight="1">
      <c r="A205" s="73"/>
      <c r="B205" s="73"/>
      <c r="C205" s="73"/>
      <c r="D205" s="73"/>
      <c r="E205" s="176"/>
      <c r="F205" s="176"/>
      <c r="G205" s="552"/>
      <c r="H205" s="73"/>
      <c r="I205" s="73"/>
    </row>
    <row r="206" spans="1:9" ht="16.5" customHeight="1">
      <c r="A206" s="73"/>
      <c r="B206" s="73"/>
      <c r="C206" s="73"/>
      <c r="D206" s="73"/>
      <c r="E206" s="176"/>
      <c r="F206" s="176"/>
      <c r="G206" s="552"/>
      <c r="H206" s="73"/>
      <c r="I206" s="73"/>
    </row>
    <row r="207" spans="1:9" ht="16.5" customHeight="1">
      <c r="A207" s="73"/>
      <c r="B207" s="73"/>
      <c r="C207" s="73"/>
      <c r="D207" s="73"/>
      <c r="E207" s="176"/>
      <c r="F207" s="176"/>
      <c r="G207" s="552"/>
      <c r="H207" s="73"/>
      <c r="I207" s="73"/>
    </row>
    <row r="208" spans="1:9" ht="16.5" customHeight="1">
      <c r="A208" s="73"/>
      <c r="B208" s="73"/>
      <c r="C208" s="73"/>
      <c r="D208" s="73"/>
      <c r="E208" s="176"/>
      <c r="F208" s="176"/>
      <c r="G208" s="552"/>
      <c r="H208" s="73"/>
      <c r="I208" s="73"/>
    </row>
    <row r="209" spans="1:9" ht="16.5" customHeight="1">
      <c r="A209" s="73"/>
      <c r="B209" s="73"/>
      <c r="C209" s="73"/>
      <c r="D209" s="73"/>
      <c r="E209" s="176"/>
      <c r="F209" s="176"/>
      <c r="G209" s="552"/>
      <c r="H209" s="73"/>
      <c r="I209" s="73"/>
    </row>
    <row r="210" spans="1:9" ht="16.5" customHeight="1">
      <c r="A210" s="73"/>
      <c r="B210" s="73"/>
      <c r="C210" s="73"/>
      <c r="D210" s="73"/>
      <c r="E210" s="176"/>
      <c r="F210" s="176"/>
      <c r="G210" s="552"/>
      <c r="H210" s="73"/>
      <c r="I210" s="73"/>
    </row>
    <row r="211" spans="1:9" ht="16.5" customHeight="1">
      <c r="A211" s="73"/>
      <c r="B211" s="73"/>
      <c r="C211" s="73"/>
      <c r="D211" s="73"/>
      <c r="E211" s="176"/>
      <c r="F211" s="176"/>
      <c r="G211" s="552"/>
      <c r="H211" s="73"/>
      <c r="I211" s="73"/>
    </row>
    <row r="212" spans="1:9" ht="16.5" customHeight="1">
      <c r="A212" s="73"/>
      <c r="B212" s="73"/>
      <c r="C212" s="73"/>
      <c r="D212" s="73"/>
      <c r="E212" s="176"/>
      <c r="F212" s="176"/>
      <c r="G212" s="552"/>
      <c r="H212" s="73"/>
      <c r="I212" s="73"/>
    </row>
    <row r="213" spans="1:9" ht="16.5" customHeight="1">
      <c r="A213" s="73"/>
      <c r="B213" s="73"/>
      <c r="C213" s="73"/>
      <c r="D213" s="73"/>
      <c r="E213" s="176"/>
      <c r="F213" s="176"/>
      <c r="G213" s="552"/>
      <c r="H213" s="73"/>
      <c r="I213" s="73"/>
    </row>
    <row r="214" spans="1:9" ht="16.5" customHeight="1">
      <c r="A214" s="73"/>
      <c r="B214" s="73"/>
      <c r="C214" s="73"/>
      <c r="D214" s="73"/>
      <c r="E214" s="176"/>
      <c r="F214" s="176"/>
      <c r="G214" s="552"/>
      <c r="H214" s="73"/>
      <c r="I214" s="73"/>
    </row>
    <row r="215" spans="1:9" ht="16.5" customHeight="1">
      <c r="A215" s="73"/>
      <c r="B215" s="73"/>
      <c r="C215" s="73"/>
      <c r="D215" s="73"/>
      <c r="E215" s="176"/>
      <c r="F215" s="176"/>
      <c r="G215" s="552"/>
      <c r="H215" s="73"/>
      <c r="I215" s="73"/>
    </row>
    <row r="216" spans="1:9" ht="16.5" customHeight="1">
      <c r="A216" s="73"/>
      <c r="B216" s="73"/>
      <c r="C216" s="73"/>
      <c r="D216" s="73"/>
      <c r="E216" s="176"/>
      <c r="F216" s="176"/>
      <c r="G216" s="552"/>
      <c r="H216" s="73"/>
      <c r="I216" s="73"/>
    </row>
    <row r="217" spans="1:9" ht="16.5" customHeight="1">
      <c r="A217" s="73"/>
      <c r="B217" s="73"/>
      <c r="C217" s="73"/>
      <c r="D217" s="73"/>
      <c r="E217" s="176"/>
      <c r="F217" s="176"/>
      <c r="G217" s="552"/>
      <c r="H217" s="73"/>
      <c r="I217" s="73"/>
    </row>
    <row r="218" spans="1:9" ht="16.5" customHeight="1">
      <c r="A218" s="73"/>
      <c r="B218" s="73"/>
      <c r="C218" s="73"/>
      <c r="D218" s="73"/>
      <c r="E218" s="176"/>
      <c r="F218" s="176"/>
      <c r="G218" s="552"/>
      <c r="H218" s="73"/>
      <c r="I218" s="73"/>
    </row>
    <row r="219" spans="1:9" ht="16.5" customHeight="1">
      <c r="A219" s="73"/>
      <c r="B219" s="73"/>
      <c r="C219" s="73"/>
      <c r="D219" s="73"/>
      <c r="E219" s="176"/>
      <c r="F219" s="176"/>
      <c r="G219" s="552"/>
      <c r="H219" s="73"/>
      <c r="I219" s="73"/>
    </row>
    <row r="220" spans="1:9" ht="16.5" customHeight="1">
      <c r="A220" s="73"/>
      <c r="B220" s="73"/>
      <c r="C220" s="73"/>
      <c r="D220" s="73"/>
      <c r="E220" s="176"/>
      <c r="F220" s="176"/>
      <c r="G220" s="552"/>
      <c r="H220" s="73"/>
      <c r="I220" s="73"/>
    </row>
    <row r="221" spans="1:9" ht="16.5" customHeight="1">
      <c r="A221" s="73"/>
      <c r="B221" s="73"/>
      <c r="C221" s="73"/>
      <c r="D221" s="73"/>
      <c r="E221" s="176"/>
      <c r="F221" s="176"/>
      <c r="G221" s="552"/>
      <c r="H221" s="73"/>
      <c r="I221" s="73"/>
    </row>
    <row r="222" spans="1:9" ht="16.5" customHeight="1">
      <c r="A222" s="73"/>
      <c r="B222" s="73"/>
      <c r="C222" s="73"/>
      <c r="D222" s="73"/>
      <c r="E222" s="176"/>
      <c r="F222" s="176"/>
      <c r="G222" s="552"/>
      <c r="H222" s="73"/>
      <c r="I222" s="73"/>
    </row>
    <row r="223" spans="1:9" ht="16.5" customHeight="1">
      <c r="A223" s="73"/>
      <c r="B223" s="73"/>
      <c r="C223" s="73"/>
      <c r="D223" s="73"/>
      <c r="E223" s="176"/>
      <c r="F223" s="176"/>
      <c r="G223" s="552"/>
      <c r="H223" s="73"/>
      <c r="I223" s="73"/>
    </row>
    <row r="224" spans="1:9" ht="16.5" customHeight="1">
      <c r="A224" s="73"/>
      <c r="B224" s="73"/>
      <c r="C224" s="73"/>
      <c r="D224" s="73"/>
      <c r="E224" s="176"/>
      <c r="F224" s="176"/>
      <c r="G224" s="552"/>
      <c r="H224" s="73"/>
      <c r="I224" s="73"/>
    </row>
    <row r="225" spans="1:9" ht="16.5" customHeight="1">
      <c r="A225" s="73"/>
      <c r="B225" s="73"/>
      <c r="C225" s="73"/>
      <c r="D225" s="73"/>
      <c r="E225" s="176"/>
      <c r="F225" s="176"/>
      <c r="G225" s="552"/>
      <c r="H225" s="73"/>
      <c r="I225" s="73"/>
    </row>
    <row r="226" spans="1:9" ht="16.5" customHeight="1">
      <c r="A226" s="73"/>
      <c r="B226" s="73"/>
      <c r="C226" s="73"/>
      <c r="D226" s="73"/>
      <c r="E226" s="176"/>
      <c r="F226" s="176"/>
      <c r="G226" s="552"/>
      <c r="H226" s="73"/>
      <c r="I226" s="73"/>
    </row>
    <row r="227" spans="1:9" ht="16.5" customHeight="1">
      <c r="A227" s="73"/>
      <c r="B227" s="73"/>
      <c r="C227" s="73"/>
      <c r="D227" s="73"/>
      <c r="E227" s="176"/>
      <c r="F227" s="176"/>
      <c r="G227" s="552"/>
      <c r="H227" s="73"/>
      <c r="I227" s="73"/>
    </row>
    <row r="228" spans="1:9" ht="16.5" customHeight="1">
      <c r="A228" s="73"/>
      <c r="B228" s="73"/>
      <c r="C228" s="73"/>
      <c r="D228" s="73"/>
      <c r="E228" s="176"/>
      <c r="F228" s="176"/>
      <c r="G228" s="552"/>
      <c r="H228" s="73"/>
      <c r="I228" s="73"/>
    </row>
    <row r="229" spans="1:9" ht="16.5" customHeight="1">
      <c r="A229" s="73"/>
      <c r="B229" s="73"/>
      <c r="C229" s="73"/>
      <c r="D229" s="73"/>
      <c r="E229" s="176"/>
      <c r="F229" s="176"/>
      <c r="G229" s="552"/>
      <c r="H229" s="73"/>
      <c r="I229" s="73"/>
    </row>
    <row r="230" spans="1:9" ht="16.5" customHeight="1">
      <c r="A230" s="73"/>
      <c r="B230" s="73"/>
      <c r="C230" s="73"/>
      <c r="D230" s="73"/>
      <c r="E230" s="176"/>
      <c r="F230" s="176"/>
      <c r="G230" s="552"/>
      <c r="H230" s="73"/>
      <c r="I230" s="73"/>
    </row>
    <row r="231" spans="1:9" ht="16.5" customHeight="1">
      <c r="A231" s="73"/>
      <c r="B231" s="73"/>
      <c r="C231" s="73"/>
      <c r="D231" s="73"/>
      <c r="E231" s="176"/>
      <c r="F231" s="176"/>
      <c r="G231" s="552"/>
      <c r="H231" s="73"/>
      <c r="I231" s="73"/>
    </row>
    <row r="232" spans="1:9" ht="16.5" customHeight="1">
      <c r="A232" s="73"/>
      <c r="B232" s="73"/>
      <c r="C232" s="73"/>
      <c r="D232" s="73"/>
      <c r="E232" s="176"/>
      <c r="F232" s="176"/>
      <c r="G232" s="552"/>
      <c r="H232" s="73"/>
      <c r="I232" s="73"/>
    </row>
    <row r="233" spans="1:9" ht="16.5" customHeight="1">
      <c r="A233" s="73"/>
      <c r="B233" s="73"/>
      <c r="C233" s="73"/>
      <c r="D233" s="73"/>
      <c r="E233" s="176"/>
      <c r="F233" s="176"/>
      <c r="G233" s="552"/>
      <c r="H233" s="73"/>
      <c r="I233" s="73"/>
    </row>
    <row r="234" spans="1:9" ht="16.5" customHeight="1">
      <c r="A234" s="73"/>
      <c r="B234" s="73"/>
      <c r="C234" s="73"/>
      <c r="D234" s="73"/>
      <c r="E234" s="176"/>
      <c r="F234" s="176"/>
      <c r="G234" s="552"/>
      <c r="H234" s="73"/>
      <c r="I234" s="73"/>
    </row>
    <row r="235" spans="1:9" ht="16.5" customHeight="1">
      <c r="A235" s="73"/>
      <c r="B235" s="73"/>
      <c r="C235" s="73"/>
      <c r="D235" s="73"/>
      <c r="E235" s="176"/>
      <c r="F235" s="176"/>
      <c r="G235" s="552"/>
      <c r="H235" s="73"/>
      <c r="I235" s="73"/>
    </row>
    <row r="236" spans="1:9" ht="16.5" customHeight="1">
      <c r="A236" s="73"/>
      <c r="B236" s="73"/>
      <c r="C236" s="73"/>
      <c r="D236" s="73"/>
      <c r="E236" s="176"/>
      <c r="F236" s="176"/>
      <c r="G236" s="552"/>
      <c r="H236" s="73"/>
      <c r="I236" s="73"/>
    </row>
    <row r="237" spans="1:9" ht="15.7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spans="1:9" ht="15.7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spans="1:9" ht="15.7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spans="1:9" ht="15.7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spans="1:9" ht="15.7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spans="1:9" ht="15.7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spans="1:9" ht="15.7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spans="1:9" ht="15.7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spans="1:9" ht="15.7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spans="1:9" ht="15.7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spans="1:9" ht="15.7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spans="1:9" ht="15.7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spans="1:9" ht="15.7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spans="1:9" ht="15.7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spans="1:9" ht="15.7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spans="1:9" ht="15.7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spans="1:9" ht="15.7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spans="1:9" ht="15.7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spans="1:9" ht="15.7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spans="1:9" ht="15.7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spans="1:9" ht="15.7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spans="1:9" ht="15.7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spans="1:9" ht="15.7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spans="1:9" ht="15.7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spans="1:9" ht="15.7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spans="1:9" ht="15.7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spans="1:9" ht="15.7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spans="1:9" ht="15.7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spans="1:9" ht="15.7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spans="1:9" ht="15.7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spans="1:9" ht="15.7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spans="1:9" ht="15.7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spans="1:9" ht="15.7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spans="1:9" ht="15.7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spans="1:9" ht="15.7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spans="1:9" ht="15.7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spans="1:9" ht="15.7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spans="1:9" ht="15.7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spans="1:9" ht="15.7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spans="1:9" ht="15.7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spans="1:9" ht="15.7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spans="1:9" ht="15.7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spans="1:9" ht="15.7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spans="1:9" ht="15.7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spans="1:9" ht="15.7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spans="1:9" ht="15.7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spans="1:9" ht="15.7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spans="1:9" ht="15.7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spans="1:9" ht="15.7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spans="1:9" ht="15.7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spans="1:9" ht="15.7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spans="1:9" ht="15.7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spans="1:9" ht="15.7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spans="1:9" ht="15.7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spans="1:9" ht="15.7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spans="1:9" ht="15.7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spans="1:9" ht="15.7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spans="1:9" ht="15.7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spans="1:9" ht="15.7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spans="1:9" ht="15.7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spans="1:9" ht="15.7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spans="1:9" ht="15.7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spans="1:9" ht="15.7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spans="1:9" ht="15.7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spans="1:9" ht="15.7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spans="1:9" ht="15.7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spans="1:9" ht="15.7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spans="1:9" ht="15.7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spans="1:9" ht="15.7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spans="1:9" ht="15.7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spans="1:9" ht="15.7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spans="1:9" ht="15.7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spans="1:9" ht="15.7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spans="1:9" ht="15.7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spans="1:9" ht="15.7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spans="1:9" ht="15.7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spans="1:9" ht="15.7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spans="1:9" ht="15.7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spans="1:9" ht="15.7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spans="1:9" ht="15.7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spans="1:9" ht="15.7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spans="1:9" ht="15.7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spans="1:9" ht="15.7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spans="1:9" ht="15.7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spans="1:9" ht="15.7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spans="1:9" ht="15.7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spans="1:9" ht="15.7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spans="1:9" ht="15.7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spans="1:9" ht="15.7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spans="1:9" ht="15.7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spans="1:9" ht="15.7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spans="1:9" ht="15.7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spans="1:9" ht="15.7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spans="1:9" ht="15.7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spans="1:9" ht="15.7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spans="1:9" ht="15.7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spans="1:9" ht="15.7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spans="1:9" ht="15.7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spans="1:9" ht="15.7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spans="1:9" ht="15.7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spans="1:9" ht="15.7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spans="1:9" ht="15.7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spans="1:9" ht="15.7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spans="1:9" ht="15.7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spans="1:9" ht="15.7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spans="1:9" ht="15.7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spans="1:9" ht="15.7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spans="1:9" ht="15.7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spans="1:9" ht="15.7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spans="1:9" ht="15.7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spans="1:9" ht="15.7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spans="1:9" ht="15.7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spans="1:9" ht="15.7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spans="1:9" ht="15.7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spans="1:9" ht="15.7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spans="1:9" ht="15.7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spans="1:9" ht="15.7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spans="1:9" ht="15.7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spans="1:9" ht="15.7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spans="1:9" ht="15.7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spans="1:9" ht="15.7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spans="1:9" ht="15.7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spans="1:9" ht="15.7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spans="1:9" ht="15.7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spans="1:9" ht="15.7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spans="1:9" ht="15.7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spans="1:9" ht="15.7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spans="1:9" ht="15.7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spans="1:9" ht="15.7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spans="1:9" ht="15.7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spans="1:9" ht="15.7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spans="1:9" ht="15.7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spans="1:9" ht="15.7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spans="1:9" ht="15.7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spans="1:9" ht="15.7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spans="1:9" ht="15.7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spans="1:9" ht="15.7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spans="1:9" ht="15.7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spans="1:9" ht="15.7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spans="1:9" ht="15.7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spans="1:9" ht="15.7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spans="1:9" ht="15.7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spans="1:9" ht="15.7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spans="1:9" ht="15.7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spans="1:9" ht="15.7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spans="1:9" ht="15.7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spans="1:9" ht="15.7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spans="1:9" ht="15.7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spans="1:9" ht="15.7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spans="1:9" ht="15.7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spans="1:9" ht="15.7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spans="1:9" ht="15.7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spans="1:9" ht="15.7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spans="1:9" ht="15.7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spans="1:9" ht="15.7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spans="1:9" ht="15.7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spans="1:9" ht="15.7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spans="1:9" ht="15.7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spans="1:9" ht="15.7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spans="1:9" ht="15.7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spans="1:9" ht="15.7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spans="1:9" ht="15.7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spans="1:9" ht="15.7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spans="1:9" ht="15.7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spans="1:9" ht="15.7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spans="1:9" ht="15.7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spans="1:9" ht="15.7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spans="1:9" ht="15.7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spans="1:9" ht="15.7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spans="1:9" ht="15.7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spans="1:9" ht="15.7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spans="1:9" ht="15.7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spans="1:9" ht="15.7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spans="1:9" ht="15.7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spans="1:9" ht="15.7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spans="1:9" ht="15.7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spans="1:9" ht="15.7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spans="1:9" ht="15.7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spans="1:9" ht="15.7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spans="1:9" ht="15.7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spans="1:9" ht="15.7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spans="1:9" ht="15.7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spans="1:9" ht="15.7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spans="1:9" ht="15.7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spans="1:9" ht="15.7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spans="1:9" ht="15.7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spans="1:9" ht="15.7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spans="1:9" ht="15.7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spans="1:9" ht="15.7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spans="1:9" ht="15.7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spans="1:9" ht="15.7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spans="1:9" ht="15.7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spans="1:9" ht="15.7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spans="1:9" ht="15.7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spans="1:9" ht="15.7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spans="1:9" ht="15.7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spans="1:9" ht="15.7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spans="1:9" ht="15.7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spans="1:9" ht="15.7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spans="1:9" ht="15.7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spans="1:9" ht="15.7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spans="1:9" ht="15.7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spans="1:9" ht="15.7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spans="1:9" ht="15.7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spans="1:9" ht="15.7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spans="1:9" ht="15.7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spans="1:9" ht="15.7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spans="1:9" ht="15.7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spans="1:9" ht="15.7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spans="1:9" ht="15.7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spans="1:9" ht="15.7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spans="1:9" ht="15.7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spans="1:9" ht="15.7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spans="1:9" ht="15.7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spans="1:9" ht="15.7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spans="1:9" ht="15.7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spans="1:9" ht="15.7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spans="1:9" ht="15.7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spans="1:9" ht="15.7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spans="1:9" ht="15.7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spans="1:9" ht="15.7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spans="1:9" ht="15.7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spans="1:9" ht="15.7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spans="1:9" ht="15.7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spans="1:9" ht="15.7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spans="1:9" ht="15.7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spans="1:9" ht="15.7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spans="1:9" ht="15.7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spans="1:9" ht="15.7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spans="1:9" ht="15.7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spans="1:9" ht="15.7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spans="1:9" ht="15.7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spans="1:9" ht="15.7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spans="1:9" ht="15.7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spans="1:9" ht="15.7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spans="1:9" ht="15.7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spans="1:9" ht="15.7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spans="1:9" ht="15.7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spans="1:9" ht="15.7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spans="1:9" ht="15.7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spans="1:9" ht="15.7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spans="1:9" ht="15.7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spans="1:9" ht="15.7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spans="1:9" ht="15.7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spans="1:9" ht="15.7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spans="1:9" ht="15.7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spans="1:9" ht="15.7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spans="1:9" ht="15.7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spans="1:9" ht="15.7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spans="1:9" ht="15.7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spans="1:9" ht="15.7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spans="1:9" ht="15.7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spans="1:9" ht="15.7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spans="1:9" ht="15.7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spans="1:9" ht="15.7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spans="1:9" ht="15.7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spans="1:9" ht="15.7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spans="1:9" ht="15.7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spans="1:9" ht="15.7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spans="1:9" ht="15.7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spans="1:9" ht="15.7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spans="1:9" ht="15.7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spans="1:9" ht="15.7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spans="1:9" ht="15.7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spans="1:9" ht="15.7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spans="1:9" ht="15.7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spans="1:9" ht="15.7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spans="1:9" ht="15.7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spans="1:9" ht="15.7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spans="1:9" ht="15.7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spans="1:9" ht="15.7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spans="1:9" ht="15.7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spans="1:9" ht="15.7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spans="1:9" ht="15.7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spans="1:9" ht="15.7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spans="1:9" ht="15.7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spans="1:9" ht="15.7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spans="1:9" ht="15.7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spans="1:9" ht="15.7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spans="1:9" ht="15.7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spans="1:9" ht="15.7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spans="1:9" ht="15.7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spans="1:9" ht="15.7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spans="1:9" ht="15.7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spans="1:9" ht="15.7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spans="1:9" ht="15.7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spans="1:9" ht="15.7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spans="1:9" ht="15.7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spans="1:9" ht="15.7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spans="1:9" ht="15.7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spans="1:9" ht="15.7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spans="1:9" ht="15.7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spans="1:9" ht="15.7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spans="1:9" ht="15.7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spans="1:9" ht="15.7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spans="1:9" ht="15.7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spans="1:9" ht="15.7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spans="1:9" ht="15.7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spans="1:9" ht="15.7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spans="1:9" ht="15.7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spans="1:9" ht="15.7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spans="1:9" ht="15.7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spans="1:9" ht="15.7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spans="1:9" ht="15.7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spans="1:9" ht="15.7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spans="1:9" ht="15.7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spans="1:9" ht="15.7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spans="1:9" ht="15.7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spans="1:9" ht="15.7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spans="1:9" ht="15.7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spans="1:9" ht="15.7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spans="1:9" ht="15.7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spans="1:9" ht="15.7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spans="1:9" ht="15.7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spans="1:9" ht="15.7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spans="1:9" ht="15.7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spans="1:9" ht="15.7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spans="1:9" ht="15.7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spans="1:9" ht="15.7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spans="1:9" ht="15.7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spans="1:9" ht="15.7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spans="1:9" ht="15.7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spans="1:9" ht="15.7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spans="1:9" ht="15.7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spans="1:9" ht="15.7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spans="1:9" ht="15.7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spans="1:9" ht="15.7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spans="1:9" ht="15.7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spans="1:9" ht="15.7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spans="1:9" ht="15.7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spans="1:9" ht="15.7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spans="1:9" ht="15.7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spans="1:9" ht="15.7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spans="1:9" ht="15.7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spans="1:9" ht="15.7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spans="1:9" ht="15.7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spans="1:9" ht="15.7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spans="1:9" ht="15.7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spans="1:9" ht="15.7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spans="1:9" ht="15.7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spans="1:9" ht="15.7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spans="1:9" ht="15.7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spans="1:9" ht="15.7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spans="1:9" ht="15.7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spans="1:9" ht="15.7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spans="1:9" ht="15.7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spans="1:9" ht="15.7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spans="1:9" ht="15.7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spans="1:9" ht="15.7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spans="1:9" ht="15.7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spans="1:9" ht="15.7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spans="1:9" ht="15.7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spans="1:9" ht="15.7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spans="1:9" ht="15.7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spans="1:9" ht="15.7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spans="1:9" ht="15.7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spans="1:9" ht="15.7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spans="1:9" ht="15.7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spans="1:9" ht="15.7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spans="1:9" ht="15.7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spans="1:9" ht="15.7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spans="1:9" ht="15.7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spans="1:9" ht="15.7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spans="1:9" ht="15.7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spans="1:9" ht="15.7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spans="1:9" ht="15.7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spans="1:9" ht="15.7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spans="1:9" ht="15.7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spans="1:9" ht="15.7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spans="1:9" ht="15.7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spans="1:9" ht="15.7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spans="1:9" ht="15.7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spans="1:9" ht="15.7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spans="1:9" ht="15.7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spans="1:9" ht="15.7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spans="1:9" ht="15.7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spans="1:9" ht="15.7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spans="1:9" ht="15.7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spans="1:9" ht="15.7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spans="1:9" ht="15.7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spans="1:9" ht="15.7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spans="1:9" ht="15.7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spans="1:9" ht="15.7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spans="1:9" ht="15.7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spans="1:9" ht="15.7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spans="1:9" ht="15.7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spans="1:9" ht="15.7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spans="1:9" ht="15.7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spans="1:9" ht="15.7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spans="1:9" ht="15.7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spans="1:9" ht="15.7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spans="1:9" ht="15.7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spans="1:9" ht="15.7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spans="1:9" ht="15.7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spans="1:9" ht="15.7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spans="1:9" ht="15.7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spans="1:9" ht="15.7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spans="1:9" ht="15.7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spans="1:9" ht="15.7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spans="1:9" ht="15.7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spans="1:9" ht="15.7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spans="1:9" ht="15.7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spans="1:9" ht="15.7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spans="1:9" ht="15.7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spans="1:9" ht="15.7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spans="1:9" ht="15.7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spans="1:9" ht="15.7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spans="1:9" ht="15.7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spans="1:9" ht="15.7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spans="1:9" ht="15.7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spans="1:9" ht="15.7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spans="1:9" ht="15.7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spans="1:9" ht="15.7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spans="1:9" ht="15.7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spans="1:9" ht="15.7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spans="1:9" ht="15.7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spans="1:9" ht="15.7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spans="1:9" ht="15.7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spans="1:9" ht="15.7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spans="1:9" ht="15.7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spans="1:9" ht="15.7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spans="1:9" ht="15.7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spans="1:9" ht="15.7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spans="1:9" ht="15.7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spans="1:9" ht="15.7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spans="1:9" ht="15.7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spans="1:9" ht="15.7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spans="1:9" ht="15.7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spans="1:9" ht="15.7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spans="1:9" ht="15.7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spans="1:9" ht="15.7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spans="1:9" ht="15.7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spans="1:9" ht="15.7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spans="1:9" ht="15.7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spans="1:9" ht="15.7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spans="1:9" ht="15.7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spans="1:9" ht="15.7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spans="1:9" ht="15.7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spans="1:9" ht="15.7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spans="1:9" ht="15.7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spans="1:9" ht="15.7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spans="1:9" ht="15.7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spans="1:9" ht="15.7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spans="1:9" ht="15.7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spans="1:9" ht="15.7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spans="1:9" ht="15.7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spans="1:9" ht="15.7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spans="1:9" ht="15.7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spans="1:9" ht="15.7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spans="1:9" ht="15.7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spans="1:9" ht="15.7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spans="1:9" ht="15.7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spans="1:9" ht="15.7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spans="1:9" ht="15.7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spans="1:9" ht="15.7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spans="1:9" ht="15.7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spans="1:9" ht="15.7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spans="1:9" ht="15.7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spans="1:9" ht="15.7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spans="1:9" ht="15.7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spans="1:9" ht="15.7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spans="1:9" ht="15.7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spans="1:9" ht="15.7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spans="1:9" ht="15.7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spans="1:9" ht="15.7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spans="1:9" ht="15.7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spans="1:9" ht="15.7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spans="1:9" ht="15.7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spans="1:9" ht="15.7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spans="1:9" ht="15.7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spans="1:9" ht="15.7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spans="1:9" ht="15.7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spans="1:9" ht="15.7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spans="1:9" ht="15.7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spans="1:9" ht="15.7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spans="1:9" ht="15.7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spans="1:9" ht="15.7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spans="1:9" ht="15.7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spans="1:9" ht="15.7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spans="1:9" ht="15.7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spans="1:9" ht="15.7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spans="1:9" ht="15.7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spans="1:9" ht="15.7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spans="1:9" ht="15.7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spans="1:9" ht="15.7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spans="1:9" ht="15.7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spans="1:9" ht="15.7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spans="1:9" ht="15.7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spans="1:9" ht="15.7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spans="1:9" ht="15.7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spans="1:9" ht="15.7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spans="1:9" ht="15.7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spans="1:9" ht="15.7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spans="1:9" ht="15.7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spans="1:9" ht="15.7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spans="1:9" ht="15.7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spans="1:9" ht="15.7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spans="1:9" ht="15.7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spans="1:9" ht="15.7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spans="1:9" ht="15.7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spans="1:9" ht="15.7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spans="1:9" ht="15.7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spans="1:9" ht="15.7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spans="1:9" ht="15.7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spans="1:9" ht="15.7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spans="1:9" ht="15.7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spans="1:9" ht="15.7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spans="1:9" ht="15.7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spans="1:9" ht="15.7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spans="1:9" ht="15.7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spans="1:9" ht="15.7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spans="1:9" ht="15.7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spans="1:9" ht="15.7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spans="1:9" ht="15.7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spans="1:9" ht="15.7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spans="1:9" ht="15.7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spans="1:9" ht="15.7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spans="1:9" ht="15.7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spans="1:9" ht="15.7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spans="1:9" ht="15.7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spans="1:9" ht="15.7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spans="1:9" ht="15.7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spans="1:9" ht="15.7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spans="1:9" ht="15.7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spans="1:9" ht="15.7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spans="1:9" ht="15.7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spans="1:9" ht="15.7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spans="1:9" ht="15.7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spans="1:9" ht="15.7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spans="1:9" ht="15.7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spans="1:9" ht="15.7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spans="1:9" ht="15.7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spans="1:9" ht="15.7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spans="1:9" ht="15.7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spans="1:9" ht="15.7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spans="1:9" ht="15.7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spans="1:9" ht="15.7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spans="1:9" ht="15.7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spans="1:9" ht="15.7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spans="1:9" ht="15.7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spans="1:9" ht="15.7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spans="1:9" ht="15.7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spans="1:9" ht="15.7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spans="1:9" ht="15.7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spans="1:9" ht="15.7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spans="1:9" ht="15.7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spans="1:9" ht="15.7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spans="1:9" ht="15.7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spans="1:9" ht="15.7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spans="1:9" ht="15.7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spans="1:9" ht="15.7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spans="1:9" ht="15.7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spans="1:9" ht="15.7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spans="1:9" ht="15.7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spans="1:9" ht="15.7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spans="1:9" ht="15.7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spans="1:9" ht="15.7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spans="1:9" ht="15.7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spans="1:9" ht="15.7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spans="1:9" ht="15.7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spans="1:9" ht="15.7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spans="1:9" ht="15.7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spans="1:9" ht="15.7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spans="1:9" ht="15.7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spans="1:9" ht="15.7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spans="1:9" ht="15.7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spans="1:9" ht="15.7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spans="1:9" ht="15.7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spans="1:9" ht="15.7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spans="1:9" ht="15.7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spans="1:9" ht="15.7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spans="1:9" ht="15.7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spans="1:9" ht="15.7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spans="1:9" ht="15.7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spans="1:9" ht="15.7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spans="1:9" ht="15.7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spans="1:9" ht="15.7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spans="1:9" ht="15.7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spans="1:9" ht="15.7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spans="1:9" ht="15.7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spans="1:9" ht="15.7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spans="1:9" ht="15.7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spans="1:9" ht="15.7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spans="1:9" ht="15.7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spans="1:9" ht="15.7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spans="1:9" ht="15.7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spans="1:9" ht="15.7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spans="1:9" ht="15.7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spans="1:9" ht="15.7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spans="1:9" ht="15.7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spans="1:9" ht="15.7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spans="1:9" ht="15.7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spans="1:9" ht="15.7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spans="1:9" ht="15.7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spans="1:9" ht="15.7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spans="1:9" ht="15.7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spans="1:9" ht="15.7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spans="1:9" ht="15.7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spans="1:9" ht="15.7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spans="1:9" ht="15.7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spans="1:9" ht="15.7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spans="1:9" ht="15.7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spans="1:9" ht="15.7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spans="1:9" ht="15.7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spans="1:9" ht="15.7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spans="1:9" ht="15.7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spans="1:9" ht="15.7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spans="1:9" ht="15.7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spans="1:9" ht="15.7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spans="1:9" ht="15.7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spans="1:9" ht="15.7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spans="1:9" ht="15.7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spans="1:9" ht="15.7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spans="1:9" ht="15.7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spans="1:9" ht="15.7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spans="1:9" ht="15.7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spans="1:9" ht="15.7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spans="1:9" ht="15.7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spans="1:9" ht="15.7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spans="1:9" ht="15.7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spans="1:9" ht="15.7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spans="1:9" ht="15.7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spans="1:9" ht="15.7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spans="1:9" ht="15.7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spans="1:9" ht="15.7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spans="1:9" ht="15.7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spans="1:9" ht="15.7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spans="1:9" ht="15.7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spans="1:9" ht="15.7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spans="1:9" ht="15.7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spans="1:9" ht="15.7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spans="1:9" ht="15.7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spans="1:9" ht="15.7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spans="1:9" ht="15.7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spans="1:9" ht="15.7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spans="1:9" ht="15.7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spans="1:9" ht="15.7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spans="1:9" ht="15.7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spans="1:9" ht="15.7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spans="1:9" ht="15.7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spans="1:9" ht="15.7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spans="1:9" ht="15.7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spans="1:9" ht="15.7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spans="1:9" ht="15.7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spans="1:9" ht="15.7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spans="1:9" ht="15.7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spans="1:9" ht="15.7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spans="1:9" ht="15.7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spans="1:9" ht="15.7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spans="1:9" ht="15.7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spans="1:9" ht="15.7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spans="1:9" ht="15.7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spans="1:9" ht="15.7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spans="1:9" ht="15.7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spans="1:9" ht="15.7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spans="1:9" ht="15.7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spans="1:9" ht="15.7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spans="1:9" ht="15.7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spans="1:9" ht="15.7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spans="1:9" ht="15.7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spans="1:9" ht="15.7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spans="1:9" ht="15.7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spans="1:9" ht="15.7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spans="1:9" ht="15.7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spans="1:9" ht="15.7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spans="1:9" ht="15.7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spans="1:9" ht="15.7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spans="1:9" ht="15.7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spans="1:9" ht="15.7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spans="1:9" ht="15.7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spans="1:9" ht="15.7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spans="1:9" ht="15.7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spans="1:9" ht="15.7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spans="1:9" ht="15.7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spans="1:9" ht="15.7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spans="1:9" ht="15.7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spans="1:9" ht="15.7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spans="1:9" ht="15.7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spans="1:9" ht="15.7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spans="1:9" ht="15.7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spans="1:9" ht="15.7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spans="1:9" ht="15.7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spans="1:9" ht="15.7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spans="1:9" ht="15.7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spans="1:9" ht="15.7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spans="1:9" ht="15.7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spans="1:9" ht="15.7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spans="1:9" ht="15.7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spans="1:9" ht="15.7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spans="1:9" ht="15.7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spans="1:9" ht="15.7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spans="1:9" ht="15.7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spans="1:9" ht="15.7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spans="1:9" ht="15.7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spans="1:9" ht="15.7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spans="1:9" ht="15.7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spans="1:9" ht="15.7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spans="1:9" ht="15.7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spans="1:9" ht="15.7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spans="1:9" ht="15.7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spans="1:9" ht="15.7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spans="1:9" ht="15.7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spans="1:9" ht="15.7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spans="1:9" ht="15.7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spans="1:9" ht="15.7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spans="1:9" ht="15.7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spans="1:9" ht="15.7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spans="1:9" ht="15.7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spans="1:9" ht="15.7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spans="1:9" ht="15.7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spans="1:9" ht="15.7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spans="1:9" ht="15.7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spans="1:9" ht="15.7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spans="1:9" ht="15.7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spans="1:9" ht="15.7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spans="1:9" ht="15.7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spans="1:9" ht="15.7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spans="1:9" ht="15.7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spans="1:9" ht="15.7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spans="1:9" ht="15.7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spans="1:9" ht="15.7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spans="1:9" ht="15.7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spans="1:9" ht="15.7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spans="1:9" ht="15.7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spans="1:9" ht="15.7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spans="1:9" ht="15.7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spans="1:9" ht="15.7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spans="1:9" ht="15.7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spans="1:9" ht="15.7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spans="1:9" ht="15.7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spans="1:9" ht="15.7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spans="1:9" ht="15.7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spans="1:9" ht="15.7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spans="1:9" ht="15.7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spans="1:9" ht="15.7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spans="1:9" ht="15.7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spans="1:9" ht="15.7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spans="1:9" ht="15.7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spans="1:9" ht="15.7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spans="1:9" ht="15.7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spans="1:9" ht="15.7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spans="1:9" ht="15.7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spans="1:9" ht="15.7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spans="1:9" ht="15.7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spans="1:9" ht="15.7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spans="1:9" ht="15.7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spans="1:9" ht="15.7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spans="1:9" ht="15.7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spans="1:9" ht="15.7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spans="1:9" ht="15.7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spans="1:9" ht="15.7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spans="1:9" ht="15.7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spans="1:9" ht="15.7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spans="1:9" ht="15.7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spans="1:9" ht="15.7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spans="1:9" ht="15.7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spans="1:9" ht="15.7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spans="1:9" ht="15.7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spans="1:9" ht="15.7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spans="1:9" ht="15.7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spans="1:9" ht="15.7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spans="1:9" ht="15.7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spans="1:9" ht="15.7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spans="1:9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mergeCells count="11">
    <mergeCell ref="A16:A20"/>
    <mergeCell ref="A21:A24"/>
    <mergeCell ref="A25:A29"/>
    <mergeCell ref="A30:A36"/>
    <mergeCell ref="A1:F2"/>
    <mergeCell ref="A3:B3"/>
    <mergeCell ref="C3:C4"/>
    <mergeCell ref="D3:D4"/>
    <mergeCell ref="F3:F4"/>
    <mergeCell ref="A5:A10"/>
    <mergeCell ref="A11:A15"/>
  </mergeCells>
  <phoneticPr fontId="30" type="noConversion"/>
  <pageMargins left="0.25" right="0.25" top="0.75" bottom="0.75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32" customWidth="1"/>
    <col min="3" max="3" width="91" customWidth="1"/>
    <col min="4" max="4" width="13.5703125" customWidth="1"/>
    <col min="5" max="5" width="14.7109375" customWidth="1"/>
    <col min="6" max="6" width="18.140625" customWidth="1"/>
    <col min="7" max="7" width="15.5703125" customWidth="1"/>
    <col min="8" max="26" width="10.140625" customWidth="1"/>
  </cols>
  <sheetData>
    <row r="1" spans="1:26" ht="16.5" customHeight="1">
      <c r="A1" s="737" t="s">
        <v>845</v>
      </c>
      <c r="B1" s="613"/>
      <c r="C1" s="613"/>
      <c r="D1" s="613"/>
      <c r="E1" s="613"/>
      <c r="F1" s="55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613"/>
      <c r="B2" s="613"/>
      <c r="C2" s="613"/>
      <c r="D2" s="613"/>
      <c r="E2" s="613"/>
      <c r="F2" s="55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743" t="s">
        <v>846</v>
      </c>
      <c r="B3" s="738" t="s">
        <v>8</v>
      </c>
      <c r="C3" s="739" t="s">
        <v>9</v>
      </c>
      <c r="D3" s="678" t="s">
        <v>462</v>
      </c>
      <c r="E3" s="688" t="s">
        <v>585</v>
      </c>
      <c r="F3" s="688" t="s">
        <v>847</v>
      </c>
      <c r="G3" s="688" t="s">
        <v>848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06"/>
      <c r="B4" s="606"/>
      <c r="C4" s="621"/>
      <c r="D4" s="636"/>
      <c r="E4" s="601"/>
      <c r="F4" s="621"/>
      <c r="G4" s="62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744">
        <v>1</v>
      </c>
      <c r="B5" s="745" t="s">
        <v>849</v>
      </c>
      <c r="C5" s="580" t="s">
        <v>850</v>
      </c>
      <c r="D5" s="581"/>
      <c r="E5" s="582"/>
      <c r="F5" s="583"/>
      <c r="G5" s="58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605"/>
      <c r="B6" s="605"/>
      <c r="C6" s="585" t="s">
        <v>851</v>
      </c>
      <c r="D6" s="581"/>
      <c r="E6" s="586"/>
      <c r="F6" s="552"/>
      <c r="G6" s="58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5"/>
      <c r="B7" s="605"/>
      <c r="C7" s="585" t="s">
        <v>852</v>
      </c>
      <c r="D7" s="581">
        <f t="shared" ref="D7:D39" si="0">E7*2-1000</f>
        <v>457000</v>
      </c>
      <c r="E7" s="586">
        <v>229000</v>
      </c>
      <c r="F7" s="552"/>
      <c r="G7" s="58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605"/>
      <c r="B8" s="605"/>
      <c r="C8" s="585" t="s">
        <v>853</v>
      </c>
      <c r="D8" s="581">
        <f t="shared" si="0"/>
        <v>797000</v>
      </c>
      <c r="E8" s="586">
        <v>399000</v>
      </c>
      <c r="F8" s="552"/>
      <c r="G8" s="58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605"/>
      <c r="B9" s="605"/>
      <c r="C9" s="585" t="s">
        <v>854</v>
      </c>
      <c r="D9" s="581">
        <f t="shared" si="0"/>
        <v>1297000</v>
      </c>
      <c r="E9" s="586">
        <v>649000</v>
      </c>
      <c r="F9" s="552"/>
      <c r="G9" s="58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>
      <c r="A10" s="605"/>
      <c r="B10" s="605"/>
      <c r="C10" s="585" t="s">
        <v>855</v>
      </c>
      <c r="D10" s="581">
        <f t="shared" si="0"/>
        <v>1157000</v>
      </c>
      <c r="E10" s="586">
        <v>579000</v>
      </c>
      <c r="F10" s="552"/>
      <c r="G10" s="58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605"/>
      <c r="B11" s="605"/>
      <c r="C11" s="585" t="s">
        <v>856</v>
      </c>
      <c r="D11" s="581">
        <f t="shared" si="0"/>
        <v>1897000</v>
      </c>
      <c r="E11" s="586">
        <v>949000</v>
      </c>
      <c r="F11" s="552"/>
      <c r="G11" s="58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605"/>
      <c r="B12" s="605"/>
      <c r="C12" s="585" t="s">
        <v>857</v>
      </c>
      <c r="D12" s="581">
        <f t="shared" si="0"/>
        <v>897000</v>
      </c>
      <c r="E12" s="586">
        <v>449000</v>
      </c>
      <c r="F12" s="575"/>
      <c r="G12" s="58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06"/>
      <c r="B13" s="606"/>
      <c r="C13" s="587" t="s">
        <v>858</v>
      </c>
      <c r="D13" s="588">
        <f t="shared" si="0"/>
        <v>2197000</v>
      </c>
      <c r="E13" s="589">
        <v>1099000</v>
      </c>
      <c r="F13" s="583"/>
      <c r="G13" s="58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689">
        <v>2</v>
      </c>
      <c r="B14" s="740" t="s">
        <v>859</v>
      </c>
      <c r="C14" s="590" t="s">
        <v>860</v>
      </c>
      <c r="D14" s="591">
        <f t="shared" si="0"/>
        <v>197000</v>
      </c>
      <c r="E14" s="591">
        <v>99000</v>
      </c>
      <c r="F14" s="552"/>
      <c r="G14" s="58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605"/>
      <c r="B15" s="605"/>
      <c r="C15" s="592" t="s">
        <v>861</v>
      </c>
      <c r="D15" s="581">
        <f t="shared" si="0"/>
        <v>77000</v>
      </c>
      <c r="E15" s="581">
        <v>39000</v>
      </c>
      <c r="F15" s="552"/>
      <c r="G15" s="58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605"/>
      <c r="B16" s="605"/>
      <c r="C16" s="592" t="s">
        <v>862</v>
      </c>
      <c r="D16" s="581">
        <f t="shared" si="0"/>
        <v>197000</v>
      </c>
      <c r="E16" s="581">
        <v>99000</v>
      </c>
      <c r="F16" s="552"/>
      <c r="G16" s="58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605"/>
      <c r="B17" s="605"/>
      <c r="C17" s="592" t="s">
        <v>863</v>
      </c>
      <c r="D17" s="581">
        <f t="shared" si="0"/>
        <v>117000</v>
      </c>
      <c r="E17" s="581">
        <v>59000</v>
      </c>
      <c r="F17" s="552"/>
      <c r="G17" s="58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605"/>
      <c r="B18" s="605"/>
      <c r="C18" s="593" t="s">
        <v>864</v>
      </c>
      <c r="D18" s="581">
        <f t="shared" si="0"/>
        <v>837000</v>
      </c>
      <c r="E18" s="581">
        <v>419000</v>
      </c>
      <c r="F18" s="552"/>
      <c r="G18" s="58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05"/>
      <c r="B19" s="605"/>
      <c r="C19" s="593" t="s">
        <v>865</v>
      </c>
      <c r="D19" s="581">
        <f t="shared" si="0"/>
        <v>437000</v>
      </c>
      <c r="E19" s="581">
        <v>219000</v>
      </c>
      <c r="F19" s="552"/>
      <c r="G19" s="58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606"/>
      <c r="B20" s="606"/>
      <c r="C20" s="594" t="s">
        <v>866</v>
      </c>
      <c r="D20" s="588">
        <f t="shared" si="0"/>
        <v>317000</v>
      </c>
      <c r="E20" s="588">
        <v>159000</v>
      </c>
      <c r="F20" s="552"/>
      <c r="G20" s="58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89">
        <v>3</v>
      </c>
      <c r="B21" s="740" t="s">
        <v>867</v>
      </c>
      <c r="C21" s="590" t="s">
        <v>868</v>
      </c>
      <c r="D21" s="591">
        <f t="shared" si="0"/>
        <v>717000</v>
      </c>
      <c r="E21" s="591">
        <v>359000</v>
      </c>
      <c r="F21" s="552"/>
      <c r="G21" s="58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605"/>
      <c r="B22" s="605"/>
      <c r="C22" s="593" t="s">
        <v>869</v>
      </c>
      <c r="D22" s="581">
        <f t="shared" si="0"/>
        <v>1157000</v>
      </c>
      <c r="E22" s="581">
        <v>579000</v>
      </c>
      <c r="F22" s="552"/>
      <c r="G22" s="58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605"/>
      <c r="B23" s="605"/>
      <c r="C23" s="593" t="s">
        <v>870</v>
      </c>
      <c r="D23" s="581">
        <f t="shared" si="0"/>
        <v>797000</v>
      </c>
      <c r="E23" s="581">
        <v>399000</v>
      </c>
      <c r="F23" s="552"/>
      <c r="G23" s="58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606"/>
      <c r="B24" s="606"/>
      <c r="C24" s="595" t="s">
        <v>871</v>
      </c>
      <c r="D24" s="588">
        <f t="shared" si="0"/>
        <v>1779000</v>
      </c>
      <c r="E24" s="588">
        <v>890000</v>
      </c>
      <c r="F24" s="552"/>
      <c r="G24" s="58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689">
        <v>4</v>
      </c>
      <c r="B25" s="740" t="s">
        <v>872</v>
      </c>
      <c r="C25" s="596" t="s">
        <v>835</v>
      </c>
      <c r="D25" s="591">
        <f t="shared" si="0"/>
        <v>177000</v>
      </c>
      <c r="E25" s="591">
        <v>89000</v>
      </c>
      <c r="F25" s="552"/>
      <c r="G25" s="58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605"/>
      <c r="B26" s="605"/>
      <c r="C26" s="593" t="s">
        <v>873</v>
      </c>
      <c r="D26" s="581">
        <f t="shared" si="0"/>
        <v>1497000</v>
      </c>
      <c r="E26" s="581">
        <v>749000</v>
      </c>
      <c r="F26" s="552"/>
      <c r="G26" s="58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605"/>
      <c r="B27" s="605"/>
      <c r="C27" s="593" t="s">
        <v>874</v>
      </c>
      <c r="D27" s="581">
        <f t="shared" si="0"/>
        <v>257000</v>
      </c>
      <c r="E27" s="581">
        <v>129000</v>
      </c>
      <c r="F27" s="552"/>
      <c r="G27" s="58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606"/>
      <c r="B28" s="606"/>
      <c r="C28" s="595" t="s">
        <v>750</v>
      </c>
      <c r="D28" s="588">
        <f t="shared" si="0"/>
        <v>197000</v>
      </c>
      <c r="E28" s="588">
        <v>99000</v>
      </c>
      <c r="F28" s="552"/>
      <c r="G28" s="58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689">
        <v>5</v>
      </c>
      <c r="B29" s="741" t="s">
        <v>875</v>
      </c>
      <c r="C29" s="590" t="s">
        <v>876</v>
      </c>
      <c r="D29" s="591">
        <f t="shared" si="0"/>
        <v>317000</v>
      </c>
      <c r="E29" s="591">
        <v>159000</v>
      </c>
      <c r="F29" s="552"/>
      <c r="G29" s="58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05"/>
      <c r="B30" s="605"/>
      <c r="C30" s="592" t="s">
        <v>877</v>
      </c>
      <c r="D30" s="581">
        <f t="shared" si="0"/>
        <v>417000</v>
      </c>
      <c r="E30" s="581">
        <v>209000</v>
      </c>
      <c r="F30" s="552"/>
      <c r="G30" s="58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605"/>
      <c r="B31" s="605"/>
      <c r="C31" s="592" t="s">
        <v>878</v>
      </c>
      <c r="D31" s="581">
        <f t="shared" si="0"/>
        <v>777000</v>
      </c>
      <c r="E31" s="581">
        <v>389000</v>
      </c>
      <c r="F31" s="552"/>
      <c r="G31" s="58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606"/>
      <c r="B32" s="636"/>
      <c r="C32" s="594" t="s">
        <v>879</v>
      </c>
      <c r="D32" s="588">
        <f t="shared" si="0"/>
        <v>77000</v>
      </c>
      <c r="E32" s="588">
        <v>39000</v>
      </c>
      <c r="F32" s="552"/>
      <c r="G32" s="58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689">
        <v>6</v>
      </c>
      <c r="B33" s="742" t="s">
        <v>880</v>
      </c>
      <c r="C33" s="597" t="s">
        <v>881</v>
      </c>
      <c r="D33" s="591">
        <f t="shared" si="0"/>
        <v>797000</v>
      </c>
      <c r="E33" s="598">
        <v>399000</v>
      </c>
      <c r="F33" s="552"/>
      <c r="G33" s="58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605"/>
      <c r="B34" s="605"/>
      <c r="C34" s="580" t="s">
        <v>882</v>
      </c>
      <c r="D34" s="581">
        <f t="shared" si="0"/>
        <v>157000</v>
      </c>
      <c r="E34" s="582">
        <v>79000</v>
      </c>
      <c r="F34" s="552"/>
      <c r="G34" s="58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605"/>
      <c r="B35" s="605"/>
      <c r="C35" s="585" t="s">
        <v>806</v>
      </c>
      <c r="D35" s="581">
        <f t="shared" si="0"/>
        <v>77000</v>
      </c>
      <c r="E35" s="586">
        <v>39000</v>
      </c>
      <c r="F35" s="552"/>
      <c r="G35" s="58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605"/>
      <c r="B36" s="605"/>
      <c r="C36" s="585" t="s">
        <v>883</v>
      </c>
      <c r="D36" s="581">
        <f t="shared" si="0"/>
        <v>157000</v>
      </c>
      <c r="E36" s="586">
        <v>79000</v>
      </c>
      <c r="F36" s="552"/>
      <c r="G36" s="58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05"/>
      <c r="B37" s="605"/>
      <c r="C37" s="580" t="s">
        <v>884</v>
      </c>
      <c r="D37" s="581">
        <f t="shared" si="0"/>
        <v>197000</v>
      </c>
      <c r="E37" s="582">
        <v>99000</v>
      </c>
      <c r="F37" s="552"/>
      <c r="G37" s="58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05"/>
      <c r="B38" s="605"/>
      <c r="C38" s="585" t="s">
        <v>885</v>
      </c>
      <c r="D38" s="581">
        <f t="shared" si="0"/>
        <v>177000</v>
      </c>
      <c r="E38" s="586">
        <v>89000</v>
      </c>
      <c r="F38" s="552"/>
      <c r="G38" s="58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606"/>
      <c r="B39" s="606"/>
      <c r="C39" s="587" t="s">
        <v>886</v>
      </c>
      <c r="D39" s="588">
        <f t="shared" si="0"/>
        <v>97000</v>
      </c>
      <c r="E39" s="589">
        <v>49000</v>
      </c>
      <c r="F39" s="552"/>
      <c r="G39" s="58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599"/>
      <c r="D40" s="1"/>
      <c r="E40" s="1"/>
      <c r="F40" s="5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55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55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55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55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55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55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55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5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55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55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55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5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55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5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55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55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55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55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55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58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55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55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55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55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55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5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5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55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55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55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55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55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55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55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55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55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5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5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55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55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55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55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5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5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55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5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55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5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55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55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5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55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55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55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5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55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5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5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55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5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55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55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55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5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55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55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55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55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5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55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5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5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5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55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5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5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55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55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55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55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55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55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55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55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55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5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55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55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55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55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55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55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55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55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55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55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55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55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55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55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55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55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55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55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55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55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55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55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55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55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55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55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55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55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55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55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55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55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55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55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55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55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55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55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55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55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55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55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55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55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55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55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55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55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55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55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5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5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55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55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55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55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55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55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55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5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55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55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5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5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55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55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55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5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55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55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5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55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55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55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5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5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55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55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55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55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55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5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5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55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55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5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55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55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55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55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55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55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55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55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55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55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55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55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55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55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55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55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55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55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55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55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55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55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55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55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55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55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55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20">
    <mergeCell ref="A33:A39"/>
    <mergeCell ref="B33:B39"/>
    <mergeCell ref="A3:A4"/>
    <mergeCell ref="A5:A13"/>
    <mergeCell ref="B5:B13"/>
    <mergeCell ref="A14:A20"/>
    <mergeCell ref="B14:B20"/>
    <mergeCell ref="A21:A24"/>
    <mergeCell ref="B21:B24"/>
    <mergeCell ref="F3:F4"/>
    <mergeCell ref="G3:G4"/>
    <mergeCell ref="A25:A28"/>
    <mergeCell ref="B25:B28"/>
    <mergeCell ref="A29:A32"/>
    <mergeCell ref="B29:B32"/>
    <mergeCell ref="A1:E2"/>
    <mergeCell ref="B3:B4"/>
    <mergeCell ref="C3:C4"/>
    <mergeCell ref="D3:D4"/>
    <mergeCell ref="E3:E4"/>
  </mergeCells>
  <phoneticPr fontId="30" type="noConversion"/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2026.7</vt:lpstr>
      <vt:lpstr>2026.6</vt:lpstr>
      <vt:lpstr>2026.5</vt:lpstr>
      <vt:lpstr>2026.4</vt:lpstr>
      <vt:lpstr>2026.3</vt:lpstr>
      <vt:lpstr>2026.2</vt:lpstr>
      <vt:lpstr>2026.1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  <vt:lpstr>2025.03</vt:lpstr>
      <vt:lpstr>2025.02</vt:lpstr>
      <vt:lpstr>2025.01</vt:lpstr>
      <vt:lpstr>2024.12</vt:lpstr>
      <vt:lpstr>2024.11</vt:lpstr>
      <vt:lpstr>2024.10</vt:lpstr>
      <vt:lpstr>2024.09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WhatsLifeStudio</dc:creator>
  <cp:lastModifiedBy>석환 박</cp:lastModifiedBy>
  <dcterms:created xsi:type="dcterms:W3CDTF">2025-11-13T04:30:22Z</dcterms:created>
  <dcterms:modified xsi:type="dcterms:W3CDTF">2026-06-17T06:57:21Z</dcterms:modified>
</cp:coreProperties>
</file>