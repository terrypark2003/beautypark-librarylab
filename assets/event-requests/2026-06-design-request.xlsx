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.6" sheetId="1" r:id="rId4"/>
    <sheet state="visible" name="2026.5" sheetId="2" r:id="rId5"/>
    <sheet state="visible" name="2026.4" sheetId="3" r:id="rId6"/>
    <sheet state="visible" name="2026.3" sheetId="4" r:id="rId7"/>
    <sheet state="visible" name="2026.2" sheetId="5" r:id="rId8"/>
    <sheet state="visible" name="2026.1" sheetId="6" r:id="rId9"/>
    <sheet state="visible" name="2025.12" sheetId="7" r:id="rId10"/>
    <sheet state="visible" name="2025.11" sheetId="8" r:id="rId11"/>
    <sheet state="visible" name="2025.10" sheetId="9" r:id="rId12"/>
    <sheet state="visible" name="2025.09" sheetId="10" r:id="rId13"/>
    <sheet state="visible" name="2025.08" sheetId="11" r:id="rId14"/>
    <sheet state="visible" name="2025.07" sheetId="12" r:id="rId15"/>
    <sheet state="visible" name="2025.06" sheetId="13" r:id="rId16"/>
    <sheet state="visible" name="2025.05" sheetId="14" r:id="rId17"/>
    <sheet state="visible" name="2025.04" sheetId="15" r:id="rId18"/>
    <sheet state="visible" name="2025.03" sheetId="16" r:id="rId19"/>
    <sheet state="visible" name="2025.02" sheetId="17" r:id="rId20"/>
    <sheet state="visible" name="2025.01" sheetId="18" r:id="rId21"/>
    <sheet state="visible" name="2024.12" sheetId="19" r:id="rId22"/>
    <sheet state="visible" name="2024.11" sheetId="20" r:id="rId23"/>
    <sheet state="visible" name="2024.10" sheetId="21" r:id="rId24"/>
    <sheet state="visible" name="2024.09" sheetId="22" r:id="rId25"/>
  </sheets>
  <definedNames>
    <definedName localSheetId="17" name="Home">#REF!</definedName>
    <definedName localSheetId="14" name="사유">#REF!</definedName>
    <definedName name="매체">#REF!</definedName>
    <definedName localSheetId="10" name="___PNT2">#REF!</definedName>
    <definedName localSheetId="21" name="팀">#REF!</definedName>
    <definedName localSheetId="18" name="_PNT4">#REF!</definedName>
    <definedName localSheetId="18" name="수정">#REF!</definedName>
    <definedName localSheetId="21" name="ㅇㄹㄷㅈㄹ">#REF!</definedName>
    <definedName localSheetId="15" name="ㄷㄹㄷㅈㄹ">#REF!</definedName>
    <definedName localSheetId="15" name="__PNT1">#REF!</definedName>
    <definedName localSheetId="15" name="월">#REF!</definedName>
    <definedName localSheetId="17" name="서울5">#REF!</definedName>
    <definedName localSheetId="11" name="KEY">#REF!</definedName>
    <definedName localSheetId="15" name="Growth">#REF!</definedName>
    <definedName localSheetId="9" name="인천3">#REF!</definedName>
    <definedName localSheetId="8" name="_Dist_Values">#REF!</definedName>
    <definedName name="__PNT1">#REF!</definedName>
    <definedName localSheetId="14" name="_PNT4">#REF!</definedName>
    <definedName name="타겟팅자료1">#REF!</definedName>
    <definedName localSheetId="11" name="이백">#REF!</definedName>
    <definedName localSheetId="19" name="사유">#REF!</definedName>
    <definedName localSheetId="18" name="Growth">#REF!</definedName>
    <definedName localSheetId="12" name="tag">#REF!</definedName>
    <definedName localSheetId="16" name="조명광고">#REF!</definedName>
    <definedName localSheetId="12" name="s">#REF!</definedName>
    <definedName localSheetId="14" name="stations_old">#REF!</definedName>
    <definedName localSheetId="18" name="ㅇㅇㅇ">#REF!</definedName>
    <definedName name="PRINTGO">#REF!</definedName>
    <definedName localSheetId="19" name="stations_old">#REF!</definedName>
    <definedName localSheetId="10" name="등급">#REF!</definedName>
    <definedName localSheetId="16" name="pessimistic">#REF!</definedName>
    <definedName localSheetId="11" name="___PNT2">#REF!</definedName>
    <definedName localSheetId="9" name="DATA2">#REF!</definedName>
    <definedName name="팀">#REF!</definedName>
    <definedName localSheetId="17" name="_PNT2">#REF!</definedName>
    <definedName name="전북">#REF!</definedName>
    <definedName localSheetId="15" name="_PNT3">#REF!</definedName>
    <definedName localSheetId="11" name="라인독점">#REF!</definedName>
    <definedName localSheetId="8" name="NEW">#REF!</definedName>
    <definedName localSheetId="8" name="___PNT3">#REF!</definedName>
    <definedName localSheetId="17" name="이소영">#REF!</definedName>
    <definedName localSheetId="17" name="WHAT">#REF!</definedName>
    <definedName localSheetId="17" name="회계매출1">#REF!</definedName>
    <definedName localSheetId="18" name="라인독점">#REF!</definedName>
    <definedName localSheetId="19" name="회계매출1">#REF!</definedName>
    <definedName localSheetId="15" name="D">#REF!</definedName>
    <definedName localSheetId="12" name="사유">#REF!</definedName>
    <definedName localSheetId="16" name="팀">#REF!</definedName>
    <definedName localSheetId="19" name="ZA">#REF!</definedName>
    <definedName localSheetId="15" name="프로그램명">#REF!</definedName>
    <definedName localSheetId="19" name="SHEET_2">#REF!</definedName>
    <definedName localSheetId="10" name="올레">#REF!</definedName>
    <definedName localSheetId="18" name="___PNT3">#REF!</definedName>
    <definedName localSheetId="12" name="_PNT3">#REF!</definedName>
    <definedName localSheetId="11" name="Criteria_MI">#REF!</definedName>
    <definedName localSheetId="21" name="대구">#REF!</definedName>
    <definedName localSheetId="19" name="OF">#REF!</definedName>
    <definedName localSheetId="11" name="SHEET_3">#REF!</definedName>
    <definedName localSheetId="9" name="매체">#REF!</definedName>
    <definedName localSheetId="13" name="SHEET_1">#REF!</definedName>
    <definedName localSheetId="17" name="s">#REF!</definedName>
    <definedName localSheetId="19" name="_PNT1">#REF!</definedName>
    <definedName localSheetId="12" name="타겟팅자료1">#REF!</definedName>
    <definedName localSheetId="13" name="ROW">#REF!</definedName>
    <definedName localSheetId="13" name="서울1">#REF!</definedName>
    <definedName localSheetId="17" name="서울1">#REF!</definedName>
    <definedName localSheetId="11" name="수정">#REF!</definedName>
    <definedName localSheetId="11" name="ㄷㄹㄷㅈㄹ">#REF!</definedName>
    <definedName localSheetId="18" name="초수">#REF!</definedName>
    <definedName localSheetId="17" name="프로그램명">#REF!</definedName>
    <definedName localSheetId="18" name="OF">#REF!</definedName>
    <definedName name="MBC_D">#REF!</definedName>
    <definedName localSheetId="21" name="__PNT3">#REF!</definedName>
    <definedName localSheetId="19" name="rrr">#REF!</definedName>
    <definedName localSheetId="19" name="지역지역1">#REF!</definedName>
    <definedName localSheetId="18" name="삼백">#REF!</definedName>
    <definedName localSheetId="10" name="MESSSCR">#REF!</definedName>
    <definedName localSheetId="12" name="상품">#REF!</definedName>
    <definedName localSheetId="18" name="ㄷㅎㅈㄷㅎ">#REF!</definedName>
    <definedName localSheetId="21" name="Home">#REF!</definedName>
    <definedName localSheetId="11" name="이소영">#REF!</definedName>
    <definedName localSheetId="10" name="_PNT4">#REF!</definedName>
    <definedName localSheetId="8" name="전남">#REF!</definedName>
    <definedName localSheetId="18" name="_PNT1">#REF!</definedName>
    <definedName localSheetId="17" name="Excel_BuiltIn__FilterDatabase_1">#REF!</definedName>
    <definedName localSheetId="14" name="목표">#REF!</definedName>
    <definedName localSheetId="13" name="PRINTGO">#REF!</definedName>
    <definedName localSheetId="15" name="업종">#REF!</definedName>
    <definedName localSheetId="18" name="구분">#REF!</definedName>
    <definedName localSheetId="11" name="제주">#REF!</definedName>
    <definedName localSheetId="14" name="ㅇ">#REF!</definedName>
    <definedName localSheetId="10" name="대구">#REF!</definedName>
    <definedName localSheetId="13" name="인천1">#REF!</definedName>
    <definedName localSheetId="11" name="상품명">#REF!</definedName>
    <definedName localSheetId="16" name="최종">#REF!</definedName>
    <definedName localSheetId="17" name="ZA">#REF!</definedName>
    <definedName localSheetId="13" name="언론사">#REF!</definedName>
    <definedName localSheetId="21" name="SLM">#REF!</definedName>
    <definedName localSheetId="21" name="호선별">#REF!</definedName>
    <definedName name="Criteria_MI">#REF!</definedName>
    <definedName name="프로그램명">#REF!</definedName>
    <definedName localSheetId="18" name="LOOPKEY">#REF!</definedName>
    <definedName localSheetId="16" name="초임">#REF!</definedName>
    <definedName localSheetId="19" name="All">#REF!</definedName>
    <definedName localSheetId="15" name="초임">#REF!</definedName>
    <definedName name="허걱">#REF!</definedName>
    <definedName localSheetId="21" name="T1_">#REF!</definedName>
    <definedName localSheetId="16" name="맴매">#REF!</definedName>
    <definedName localSheetId="11" name="KKK">#REF!</definedName>
    <definedName name="DATA3">#REF!</definedName>
    <definedName localSheetId="17" name="DATA4">#REF!</definedName>
    <definedName localSheetId="14" name="Scenario2">#REF!</definedName>
    <definedName localSheetId="8" name="NK">#REF!</definedName>
    <definedName localSheetId="15" name="ㅇㄹㄷㅈㄹ">#REF!</definedName>
    <definedName localSheetId="11" name="SUM">#REF!</definedName>
    <definedName localSheetId="17" name="부산2">#REF!</definedName>
    <definedName localSheetId="16" name="전북">#REF!</definedName>
    <definedName localSheetId="17" name="rrr">#REF!</definedName>
    <definedName localSheetId="10" name="제주">#REF!</definedName>
    <definedName localSheetId="16" name="인천3">#REF!</definedName>
    <definedName localSheetId="8" name="___PNT4">#REF!</definedName>
    <definedName localSheetId="19" name="_Sort">#REF!</definedName>
    <definedName localSheetId="14" name="DATA3">#REF!</definedName>
    <definedName localSheetId="17" name="FG46TBTB4RTDKDK">#REF!</definedName>
    <definedName localSheetId="17" name="sk투">#REF!</definedName>
    <definedName localSheetId="15" name="ㅇ">#REF!</definedName>
    <definedName localSheetId="12" name="목표">#REF!</definedName>
    <definedName localSheetId="18" name="_Key2">#REF!</definedName>
    <definedName localSheetId="17" name="올해">#REF!</definedName>
    <definedName name="인천3">#REF!</definedName>
    <definedName name="ㅇㄹㅇ">#REF!</definedName>
    <definedName localSheetId="15" name="___PNT4">#REF!</definedName>
    <definedName localSheetId="11" name="FG46TBTB4RTDKDK">#REF!</definedName>
    <definedName localSheetId="14" name="상품">#REF!</definedName>
    <definedName localSheetId="19" name="DW">#REF!</definedName>
    <definedName localSheetId="13" name="Excel_BuiltIn__FilterDatabase_1">#REF!</definedName>
    <definedName localSheetId="16" name="OllehTV15초안">#REF!</definedName>
    <definedName localSheetId="21" name="Dollar">#REF!</definedName>
    <definedName localSheetId="17" name="목표">#REF!</definedName>
    <definedName localSheetId="14" name="NK">#REF!</definedName>
    <definedName localSheetId="11" name="백">#REF!</definedName>
    <definedName localSheetId="19" name="KEY">#REF!</definedName>
    <definedName localSheetId="8" name="이소영">#REF!</definedName>
    <definedName localSheetId="8" name="KKK">#REF!</definedName>
    <definedName localSheetId="10" name="사유">#REF!</definedName>
    <definedName localSheetId="21" name="_Key2">#REF!</definedName>
    <definedName name="rrr">#REF!</definedName>
    <definedName localSheetId="11" name="새로">#REF!</definedName>
    <definedName localSheetId="17" name="Wk_Sched">#REF!</definedName>
    <definedName localSheetId="8" name="타겟팅자료3">#REF!</definedName>
    <definedName name="제주">#REF!</definedName>
    <definedName localSheetId="14" name="AW">#REF!</definedName>
    <definedName localSheetId="17" name="허걱">#REF!</definedName>
    <definedName localSheetId="14" name="팀">#REF!</definedName>
    <definedName name="___PNT4">#REF!</definedName>
    <definedName localSheetId="12" name="KKK">#REF!</definedName>
    <definedName localSheetId="16" name="Dollar">#REF!</definedName>
    <definedName localSheetId="17" name="_Key1">#REF!</definedName>
    <definedName localSheetId="13" name="월">#REF!</definedName>
    <definedName localSheetId="21" name="Scenario2">#REF!</definedName>
    <definedName name="ㅇㄴㄹ">#REF!</definedName>
    <definedName localSheetId="17" name="상품명">#REF!</definedName>
    <definedName localSheetId="14" name="DATA4">#REF!</definedName>
    <definedName localSheetId="12" name="언론사">#REF!</definedName>
    <definedName localSheetId="18" name="Dollar">#REF!</definedName>
    <definedName localSheetId="17" name="__PNT3">#REF!</definedName>
    <definedName localSheetId="21" name="ㄷㄷㄷㄷㄷ">#REF!</definedName>
    <definedName localSheetId="19" name="충북">#REF!</definedName>
    <definedName name="FG46TBTB4RTDKDK">#REF!</definedName>
    <definedName localSheetId="16" name="새로">#REF!</definedName>
    <definedName name="_KO2">#REF!</definedName>
    <definedName name="초수">#REF!</definedName>
    <definedName localSheetId="17" name="삼백">#REF!</definedName>
    <definedName localSheetId="14" name="ㅇㄴㄹ">#REF!</definedName>
    <definedName localSheetId="13" name="점소">#REF!</definedName>
    <definedName localSheetId="11" name="등급">#REF!</definedName>
    <definedName localSheetId="15" name="Excel_BuiltIn__FilterDatabase_1">#REF!</definedName>
    <definedName localSheetId="10" name="_Sort">#REF!</definedName>
    <definedName localSheetId="21" name="MESS">#REF!</definedName>
    <definedName localSheetId="17" name="최종">#REF!</definedName>
    <definedName localSheetId="10" name="영역">#REF!</definedName>
    <definedName localSheetId="21" name="D">#REF!</definedName>
    <definedName localSheetId="10" name="__PNT1">#REF!</definedName>
    <definedName localSheetId="14" name="샌디">#REF!</definedName>
    <definedName name="사유">#REF!</definedName>
    <definedName localSheetId="19" name="WA">#REF!</definedName>
    <definedName localSheetId="14" name="인천3">#REF!</definedName>
    <definedName localSheetId="15" name="역명">#REF!</definedName>
    <definedName localSheetId="21" name="_Dist_Values">#REF!</definedName>
    <definedName localSheetId="16" name="DA">#REF!</definedName>
    <definedName localSheetId="9" name="LOOPKEY">#REF!</definedName>
    <definedName localSheetId="15" name="타겟팅자료3">#REF!</definedName>
    <definedName localSheetId="17" name="in">#REF!</definedName>
    <definedName localSheetId="16" name="T1_">#REF!</definedName>
    <definedName localSheetId="10" name="지역지역3">#REF!</definedName>
    <definedName localSheetId="12" name="M_Drama">#REF!</definedName>
    <definedName localSheetId="9" name="사유">#REF!</definedName>
    <definedName name="서울5">#REF!</definedName>
    <definedName localSheetId="18" name="ㄴㄷㅇ">#REF!</definedName>
    <definedName localSheetId="10" name="쿼터">#REF!</definedName>
    <definedName localSheetId="8" name="맴매">#REF!</definedName>
    <definedName localSheetId="17" name="고고">#REF!</definedName>
    <definedName localSheetId="14" name="영역">#REF!</definedName>
    <definedName localSheetId="19" name="상품">#REF!</definedName>
    <definedName name="NEW">#REF!</definedName>
    <definedName localSheetId="21" name="ㅁㄴㄴ">#REF!</definedName>
    <definedName localSheetId="16" name="ㄴㄷㅇ">#REF!</definedName>
    <definedName localSheetId="21" name="Times_Left">#REF!</definedName>
    <definedName localSheetId="19" name="쿼터">#REF!</definedName>
    <definedName localSheetId="18" name="쿼터">#REF!</definedName>
    <definedName name="_Key2">#REF!</definedName>
    <definedName localSheetId="8" name="Scenario">#REF!</definedName>
    <definedName localSheetId="17" name="SLM">#REF!</definedName>
    <definedName name="서울4">#REF!</definedName>
    <definedName localSheetId="16" name="프로그램명">#REF!</definedName>
    <definedName localSheetId="9" name="_PNT3">#REF!</definedName>
    <definedName localSheetId="18" name="서울5">#REF!</definedName>
    <definedName localSheetId="21" name="MESSSCR">#REF!</definedName>
    <definedName localSheetId="15" name="_PNT2">#REF!</definedName>
    <definedName localSheetId="16" name="stations_old">#REF!</definedName>
    <definedName localSheetId="14" name="전북">#REF!</definedName>
    <definedName localSheetId="16" name="SHEET_1">#REF!</definedName>
    <definedName localSheetId="19" name="삼백">#REF!</definedName>
    <definedName localSheetId="15" name="_Key2">#REF!</definedName>
    <definedName localSheetId="11" name="PRINTGO">#REF!</definedName>
    <definedName localSheetId="15" name="서울3">#REF!</definedName>
    <definedName name="이소영">#REF!</definedName>
    <definedName localSheetId="12" name="_PNT4">#REF!</definedName>
    <definedName localSheetId="11" name="_Sort">#REF!</definedName>
    <definedName localSheetId="18" name="sss">#REF!</definedName>
    <definedName name="목표">#REF!</definedName>
    <definedName localSheetId="19" name="타겟팅자료4">#REF!</definedName>
    <definedName localSheetId="12" name="인천2">#REF!</definedName>
    <definedName localSheetId="17" name="타겟팅자료5">#REF!</definedName>
    <definedName localSheetId="10" name="점소">#REF!</definedName>
    <definedName name="Times_Right">#REF!</definedName>
    <definedName localSheetId="17" name="Updated">#REF!</definedName>
    <definedName localSheetId="15" name="pessimistic">#REF!</definedName>
    <definedName localSheetId="10" name="FG46TBTB4RTDKDK">#REF!</definedName>
    <definedName localSheetId="11" name="올해">#REF!</definedName>
    <definedName localSheetId="9" name="ㄷㄹㄷㅈㄹ">#REF!</definedName>
    <definedName localSheetId="8" name="지역지역1">#REF!</definedName>
    <definedName localSheetId="11" name="ㄴㄷㅇ">#REF!</definedName>
    <definedName localSheetId="9" name="Growth">#REF!</definedName>
    <definedName localSheetId="10" name="WA">#REF!</definedName>
    <definedName localSheetId="19" name="_PNT3">#REF!</definedName>
    <definedName localSheetId="18" name="_tt2">#REF!</definedName>
    <definedName localSheetId="13" name="SUM">#REF!</definedName>
    <definedName localSheetId="9" name="B안">#REF!</definedName>
    <definedName localSheetId="9" name="제주">#REF!</definedName>
    <definedName localSheetId="18" name="샌디">#REF!</definedName>
    <definedName localSheetId="9" name="월">#REF!</definedName>
    <definedName localSheetId="18" name="WHAT">#REF!</definedName>
    <definedName name="DATA03">#REF!</definedName>
    <definedName name="dflkdflkd">#REF!</definedName>
    <definedName localSheetId="15" name="__PNT3">#REF!</definedName>
    <definedName localSheetId="17" name="단가">#REF!</definedName>
    <definedName localSheetId="12" name="영역">#REF!</definedName>
    <definedName localSheetId="12" name="타겟팅자료3">#REF!</definedName>
    <definedName localSheetId="21" name="타겟팅자료4">#REF!</definedName>
    <definedName localSheetId="11" name="PRINT_AREA_MI">#REF!</definedName>
    <definedName localSheetId="9" name="FG46TBTB4RTDKDK">#REF!</definedName>
    <definedName localSheetId="17" name="인천1">#REF!</definedName>
    <definedName localSheetId="9" name="_PNT2">#REF!</definedName>
    <definedName localSheetId="13" name="Dollar">#REF!</definedName>
    <definedName localSheetId="11" name="All">#REF!</definedName>
    <definedName localSheetId="9" name="MBC_D">#REF!</definedName>
    <definedName localSheetId="12" name="LOOPKEY">#REF!</definedName>
    <definedName localSheetId="18" name="__PNT2">#REF!</definedName>
    <definedName localSheetId="16" name="AcqGrowth">#REF!</definedName>
    <definedName localSheetId="10" name="이히">#REF!</definedName>
    <definedName localSheetId="17" name="DDD">#REF!</definedName>
    <definedName localSheetId="13" name="없음">#REF!</definedName>
    <definedName localSheetId="11" name="샌디">#REF!</definedName>
    <definedName localSheetId="15" name="수정">#REF!</definedName>
    <definedName localSheetId="13" name="WQ">#REF!</definedName>
    <definedName localSheetId="14" name="삼백">#REF!</definedName>
    <definedName localSheetId="9" name="기본">#REF!</definedName>
    <definedName localSheetId="16" name="올레">#REF!</definedName>
    <definedName localSheetId="21" name="샌디">#REF!</definedName>
    <definedName localSheetId="19" name="_Key2">#REF!</definedName>
    <definedName localSheetId="17" name="샌디">#REF!</definedName>
    <definedName localSheetId="13" name="_PNT2">#REF!</definedName>
    <definedName localSheetId="17" name="Dollar">#REF!</definedName>
    <definedName localSheetId="16" name="백">#REF!</definedName>
    <definedName localSheetId="13" name="_Key1">#REF!</definedName>
    <definedName name="올레">#REF!</definedName>
    <definedName localSheetId="18" name="기본">#REF!</definedName>
    <definedName name="ZA">#REF!</definedName>
    <definedName localSheetId="9" name="샌디">#REF!</definedName>
    <definedName name="Excel_BuiltIn__FilterDatabase_1">#REF!</definedName>
    <definedName localSheetId="10" name="팀">#REF!</definedName>
    <definedName localSheetId="16" name="타겟팅자료3">#REF!</definedName>
    <definedName localSheetId="18" name="이백">#REF!</definedName>
    <definedName localSheetId="10" name="연초임">#REF!</definedName>
    <definedName localSheetId="11" name="OllehTV15초안">#REF!</definedName>
    <definedName localSheetId="17" name="이히">#REF!</definedName>
    <definedName localSheetId="21" name="FG46TBTB4RTDKDK">#REF!</definedName>
    <definedName localSheetId="11" name="___PNT3">#REF!</definedName>
    <definedName localSheetId="10" name="_PNT3">#REF!</definedName>
    <definedName localSheetId="19" name="LOOPKEY">#REF!</definedName>
    <definedName localSheetId="8" name="Growth">#REF!</definedName>
    <definedName localSheetId="9" name="WA">#REF!</definedName>
    <definedName localSheetId="9" name="맴매">#REF!</definedName>
    <definedName localSheetId="10" name="서울2">#REF!</definedName>
    <definedName localSheetId="10" name="AcqGrowth">#REF!</definedName>
    <definedName localSheetId="17" name="초수">#REF!</definedName>
    <definedName localSheetId="17" name="새로">#REF!</definedName>
    <definedName localSheetId="12" name="KEY">#REF!</definedName>
    <definedName localSheetId="10" name="ㄷㄷㄷㄷㄷ">#REF!</definedName>
    <definedName localSheetId="14" name="rrrr">#REF!</definedName>
    <definedName localSheetId="17" name="기본">#REF!</definedName>
    <definedName localSheetId="16" name="NK">#REF!</definedName>
    <definedName localSheetId="14" name="최종">#REF!</definedName>
    <definedName localSheetId="17" name="__PNT4">#REF!</definedName>
    <definedName localSheetId="15" name="제주">#REF!</definedName>
    <definedName localSheetId="19" name="근속">#REF!</definedName>
    <definedName localSheetId="8" name="ROW">#REF!</definedName>
    <definedName localSheetId="10" name="rrrr">#REF!</definedName>
    <definedName localSheetId="19" name="_Dist_Values">#REF!</definedName>
    <definedName localSheetId="17" name="_Dist_Values">#REF!</definedName>
    <definedName localSheetId="11" name="ㅇㄹㄷㅈㄹ">#REF!</definedName>
    <definedName localSheetId="21" name="___PNT1">#REF!</definedName>
    <definedName localSheetId="15" name="백">#REF!</definedName>
    <definedName name="_tt2">#REF!</definedName>
    <definedName localSheetId="16" name="NEW">#REF!</definedName>
    <definedName localSheetId="12" name="지역지역1">#REF!</definedName>
    <definedName localSheetId="19" name="Days_Of_Week">#REF!</definedName>
    <definedName localSheetId="18" name="SHEET_2">#REF!</definedName>
    <definedName localSheetId="13" name="_KO2">#REF!</definedName>
    <definedName localSheetId="10" name="ㄷㅎㅈㄷㅎ">#REF!</definedName>
    <definedName localSheetId="18" name="start1">#REF!</definedName>
    <definedName localSheetId="19" name="_Key1">#REF!</definedName>
    <definedName localSheetId="17" name="ㅇ">#REF!</definedName>
    <definedName localSheetId="21" name="서울6">#REF!</definedName>
    <definedName localSheetId="10" name="인천3">#REF!</definedName>
    <definedName localSheetId="17" name="LOOPKEY">#REF!</definedName>
    <definedName localSheetId="10" name="삼백">#REF!</definedName>
    <definedName localSheetId="17" name="All">#REF!</definedName>
    <definedName localSheetId="21" name="라인독점">#REF!</definedName>
    <definedName localSheetId="21" name="점소">#REF!</definedName>
    <definedName localSheetId="9" name="__PNT4">#REF!</definedName>
    <definedName localSheetId="10" name="dflkdflkd">#REF!</definedName>
    <definedName localSheetId="12" name="__PNT1">#REF!</definedName>
    <definedName localSheetId="21" name="sk투">#REF!</definedName>
    <definedName localSheetId="11" name="목표">#REF!</definedName>
    <definedName localSheetId="10" name="___PNT1">#REF!</definedName>
    <definedName localSheetId="14" name="대구">#REF!</definedName>
    <definedName localSheetId="9" name="초임">#REF!</definedName>
    <definedName localSheetId="10" name="초임">#REF!</definedName>
    <definedName localSheetId="16" name="Times_Left">#REF!</definedName>
    <definedName localSheetId="19" name="NK">#REF!</definedName>
    <definedName localSheetId="18" name="rrr">#REF!</definedName>
    <definedName localSheetId="16" name="사유">#REF!</definedName>
    <definedName localSheetId="19" name="충남">#REF!</definedName>
    <definedName localSheetId="10" name="상품">#REF!</definedName>
    <definedName localSheetId="9" name="_Sort">#REF!</definedName>
    <definedName localSheetId="10" name="이백">#REF!</definedName>
    <definedName localSheetId="17" name="점소">#REF!</definedName>
    <definedName localSheetId="17" name="고리">#REF!</definedName>
    <definedName localSheetId="9" name="프로그램명">#REF!</definedName>
    <definedName localSheetId="12" name="이히">#REF!</definedName>
    <definedName localSheetId="11" name="서울3">#REF!</definedName>
    <definedName localSheetId="8" name="기본">#REF!</definedName>
    <definedName localSheetId="18" name="지역지역1">#REF!</definedName>
    <definedName localSheetId="8" name="새로">#REF!</definedName>
    <definedName localSheetId="18" name="상품명">#REF!</definedName>
    <definedName localSheetId="14" name="T1_">#REF!</definedName>
    <definedName localSheetId="9" name="SHEET_3">#REF!</definedName>
    <definedName localSheetId="21" name="맴매">#REF!</definedName>
    <definedName localSheetId="8" name="Criteria_MI">#REF!</definedName>
    <definedName localSheetId="18" name="DATA2">#REF!</definedName>
    <definedName localSheetId="19" name="역명">#REF!</definedName>
    <definedName localSheetId="13" name="rrrr">#REF!</definedName>
    <definedName localSheetId="14" name="KEY">#REF!</definedName>
    <definedName localSheetId="10" name="M">#REF!</definedName>
    <definedName localSheetId="14" name="KKK">#REF!</definedName>
    <definedName localSheetId="13" name="s">#REF!</definedName>
    <definedName localSheetId="13" name="샌디">#REF!</definedName>
    <definedName localSheetId="9" name="역명">#REF!</definedName>
    <definedName localSheetId="9" name="__PNT3">#REF!</definedName>
    <definedName name="회계매출1">#REF!</definedName>
    <definedName name="서울2">#REF!</definedName>
    <definedName localSheetId="21" name="ㄷㅎㅈㄷㅎ">#REF!</definedName>
    <definedName name="sk투">#REF!</definedName>
    <definedName localSheetId="17" name="올레">#REF!</definedName>
    <definedName localSheetId="8" name="없음">#REF!</definedName>
    <definedName localSheetId="21" name="AcqGrowth">#REF!</definedName>
    <definedName localSheetId="15" name="All">#REF!</definedName>
    <definedName localSheetId="12" name="_Key2">#REF!</definedName>
    <definedName localSheetId="19" name="TT">#REF!</definedName>
    <definedName localSheetId="13" name="상품">#REF!</definedName>
    <definedName localSheetId="19" name="고고">#REF!</definedName>
    <definedName localSheetId="13" name="pessimistic">#REF!</definedName>
    <definedName localSheetId="19" name="dd">#REF!</definedName>
    <definedName localSheetId="18" name="PRINTGO">#REF!</definedName>
    <definedName localSheetId="8" name="프로그램명">#REF!</definedName>
    <definedName localSheetId="13" name="서울2">#REF!</definedName>
    <definedName localSheetId="18" name="SHEET_1">#REF!</definedName>
    <definedName localSheetId="14" name="OllehTV15초안">#REF!</definedName>
    <definedName localSheetId="15" name="Scenario">#REF!</definedName>
    <definedName localSheetId="15" name="ㄷㄷㄷㄷㄷ">#REF!</definedName>
    <definedName localSheetId="19" name="ㅇㄹㄷㅈㄹ">#REF!</definedName>
    <definedName localSheetId="11" name="부산2">#REF!</definedName>
    <definedName localSheetId="19" name="HKD">#REF!</definedName>
    <definedName localSheetId="17" name="DW">#REF!</definedName>
    <definedName localSheetId="13" name="rrr">#REF!</definedName>
    <definedName localSheetId="12" name="연초임">#REF!</definedName>
    <definedName localSheetId="9" name="tag">#REF!</definedName>
    <definedName localSheetId="9" name="상품">#REF!</definedName>
    <definedName localSheetId="10" name="매체">#REF!</definedName>
    <definedName localSheetId="12" name="샌디">#REF!</definedName>
    <definedName localSheetId="16" name="삼백">#REF!</definedName>
    <definedName name="AW">#REF!</definedName>
    <definedName localSheetId="17" name="ㄹ">#REF!</definedName>
    <definedName localSheetId="21" name="___PNT3">#REF!</definedName>
    <definedName localSheetId="12" name="SHEET_1">#REF!</definedName>
    <definedName localSheetId="15" name="Dollar">#REF!</definedName>
    <definedName localSheetId="21" name="목표">#REF!</definedName>
    <definedName localSheetId="11" name="연초임">#REF!</definedName>
    <definedName name="ㄹ">#REF!</definedName>
    <definedName localSheetId="13" name="초임">#REF!</definedName>
    <definedName localSheetId="8" name="지역지역3">#REF!</definedName>
    <definedName localSheetId="13" name="타겟팅자료3">#REF!</definedName>
    <definedName localSheetId="15" name="올해">#REF!</definedName>
    <definedName localSheetId="15" name="타겟팅자료2">#REF!</definedName>
    <definedName localSheetId="16" name="KEY">#REF!</definedName>
    <definedName localSheetId="9" name="지역지역1">#REF!</definedName>
    <definedName localSheetId="10" name="_PNT2">#REF!</definedName>
    <definedName localSheetId="19" name="월">#REF!</definedName>
    <definedName localSheetId="18" name="조명광고6호선">#REF!</definedName>
    <definedName localSheetId="19" name="프로그램명">#REF!</definedName>
    <definedName localSheetId="16" name="rrr">#REF!</definedName>
    <definedName localSheetId="21" name="인천2">#REF!</definedName>
    <definedName localSheetId="15" name="__PNT4">#REF!</definedName>
    <definedName localSheetId="19" name="__PNT2">#REF!</definedName>
    <definedName localSheetId="13" name="DATA2">#REF!</definedName>
    <definedName localSheetId="8" name="stations_old">#REF!</definedName>
    <definedName localSheetId="15" name="인기역사팔월">#REF!</definedName>
    <definedName localSheetId="11" name="_PNT1">#REF!</definedName>
    <definedName localSheetId="17" name="___PNT3">#REF!</definedName>
    <definedName localSheetId="8" name="Scenario2">#REF!</definedName>
    <definedName localSheetId="11" name="Excel_BuiltIn__FilterDatabase_1">#REF!</definedName>
    <definedName name="MESS">#REF!</definedName>
    <definedName localSheetId="18" name="렙">#REF!</definedName>
    <definedName localSheetId="9" name="쿼터">#REF!</definedName>
    <definedName localSheetId="13" name="KKK">#REF!</definedName>
    <definedName localSheetId="18" name="DATA03">#REF!</definedName>
    <definedName localSheetId="21" name="Days_Of_Week">#REF!</definedName>
    <definedName localSheetId="8" name="사유">#REF!</definedName>
    <definedName localSheetId="9" name="지역지역3">#REF!</definedName>
    <definedName localSheetId="10" name="기본">#REF!</definedName>
    <definedName localSheetId="18" name="Days_Of_Week">#REF!</definedName>
    <definedName localSheetId="12" name="이백">#REF!</definedName>
    <definedName localSheetId="17" name="Times_Left">#REF!</definedName>
    <definedName localSheetId="10" name="부산1">#REF!</definedName>
    <definedName localSheetId="11" name="조명광고6호선">#REF!</definedName>
    <definedName localSheetId="19" name="경기">#REF!</definedName>
    <definedName name="Times_Left">#REF!</definedName>
    <definedName localSheetId="13" name="MESS">#REF!</definedName>
    <definedName localSheetId="18" name="NK">#REF!</definedName>
    <definedName localSheetId="8" name="Dollar">#REF!</definedName>
    <definedName localSheetId="21" name="SHEET_1">#REF!</definedName>
    <definedName localSheetId="10" name="Home">#REF!</definedName>
    <definedName localSheetId="17" name="ㄷㄷㄷㄷㄷ">#REF!</definedName>
    <definedName localSheetId="19" name="SHEET_1">#REF!</definedName>
    <definedName localSheetId="9" name="서울1">#REF!</definedName>
    <definedName localSheetId="9" name="ㄷㅎㅈㄷㅎ">#REF!</definedName>
    <definedName localSheetId="12" name="최종">#REF!</definedName>
    <definedName name="LOOPKEY">#REF!</definedName>
    <definedName localSheetId="10" name="OF">#REF!</definedName>
    <definedName localSheetId="14" name="이히">#REF!</definedName>
    <definedName localSheetId="14" name="__PNT4">#REF!</definedName>
    <definedName localSheetId="9" name="ㅇㄹㄷㅈㄹ">#REF!</definedName>
    <definedName localSheetId="18" name="stations_old">#REF!</definedName>
    <definedName localSheetId="14" name="OF">#REF!</definedName>
    <definedName localSheetId="17" name="서울6">#REF!</definedName>
    <definedName localSheetId="10" name="_tt2">#REF!</definedName>
    <definedName localSheetId="14" name="프로그램">#REF!</definedName>
    <definedName localSheetId="16" name="ㅇㄹㄷㅈㄹ">#REF!</definedName>
    <definedName localSheetId="10" name="T1_">#REF!</definedName>
    <definedName localSheetId="9" name="_Key2">#REF!</definedName>
    <definedName localSheetId="21" name="OllehTV15초안">#REF!</definedName>
    <definedName localSheetId="14" name="ㄹ">#REF!</definedName>
    <definedName name="DW">#REF!</definedName>
    <definedName localSheetId="9" name="인천1">#REF!</definedName>
    <definedName name="월">#REF!</definedName>
    <definedName name="상품">#REF!</definedName>
    <definedName localSheetId="13" name="타겟팅자료1">#REF!</definedName>
    <definedName localSheetId="8" name="OF">#REF!</definedName>
    <definedName localSheetId="21" name="_tt2">#REF!</definedName>
    <definedName localSheetId="12" name="맴매">#REF!</definedName>
    <definedName name="없음">#REF!</definedName>
    <definedName localSheetId="17" name="PRINTGO">#REF!</definedName>
    <definedName localSheetId="19" name="DATA3">#REF!</definedName>
    <definedName localSheetId="21" name="할증">#REF!</definedName>
    <definedName name="업종">#REF!</definedName>
    <definedName localSheetId="18" name="고고">#REF!</definedName>
    <definedName localSheetId="11" name="__PNT3">#REF!</definedName>
    <definedName localSheetId="21" name="HKD">#REF!</definedName>
    <definedName localSheetId="10" name="백">#REF!</definedName>
    <definedName localSheetId="8" name="ㅇ">#REF!</definedName>
    <definedName localSheetId="14" name="제주">#REF!</definedName>
    <definedName localSheetId="17" name="AW">#REF!</definedName>
    <definedName localSheetId="19" name="라인독점">#REF!</definedName>
    <definedName localSheetId="16" name="ROW">#REF!</definedName>
    <definedName localSheetId="9" name="부산1">#REF!</definedName>
    <definedName localSheetId="18" name="sk투">#REF!</definedName>
    <definedName localSheetId="9" name="이소영">#REF!</definedName>
    <definedName localSheetId="21" name="상품">#REF!</definedName>
    <definedName localSheetId="21" name="고고">#REF!</definedName>
    <definedName name="in">#REF!</definedName>
    <definedName localSheetId="15" name="전남">#REF!</definedName>
    <definedName localSheetId="15" name="AW">#REF!</definedName>
    <definedName localSheetId="14" name="SHEET_2">#REF!</definedName>
    <definedName localSheetId="16" name="Excel_BuiltIn__FilterDatabase_1">#REF!</definedName>
    <definedName localSheetId="13" name="Home">#REF!</definedName>
    <definedName localSheetId="17" name="상품">#REF!</definedName>
    <definedName localSheetId="13" name="조명광고">#REF!</definedName>
    <definedName localSheetId="19" name="start">#REF!</definedName>
    <definedName name="라인독점">#REF!</definedName>
    <definedName localSheetId="11" name="조명광고">#REF!</definedName>
    <definedName localSheetId="21" name="고리">#REF!</definedName>
    <definedName localSheetId="19" name="서울4">#REF!</definedName>
    <definedName localSheetId="13" name="이소영">#REF!</definedName>
    <definedName localSheetId="13" name="등급">#REF!</definedName>
    <definedName localSheetId="15" name="M_Drama">#REF!</definedName>
    <definedName localSheetId="15" name="PRINT_AREA_MI">#REF!</definedName>
    <definedName localSheetId="10" name="HKD">#REF!</definedName>
    <definedName localSheetId="8" name="상품">#REF!</definedName>
    <definedName localSheetId="14" name="ㅁㄴㄴ">#REF!</definedName>
    <definedName localSheetId="18" name="___PNT2">#REF!</definedName>
    <definedName localSheetId="18" name="Criteria_MI">#REF!</definedName>
    <definedName localSheetId="21" name="B안">#REF!</definedName>
    <definedName localSheetId="13" name="Growth">#REF!</definedName>
    <definedName localSheetId="15" name="상품">#REF!</definedName>
    <definedName localSheetId="18" name="ddf">#REF!</definedName>
    <definedName localSheetId="21" name="_PNT2">#REF!</definedName>
    <definedName localSheetId="15" name="타겟팅자료1">#REF!</definedName>
    <definedName name="연초임">#REF!</definedName>
    <definedName localSheetId="18" name="ㅁㄴㄴ">#REF!</definedName>
    <definedName localSheetId="13" name="DA">#REF!</definedName>
    <definedName localSheetId="13" name="DATA3">#REF!</definedName>
    <definedName localSheetId="9" name="rrr">#REF!</definedName>
    <definedName localSheetId="19" name="새로">#REF!</definedName>
    <definedName localSheetId="8" name="영역">#REF!</definedName>
    <definedName name="ㄷㅎㅈㄷㅎ">#REF!</definedName>
    <definedName localSheetId="9" name="이히">#REF!</definedName>
    <definedName localSheetId="16" name="KKK">#REF!</definedName>
    <definedName localSheetId="21" name="서울2">#REF!</definedName>
    <definedName localSheetId="19" name="수정">#REF!</definedName>
    <definedName localSheetId="17" name="ㄷㄹㄷㅈㄹ">#REF!</definedName>
    <definedName localSheetId="17" name="인기역사팔월">#REF!</definedName>
    <definedName localSheetId="16" name="DATA4">#REF!</definedName>
    <definedName localSheetId="13" name="_Sort">#REF!</definedName>
    <definedName name="___PNT2">#REF!</definedName>
    <definedName localSheetId="12" name="프로그램명">#REF!</definedName>
    <definedName localSheetId="18" name="Excel_BuiltIn__FilterDatabase_1">#REF!</definedName>
    <definedName localSheetId="16" name="DW">#REF!</definedName>
    <definedName localSheetId="13" name="대구">#REF!</definedName>
    <definedName localSheetId="19" name="Scenario2">#REF!</definedName>
    <definedName localSheetId="15" name="샌디">#REF!</definedName>
    <definedName localSheetId="11" name="사유">#REF!</definedName>
    <definedName localSheetId="21" name="SHEET_2">#REF!</definedName>
    <definedName localSheetId="12" name="새로">#REF!</definedName>
    <definedName localSheetId="11" name="할증">#REF!</definedName>
    <definedName localSheetId="21" name="인천3">#REF!</definedName>
    <definedName localSheetId="18" name="백">#REF!</definedName>
    <definedName localSheetId="21" name="tag">#REF!</definedName>
    <definedName localSheetId="19" name="AcqGrowth">#REF!</definedName>
    <definedName localSheetId="14" name="역명">#REF!</definedName>
    <definedName localSheetId="10" name="ㅇㄹㄷㅈㄹ">#REF!</definedName>
    <definedName localSheetId="19" name="서울3">#REF!</definedName>
    <definedName localSheetId="18" name="_Sort">#REF!</definedName>
    <definedName localSheetId="17" name="조명광고6호선">#REF!</definedName>
    <definedName name="ㅇㅇㅇ">#REF!</definedName>
    <definedName localSheetId="12" name="AW">#REF!</definedName>
    <definedName localSheetId="12" name="PRINTGO">#REF!</definedName>
    <definedName localSheetId="17" name="초임">#REF!</definedName>
    <definedName localSheetId="11" name="_PNT4">#REF!</definedName>
    <definedName localSheetId="8" name="KEY">#REF!</definedName>
    <definedName localSheetId="19" name="start1">#REF!</definedName>
    <definedName localSheetId="15" name="_Dist_Values">#REF!</definedName>
    <definedName localSheetId="13" name="지역지역3">#REF!</definedName>
    <definedName localSheetId="18" name="VOD프리롤">#REF!</definedName>
    <definedName localSheetId="15" name="영역">#REF!</definedName>
    <definedName localSheetId="16" name="타겟팅자료2">#REF!</definedName>
    <definedName localSheetId="15" name="라인독점">#REF!</definedName>
    <definedName localSheetId="18" name="초임">#REF!</definedName>
    <definedName localSheetId="13" name="지역지역1">#REF!</definedName>
    <definedName localSheetId="17" name="사유">#REF!</definedName>
    <definedName localSheetId="9" name="초수">#REF!</definedName>
    <definedName localSheetId="17" name="dd">#REF!</definedName>
    <definedName localSheetId="17" name="전북">#REF!</definedName>
    <definedName localSheetId="16" name="MBC_D">#REF!</definedName>
    <definedName localSheetId="19" name="Database_MI">#REF!</definedName>
    <definedName localSheetId="14" name="조명광고">#REF!</definedName>
    <definedName localSheetId="8" name="PRINTGO">#REF!</definedName>
    <definedName localSheetId="9" name="언론사">#REF!</definedName>
    <definedName localSheetId="15" name="초수">#REF!</definedName>
    <definedName localSheetId="19" name="강원">#REF!</definedName>
    <definedName localSheetId="15" name="사유">#REF!</definedName>
    <definedName localSheetId="18" name="고리">#REF!</definedName>
    <definedName localSheetId="16" name="할증">#REF!</definedName>
    <definedName localSheetId="13" name="올해">#REF!</definedName>
    <definedName localSheetId="12" name="MESSSCR">#REF!</definedName>
    <definedName localSheetId="14" name="rrr">#REF!</definedName>
    <definedName localSheetId="19" name="rrrr">#REF!</definedName>
    <definedName localSheetId="15" name="Extract_MI">#REF!</definedName>
    <definedName localSheetId="21" name="M">#REF!</definedName>
    <definedName localSheetId="15" name="쿼터">#REF!</definedName>
    <definedName localSheetId="17" name="SHEET_2">#REF!</definedName>
    <definedName localSheetId="14" name="___PNT4">#REF!</definedName>
    <definedName localSheetId="8" name="인천3">#REF!</definedName>
    <definedName localSheetId="10" name="SHEET_2">#REF!</definedName>
    <definedName localSheetId="13" name="_Dist_Values">#REF!</definedName>
    <definedName localSheetId="19" name="AW">#REF!</definedName>
    <definedName localSheetId="14" name="인기역사팔월">#REF!</definedName>
    <definedName localSheetId="9" name="수정">#REF!</definedName>
    <definedName localSheetId="18" name="Extract_MI">#REF!</definedName>
    <definedName localSheetId="19" name="Times_Left">#REF!</definedName>
    <definedName localSheetId="11" name="ㄹ">#REF!</definedName>
    <definedName localSheetId="19" name="PRINTGO">#REF!</definedName>
    <definedName localSheetId="10" name="Times_Left">#REF!</definedName>
    <definedName localSheetId="10" name="tag">#REF!</definedName>
    <definedName localSheetId="21" name="TT">#REF!</definedName>
    <definedName localSheetId="14" name="MESS">#REF!</definedName>
    <definedName localSheetId="18" name="서울4">#REF!</definedName>
    <definedName localSheetId="13" name="Scenario2">#REF!</definedName>
    <definedName localSheetId="15" name="FG46TBTB4RTDKDK">#REF!</definedName>
    <definedName localSheetId="11" name="ㄷㄷㄷㄷㄷ">#REF!</definedName>
    <definedName localSheetId="9" name="새로">#REF!</definedName>
    <definedName localSheetId="19" name="구분">#REF!</definedName>
    <definedName localSheetId="18" name="_PNT3">#REF!</definedName>
    <definedName localSheetId="18" name="강원">#REF!</definedName>
    <definedName localSheetId="14" name="Scenario">#REF!</definedName>
    <definedName localSheetId="11" name="영역">#REF!</definedName>
    <definedName localSheetId="14" name="Home">#REF!</definedName>
    <definedName localSheetId="12" name="ㅇ">#REF!</definedName>
    <definedName name="강원">#REF!</definedName>
    <definedName localSheetId="19" name="VOD프리롤">#REF!</definedName>
    <definedName localSheetId="8" name="초수">#REF!</definedName>
    <definedName localSheetId="12" name="ㄴㄷㅇ">#REF!</definedName>
    <definedName name="sss">#REF!</definedName>
    <definedName localSheetId="21" name="DDD">#REF!</definedName>
    <definedName localSheetId="18" name="DAS">#REF!</definedName>
    <definedName localSheetId="8" name="_Sort">#REF!</definedName>
    <definedName localSheetId="19" name="FG46TBTB4RTDKDK">#REF!</definedName>
    <definedName localSheetId="21" name="Times_Right">#REF!</definedName>
    <definedName localSheetId="14" name="D">#REF!</definedName>
    <definedName localSheetId="19" name="이히">#REF!</definedName>
    <definedName localSheetId="17" name="ㅇㄹㄷㅈㄹ">#REF!</definedName>
    <definedName localSheetId="19" name="Criteria_MI">#REF!</definedName>
    <definedName localSheetId="17" name="호선별">#REF!</definedName>
    <definedName localSheetId="9" name="PRINTGO">#REF!</definedName>
    <definedName localSheetId="17" name="DA">#REF!</definedName>
    <definedName localSheetId="17" name="전남">#REF!</definedName>
    <definedName name="DA">#REF!</definedName>
    <definedName localSheetId="11" name="HKD">#REF!</definedName>
    <definedName localSheetId="18" name="상품">#REF!</definedName>
    <definedName localSheetId="8" name="삼백">#REF!</definedName>
    <definedName localSheetId="8" name="ㄴㄷㅇ">#REF!</definedName>
    <definedName localSheetId="10" name="DATA4">#REF!</definedName>
    <definedName localSheetId="8" name="샌디">#REF!</definedName>
    <definedName localSheetId="21" name="in">#REF!</definedName>
    <definedName localSheetId="21" name="_Sort">#REF!</definedName>
    <definedName localSheetId="13" name="ㄷㅎㅈㄷㅎ">#REF!</definedName>
    <definedName localSheetId="21" name="서울5">#REF!</definedName>
    <definedName localSheetId="15" name="AcqGrowth">#REF!</definedName>
    <definedName localSheetId="14" name="맴매">#REF!</definedName>
    <definedName localSheetId="18" name="IPTVOTT">#REF!</definedName>
    <definedName localSheetId="16" name="B안">#REF!</definedName>
    <definedName localSheetId="21" name="타겟팅자료5">#REF!</definedName>
    <definedName name="부산1">#REF!</definedName>
    <definedName localSheetId="10" name="Excel_BuiltIn__FilterDatabase_1">#REF!</definedName>
    <definedName localSheetId="17" name="지역지역3">#REF!</definedName>
    <definedName localSheetId="19" name="DATA4">#REF!</definedName>
    <definedName localSheetId="13" name="역명">#REF!</definedName>
    <definedName localSheetId="17" name="_PNT1">#REF!</definedName>
    <definedName localSheetId="21" name="단가">#REF!</definedName>
    <definedName localSheetId="10" name="KKK">#REF!</definedName>
    <definedName localSheetId="15" name="__PNT2">#REF!</definedName>
    <definedName localSheetId="19" name="고리">#REF!</definedName>
    <definedName localSheetId="21" name="삼백">#REF!</definedName>
    <definedName localSheetId="21" name="전남">#REF!</definedName>
    <definedName localSheetId="13" name="FG46TBTB4RTDKDK">#REF!</definedName>
    <definedName localSheetId="13" name="할증">#REF!</definedName>
    <definedName localSheetId="19" name="MBC_D">#REF!</definedName>
    <definedName localSheetId="10" name="초수">#REF!</definedName>
    <definedName localSheetId="16" name="ㄷㄹㄷㅈㄹ">#REF!</definedName>
    <definedName localSheetId="17" name="sss">#REF!</definedName>
    <definedName localSheetId="16" name="rrrr">#REF!</definedName>
    <definedName localSheetId="13" name="KEY">#REF!</definedName>
    <definedName localSheetId="12" name="Times_Left">#REF!</definedName>
    <definedName localSheetId="12" name="등급">#REF!</definedName>
    <definedName name="축소">#REF!</definedName>
    <definedName localSheetId="19" name="없음">#REF!</definedName>
    <definedName localSheetId="21" name="ㄷㄹㄷㅈㄹ">#REF!</definedName>
    <definedName localSheetId="13" name="Times_Left">#REF!</definedName>
    <definedName name="VOD프리롤">#REF!</definedName>
    <definedName localSheetId="19" name="ss">#REF!</definedName>
    <definedName name="점소">#REF!</definedName>
    <definedName localSheetId="10" name="Extract_MI">#REF!</definedName>
    <definedName localSheetId="11" name="_Key2">#REF!</definedName>
    <definedName name="SHEET_2">#REF!</definedName>
    <definedName localSheetId="8" name="부산1">#REF!</definedName>
    <definedName localSheetId="21" name="PRINTGO">#REF!</definedName>
    <definedName localSheetId="21" name="start1">#REF!</definedName>
    <definedName localSheetId="13" name="상품명">#REF!</definedName>
    <definedName localSheetId="11" name="__PNT4">#REF!</definedName>
    <definedName localSheetId="19" name="ㄹ">#REF!</definedName>
    <definedName localSheetId="17" name="VOD프리롤">#REF!</definedName>
    <definedName name="start1">#REF!</definedName>
    <definedName localSheetId="19" name="샌디">#REF!</definedName>
    <definedName localSheetId="8" name="FG46TBTB4RTDKDK">#REF!</definedName>
    <definedName localSheetId="19" name="인기역사팔월">#REF!</definedName>
    <definedName localSheetId="16" name="인기역사팔월">#REF!</definedName>
    <definedName localSheetId="17" name="충북">#REF!</definedName>
    <definedName localSheetId="9" name="ㄴㄷㅇ">#REF!</definedName>
    <definedName localSheetId="21" name="OF">#REF!</definedName>
    <definedName localSheetId="18" name="인기역사팔월">#REF!</definedName>
    <definedName localSheetId="9" name="ㅇ">#REF!</definedName>
    <definedName localSheetId="14" name="프로그램명">#REF!</definedName>
    <definedName localSheetId="15" name="할증">#REF!</definedName>
    <definedName localSheetId="9" name="전남">#REF!</definedName>
    <definedName localSheetId="8" name="AcqGrowth">#REF!</definedName>
    <definedName localSheetId="8" name="pessimistic">#REF!</definedName>
    <definedName localSheetId="18" name="회계매출1">#REF!</definedName>
    <definedName localSheetId="10" name="Criteria_MI">#REF!</definedName>
    <definedName localSheetId="18" name="서울6">#REF!</definedName>
    <definedName localSheetId="11" name="업종">#REF!</definedName>
    <definedName localSheetId="9" name="OF">#REF!</definedName>
    <definedName localSheetId="17" name="경남">#REF!</definedName>
    <definedName localSheetId="21" name="_KO2">#REF!</definedName>
    <definedName localSheetId="19" name="ddf">#REF!</definedName>
    <definedName localSheetId="19" name="Dollar">#REF!</definedName>
    <definedName localSheetId="14" name="이소영">#REF!</definedName>
    <definedName localSheetId="11" name="전북">#REF!</definedName>
    <definedName localSheetId="12" name="ㅇㅇㅇ">#REF!</definedName>
    <definedName localSheetId="9" name="없음">#REF!</definedName>
    <definedName localSheetId="12" name="Growth">#REF!</definedName>
    <definedName localSheetId="14" name="ㄷㄹㄷㅈㄹ">#REF!</definedName>
    <definedName localSheetId="8" name="ㅇㅇㅇ">#REF!</definedName>
    <definedName localSheetId="18" name="타겟팅자료1">#REF!</definedName>
    <definedName localSheetId="18" name="프로그램명">#REF!</definedName>
    <definedName localSheetId="18" name="DDD">#REF!</definedName>
    <definedName localSheetId="12" name="없음">#REF!</definedName>
    <definedName localSheetId="21" name="DACM">#REF!</definedName>
    <definedName localSheetId="17" name="WQ">#REF!</definedName>
    <definedName localSheetId="15" name="등급">#REF!</definedName>
    <definedName localSheetId="17" name="경북">#REF!</definedName>
    <definedName name="M">#REF!</definedName>
    <definedName localSheetId="12" name="FG46TBTB4RTDKDK">#REF!</definedName>
    <definedName localSheetId="21" name="월">#REF!</definedName>
    <definedName localSheetId="13" name="ㄷㄹㄷㅈㄹ">#REF!</definedName>
    <definedName localSheetId="15" name="조명광고">#REF!</definedName>
    <definedName localSheetId="18" name="축소">#REF!</definedName>
    <definedName localSheetId="10" name="NEW">#REF!</definedName>
    <definedName localSheetId="13" name="타겟팅자료2">#REF!</definedName>
    <definedName localSheetId="18" name="___PNT4">#REF!</definedName>
    <definedName localSheetId="14" name="M_Drama">#REF!</definedName>
    <definedName localSheetId="19" name="D">#REF!</definedName>
    <definedName name="IPTVOTT">#REF!</definedName>
    <definedName localSheetId="8" name="_PNT2">#REF!</definedName>
    <definedName localSheetId="12" name="Extract_MI">#REF!</definedName>
    <definedName localSheetId="14" name="백">#REF!</definedName>
    <definedName name="서울3">#REF!</definedName>
    <definedName localSheetId="18" name="ㅇㄴㄹ">#REF!</definedName>
    <definedName localSheetId="15" name="Scenario2">#REF!</definedName>
    <definedName localSheetId="17" name="ㅁㄴㄴ">#REF!</definedName>
    <definedName localSheetId="14" name="새로">#REF!</definedName>
    <definedName localSheetId="8" name="SHEET_1">#REF!</definedName>
    <definedName localSheetId="17" name="축소">#REF!</definedName>
    <definedName localSheetId="12" name="All">#REF!</definedName>
    <definedName name="B안">#REF!</definedName>
    <definedName localSheetId="14" name="FG46TBTB4RTDKDK">#REF!</definedName>
    <definedName localSheetId="9" name="Scenario2">#REF!</definedName>
    <definedName localSheetId="18" name="서울2">#REF!</definedName>
    <definedName name="Database_MI">#REF!</definedName>
    <definedName localSheetId="11" name="pessimistic">#REF!</definedName>
    <definedName localSheetId="19" name="___PNT3">#REF!</definedName>
    <definedName name="__PNT4">#REF!</definedName>
    <definedName localSheetId="9" name="_Key1">#REF!</definedName>
    <definedName localSheetId="21" name="근속">#REF!</definedName>
    <definedName localSheetId="13" name="새로">#REF!</definedName>
    <definedName localSheetId="18" name="부산2">#REF!</definedName>
    <definedName localSheetId="10" name="새로">#REF!</definedName>
    <definedName localSheetId="8" name="___PNT2">#REF!</definedName>
    <definedName localSheetId="15" name="_KO2">#REF!</definedName>
    <definedName localSheetId="21" name="ㄹ">#REF!</definedName>
    <definedName localSheetId="10" name="전북">#REF!</definedName>
    <definedName localSheetId="12" name="dflkdflkd">#REF!</definedName>
    <definedName name="새로">#REF!</definedName>
    <definedName localSheetId="8" name="_Key2">#REF!</definedName>
    <definedName localSheetId="14" name="___PNT2">#REF!</definedName>
    <definedName localSheetId="21" name="DATA03">#REF!</definedName>
    <definedName name="이히">#REF!</definedName>
    <definedName localSheetId="9" name="s">#REF!</definedName>
    <definedName localSheetId="14" name="SUM">#REF!</definedName>
    <definedName localSheetId="19" name="인천1">#REF!</definedName>
    <definedName localSheetId="10" name="조명광고6호선">#REF!</definedName>
    <definedName localSheetId="9" name="NEW">#REF!</definedName>
    <definedName localSheetId="17" name="충남">#REF!</definedName>
    <definedName localSheetId="16" name="_PNT3">#REF!</definedName>
    <definedName localSheetId="12" name="팀">#REF!</definedName>
    <definedName localSheetId="12" name="D">#REF!</definedName>
    <definedName localSheetId="17" name="OllehTV15초안">#REF!</definedName>
    <definedName localSheetId="15" name="올레">#REF!</definedName>
    <definedName localSheetId="21" name="stations_old">#REF!</definedName>
    <definedName localSheetId="17" name="SHEET_1">#REF!</definedName>
    <definedName localSheetId="9" name="이백">#REF!</definedName>
    <definedName localSheetId="11" name="M">#REF!</definedName>
    <definedName localSheetId="15" name="SUM">#REF!</definedName>
    <definedName localSheetId="17" name="DACM">#REF!</definedName>
    <definedName localSheetId="21" name="부산1">#REF!</definedName>
    <definedName localSheetId="19" name="M">#REF!</definedName>
    <definedName localSheetId="16" name="OF">#REF!</definedName>
    <definedName name="stations_old">#REF!</definedName>
    <definedName localSheetId="12" name="대구">#REF!</definedName>
    <definedName localSheetId="15" name="___PNT1">#REF!</definedName>
    <definedName localSheetId="12" name="타겟팅자료2">#REF!</definedName>
    <definedName localSheetId="21" name="M_Drama">#REF!</definedName>
    <definedName localSheetId="21" name="rrr">#REF!</definedName>
    <definedName localSheetId="9" name="DA">#REF!</definedName>
    <definedName localSheetId="10" name="언론사">#REF!</definedName>
    <definedName localSheetId="8" name="DATA2">#REF!</definedName>
    <definedName localSheetId="8" name="ㄷㄷㄷㄷㄷ">#REF!</definedName>
    <definedName localSheetId="11" name="올레">#REF!</definedName>
    <definedName localSheetId="11" name="ㅇㄴㄹ">#REF!</definedName>
    <definedName localSheetId="21" name="수정">#REF!</definedName>
    <definedName localSheetId="13" name="전남">#REF!</definedName>
    <definedName localSheetId="9" name="OllehTV15초안">#REF!</definedName>
    <definedName localSheetId="11" name="인천3">#REF!</definedName>
    <definedName localSheetId="21" name="축소1">#REF!</definedName>
    <definedName localSheetId="19" name="등급">#REF!</definedName>
    <definedName localSheetId="8" name="HKD">#REF!</definedName>
    <definedName localSheetId="18" name="호선별">#REF!</definedName>
    <definedName localSheetId="21" name="역명">#REF!</definedName>
    <definedName localSheetId="13" name="DW">#REF!</definedName>
    <definedName localSheetId="19" name="전남">#REF!</definedName>
    <definedName localSheetId="18" name="최종">#REF!</definedName>
    <definedName localSheetId="14" name="LOOPKEY">#REF!</definedName>
    <definedName localSheetId="10" name="Scenario">#REF!</definedName>
    <definedName localSheetId="14" name="DA">#REF!</definedName>
    <definedName localSheetId="14" name="인천1">#REF!</definedName>
    <definedName localSheetId="17" name="팀">#REF!</definedName>
    <definedName localSheetId="18" name="언론사">#REF!</definedName>
    <definedName localSheetId="8" name="Excel_BuiltIn__FilterDatabase_1">#REF!</definedName>
    <definedName localSheetId="9" name="타겟팅자료1">#REF!</definedName>
    <definedName localSheetId="12" name="쿼터">#REF!</definedName>
    <definedName localSheetId="19" name="_PNT2">#REF!</definedName>
    <definedName name="경북">#REF!</definedName>
    <definedName localSheetId="18" name="ㄷㄹㄷㅈㄹ">#REF!</definedName>
    <definedName localSheetId="15" name="ㄷㅎㅈㄷㅎ">#REF!</definedName>
    <definedName localSheetId="10" name="Dollar">#REF!</definedName>
    <definedName localSheetId="15" name="_tt2">#REF!</definedName>
    <definedName localSheetId="17" name="NEW">#REF!</definedName>
    <definedName localSheetId="19" name="제주">#REF!</definedName>
    <definedName localSheetId="8" name="_PNT1">#REF!</definedName>
    <definedName localSheetId="11" name="프로그램명">#REF!</definedName>
    <definedName localSheetId="18" name="매체">#REF!</definedName>
    <definedName localSheetId="18" name="근속">#REF!</definedName>
    <definedName localSheetId="17" name="D">#REF!</definedName>
    <definedName localSheetId="8" name="부산2">#REF!</definedName>
    <definedName localSheetId="21" name="인기역사팔월">#REF!</definedName>
    <definedName localSheetId="12" name="ROW">#REF!</definedName>
    <definedName localSheetId="11" name="매체">#REF!</definedName>
    <definedName localSheetId="15" name="_Key1">#REF!</definedName>
    <definedName localSheetId="14" name="부산2">#REF!</definedName>
    <definedName localSheetId="18" name="M">#REF!</definedName>
    <definedName name="T1_">#REF!</definedName>
    <definedName localSheetId="18" name="MBC_D">#REF!</definedName>
    <definedName localSheetId="14" name="올해">#REF!</definedName>
    <definedName localSheetId="11" name="서울1">#REF!</definedName>
    <definedName localSheetId="21" name="올레">#REF!</definedName>
    <definedName localSheetId="19" name="이백">#REF!</definedName>
    <definedName localSheetId="10" name="없음">#REF!</definedName>
    <definedName localSheetId="12" name="ㅇㄴㄹ">#REF!</definedName>
    <definedName localSheetId="8" name="연초임">#REF!</definedName>
    <definedName localSheetId="11" name="__PNT2">#REF!</definedName>
    <definedName localSheetId="12" name="DA">#REF!</definedName>
    <definedName localSheetId="10" name="PRINTGO">#REF!</definedName>
    <definedName localSheetId="19" name="경북">#REF!</definedName>
    <definedName localSheetId="19" name="ㅇㄹㅇ">#REF!</definedName>
    <definedName localSheetId="18" name="ZA">#REF!</definedName>
    <definedName localSheetId="17" name="Growth">#REF!</definedName>
    <definedName name="대구">#REF!</definedName>
    <definedName localSheetId="12" name="Scenario2">#REF!</definedName>
    <definedName localSheetId="19" name="__PNT1">#REF!</definedName>
    <definedName localSheetId="18" name="사유">#REF!</definedName>
    <definedName localSheetId="17" name="___PNT1">#REF!</definedName>
    <definedName localSheetId="21" name="KEY">#REF!</definedName>
    <definedName localSheetId="10" name="서울1">#REF!</definedName>
    <definedName localSheetId="10" name="__PNT3">#REF!</definedName>
    <definedName localSheetId="8" name="SHEET_2">#REF!</definedName>
    <definedName localSheetId="21" name="상품명">#REF!</definedName>
    <definedName localSheetId="10" name="_KO2">#REF!</definedName>
    <definedName localSheetId="21" name="_PNT3">#REF!</definedName>
    <definedName localSheetId="18" name="Scenario">#REF!</definedName>
    <definedName localSheetId="19" name="NEW">#REF!</definedName>
    <definedName name="ddf">#REF!</definedName>
    <definedName localSheetId="16" name="MESSSCR">#REF!</definedName>
    <definedName localSheetId="8" name="전북">#REF!</definedName>
    <definedName localSheetId="10" name="ㄹ">#REF!</definedName>
    <definedName localSheetId="8" name="SUM">#REF!</definedName>
    <definedName name="_PNT1">#REF!</definedName>
    <definedName localSheetId="12" name="_tt2">#REF!</definedName>
    <definedName localSheetId="13" name="LOOPKEY">#REF!</definedName>
    <definedName localSheetId="18" name="등급">#REF!</definedName>
    <definedName name="ㄷㄹㄷㅈㄹ">#REF!</definedName>
    <definedName localSheetId="14" name="__PNT1">#REF!</definedName>
    <definedName localSheetId="11" name="AW">#REF!</definedName>
    <definedName name="rrrr">#REF!</definedName>
    <definedName localSheetId="17" name="맴매">#REF!</definedName>
    <definedName localSheetId="21" name="타겟팅자료6">#REF!</definedName>
    <definedName localSheetId="17" name="DAS">#REF!</definedName>
    <definedName localSheetId="9" name="조명광고6호선">#REF!</definedName>
    <definedName name="WHAT">#REF!</definedName>
    <definedName localSheetId="18" name="타겟팅자료3">#REF!</definedName>
    <definedName name="초임">#REF!</definedName>
    <definedName name="타겟팅자료5">#REF!</definedName>
    <definedName localSheetId="11" name="T1_">#REF!</definedName>
    <definedName name="타겟팅자료3">#REF!</definedName>
    <definedName localSheetId="18" name="단가">#REF!</definedName>
    <definedName localSheetId="10" name="s">#REF!</definedName>
    <definedName localSheetId="8" name="올해">#REF!</definedName>
    <definedName localSheetId="9" name="조명광고">#REF!</definedName>
    <definedName localSheetId="18" name="__PNT1">#REF!</definedName>
    <definedName localSheetId="21" name="ROW">#REF!</definedName>
    <definedName localSheetId="16" name="인천2">#REF!</definedName>
    <definedName localSheetId="12" name="부산1">#REF!</definedName>
    <definedName localSheetId="11" name="타겟팅자료2">#REF!</definedName>
    <definedName localSheetId="19" name="Scenario">#REF!</definedName>
    <definedName localSheetId="12" name="인천3">#REF!</definedName>
    <definedName name="구분">#REF!</definedName>
    <definedName localSheetId="18" name="SGD">#REF!</definedName>
    <definedName localSheetId="15" name="___PNT2">#REF!</definedName>
    <definedName localSheetId="21" name="DW">#REF!</definedName>
    <definedName name="타겟팅자료2">#REF!</definedName>
    <definedName localSheetId="9" name="올해">#REF!</definedName>
    <definedName localSheetId="17" name="쿼터">#REF!</definedName>
    <definedName name="KEY">#REF!</definedName>
    <definedName localSheetId="13" name="최종">#REF!</definedName>
    <definedName localSheetId="10" name="__PNT2">#REF!</definedName>
    <definedName localSheetId="11" name="이히">#REF!</definedName>
    <definedName localSheetId="16" name="역명">#REF!</definedName>
    <definedName localSheetId="16" name="FG46TBTB4RTDKDK">#REF!</definedName>
    <definedName localSheetId="18" name="SUM">#REF!</definedName>
    <definedName localSheetId="17" name="강원">#REF!</definedName>
    <definedName localSheetId="17" name="타겟팅자료2">#REF!</definedName>
    <definedName localSheetId="16" name="샌디">#REF!</definedName>
    <definedName localSheetId="19" name="기본">#REF!</definedName>
    <definedName localSheetId="14" name="기본">#REF!</definedName>
    <definedName localSheetId="8" name="라인독점">#REF!</definedName>
    <definedName localSheetId="11" name="지역지역1">#REF!</definedName>
    <definedName localSheetId="12" name="WQ">#REF!</definedName>
    <definedName localSheetId="19" name="ㄷㄷㄷㄷㄷ">#REF!</definedName>
    <definedName localSheetId="15" name="전북">#REF!</definedName>
    <definedName localSheetId="11" name="팀">#REF!</definedName>
    <definedName localSheetId="17" name="구분">#REF!</definedName>
    <definedName localSheetId="14" name="_Dist_Values">#REF!</definedName>
    <definedName name="타겟팅자료6">#REF!</definedName>
    <definedName localSheetId="14" name="Criteria_MI">#REF!</definedName>
    <definedName localSheetId="19" name="서울1">#REF!</definedName>
    <definedName name="전남">#REF!</definedName>
    <definedName localSheetId="17" name="SGD">#REF!</definedName>
    <definedName localSheetId="17" name="매체">#REF!</definedName>
    <definedName localSheetId="18" name="새로">#REF!</definedName>
    <definedName localSheetId="16" name="ㅇㄴㄹ">#REF!</definedName>
    <definedName localSheetId="16" name="_Key1">#REF!</definedName>
    <definedName localSheetId="12" name="MBC_D">#REF!</definedName>
    <definedName localSheetId="11" name="_KO2">#REF!</definedName>
    <definedName localSheetId="21" name="Criteria_MI">#REF!</definedName>
    <definedName localSheetId="21" name="__PNT1">#REF!</definedName>
    <definedName localSheetId="18" name="WA">#REF!</definedName>
    <definedName localSheetId="18" name="인천3">#REF!</definedName>
    <definedName localSheetId="16" name="언론사">#REF!</definedName>
    <definedName localSheetId="12" name="OF">#REF!</definedName>
    <definedName localSheetId="16" name="SHEET_2">#REF!</definedName>
    <definedName localSheetId="15" name="rrr">#REF!</definedName>
    <definedName localSheetId="21" name="서울3">#REF!</definedName>
    <definedName localSheetId="14" name="DATA2">#REF!</definedName>
    <definedName localSheetId="8" name="D">#REF!</definedName>
    <definedName localSheetId="16" name="Criteria_MI">#REF!</definedName>
    <definedName localSheetId="12" name="_Dist_Values">#REF!</definedName>
    <definedName localSheetId="19" name="KKK">#REF!</definedName>
    <definedName localSheetId="12" name="상품명">#REF!</definedName>
    <definedName localSheetId="13" name="프로그램명">#REF!</definedName>
    <definedName localSheetId="13" name="라인독점">#REF!</definedName>
    <definedName localSheetId="12" name="제주">#REF!</definedName>
    <definedName localSheetId="9" name="DW">#REF!</definedName>
    <definedName localSheetId="10" name="DA">#REF!</definedName>
    <definedName localSheetId="16" name="업종">#REF!</definedName>
    <definedName localSheetId="15" name="ROW">#REF!</definedName>
    <definedName localSheetId="12" name="_PNT2">#REF!</definedName>
    <definedName localSheetId="11" name="WA">#REF!</definedName>
    <definedName localSheetId="17" name="___PNT2">#REF!</definedName>
    <definedName localSheetId="19" name="pessimistic">#REF!</definedName>
    <definedName localSheetId="17" name="KKK">#REF!</definedName>
    <definedName localSheetId="8" name="PRINT_AREA_MI">#REF!</definedName>
    <definedName localSheetId="19" name="Wk_Sched">#REF!</definedName>
    <definedName localSheetId="21" name="경기">#REF!</definedName>
    <definedName localSheetId="8" name="백">#REF!</definedName>
    <definedName localSheetId="17" name="_Sort">#REF!</definedName>
    <definedName localSheetId="13" name="OllehTV15초안">#REF!</definedName>
    <definedName localSheetId="9" name="D">#REF!</definedName>
    <definedName localSheetId="19" name="ㄴㄷㅇ">#REF!</definedName>
    <definedName localSheetId="15" name="dflkdflkd">#REF!</definedName>
    <definedName localSheetId="9" name="__PNT2">#REF!</definedName>
    <definedName localSheetId="19" name="tag">#REF!</definedName>
    <definedName localSheetId="21" name="sss">#REF!</definedName>
    <definedName localSheetId="9" name="All">#REF!</definedName>
    <definedName localSheetId="13" name="__PNT3">#REF!</definedName>
    <definedName localSheetId="19" name="매체">#REF!</definedName>
    <definedName localSheetId="21" name="Growth">#REF!</definedName>
    <definedName localSheetId="16" name="매체">#REF!</definedName>
    <definedName localSheetId="15" name="인천1">#REF!</definedName>
    <definedName localSheetId="10" name="stations_old">#REF!</definedName>
    <definedName localSheetId="21" name="MBC_D">#REF!</definedName>
    <definedName localSheetId="9" name="MESSSCR">#REF!</definedName>
    <definedName localSheetId="12" name="업종">#REF!</definedName>
    <definedName localSheetId="21" name="dflkdflkd">#REF!</definedName>
    <definedName localSheetId="16" name="상품명">#REF!</definedName>
    <definedName localSheetId="13" name="MBC_D">#REF!</definedName>
    <definedName localSheetId="12" name="초수">#REF!</definedName>
    <definedName localSheetId="14" name="지역지역3">#REF!</definedName>
    <definedName localSheetId="8" name="DATA4">#REF!</definedName>
    <definedName name="PRINT_AREA_MI">#REF!</definedName>
    <definedName localSheetId="10" name="in">#REF!</definedName>
    <definedName localSheetId="17" name="tag">#REF!</definedName>
    <definedName localSheetId="18" name="Updated">#REF!</definedName>
    <definedName localSheetId="12" name="WA">#REF!</definedName>
    <definedName localSheetId="17" name="경기">#REF!</definedName>
    <definedName localSheetId="17" name="백">#REF!</definedName>
    <definedName localSheetId="13" name="이백">#REF!</definedName>
    <definedName localSheetId="17" name="internet">#REF!</definedName>
    <definedName localSheetId="15" name="DATA4">#REF!</definedName>
    <definedName localSheetId="11" name="LOOPKEY">#REF!</definedName>
    <definedName localSheetId="12" name="서울1">#REF!</definedName>
    <definedName localSheetId="14" name="B안">#REF!</definedName>
    <definedName localSheetId="18" name="목표">#REF!</definedName>
    <definedName localSheetId="11" name="in">#REF!</definedName>
    <definedName name="DACM">#REF!</definedName>
    <definedName localSheetId="10" name="SUM">#REF!</definedName>
    <definedName localSheetId="14" name="ㄷㄷㄷㄷㄷ">#REF!</definedName>
    <definedName localSheetId="14" name="연초임">#REF!</definedName>
    <definedName name="WQ">#REF!</definedName>
    <definedName localSheetId="15" name="연초임">#REF!</definedName>
    <definedName localSheetId="11" name="전남">#REF!</definedName>
    <definedName localSheetId="18" name="DW">#REF!</definedName>
    <definedName localSheetId="11" name="MESSSCR">#REF!</definedName>
    <definedName localSheetId="12" name="올레">#REF!</definedName>
    <definedName localSheetId="18" name="dflkdflkd">#REF!</definedName>
    <definedName localSheetId="9" name="SUM">#REF!</definedName>
    <definedName localSheetId="9" name="stations_old">#REF!</definedName>
    <definedName name="조명광고6호선">#REF!</definedName>
    <definedName localSheetId="21" name="ㅇㄴㄹ">#REF!</definedName>
    <definedName localSheetId="15" name="HKD">#REF!</definedName>
    <definedName localSheetId="18" name="충북">#REF!</definedName>
    <definedName localSheetId="16" name="DATA2">#REF!</definedName>
    <definedName name="_PNT2">#REF!</definedName>
    <definedName localSheetId="18" name="없음">#REF!</definedName>
    <definedName localSheetId="11" name="rrr">#REF!</definedName>
    <definedName localSheetId="8" name="All">#REF!</definedName>
    <definedName localSheetId="21" name="_PNT1">#REF!</definedName>
    <definedName localSheetId="9" name="__PNT1">#REF!</definedName>
    <definedName name="Growth">#REF!</definedName>
    <definedName localSheetId="19" name="타겟팅자료1">#REF!</definedName>
    <definedName localSheetId="10" name="인기역사팔월">#REF!</definedName>
    <definedName localSheetId="14" name="Excel_BuiltIn__FilterDatabase_1">#REF!</definedName>
    <definedName localSheetId="17" name="월">#REF!</definedName>
    <definedName name="지역지역1">#REF!</definedName>
    <definedName localSheetId="14" name="MBC_D">#REF!</definedName>
    <definedName localSheetId="15" name="tag">#REF!</definedName>
    <definedName name="_Dist_Values">#REF!</definedName>
    <definedName localSheetId="12" name="Scenario">#REF!</definedName>
    <definedName localSheetId="8" name="최종">#REF!</definedName>
    <definedName localSheetId="8" name="__PNT4">#REF!</definedName>
    <definedName localSheetId="14" name="타겟팅자료2">#REF!</definedName>
    <definedName localSheetId="16" name="서울2">#REF!</definedName>
    <definedName localSheetId="12" name="지역지역3">#REF!</definedName>
    <definedName localSheetId="9" name="업종">#REF!</definedName>
    <definedName localSheetId="13" name="__PNT2">#REF!</definedName>
    <definedName localSheetId="16" name="대구">#REF!</definedName>
    <definedName localSheetId="14" name="인천2">#REF!</definedName>
    <definedName localSheetId="9" name="팀">#REF!</definedName>
    <definedName localSheetId="11" name="___PNT4">#REF!</definedName>
    <definedName localSheetId="10" name="___PNT4">#REF!</definedName>
    <definedName localSheetId="21" name="백">#REF!</definedName>
    <definedName localSheetId="9" name="백">#REF!</definedName>
    <definedName localSheetId="13" name="업종">#REF!</definedName>
    <definedName localSheetId="16" name="없음">#REF!</definedName>
    <definedName name="영역">#REF!</definedName>
    <definedName localSheetId="14" name="없음">#REF!</definedName>
    <definedName name="역명">#REF!</definedName>
    <definedName localSheetId="12" name="수정">#REF!</definedName>
    <definedName localSheetId="19" name="ㄷㅎㅈㄷㅎ">#REF!</definedName>
    <definedName localSheetId="9" name="ㄷㄷㄷㄷㄷ">#REF!</definedName>
    <definedName localSheetId="14" name="Dollar">#REF!</definedName>
    <definedName localSheetId="16" name="올해">#REF!</definedName>
    <definedName localSheetId="8" name="__PNT3">#REF!</definedName>
    <definedName localSheetId="21" name="DATA2">#REF!</definedName>
    <definedName localSheetId="18" name="연초임">#REF!</definedName>
    <definedName name="삼백">#REF!</definedName>
    <definedName localSheetId="17" name="IPTVOTT">#REF!</definedName>
    <definedName localSheetId="14" name="_tt2">#REF!</definedName>
    <definedName localSheetId="15" name="s">#REF!</definedName>
    <definedName localSheetId="17" name="이백">#REF!</definedName>
    <definedName localSheetId="19" name="서울6">#REF!</definedName>
    <definedName localSheetId="12" name="삼백">#REF!</definedName>
    <definedName localSheetId="17" name="타겟팅자료3">#REF!</definedName>
    <definedName localSheetId="19" name="점소">#REF!</definedName>
    <definedName localSheetId="19" name="Growth">#REF!</definedName>
    <definedName localSheetId="16" name="LOOPKEY">#REF!</definedName>
    <definedName localSheetId="19" name="SHEET_3">#REF!</definedName>
    <definedName localSheetId="11" name="MESS">#REF!</definedName>
    <definedName localSheetId="13" name="M">#REF!</definedName>
    <definedName localSheetId="16" name="부산1">#REF!</definedName>
    <definedName localSheetId="10" name="_Dist_Values">#REF!</definedName>
    <definedName localSheetId="21" name="___PNT2">#REF!</definedName>
    <definedName localSheetId="13" name="_PNT1">#REF!</definedName>
    <definedName localSheetId="16" name="MESS">#REF!</definedName>
    <definedName localSheetId="17" name="ㅇㄹㅇ">#REF!</definedName>
    <definedName localSheetId="11" name="Extract_MI">#REF!</definedName>
    <definedName localSheetId="8" name="B안">#REF!</definedName>
    <definedName localSheetId="10" name="프로그램">#REF!</definedName>
    <definedName localSheetId="21" name="충남">#REF!</definedName>
    <definedName localSheetId="9" name="Home">#REF!</definedName>
    <definedName localSheetId="10" name="_Key1">#REF!</definedName>
    <definedName name="Wk_Sched">#REF!</definedName>
    <definedName localSheetId="8" name="Extract_MI">#REF!</definedName>
    <definedName localSheetId="15" name="이히">#REF!</definedName>
    <definedName localSheetId="11" name="AcqGrowth">#REF!</definedName>
    <definedName localSheetId="10" name="수정">#REF!</definedName>
    <definedName localSheetId="11" name="역명">#REF!</definedName>
    <definedName localSheetId="10" name="ㅇㅇㅇ">#REF!</definedName>
    <definedName localSheetId="16" name="All">#REF!</definedName>
    <definedName localSheetId="16" name="ㅇ">#REF!</definedName>
    <definedName localSheetId="8" name="월">#REF!</definedName>
    <definedName localSheetId="19" name="___PNT1">#REF!</definedName>
    <definedName localSheetId="18" name="s">#REF!</definedName>
    <definedName localSheetId="11" name="SHEET_1">#REF!</definedName>
    <definedName localSheetId="17" name="제주">#REF!</definedName>
    <definedName localSheetId="8" name="in">#REF!</definedName>
    <definedName localSheetId="15" name="지역지역3">#REF!</definedName>
    <definedName localSheetId="9" name="타겟팅자료2">#REF!</definedName>
    <definedName localSheetId="12" name="SUM">#REF!</definedName>
    <definedName name="D">#REF!</definedName>
    <definedName localSheetId="12" name="B안">#REF!</definedName>
    <definedName localSheetId="15" name="SHEET_2">#REF!</definedName>
    <definedName localSheetId="8" name="언론사">#REF!</definedName>
    <definedName localSheetId="13" name="부산1">#REF!</definedName>
    <definedName localSheetId="17" name="ㅇㄴㄹ">#REF!</definedName>
    <definedName localSheetId="19" name="internet">#REF!</definedName>
    <definedName localSheetId="19" name="B안">#REF!</definedName>
    <definedName localSheetId="21" name="__PNT4">#REF!</definedName>
    <definedName localSheetId="10" name="ㅇ">#REF!</definedName>
    <definedName localSheetId="10" name="Growth">#REF!</definedName>
    <definedName localSheetId="17" name="ㄷㅎㅈㄷㅎ">#REF!</definedName>
    <definedName localSheetId="17" name="HKD">#REF!</definedName>
    <definedName localSheetId="9" name="ㅁㄴㄴ">#REF!</definedName>
    <definedName localSheetId="12" name="__PNT2">#REF!</definedName>
    <definedName localSheetId="19" name="__PNT4">#REF!</definedName>
    <definedName localSheetId="13" name="Scenario">#REF!</definedName>
    <definedName localSheetId="8" name="WQ">#REF!</definedName>
    <definedName localSheetId="9" name="AcqGrowth">#REF!</definedName>
    <definedName localSheetId="18" name="ㅇㄹㄷㅈㄹ">#REF!</definedName>
    <definedName localSheetId="15" name="WQ">#REF!</definedName>
    <definedName name="근속">#REF!</definedName>
    <definedName localSheetId="13" name="인기역사팔월">#REF!</definedName>
    <definedName localSheetId="17" name="Times_Right">#REF!</definedName>
    <definedName localSheetId="21" name="SHEET_3">#REF!</definedName>
    <definedName localSheetId="12" name="__PNT3">#REF!</definedName>
    <definedName localSheetId="13" name="기본">#REF!</definedName>
    <definedName localSheetId="18" name="역명">#REF!</definedName>
    <definedName name="조명광고">#REF!</definedName>
    <definedName localSheetId="8" name="tag">#REF!</definedName>
    <definedName localSheetId="21" name="올해">#REF!</definedName>
    <definedName localSheetId="18" name="NEW">#REF!</definedName>
    <definedName localSheetId="17" name="인천2">#REF!</definedName>
    <definedName localSheetId="13" name="ㅁㄴㄴ">#REF!</definedName>
    <definedName localSheetId="9" name="Criteria_MI">#REF!</definedName>
    <definedName localSheetId="17" name="pessimistic">#REF!</definedName>
    <definedName name="이백">#REF!</definedName>
    <definedName localSheetId="13" name="WA">#REF!</definedName>
    <definedName localSheetId="19" name="타겟팅자료3">#REF!</definedName>
    <definedName localSheetId="21" name="ㅇㅇㅇ">#REF!</definedName>
    <definedName name="ss">#REF!</definedName>
    <definedName localSheetId="16" name="이백">#REF!</definedName>
    <definedName localSheetId="16" name="Scenario2">#REF!</definedName>
    <definedName localSheetId="16" name="AW">#REF!</definedName>
    <definedName localSheetId="21" name="조명광고">#REF!</definedName>
    <definedName localSheetId="9" name="WQ">#REF!</definedName>
    <definedName localSheetId="12" name="T1_">#REF!</definedName>
    <definedName localSheetId="13" name="삼백">#REF!</definedName>
    <definedName localSheetId="16" name="DATA3">#REF!</definedName>
    <definedName localSheetId="12" name="_PNT1">#REF!</definedName>
    <definedName localSheetId="19" name="DATA2">#REF!</definedName>
    <definedName name="쿼터">#REF!</definedName>
    <definedName localSheetId="9" name="SHEET_2">#REF!</definedName>
    <definedName localSheetId="11" name="D">#REF!</definedName>
    <definedName localSheetId="8" name="수정">#REF!</definedName>
    <definedName localSheetId="14" name="dflkdflkd">#REF!</definedName>
    <definedName localSheetId="16" name="연초임">#REF!</definedName>
    <definedName localSheetId="19" name="DATA03">#REF!</definedName>
    <definedName localSheetId="19" name="PRINT_AREA_MI">#REF!</definedName>
    <definedName localSheetId="11" name="___PNT1">#REF!</definedName>
    <definedName name="프로그램">#REF!</definedName>
    <definedName localSheetId="14" name="전남">#REF!</definedName>
    <definedName localSheetId="19" name="올레">#REF!</definedName>
    <definedName localSheetId="9" name="올레">#REF!</definedName>
    <definedName localSheetId="13" name="PRINT_AREA_MI">#REF!</definedName>
    <definedName localSheetId="14" name="AcqGrowth">#REF!</definedName>
    <definedName localSheetId="17" name="B안">#REF!</definedName>
    <definedName localSheetId="13" name="ㅇㅇㅇ">#REF!</definedName>
    <definedName localSheetId="15" name="MBC_D">#REF!</definedName>
    <definedName localSheetId="12" name="Dollar">#REF!</definedName>
    <definedName localSheetId="9" name="___PNT2">#REF!</definedName>
    <definedName localSheetId="18" name="이소영">#REF!</definedName>
    <definedName localSheetId="19" name="SUM">#REF!</definedName>
    <definedName localSheetId="17" name="Days_Of_Week">#REF!</definedName>
    <definedName localSheetId="11" name="ROW">#REF!</definedName>
    <definedName localSheetId="16" name="기본">#REF!</definedName>
    <definedName localSheetId="18" name="_PNT2">#REF!</definedName>
    <definedName name="MESSSCR">#REF!</definedName>
    <definedName name="All">#REF!</definedName>
    <definedName localSheetId="12" name="부산2">#REF!</definedName>
    <definedName localSheetId="12" name="stations_old">#REF!</definedName>
    <definedName localSheetId="17" name="PRINT_AREA_MI">#REF!</definedName>
    <definedName localSheetId="8" name="_PNT4">#REF!</definedName>
    <definedName localSheetId="19" name="in">#REF!</definedName>
    <definedName name="단가">#REF!</definedName>
    <definedName localSheetId="15" name="T1_">#REF!</definedName>
    <definedName localSheetId="15" name="부산1">#REF!</definedName>
    <definedName localSheetId="18" name="타겟팅자료4">#REF!</definedName>
    <definedName localSheetId="21" name="언론사">#REF!</definedName>
    <definedName localSheetId="13" name="SHEET_3">#REF!</definedName>
    <definedName localSheetId="15" name="SHEET_3">#REF!</definedName>
    <definedName localSheetId="12" name="Excel_BuiltIn__FilterDatabase_1">#REF!</definedName>
    <definedName localSheetId="18" name="DA">#REF!</definedName>
    <definedName localSheetId="17" name="TT">#REF!</definedName>
    <definedName localSheetId="8" name="MESS">#REF!</definedName>
    <definedName localSheetId="18" name="경남">#REF!</definedName>
    <definedName localSheetId="12" name="월">#REF!</definedName>
    <definedName name="Updated">#REF!</definedName>
    <definedName localSheetId="12" name="HKD">#REF!</definedName>
    <definedName localSheetId="13" name="_PNT4">#REF!</definedName>
    <definedName localSheetId="17" name="Extract_MI">#REF!</definedName>
    <definedName localSheetId="9" name="Times_Left">#REF!</definedName>
    <definedName localSheetId="12" name="ㄷㅎㅈㄷㅎ">#REF!</definedName>
    <definedName localSheetId="18" name="경북">#REF!</definedName>
    <definedName localSheetId="10" name="ㅇㄴㄹ">#REF!</definedName>
    <definedName localSheetId="19" name="인천2">#REF!</definedName>
    <definedName localSheetId="16" name="_PNT4">#REF!</definedName>
    <definedName localSheetId="11" name="초임">#REF!</definedName>
    <definedName localSheetId="13" name="이히">#REF!</definedName>
    <definedName localSheetId="16" name="_PNT2">#REF!</definedName>
    <definedName localSheetId="11" name="최종">#REF!</definedName>
    <definedName localSheetId="8" name="인천1">#REF!</definedName>
    <definedName localSheetId="10" name="ㄴㄷㅇ">#REF!</definedName>
    <definedName localSheetId="21" name="ss">#REF!</definedName>
    <definedName localSheetId="21" name="Excel_BuiltIn__FilterDatabase_1">#REF!</definedName>
    <definedName localSheetId="15" name="LOOPKEY">#REF!</definedName>
    <definedName localSheetId="9" name="ㅇㄴㄹ">#REF!</definedName>
    <definedName localSheetId="10" name="SHEET_1">#REF!</definedName>
    <definedName localSheetId="8" name="LOOPKEY">#REF!</definedName>
    <definedName localSheetId="21" name="s">#REF!</definedName>
    <definedName localSheetId="11" name="MBC_D">#REF!</definedName>
    <definedName localSheetId="14" name="타겟팅자료3">#REF!</definedName>
    <definedName localSheetId="16" name="이히">#REF!</definedName>
    <definedName localSheetId="18" name="Wk_Sched">#REF!</definedName>
    <definedName localSheetId="14" name="___PNT3">#REF!</definedName>
    <definedName localSheetId="19" name="프로그램">#REF!</definedName>
    <definedName localSheetId="18" name="FG46TBTB4RTDKDK">#REF!</definedName>
    <definedName localSheetId="19" name="ㅇ">#REF!</definedName>
    <definedName localSheetId="18" name="ss">#REF!</definedName>
    <definedName name="ㄴㄷㅇ">#REF!</definedName>
    <definedName localSheetId="16" name="타겟팅자료1">#REF!</definedName>
    <definedName localSheetId="21" name="쿼터">#REF!</definedName>
    <definedName localSheetId="21" name="부산2">#REF!</definedName>
    <definedName name="__PNT2">#REF!</definedName>
    <definedName localSheetId="8" name="등급">#REF!</definedName>
    <definedName localSheetId="17" name="언론사">#REF!</definedName>
    <definedName localSheetId="13" name="D">#REF!</definedName>
    <definedName name="Scenario">#REF!</definedName>
    <definedName localSheetId="15" name="ㅁㄴㄴ">#REF!</definedName>
    <definedName localSheetId="11" name="타겟팅자료1">#REF!</definedName>
    <definedName localSheetId="21" name="Extract_MI">#REF!</definedName>
    <definedName localSheetId="8" name="rrr">#REF!</definedName>
    <definedName localSheetId="12" name="인천1">#REF!</definedName>
    <definedName name="서울1">#REF!</definedName>
    <definedName localSheetId="17" name="dflkdflkd">#REF!</definedName>
    <definedName localSheetId="17" name="stations_old">#REF!</definedName>
    <definedName localSheetId="14" name="할증">#REF!</definedName>
    <definedName localSheetId="19" name="_KO2">#REF!</definedName>
    <definedName localSheetId="8" name="서울2">#REF!</definedName>
    <definedName localSheetId="9" name="HKD">#REF!</definedName>
    <definedName localSheetId="17" name="ddf">#REF!</definedName>
    <definedName localSheetId="11" name="프로그램">#REF!</definedName>
    <definedName localSheetId="16" name="SHEET_3">#REF!</definedName>
    <definedName localSheetId="17" name="역명">#REF!</definedName>
    <definedName localSheetId="12" name="서울3">#REF!</definedName>
    <definedName localSheetId="21" name="초수">#REF!</definedName>
    <definedName localSheetId="16" name="__PNT2">#REF!</definedName>
    <definedName localSheetId="16" name="상품">#REF!</definedName>
    <definedName localSheetId="19" name="Times_Right">#REF!</definedName>
    <definedName localSheetId="16" name="월">#REF!</definedName>
    <definedName localSheetId="15" name="팀">#REF!</definedName>
    <definedName name="OllehTV15초안">#REF!</definedName>
    <definedName localSheetId="8" name="M">#REF!</definedName>
    <definedName localSheetId="13" name="조명광고6호선">#REF!</definedName>
    <definedName localSheetId="9" name="KEY">#REF!</definedName>
    <definedName localSheetId="9" name="pessimistic">#REF!</definedName>
    <definedName localSheetId="17" name="AcqGrowth">#REF!</definedName>
    <definedName localSheetId="13" name="팀">#REF!</definedName>
    <definedName localSheetId="9" name="M">#REF!</definedName>
    <definedName localSheetId="13" name="연초임">#REF!</definedName>
    <definedName localSheetId="14" name="pessimistic">#REF!</definedName>
    <definedName name="KKK">#REF!</definedName>
    <definedName name="샌디">#REF!</definedName>
    <definedName name="WA">#REF!</definedName>
    <definedName localSheetId="16" name="이소영">#REF!</definedName>
    <definedName localSheetId="18" name="_Key1">#REF!</definedName>
    <definedName localSheetId="15" name="ㅇㄴㄹ">#REF!</definedName>
    <definedName localSheetId="18" name="월">#REF!</definedName>
    <definedName localSheetId="21" name="KKK">#REF!</definedName>
    <definedName localSheetId="11" name="DATA4">#REF!</definedName>
    <definedName localSheetId="16" name="PRINTGO">#REF!</definedName>
    <definedName name="충남">#REF!</definedName>
    <definedName localSheetId="8" name="MESSSCR">#REF!</definedName>
    <definedName localSheetId="15" name="NEW">#REF!</definedName>
    <definedName localSheetId="12" name="매체">#REF!</definedName>
    <definedName localSheetId="16" name="영역">#REF!</definedName>
    <definedName localSheetId="14" name="_PNT3">#REF!</definedName>
    <definedName localSheetId="8" name="MBC_D">#REF!</definedName>
    <definedName localSheetId="21" name="타겟팅자료3">#REF!</definedName>
    <definedName localSheetId="11" name="B안">#REF!</definedName>
    <definedName localSheetId="9" name="_PNT4">#REF!</definedName>
    <definedName localSheetId="14" name="초임">#REF!</definedName>
    <definedName localSheetId="12" name="_Key1">#REF!</definedName>
    <definedName localSheetId="13" name="목표">#REF!</definedName>
    <definedName name="등급">#REF!</definedName>
    <definedName localSheetId="14" name="타겟팅자료1">#REF!</definedName>
    <definedName localSheetId="19" name="DACM">#REF!</definedName>
    <definedName localSheetId="21" name="___PNT4">#REF!</definedName>
    <definedName localSheetId="12" name="_KO2">#REF!</definedName>
    <definedName localSheetId="19" name="인천3">#REF!</definedName>
    <definedName localSheetId="11" name="WQ">#REF!</definedName>
    <definedName localSheetId="12" name="DATA2">#REF!</definedName>
    <definedName localSheetId="8" name="인천2">#REF!</definedName>
    <definedName localSheetId="18" name="대구">#REF!</definedName>
    <definedName localSheetId="12" name="PRINT_AREA_MI">#REF!</definedName>
    <definedName localSheetId="12" name="rrrr">#REF!</definedName>
    <definedName localSheetId="11" name="상품">#REF!</definedName>
    <definedName localSheetId="17" name="인천3">#REF!</definedName>
    <definedName localSheetId="11" name="서울2">#REF!</definedName>
    <definedName localSheetId="15" name="M">#REF!</definedName>
    <definedName localSheetId="19" name="타겟팅자료2">#REF!</definedName>
    <definedName localSheetId="18" name="internet">#REF!</definedName>
    <definedName localSheetId="12" name="할증">#REF!</definedName>
    <definedName localSheetId="19" name="MESS">#REF!</definedName>
    <definedName localSheetId="11" name="기본">#REF!</definedName>
    <definedName localSheetId="10" name="샌디">#REF!</definedName>
    <definedName localSheetId="17" name="start1">#REF!</definedName>
    <definedName localSheetId="11" name="없음">#REF!</definedName>
    <definedName localSheetId="13" name="T1_">#REF!</definedName>
    <definedName localSheetId="8" name="상품명">#REF!</definedName>
    <definedName localSheetId="14" name="_Key2">#REF!</definedName>
    <definedName name="고리">#REF!</definedName>
    <definedName localSheetId="8" name="ㅁㄴㄴ">#REF!</definedName>
    <definedName localSheetId="9" name="인천2">#REF!</definedName>
    <definedName name="경기">#REF!</definedName>
    <definedName name="pessimistic">#REF!</definedName>
    <definedName localSheetId="17" name="SHEET_3">#REF!</definedName>
    <definedName localSheetId="13" name="사유">#REF!</definedName>
    <definedName localSheetId="18" name="타겟팅자료6">#REF!</definedName>
    <definedName localSheetId="9" name="Scenario">#REF!</definedName>
    <definedName localSheetId="14" name="_Key1">#REF!</definedName>
    <definedName name="TT">#REF!</definedName>
    <definedName name="SUM">#REF!</definedName>
    <definedName localSheetId="16" name="__PNT1">#REF!</definedName>
    <definedName localSheetId="17" name="부산1">#REF!</definedName>
    <definedName localSheetId="19" name="dflkdflkd">#REF!</definedName>
    <definedName localSheetId="11" name="DW">#REF!</definedName>
    <definedName localSheetId="13" name="프로그램">#REF!</definedName>
    <definedName localSheetId="10" name="LOOPKEY">#REF!</definedName>
    <definedName localSheetId="21" name="기본">#REF!</definedName>
    <definedName localSheetId="9" name="삼백">#REF!</definedName>
    <definedName localSheetId="18" name="DACM">#REF!</definedName>
    <definedName localSheetId="10" name="업종">#REF!</definedName>
    <definedName localSheetId="18" name="in">#REF!</definedName>
    <definedName localSheetId="10" name="라인독점">#REF!</definedName>
    <definedName localSheetId="8" name="WA">#REF!</definedName>
    <definedName localSheetId="12" name="Home">#REF!</definedName>
    <definedName localSheetId="12" name="___PNT1">#REF!</definedName>
    <definedName localSheetId="8" name="인기역사팔월">#REF!</definedName>
    <definedName localSheetId="19" name="렙">#REF!</definedName>
    <definedName localSheetId="21" name="ㅇㄹㅇ">#REF!</definedName>
    <definedName localSheetId="8" name="제주">#REF!</definedName>
    <definedName localSheetId="9" name="DATA3">#REF!</definedName>
    <definedName localSheetId="16" name="라인독점">#REF!</definedName>
    <definedName localSheetId="9" name="KKK">#REF!</definedName>
    <definedName localSheetId="16" name="Home">#REF!</definedName>
    <definedName name="___PNT3">#REF!</definedName>
    <definedName localSheetId="17" name="__PNT1">#REF!</definedName>
    <definedName localSheetId="14" name="언론사">#REF!</definedName>
    <definedName localSheetId="11" name="DATA3">#REF!</definedName>
    <definedName localSheetId="17" name="OF">#REF!</definedName>
    <definedName localSheetId="19" name="최종">#REF!</definedName>
    <definedName localSheetId="8" name="이백">#REF!</definedName>
    <definedName localSheetId="17" name="MESS">#REF!</definedName>
    <definedName localSheetId="21" name="Wk_Sched">#REF!</definedName>
    <definedName localSheetId="9" name="할증">#REF!</definedName>
    <definedName localSheetId="19" name="WHAT">#REF!</definedName>
    <definedName localSheetId="18" name="_Dist_Values">#REF!</definedName>
    <definedName localSheetId="10" name="맴매">#REF!</definedName>
    <definedName localSheetId="21" name="경북">#REF!</definedName>
    <definedName localSheetId="14" name="Extract_MI">#REF!</definedName>
    <definedName localSheetId="10" name="이소영">#REF!</definedName>
    <definedName localSheetId="19" name="올해">#REF!</definedName>
    <definedName localSheetId="14" name="PRINTGO">#REF!</definedName>
    <definedName localSheetId="21" name="Scenario">#REF!</definedName>
    <definedName localSheetId="11" name="삼백">#REF!</definedName>
    <definedName localSheetId="10" name="상품명">#REF!</definedName>
    <definedName localSheetId="9" name="MESS">#REF!</definedName>
    <definedName localSheetId="11" name="_PNT2">#REF!</definedName>
    <definedName localSheetId="17" name="ss">#REF!</definedName>
    <definedName localSheetId="16" name="제주">#REF!</definedName>
    <definedName localSheetId="14" name="_KO2">#REF!</definedName>
    <definedName localSheetId="14" name="서울3">#REF!</definedName>
    <definedName localSheetId="13" name="서울3">#REF!</definedName>
    <definedName localSheetId="17" name="_tt2">#REF!</definedName>
    <definedName localSheetId="19" name="목표">#REF!</definedName>
    <definedName localSheetId="17" name="WA">#REF!</definedName>
    <definedName localSheetId="16" name="초수">#REF!</definedName>
    <definedName localSheetId="21" name="ddf">#REF!</definedName>
    <definedName localSheetId="19" name="조명광고6호선">#REF!</definedName>
    <definedName localSheetId="13" name="_Key2">#REF!</definedName>
    <definedName localSheetId="18" name="영역">#REF!</definedName>
    <definedName localSheetId="16" name="s">#REF!</definedName>
    <definedName localSheetId="11" name="_Dist_Values">#REF!</definedName>
    <definedName localSheetId="17" name="ROW">#REF!</definedName>
    <definedName localSheetId="21" name="DAS">#REF!</definedName>
    <definedName localSheetId="21" name="축소">#REF!</definedName>
    <definedName localSheetId="18" name="SLM">#REF!</definedName>
    <definedName localSheetId="17" name="__PNT2">#REF!</definedName>
    <definedName localSheetId="16" name="_PNT1">#REF!</definedName>
    <definedName localSheetId="13" name="tag">#REF!</definedName>
    <definedName localSheetId="18" name="T1_">#REF!</definedName>
    <definedName name="ㅇㄹㄷㅈㄹ">#REF!</definedName>
    <definedName name="tag">#REF!</definedName>
    <definedName localSheetId="13" name="ㅇㄹㄷㅈㄹ">#REF!</definedName>
    <definedName localSheetId="17" name="축소1">#REF!</definedName>
    <definedName localSheetId="13" name="MESSSCR">#REF!</definedName>
    <definedName localSheetId="14" name="__PNT2">#REF!</definedName>
    <definedName localSheetId="21" name="등급">#REF!</definedName>
    <definedName localSheetId="21" name="rrrr">#REF!</definedName>
    <definedName localSheetId="14" name="_Sort">#REF!</definedName>
    <definedName localSheetId="16" name="_tt2">#REF!</definedName>
    <definedName localSheetId="13" name="in">#REF!</definedName>
    <definedName localSheetId="14" name="tag">#REF!</definedName>
    <definedName localSheetId="21" name="WQ">#REF!</definedName>
    <definedName localSheetId="18" name="TT">#REF!</definedName>
    <definedName localSheetId="13" name="_PNT3">#REF!</definedName>
    <definedName localSheetId="11" name="Scenario">#REF!</definedName>
    <definedName localSheetId="21" name="프로그램명">#REF!</definedName>
    <definedName localSheetId="11" name="Growth">#REF!</definedName>
    <definedName localSheetId="10" name="_PNT1">#REF!</definedName>
    <definedName localSheetId="18" name="Times_Left">#REF!</definedName>
    <definedName localSheetId="18" name="서울1">#REF!</definedName>
    <definedName localSheetId="11" name="stations_old">#REF!</definedName>
    <definedName localSheetId="21" name="회계매출1">#REF!</definedName>
    <definedName localSheetId="9" name="영역">#REF!</definedName>
    <definedName localSheetId="21" name="충북">#REF!</definedName>
    <definedName localSheetId="9" name="전북">#REF!</definedName>
    <definedName localSheetId="10" name="부산2">#REF!</definedName>
    <definedName localSheetId="17" name="MBC_D">#REF!</definedName>
    <definedName localSheetId="13" name="__PNT1">#REF!</definedName>
    <definedName localSheetId="12" name="___PNT3">#REF!</definedName>
    <definedName localSheetId="11" name="Dollar">#REF!</definedName>
    <definedName localSheetId="21" name="초임">#REF!</definedName>
    <definedName localSheetId="19" name="상품명">#REF!</definedName>
    <definedName localSheetId="16" name="등급">#REF!</definedName>
    <definedName localSheetId="9" name="Dollar">#REF!</definedName>
    <definedName localSheetId="11" name="DA">#REF!</definedName>
    <definedName localSheetId="15" name="새로">#REF!</definedName>
    <definedName localSheetId="17" name="Scenario">#REF!</definedName>
    <definedName localSheetId="16" name="_Key2">#REF!</definedName>
    <definedName localSheetId="16" name="WQ">#REF!</definedName>
    <definedName localSheetId="13" name="___PNT4">#REF!</definedName>
    <definedName localSheetId="9" name="라인독점">#REF!</definedName>
    <definedName localSheetId="19" name="___PNT4">#REF!</definedName>
    <definedName localSheetId="15" name="최종">#REF!</definedName>
    <definedName localSheetId="15" name="ㅇㅇㅇ">#REF!</definedName>
    <definedName localSheetId="15" name="이소영">#REF!</definedName>
    <definedName localSheetId="18" name="인천1">#REF!</definedName>
    <definedName name="Home">#REF!</definedName>
    <definedName localSheetId="14" name="PRINT_AREA_MI">#REF!</definedName>
    <definedName localSheetId="14" name="Times_Left">#REF!</definedName>
    <definedName localSheetId="13" name="DATA4">#REF!</definedName>
    <definedName localSheetId="11" name="ㄷㅎㅈㄷㅎ">#REF!</definedName>
    <definedName localSheetId="14" name="서울2">#REF!</definedName>
    <definedName localSheetId="13" name="Extract_MI">#REF!</definedName>
    <definedName localSheetId="17" name="영역">#REF!</definedName>
    <definedName localSheetId="9" name="ROW">#REF!</definedName>
    <definedName localSheetId="21" name="조명광고6호선">#REF!</definedName>
    <definedName localSheetId="13" name="수정">#REF!</definedName>
    <definedName name="지역지역3">#REF!</definedName>
    <definedName localSheetId="15" name="인천2">#REF!</definedName>
    <definedName localSheetId="10" name="ROW">#REF!</definedName>
    <definedName localSheetId="17" name="서울3">#REF!</definedName>
    <definedName localSheetId="21" name="SUM">#REF!</definedName>
    <definedName localSheetId="10" name="AW">#REF!</definedName>
    <definedName localSheetId="17" name="_PNT4">#REF!</definedName>
    <definedName localSheetId="18" name="서울3">#REF!</definedName>
    <definedName localSheetId="17" name="Criteria_MI">#REF!</definedName>
    <definedName localSheetId="12" name="ㄹ">#REF!</definedName>
    <definedName localSheetId="14" name="라인독점">#REF!</definedName>
    <definedName localSheetId="13" name="dflkdflkd">#REF!</definedName>
    <definedName name="_Sort">#REF!</definedName>
    <definedName name="Extract_MI">#REF!</definedName>
    <definedName localSheetId="15" name="Home">#REF!</definedName>
    <definedName name="M_Drama">#REF!</definedName>
    <definedName localSheetId="12" name="AcqGrowth">#REF!</definedName>
    <definedName localSheetId="13" name="맴매">#REF!</definedName>
    <definedName localSheetId="15" name="_Sort">#REF!</definedName>
    <definedName localSheetId="18" name="타겟팅자료2">#REF!</definedName>
    <definedName localSheetId="10" name="서울3">#REF!</definedName>
    <definedName localSheetId="8" name="팀">#REF!</definedName>
    <definedName name="축소1">#REF!</definedName>
    <definedName localSheetId="14" name="ㄴㄷㅇ">#REF!</definedName>
    <definedName localSheetId="18" name="전남">#REF!</definedName>
    <definedName localSheetId="19" name="SLM">#REF!</definedName>
    <definedName localSheetId="10" name="조명광고">#REF!</definedName>
    <definedName localSheetId="13" name="올레">#REF!</definedName>
    <definedName localSheetId="8" name="__PNT1">#REF!</definedName>
    <definedName localSheetId="17" name="ㅇㅇㅇ">#REF!</definedName>
    <definedName localSheetId="18" name="D">#REF!</definedName>
    <definedName localSheetId="19" name="WQ">#REF!</definedName>
    <definedName localSheetId="15" name="_PNT1">#REF!</definedName>
    <definedName localSheetId="14" name="ㄷㅎㅈㄷㅎ">#REF!</definedName>
    <definedName localSheetId="17" name="없음">#REF!</definedName>
    <definedName localSheetId="19" name="축소">#REF!</definedName>
    <definedName localSheetId="8" name="점소">#REF!</definedName>
    <definedName name="SHEET_1">#REF!</definedName>
    <definedName localSheetId="16" name="PRINT_AREA_MI">#REF!</definedName>
    <definedName localSheetId="14" name="SHEET_3">#REF!</definedName>
    <definedName localSheetId="8" name="AW">#REF!</definedName>
    <definedName localSheetId="17" name="M_Drama">#REF!</definedName>
    <definedName localSheetId="12" name="DATA3">#REF!</definedName>
    <definedName localSheetId="21" name="internet">#REF!</definedName>
    <definedName localSheetId="21" name="ㅇ">#REF!</definedName>
    <definedName localSheetId="17" name="타겟팅자료6">#REF!</definedName>
    <definedName localSheetId="13" name="ㅇㄴㄹ">#REF!</definedName>
    <definedName localSheetId="14" name="올레">#REF!</definedName>
    <definedName localSheetId="11" name="__PNT1">#REF!</definedName>
    <definedName name="올해">#REF!</definedName>
    <definedName localSheetId="11" name="대구">#REF!</definedName>
    <definedName localSheetId="21" name="사유">#REF!</definedName>
    <definedName name="NK">#REF!</definedName>
    <definedName localSheetId="10" name="B안">#REF!</definedName>
    <definedName localSheetId="9" name="부산2">#REF!</definedName>
    <definedName name="start">#REF!</definedName>
    <definedName localSheetId="13" name="인천3">#REF!</definedName>
    <definedName localSheetId="19" name="허걱">#REF!</definedName>
    <definedName localSheetId="15" name="서울2">#REF!</definedName>
    <definedName localSheetId="17" name="Database_MI">#REF!</definedName>
    <definedName localSheetId="11" name="s">#REF!</definedName>
    <definedName name="__PNT3">#REF!</definedName>
    <definedName localSheetId="16" name="쿼터">#REF!</definedName>
    <definedName localSheetId="15" name="DATA2">#REF!</definedName>
    <definedName localSheetId="18" name="AW">#REF!</definedName>
    <definedName localSheetId="19" name="타겟팅자료5">#REF!</definedName>
    <definedName localSheetId="18" name="KKK">#REF!</definedName>
    <definedName localSheetId="21" name="타겟팅자료1">#REF!</definedName>
    <definedName localSheetId="9" name="AW">#REF!</definedName>
    <definedName localSheetId="21" name="제주">#REF!</definedName>
    <definedName localSheetId="12" name="라인독점">#REF!</definedName>
    <definedName name="SGD">#REF!</definedName>
    <definedName localSheetId="8" name="T1_">#REF!</definedName>
    <definedName name="SLM">#REF!</definedName>
    <definedName localSheetId="19" name="_PNT4">#REF!</definedName>
    <definedName localSheetId="15" name="서울1">#REF!</definedName>
    <definedName localSheetId="8" name="역명">#REF!</definedName>
    <definedName localSheetId="19" name="SGD">#REF!</definedName>
    <definedName localSheetId="9" name="PRINT_AREA_MI">#REF!</definedName>
    <definedName localSheetId="13" name="ㄷㄷㄷㄷㄷ">#REF!</definedName>
    <definedName localSheetId="11" name="Scenario2">#REF!</definedName>
    <definedName name="인천1">#REF!</definedName>
    <definedName localSheetId="15" name="MESSSCR">#REF!</definedName>
    <definedName name="서울6">#REF!</definedName>
    <definedName localSheetId="21" name="없음">#REF!</definedName>
    <definedName localSheetId="17" name="DATA2">#REF!</definedName>
    <definedName localSheetId="14" name="WQ">#REF!</definedName>
    <definedName localSheetId="18" name="축소1">#REF!</definedName>
    <definedName name="부산2">#REF!</definedName>
    <definedName localSheetId="16" name="__PNT3">#REF!</definedName>
    <definedName localSheetId="11" name="인천1">#REF!</definedName>
    <definedName localSheetId="15" name="프로그램">#REF!</definedName>
    <definedName localSheetId="12" name="OllehTV15초안">#REF!</definedName>
    <definedName localSheetId="15" name="DATA3">#REF!</definedName>
    <definedName localSheetId="12" name="프로그램">#REF!</definedName>
    <definedName localSheetId="18" name="__PNT4">#REF!</definedName>
    <definedName localSheetId="19" name="MESSSCR">#REF!</definedName>
    <definedName localSheetId="8" name="rrrr">#REF!</definedName>
    <definedName localSheetId="14" name="등급">#REF!</definedName>
    <definedName localSheetId="21" name="Updated">#REF!</definedName>
    <definedName localSheetId="21" name="이히">#REF!</definedName>
    <definedName localSheetId="16" name="점소">#REF!</definedName>
    <definedName localSheetId="18" name="OllehTV15초안">#REF!</definedName>
    <definedName localSheetId="17" name="KEY">#REF!</definedName>
    <definedName localSheetId="16" name="ㄹ">#REF!</definedName>
    <definedName localSheetId="15" name="기본">#REF!</definedName>
    <definedName localSheetId="19" name="T1_">#REF!</definedName>
    <definedName localSheetId="16" name="서울3">#REF!</definedName>
    <definedName localSheetId="16" name="Growth">#REF!</definedName>
    <definedName localSheetId="18" name="충남">#REF!</definedName>
    <definedName localSheetId="13" name="AcqGrowth">#REF!</definedName>
    <definedName localSheetId="10" name="MBC_D">#REF!</definedName>
    <definedName localSheetId="18" name="허걱">#REF!</definedName>
    <definedName localSheetId="8" name="타겟팅자료1">#REF!</definedName>
    <definedName localSheetId="19" name="Home">#REF!</definedName>
    <definedName localSheetId="11" name="OF">#REF!</definedName>
    <definedName localSheetId="14" name="부산1">#REF!</definedName>
    <definedName localSheetId="16" name="M_Drama">#REF!</definedName>
    <definedName localSheetId="9" name="ㄹ">#REF!</definedName>
    <definedName localSheetId="16" name="__PNT4">#REF!</definedName>
    <definedName localSheetId="18" name="조명광고">#REF!</definedName>
    <definedName localSheetId="15" name="이백">#REF!</definedName>
    <definedName localSheetId="13" name="__PNT4">#REF!</definedName>
    <definedName localSheetId="10" name="SHEET_3">#REF!</definedName>
    <definedName localSheetId="10" name="지역지역1">#REF!</definedName>
    <definedName localSheetId="10" name="All">#REF!</definedName>
    <definedName localSheetId="12" name="DATA4">#REF!</definedName>
    <definedName localSheetId="21" name="DATA3">#REF!</definedName>
    <definedName localSheetId="16" name="전남">#REF!</definedName>
    <definedName localSheetId="16" name="tag">#REF!</definedName>
    <definedName name="DATA4">#REF!</definedName>
    <definedName localSheetId="21" name="Database_MI">#REF!</definedName>
    <definedName localSheetId="8" name="DATA3">#REF!</definedName>
    <definedName localSheetId="8" name="_KO2">#REF!</definedName>
    <definedName localSheetId="10" name="인천2">#REF!</definedName>
    <definedName localSheetId="18" name="SHEET_3">#REF!</definedName>
    <definedName localSheetId="10" name="rrr">#REF!</definedName>
    <definedName name="SHEET_3">#REF!</definedName>
    <definedName localSheetId="14" name="조명광고6호선">#REF!</definedName>
    <definedName localSheetId="13" name="쿼터">#REF!</definedName>
    <definedName localSheetId="9" name="_Dist_Values">#REF!</definedName>
    <definedName localSheetId="17" name="_KO2">#REF!</definedName>
    <definedName localSheetId="17" name="등급">#REF!</definedName>
    <definedName localSheetId="16" name="수정">#REF!</definedName>
    <definedName localSheetId="21" name="이백">#REF!</definedName>
    <definedName localSheetId="21" name="pessimistic">#REF!</definedName>
    <definedName localSheetId="18" name="ㄹ">#REF!</definedName>
    <definedName localSheetId="17" name="start">#REF!</definedName>
    <definedName localSheetId="10" name="pessimistic">#REF!</definedName>
    <definedName name="고고">#REF!</definedName>
    <definedName localSheetId="15" name="B안">#REF!</definedName>
    <definedName localSheetId="11" name="dflkdflkd">#REF!</definedName>
    <definedName localSheetId="18" name="M_Drama">#REF!</definedName>
    <definedName localSheetId="9" name="서울2">#REF!</definedName>
    <definedName localSheetId="11" name="맴매">#REF!</definedName>
    <definedName localSheetId="13" name="인천2">#REF!</definedName>
    <definedName localSheetId="10" name="타겟팅자료3">#REF!</definedName>
    <definedName localSheetId="8" name="업종">#REF!</definedName>
    <definedName localSheetId="18" name="DATA4">#REF!</definedName>
    <definedName localSheetId="14" name="in">#REF!</definedName>
    <definedName name="_Key1">#REF!</definedName>
    <definedName localSheetId="10" name="ㄷㄹㄷㅈㄹ">#REF!</definedName>
    <definedName localSheetId="18" name="KEY">#REF!</definedName>
    <definedName localSheetId="8" name="대구">#REF!</definedName>
    <definedName localSheetId="17" name="라인독점">#REF!</definedName>
    <definedName localSheetId="19" name="단가">#REF!</definedName>
    <definedName localSheetId="19" name="_tt2">#REF!</definedName>
    <definedName localSheetId="9" name="인기역사팔월">#REF!</definedName>
    <definedName localSheetId="15" name="KKK">#REF!</definedName>
    <definedName localSheetId="9" name="ㅇㅇㅇ">#REF!</definedName>
    <definedName name="DDD">#REF!</definedName>
    <definedName localSheetId="9" name="_PNT1">#REF!</definedName>
    <definedName name="internet">#REF!</definedName>
    <definedName name="DAS">#REF!</definedName>
    <definedName localSheetId="8" name="DW">#REF!</definedName>
    <definedName localSheetId="15" name="stations_old">#REF!</definedName>
    <definedName localSheetId="13" name="NK">#REF!</definedName>
    <definedName localSheetId="15" name="삼백">#REF!</definedName>
    <definedName localSheetId="19" name="연초임">#REF!</definedName>
    <definedName localSheetId="16" name="Scenario">#REF!</definedName>
    <definedName localSheetId="15" name="ㄴㄷㅇ">#REF!</definedName>
    <definedName localSheetId="17" name="rrrr">#REF!</definedName>
    <definedName localSheetId="12" name="pessimistic">#REF!</definedName>
    <definedName localSheetId="21" name="서울1">#REF!</definedName>
    <definedName localSheetId="10" name="M_Drama">#REF!</definedName>
    <definedName localSheetId="8" name="ㄹ">#REF!</definedName>
    <definedName localSheetId="14" name="수정">#REF!</definedName>
    <definedName localSheetId="18" name="rrrr">#REF!</definedName>
    <definedName localSheetId="18" name="HKD">#REF!</definedName>
    <definedName localSheetId="18" name="Scenario2">#REF!</definedName>
    <definedName localSheetId="13" name="HKD">#REF!</definedName>
    <definedName localSheetId="14" name="쿼터">#REF!</definedName>
    <definedName localSheetId="19" name="sk투">#REF!</definedName>
    <definedName localSheetId="12" name="__PNT4">#REF!</definedName>
    <definedName localSheetId="16" name="D">#REF!</definedName>
    <definedName localSheetId="21" name="VOD프리롤">#REF!</definedName>
    <definedName localSheetId="11" name="ㅇ">#REF!</definedName>
    <definedName localSheetId="12" name="조명광고6호선">#REF!</definedName>
    <definedName localSheetId="8" name="이히">#REF!</definedName>
    <definedName name="OF">#REF!</definedName>
    <definedName localSheetId="21" name="ZA">#REF!</definedName>
    <definedName localSheetId="16" name="조명광고6호선">#REF!</definedName>
    <definedName name="경남">#REF!</definedName>
    <definedName localSheetId="11" name="인기역사팔월">#REF!</definedName>
    <definedName localSheetId="17" name="조명광고">#REF!</definedName>
    <definedName localSheetId="15" name="점소">#REF!</definedName>
    <definedName localSheetId="10" name="DATA2">#REF!</definedName>
    <definedName name="상품명">#REF!</definedName>
    <definedName localSheetId="9" name="프로그램">#REF!</definedName>
    <definedName localSheetId="10" name="Scenario2">#REF!</definedName>
    <definedName localSheetId="8" name="_PNT3">#REF!</definedName>
    <definedName localSheetId="14" name="Growth">#REF!</definedName>
    <definedName localSheetId="9" name="서울3">#REF!</definedName>
    <definedName localSheetId="10" name="_Key2">#REF!</definedName>
    <definedName localSheetId="15" name="WA">#REF!</definedName>
    <definedName localSheetId="8" name="쿼터">#REF!</definedName>
    <definedName localSheetId="15" name="DW">#REF!</definedName>
    <definedName localSheetId="21" name="렙">#REF!</definedName>
    <definedName localSheetId="13" name="___PNT3">#REF!</definedName>
    <definedName localSheetId="14" name="HKD">#REF!</definedName>
    <definedName localSheetId="15" name="_PNT4">#REF!</definedName>
    <definedName localSheetId="21" name="타겟팅자료2">#REF!</definedName>
    <definedName localSheetId="12" name="___PNT4">#REF!</definedName>
    <definedName localSheetId="10" name="월">#REF!</definedName>
    <definedName localSheetId="21" name="지역지역1">#REF!</definedName>
    <definedName name="맴매">#REF!</definedName>
    <definedName localSheetId="21" name="_PNT4">#REF!</definedName>
    <definedName localSheetId="15" name="DA">#REF!</definedName>
    <definedName name="할증">#REF!</definedName>
    <definedName localSheetId="11" name="_PNT3">#REF!</definedName>
    <definedName localSheetId="21" name="__PNT2">#REF!</definedName>
    <definedName localSheetId="14" name="지역지역1">#REF!</definedName>
    <definedName localSheetId="18" name="전북">#REF!</definedName>
    <definedName localSheetId="18" name="이히">#REF!</definedName>
    <definedName localSheetId="13" name="제주">#REF!</definedName>
    <definedName localSheetId="18" name="tag">#REF!</definedName>
    <definedName localSheetId="10" name="DW">#REF!</definedName>
    <definedName localSheetId="10" name="역명">#REF!</definedName>
    <definedName localSheetId="14" name="업종">#REF!</definedName>
    <definedName localSheetId="15" name="in">#REF!</definedName>
    <definedName localSheetId="12" name="기본">#REF!</definedName>
    <definedName localSheetId="13" name="___PNT2">#REF!</definedName>
    <definedName localSheetId="13" name="초수">#REF!</definedName>
    <definedName localSheetId="18" name="인천2">#REF!</definedName>
    <definedName localSheetId="15" name="ㄹ">#REF!</definedName>
    <definedName localSheetId="13" name="전북">#REF!</definedName>
    <definedName name="_PNT4">#REF!</definedName>
    <definedName localSheetId="9" name="___PNT1">#REF!</definedName>
    <definedName localSheetId="11" name="rrrr">#REF!</definedName>
    <definedName localSheetId="11" name="부산1">#REF!</definedName>
    <definedName localSheetId="14" name="초수">#REF!</definedName>
    <definedName localSheetId="8" name="목표">#REF!</definedName>
    <definedName localSheetId="12" name="_Sort">#REF!</definedName>
    <definedName localSheetId="12" name="SHEET_2">#REF!</definedName>
    <definedName localSheetId="10" name="타겟팅자료2">#REF!</definedName>
    <definedName localSheetId="14" name="NEW">#REF!</definedName>
    <definedName localSheetId="15" name="없음">#REF!</definedName>
    <definedName localSheetId="8" name="서울3">#REF!</definedName>
    <definedName localSheetId="15" name="PRINTGO">#REF!</definedName>
    <definedName localSheetId="17" name="_PNT3">#REF!</definedName>
    <definedName localSheetId="12" name="ㅇㄹㄷㅈㄹ">#REF!</definedName>
    <definedName localSheetId="18" name="올해">#REF!</definedName>
    <definedName localSheetId="19" name="ㅇㄴㄹ">#REF!</definedName>
    <definedName localSheetId="11" name="언론사">#REF!</definedName>
    <definedName localSheetId="13" name="B안">#REF!</definedName>
    <definedName localSheetId="21" name="경남">#REF!</definedName>
    <definedName localSheetId="19" name="맴매">#REF!</definedName>
    <definedName localSheetId="19" name="백">#REF!</definedName>
    <definedName name="수정">#REF!</definedName>
    <definedName localSheetId="11" name="Home">#REF!</definedName>
    <definedName localSheetId="18" name="할증">#REF!</definedName>
    <definedName localSheetId="17" name="타겟팅자료4">#REF!</definedName>
    <definedName name="DATA2">#REF!</definedName>
    <definedName localSheetId="18" name="팀">#REF!</definedName>
    <definedName localSheetId="10" name="D">#REF!</definedName>
    <definedName localSheetId="12" name="역명">#REF!</definedName>
    <definedName localSheetId="19" name="타겟팅자료6">#REF!</definedName>
    <definedName localSheetId="17" name="렙">#REF!</definedName>
    <definedName localSheetId="19" name="지역지역3">#REF!</definedName>
    <definedName localSheetId="10" name="올해">#REF!</definedName>
    <definedName localSheetId="16" name="Extract_MI">#REF!</definedName>
    <definedName localSheetId="15" name="OF">#REF!</definedName>
    <definedName localSheetId="10" name="목표">#REF!</definedName>
    <definedName localSheetId="9" name="Excel_BuiltIn__FilterDatabase_1">#REF!</definedName>
    <definedName localSheetId="10" name="MESS">#REF!</definedName>
    <definedName localSheetId="19" name="s">#REF!</definedName>
    <definedName localSheetId="19" name="부산2">#REF!</definedName>
    <definedName localSheetId="11" name="NK">#REF!</definedName>
    <definedName localSheetId="21" name="dd">#REF!</definedName>
    <definedName localSheetId="12" name="___PNT2">#REF!</definedName>
    <definedName localSheetId="15" name="언론사">#REF!</definedName>
    <definedName localSheetId="18" name="Times_Right">#REF!</definedName>
    <definedName localSheetId="8" name="OllehTV15초안">#REF!</definedName>
    <definedName localSheetId="12" name="MESS">#REF!</definedName>
    <definedName localSheetId="18" name="타겟팅자료5">#REF!</definedName>
    <definedName localSheetId="19" name="영역">#REF!</definedName>
    <definedName localSheetId="15" name="KEY">#REF!</definedName>
    <definedName name="___PNT1">#REF!</definedName>
    <definedName localSheetId="9" name="대구">#REF!</definedName>
    <definedName localSheetId="21" name="이소영">#REF!</definedName>
    <definedName localSheetId="21" name="업종">#REF!</definedName>
    <definedName localSheetId="21" name="LOOPKEY">#REF!</definedName>
    <definedName localSheetId="8" name="ㄷㄹㄷㅈㄹ">#REF!</definedName>
    <definedName localSheetId="16" name="M">#REF!</definedName>
    <definedName localSheetId="16" name="부산2">#REF!</definedName>
    <definedName localSheetId="19" name="___PNT2">#REF!</definedName>
    <definedName localSheetId="11" name="_tt2">#REF!</definedName>
    <definedName localSheetId="9" name="M_Drama">#REF!</definedName>
    <definedName localSheetId="11" name="tag">#REF!</definedName>
    <definedName name="AcqGrowth">#REF!</definedName>
    <definedName localSheetId="12" name="전북">#REF!</definedName>
    <definedName localSheetId="19" name="ㄷㄹㄷㅈㄹ">#REF!</definedName>
    <definedName localSheetId="10" name="할증">#REF!</definedName>
    <definedName localSheetId="14" name="상품명">#REF!</definedName>
    <definedName localSheetId="14" name="s">#REF!</definedName>
    <definedName localSheetId="15" name="인천3">#REF!</definedName>
    <definedName localSheetId="16" name="지역지역3">#REF!</definedName>
    <definedName localSheetId="8" name="조명광고">#REF!</definedName>
    <definedName localSheetId="13" name="ㅇ">#REF!</definedName>
    <definedName localSheetId="11" name="월">#REF!</definedName>
    <definedName localSheetId="18" name="pessimistic">#REF!</definedName>
    <definedName localSheetId="18" name="DATA3">#REF!</definedName>
    <definedName localSheetId="10" name="KEY">#REF!</definedName>
    <definedName localSheetId="19" name="업종">#REF!</definedName>
    <definedName localSheetId="21" name="서울4">#REF!</definedName>
    <definedName localSheetId="15" name="OllehTV15초안">#REF!</definedName>
    <definedName localSheetId="19" name="서울5">#REF!</definedName>
    <definedName localSheetId="8" name="초임">#REF!</definedName>
    <definedName name="ㅁㄴㄴ">#REF!</definedName>
    <definedName name="충북">#REF!</definedName>
    <definedName localSheetId="15" name="MESS">#REF!</definedName>
    <definedName name="Scenario2">#REF!</definedName>
    <definedName localSheetId="15" name="맴매">#REF!</definedName>
    <definedName localSheetId="8" name="ㄷㅎㅈㄷㅎ">#REF!</definedName>
    <definedName localSheetId="12" name="M">#REF!</definedName>
    <definedName localSheetId="14" name="MESSSCR">#REF!</definedName>
    <definedName localSheetId="10" name="OllehTV15초안">#REF!</definedName>
    <definedName localSheetId="13" name="ㄹ">#REF!</definedName>
    <definedName localSheetId="10" name="__PNT4">#REF!</definedName>
    <definedName localSheetId="19" name="OllehTV15초안">#REF!</definedName>
    <definedName localSheetId="16" name="WA">#REF!</definedName>
    <definedName localSheetId="17" name="ㄴㄷㅇ">#REF!</definedName>
    <definedName localSheetId="14" name="이백">#REF!</definedName>
    <definedName localSheetId="21" name="지역지역3">#REF!</definedName>
    <definedName localSheetId="16" name="___PNT1">#REF!</definedName>
    <definedName localSheetId="15" name="Criteria_MI">#REF!</definedName>
    <definedName localSheetId="13" name="stations_old">#REF!</definedName>
    <definedName localSheetId="12" name="이소영">#REF!</definedName>
    <definedName localSheetId="16" name="서울1">#REF!</definedName>
    <definedName localSheetId="19" name="ROW">#REF!</definedName>
    <definedName localSheetId="18" name="MESS">#REF!</definedName>
    <definedName localSheetId="18" name="_KO2">#REF!</definedName>
    <definedName localSheetId="12" name="서울2">#REF!</definedName>
    <definedName localSheetId="17" name="대구">#REF!</definedName>
    <definedName localSheetId="21" name="허걱">#REF!</definedName>
    <definedName localSheetId="16" name="___PNT4">#REF!</definedName>
    <definedName localSheetId="21" name="강원">#REF!</definedName>
    <definedName localSheetId="17" name="DATA3">#REF!</definedName>
    <definedName localSheetId="14" name="ㅇㅇㅇ">#REF!</definedName>
    <definedName localSheetId="17" name="할증">#REF!</definedName>
    <definedName localSheetId="18" name="ㅇ">#REF!</definedName>
    <definedName localSheetId="19" name="Extract_MI">#REF!</definedName>
    <definedName localSheetId="16" name="___PNT3">#REF!</definedName>
    <definedName localSheetId="16" name="지역지역1">#REF!</definedName>
    <definedName localSheetId="12" name="올해">#REF!</definedName>
    <definedName localSheetId="19" name="초임">#REF!</definedName>
    <definedName localSheetId="13" name="백">#REF!</definedName>
    <definedName localSheetId="15" name="부산2">#REF!</definedName>
    <definedName localSheetId="17" name="T1_">#REF!</definedName>
    <definedName name="ㄷㄷㄷㄷㄷ">#REF!</definedName>
    <definedName localSheetId="14" name="___PNT1">#REF!</definedName>
    <definedName localSheetId="17" name="서울2">#REF!</definedName>
    <definedName localSheetId="13" name="Criteria_MI">#REF!</definedName>
    <definedName localSheetId="18" name="업종">#REF!</definedName>
    <definedName localSheetId="19" name="sss">#REF!</definedName>
    <definedName localSheetId="8" name="SHEET_3">#REF!</definedName>
    <definedName localSheetId="8" name="s">#REF!</definedName>
    <definedName localSheetId="9" name="_tt2">#REF!</definedName>
    <definedName name="타겟팅자료4">#REF!</definedName>
    <definedName localSheetId="12" name="NK">#REF!</definedName>
    <definedName localSheetId="21" name="SGD">#REF!</definedName>
    <definedName localSheetId="15" name="매체">#REF!</definedName>
    <definedName name="기본">#REF!</definedName>
    <definedName localSheetId="21" name="NK">#REF!</definedName>
    <definedName localSheetId="11" name="점소">#REF!</definedName>
    <definedName localSheetId="10" name="ㅁㄴㄴ">#REF!</definedName>
    <definedName localSheetId="17" name="Scenario2">#REF!</definedName>
    <definedName localSheetId="21" name="인천1">#REF!</definedName>
    <definedName localSheetId="8" name="조명광고6호선">#REF!</definedName>
    <definedName localSheetId="15" name="NK">#REF!</definedName>
    <definedName localSheetId="10" name="PRINT_AREA_MI">#REF!</definedName>
    <definedName localSheetId="12" name="in">#REF!</definedName>
    <definedName localSheetId="19" name="Excel_BuiltIn__FilterDatabase_1">#REF!</definedName>
    <definedName localSheetId="11" name="초수">#REF!</definedName>
    <definedName localSheetId="21" name="DA">#REF!</definedName>
    <definedName localSheetId="13" name="부산2">#REF!</definedName>
    <definedName localSheetId="14" name="_PNT2">#REF!</definedName>
    <definedName localSheetId="19" name="대구">#REF!</definedName>
    <definedName localSheetId="9" name="연초임">#REF!</definedName>
    <definedName name="최종">#REF!</definedName>
    <definedName localSheetId="18" name="WQ">#REF!</definedName>
    <definedName localSheetId="15" name="SHEET_1">#REF!</definedName>
    <definedName localSheetId="17" name="DATA03">#REF!</definedName>
    <definedName localSheetId="11" name="타겟팅자료3">#REF!</definedName>
    <definedName localSheetId="14" name="ㅇㄹㄷㅈㄹ">#REF!</definedName>
    <definedName localSheetId="18" name="Database_MI">#REF!</definedName>
    <definedName localSheetId="9" name="rrrr">#REF!</definedName>
    <definedName localSheetId="19" name="ㅇㅇㅇ">#REF!</definedName>
    <definedName localSheetId="18" name="부산1">#REF!</definedName>
    <definedName localSheetId="10" name="NK">#REF!</definedName>
    <definedName localSheetId="16" name="ㄷㄷㄷㄷㄷ">#REF!</definedName>
    <definedName localSheetId="16" name="___PNT2">#REF!</definedName>
    <definedName localSheetId="18" name="PRINT_AREA_MI">#REF!</definedName>
    <definedName localSheetId="17" name="___PNT4">#REF!</definedName>
    <definedName localSheetId="18" name="점소">#REF!</definedName>
    <definedName localSheetId="19" name="팀">#REF!</definedName>
    <definedName localSheetId="16" name="HKD">#REF!</definedName>
    <definedName localSheetId="19" name="IPTVOTT">#REF!</definedName>
    <definedName localSheetId="8" name="M_Drama">#REF!</definedName>
    <definedName localSheetId="15" name="상품명">#REF!</definedName>
    <definedName localSheetId="11" name="ㅁㄴㄴ">#REF!</definedName>
    <definedName localSheetId="11" name="M_Drama">#REF!</definedName>
    <definedName localSheetId="17" name="M">#REF!</definedName>
    <definedName localSheetId="14" name="DW">#REF!</definedName>
    <definedName localSheetId="13" name="AW">#REF!</definedName>
    <definedName localSheetId="10" name="___PNT3">#REF!</definedName>
    <definedName localSheetId="18" name="AcqGrowth">#REF!</definedName>
    <definedName localSheetId="21" name="최종">#REF!</definedName>
    <definedName localSheetId="8" name="___PNT1">#REF!</definedName>
    <definedName localSheetId="11" name="Times_Left">#REF!</definedName>
    <definedName localSheetId="21" name="WA">#REF!</definedName>
    <definedName localSheetId="12" name="ㅁㄴㄴ">#REF!</definedName>
    <definedName localSheetId="14" name="_PNT1">#REF!</definedName>
    <definedName localSheetId="19" name="__PNT3">#REF!</definedName>
    <definedName localSheetId="8" name="__PNT2">#REF!</definedName>
    <definedName localSheetId="14" name="WA">#REF!</definedName>
    <definedName localSheetId="10" name="타겟팅자료1">#REF!</definedName>
    <definedName localSheetId="9" name="_KO2">#REF!</definedName>
    <definedName localSheetId="21" name="start">#REF!</definedName>
    <definedName localSheetId="11" name="_Key1">#REF!</definedName>
    <definedName localSheetId="18" name="ㅇㄹㅇ">#REF!</definedName>
    <definedName localSheetId="14" name="월">#REF!</definedName>
    <definedName localSheetId="12" name="조명광고">#REF!</definedName>
    <definedName localSheetId="17" name="서울4">#REF!</definedName>
    <definedName localSheetId="21" name="연초임">#REF!</definedName>
    <definedName localSheetId="8" name="_tt2">#REF!</definedName>
    <definedName localSheetId="21" name="매체">#REF!</definedName>
    <definedName localSheetId="15" name="rrrr">#REF!</definedName>
    <definedName localSheetId="19" name="호선별">#REF!</definedName>
    <definedName localSheetId="13" name="___PNT1">#REF!</definedName>
    <definedName localSheetId="16" name="_Dist_Values">#REF!</definedName>
    <definedName localSheetId="16" name="프로그램">#REF!</definedName>
    <definedName localSheetId="8" name="타겟팅자료2">#REF!</definedName>
    <definedName localSheetId="17" name="연초임">#REF!</definedName>
    <definedName localSheetId="13" name="_tt2">#REF!</definedName>
    <definedName localSheetId="21" name="IPTVOTT">#REF!</definedName>
    <definedName localSheetId="21" name="WHAT">#REF!</definedName>
    <definedName localSheetId="16" name="ㄷㅎㅈㄷㅎ">#REF!</definedName>
    <definedName localSheetId="12" name="초임">#REF!</definedName>
    <definedName name="인천2">#REF!</definedName>
    <definedName localSheetId="8" name="프로그램">#REF!</definedName>
    <definedName name="인기역사팔월">#REF!</definedName>
    <definedName localSheetId="14" name="점소">#REF!</definedName>
    <definedName localSheetId="18" name="start">#REF!</definedName>
    <definedName localSheetId="12" name="NEW">#REF!</definedName>
    <definedName localSheetId="13" name="SHEET_2">#REF!</definedName>
    <definedName localSheetId="19" name="조명광고">#REF!</definedName>
    <definedName name="Days_Of_Week">#REF!</definedName>
    <definedName name="ㅇ">#REF!</definedName>
    <definedName localSheetId="9" name="등급">#REF!</definedName>
    <definedName localSheetId="9" name="NK">#REF!</definedName>
    <definedName localSheetId="19" name="ㅁㄴㄴ">#REF!</definedName>
    <definedName localSheetId="13" name="ㄴㄷㅇ">#REF!</definedName>
    <definedName localSheetId="13" name="매체">#REF!</definedName>
    <definedName localSheetId="18" name="프로그램">#REF!</definedName>
    <definedName localSheetId="9" name="___PNT3">#REF!</definedName>
    <definedName localSheetId="12" name="ㄷㄹㄷㅈㄹ">#REF!</definedName>
    <definedName localSheetId="17" name="MESSSCR">#REF!</definedName>
    <definedName localSheetId="18" name="Home">#REF!</definedName>
    <definedName localSheetId="18" name="B안">#REF!</definedName>
    <definedName name="dd">#REF!</definedName>
    <definedName localSheetId="19" name="DAS">#REF!</definedName>
    <definedName localSheetId="8" name="할증">#REF!</definedName>
    <definedName localSheetId="21" name="All">#REF!</definedName>
    <definedName localSheetId="19" name="부산1">#REF!</definedName>
    <definedName localSheetId="13" name="All">#REF!</definedName>
    <definedName localSheetId="17" name="NK">#REF!</definedName>
    <definedName localSheetId="16" name="SUM">#REF!</definedName>
    <definedName localSheetId="8" name="서울1">#REF!</definedName>
    <definedName localSheetId="8" name="_Key1">#REF!</definedName>
    <definedName localSheetId="18" name="dd">#REF!</definedName>
    <definedName localSheetId="9" name="SHEET_1">#REF!</definedName>
    <definedName name="_PNT3">#REF!</definedName>
    <definedName localSheetId="9" name="타겟팅자료3">#REF!</definedName>
    <definedName localSheetId="9" name="___PNT4">#REF!</definedName>
    <definedName localSheetId="9" name="T1_">#REF!</definedName>
    <definedName localSheetId="18" name="맴매">#REF!</definedName>
    <definedName localSheetId="18" name="올레">#REF!</definedName>
    <definedName localSheetId="11" name="쿼터">#REF!</definedName>
    <definedName localSheetId="9" name="점소">#REF!</definedName>
    <definedName localSheetId="18" name="MESSSCR">#REF!</definedName>
    <definedName localSheetId="11" name="지역지역3">#REF!</definedName>
    <definedName localSheetId="13" name="NEW">#REF!</definedName>
    <definedName localSheetId="9" name="목표">#REF!</definedName>
    <definedName localSheetId="14" name="ROW">#REF!</definedName>
    <definedName localSheetId="16" name="목표">#REF!</definedName>
    <definedName localSheetId="21" name="구분">#REF!</definedName>
    <definedName localSheetId="17" name="업종">#REF!</definedName>
    <definedName name="렙">#REF!</definedName>
    <definedName localSheetId="19" name="DA">#REF!</definedName>
    <definedName localSheetId="21" name="프로그램">#REF!</definedName>
    <definedName localSheetId="21" name="새로">#REF!</definedName>
    <definedName localSheetId="17" name="지역지역1">#REF!</definedName>
    <definedName localSheetId="15" name="지역지역1">#REF!</definedName>
    <definedName localSheetId="12" name="SHEET_3">#REF!</definedName>
    <definedName localSheetId="21" name="DATA4">#REF!</definedName>
    <definedName localSheetId="12" name="ㄷㄷㄷㄷㄷ">#REF!</definedName>
    <definedName localSheetId="16" name="ㅁㄴㄴ">#REF!</definedName>
    <definedName localSheetId="18" name="___PNT1">#REF!</definedName>
    <definedName localSheetId="14" name="M">#REF!</definedName>
    <definedName localSheetId="13" name="M_Drama">#REF!</definedName>
    <definedName localSheetId="13" name="OF">#REF!</definedName>
    <definedName name="HKD">#REF!</definedName>
    <definedName localSheetId="16" name="in">#REF!</definedName>
    <definedName localSheetId="18" name="경기">#REF!</definedName>
    <definedName localSheetId="18" name="지역지역3">#REF!</definedName>
    <definedName localSheetId="21" name="AW">#REF!</definedName>
    <definedName localSheetId="11" name="NEW">#REF!</definedName>
    <definedName localSheetId="12" name="Criteria_MI">#REF!</definedName>
    <definedName name="ROW">#REF!</definedName>
    <definedName localSheetId="18" name="ROW">#REF!</definedName>
    <definedName name="Dollar">#REF!</definedName>
    <definedName localSheetId="14" name="SHEET_1">#REF!</definedName>
    <definedName localSheetId="19" name="언론사">#REF!</definedName>
    <definedName localSheetId="21" name="NEW">#REF!</definedName>
    <definedName localSheetId="16" name="ㅇㅇㅇ">#REF!</definedName>
    <definedName localSheetId="12" name="백">#REF!</definedName>
    <definedName name="호선별">#REF!</definedName>
    <definedName localSheetId="18" name="All">#REF!</definedName>
    <definedName localSheetId="16" name="인천1">#REF!</definedName>
    <definedName localSheetId="14" name="__PNT3">#REF!</definedName>
    <definedName localSheetId="19" name="DDD">#REF!</definedName>
    <definedName localSheetId="8" name="올레">#REF!</definedName>
    <definedName localSheetId="15" name="목표">#REF!</definedName>
    <definedName localSheetId="18" name="제주">#REF!</definedName>
    <definedName name="언론사">#REF!</definedName>
    <definedName localSheetId="11" name="인천2">#REF!</definedName>
    <definedName localSheetId="13" name="영역">#REF!</definedName>
    <definedName localSheetId="10" name="DATA3">#REF!</definedName>
    <definedName localSheetId="11" name="ㅇㅇㅇ">#REF!</definedName>
    <definedName localSheetId="17" name="타겟팅자료1">#REF!</definedName>
    <definedName localSheetId="18" name="ㄷㄷㄷㄷㄷ">#REF!</definedName>
    <definedName localSheetId="12" name="전남">#REF!</definedName>
    <definedName localSheetId="15" name="조명광고6호선">#REF!</definedName>
    <definedName localSheetId="17" name="근속">#REF!</definedName>
    <definedName localSheetId="12" name="DW">#REF!</definedName>
    <definedName localSheetId="14" name="매체">#REF!</definedName>
    <definedName localSheetId="10" name="WQ">#REF!</definedName>
    <definedName localSheetId="8" name="매체">#REF!</definedName>
    <definedName localSheetId="8" name="dflkdflkd">#REF!</definedName>
    <definedName localSheetId="10" name="전남">#REF!</definedName>
    <definedName localSheetId="19" name="경남">#REF!</definedName>
    <definedName localSheetId="19" name="Updated">#REF!</definedName>
    <definedName name="백">#REF!</definedName>
    <definedName localSheetId="19" name="축소1">#REF!</definedName>
    <definedName localSheetId="21" name="영역">#REF!</definedName>
    <definedName localSheetId="9" name="Extract_MI">#REF!</definedName>
    <definedName localSheetId="17" name="수정">#REF!</definedName>
    <definedName localSheetId="21" name="PRINT_AREA_MI">#REF!</definedName>
    <definedName localSheetId="10" name="인천1">#REF!</definedName>
    <definedName localSheetId="8" name="ㅇㄹㄷㅈㄹ">#REF!</definedName>
    <definedName localSheetId="9" name="상품명">#REF!</definedName>
    <definedName localSheetId="9" name="DATA4">#REF!</definedName>
    <definedName localSheetId="8" name="DA">#REF!</definedName>
    <definedName localSheetId="8" name="ㅇㄴㄹ">#REF!</definedName>
    <definedName localSheetId="12" name="점소">#REF!</definedName>
    <definedName localSheetId="17" name="프로그램">#REF!</definedName>
    <definedName localSheetId="19" name="초수">#REF!</definedName>
    <definedName localSheetId="21" name="ㄴㄷㅇ">#REF!</definedName>
    <definedName localSheetId="14" name="All">#REF!</definedName>
    <definedName localSheetId="19" name="전북">#REF!</definedName>
    <definedName localSheetId="10" name="프로그램명">#REF!</definedName>
    <definedName localSheetId="15" name="Times_Left">#REF!</definedName>
    <definedName localSheetId="16" name="_KO2">#REF!</definedName>
    <definedName localSheetId="19" name="서울2">#REF!</definedName>
    <definedName localSheetId="18" name="__PNT3">#REF!</definedName>
    <definedName localSheetId="9" name="최종">#REF!</definedName>
    <definedName localSheetId="17" name="_Key2">#REF!</definedName>
    <definedName localSheetId="16" name="dflkdflkd">#REF!</definedName>
    <definedName localSheetId="9" name="in">#REF!</definedName>
    <definedName localSheetId="17" name="SUM">#REF!</definedName>
    <definedName localSheetId="14" name="서울1">#REF!</definedName>
    <definedName localSheetId="19" name="할증">#REF!</definedName>
    <definedName localSheetId="12" name="rrr">#REF!</definedName>
    <definedName localSheetId="8" name="Home">#REF!</definedName>
    <definedName localSheetId="10" name="최종">#REF!</definedName>
    <definedName localSheetId="19" name="이소영">#REF!</definedName>
    <definedName localSheetId="21" name="전북">#REF!</definedName>
    <definedName localSheetId="19" name="M_Drama">#REF!</definedName>
    <definedName localSheetId="15" name="대구">#REF!</definedName>
    <definedName name="s">#REF!</definedName>
    <definedName localSheetId="11" name="SHEET_2">#REF!</definedName>
    <definedName localSheetId="8" name="Times_Left">#REF!</definedName>
    <definedName localSheetId="15" name="___PNT3">#REF!</definedName>
    <definedName localSheetId="16" name="_Sort">#REF!</definedName>
    <definedName localSheetId="11" name="DATA2">#REF!</definedName>
    <definedName localSheetId="9" name="dflkdflkd">#REF!</definedName>
    <definedName localSheetId="12" name="인기역사팔월">#REF!</definedName>
  </definedNames>
  <calcPr/>
  <extLst>
    <ext uri="GoogleSheetsCustomDataVersion2">
      <go:sheetsCustomData xmlns:go="http://customooxmlschemas.google.com/" r:id="rId26" roundtripDataChecksum="DKgUBh6t1PQJDos1Huvg2mNLGsFhnF0hZb/fmOUrAY4="/>
    </ext>
  </extLst>
</workbook>
</file>

<file path=xl/sharedStrings.xml><?xml version="1.0" encoding="utf-8"?>
<sst xmlns="http://schemas.openxmlformats.org/spreadsheetml/2006/main" count="1414" uniqueCount="864">
  <si>
    <t>6월 디자인 작업 요청서</t>
  </si>
  <si>
    <t>정상가
(부가세 전)</t>
  </si>
  <si>
    <t>이벤트가
(부가세 전)</t>
  </si>
  <si>
    <t>부가세 포함
(원내확인용)</t>
  </si>
  <si>
    <t>플친 와이드</t>
  </si>
  <si>
    <t>플친 리스트</t>
  </si>
  <si>
    <t>인스타(2개)</t>
  </si>
  <si>
    <t>비고</t>
  </si>
  <si>
    <t>타이틀</t>
  </si>
  <si>
    <t>시술명</t>
  </si>
  <si>
    <t>캐러셀(3개)</t>
  </si>
  <si>
    <t>캐러셀(5개)</t>
  </si>
  <si>
    <t>초여름의 온도, 
싱그러운 6월의 뷰티파크</t>
  </si>
  <si>
    <t>프리미엄 비타민 미백관리 1회</t>
  </si>
  <si>
    <t>[직각어깨PKG] 팔뚝 뷰티S주사 100cc+승모근 보톡스 200U (국산) 1회</t>
  </si>
  <si>
    <t>LDM 물방울리프팅 12분 5회</t>
  </si>
  <si>
    <t>[남성제모] 풀페이스(턱+인중+볼+턱라인+구렛나루+윗목) 5회</t>
  </si>
  <si>
    <t>리쥬란힐러 4cc+IBEX 2기압 고압산소치료 30분 1회</t>
  </si>
  <si>
    <t>토닝 레이저 (피코슈어 or 헐리우드)+엑셀V 제네시스+선택관리 5회 (3.8만원 상당 슬로보다 재생크림 증정)</t>
  </si>
  <si>
    <t>상반기 결산</t>
  </si>
  <si>
    <t>엑셀V 제네시스 (재생레이저 토닝)+플래티넘 플라필 1회</t>
  </si>
  <si>
    <t>릴리쥬베톡신 1회 (릴리이드M 2cc+쥬베룩 스킨부스터 2cc+스킨보톡스 국산 1cc) -인젝터로만 진행</t>
  </si>
  <si>
    <t>엑셀V 홍조+LDM 홍조 3회</t>
  </si>
  <si>
    <t>이마필러 벨로테로 볼륨 3CC</t>
  </si>
  <si>
    <t>6월, READY TO GO</t>
  </si>
  <si>
    <t>사각턱 보톡스 50U (나보타)+윤곽주사 10CC 1회</t>
  </si>
  <si>
    <t>이중턱 전용 올타이트 100샷 (하관, 목주름 전용)</t>
  </si>
  <si>
    <t>[원데이 노세범 패키지] 아이스 아쿠아필 3단계+네오빔 3회</t>
  </si>
  <si>
    <t>예뻐지는 화수목 이벤트</t>
  </si>
  <si>
    <t>[화수목] 오투덤 산소테라피 1회</t>
  </si>
  <si>
    <t>[화수목] 인모드FX 1부위+프리미엄 아큐주사 10cc 1회</t>
  </si>
  <si>
    <t>[화수목] 아이리쥬란 1cc</t>
  </si>
  <si>
    <t>[화수목] 리프테라2 라인 300샷+펜타입 1500샷</t>
  </si>
  <si>
    <t>[화수목] 벨로테로 리바이브 1cc</t>
  </si>
  <si>
    <t xml:space="preserve">[뷰티파크의원 범어점] 카톡 플러스 친구 전용 이벤트 
-1인 1회 </t>
  </si>
  <si>
    <t>LDM 베이직 8분 3회</t>
  </si>
  <si>
    <t>인모드 FX 1부위 3회</t>
  </si>
  <si>
    <t>주름 보톡스 3부위(제오민)</t>
  </si>
  <si>
    <t>월초 : 초여름의 온도, 싱그러운 6월의 뷰티파크
월 중순 : 상반기 결산
#굵게 기재된 상품이 특히 강조되는 상품</t>
  </si>
  <si>
    <t>`</t>
  </si>
  <si>
    <t>5월 디자인 작업 요청서</t>
  </si>
  <si>
    <t>정상가</t>
  </si>
  <si>
    <t>이벤트가</t>
  </si>
  <si>
    <t>여름 대비 
바디 시술 이벤트</t>
  </si>
  <si>
    <t>[여성제모] 팔 하완+손등+손가락 5회</t>
  </si>
  <si>
    <t>다한증 보톡스 100U (나보타)</t>
  </si>
  <si>
    <t>[여성제모] 종아리+무릎 5회</t>
  </si>
  <si>
    <t>[승모근 타파] 바디 보톡스 100U (제오민)</t>
  </si>
  <si>
    <t>뷰티S주사 200cc 3회</t>
  </si>
  <si>
    <t>바디인모드 FX 3회</t>
  </si>
  <si>
    <t>온 가족을 위한 감사의 달 이벤트</t>
  </si>
  <si>
    <t>더블 백옥주사 링거 3회</t>
  </si>
  <si>
    <t>포마테라 1회 (인모드 FORMA+리프테라2 펜타입 2000샷)</t>
  </si>
  <si>
    <t>프리미엄 스킨케어 5회</t>
  </si>
  <si>
    <t>미리 준비하는 여름</t>
  </si>
  <si>
    <t>[노세범케어] 블랙필+네오빔(압출미포함)+모델링팩 1회</t>
  </si>
  <si>
    <t>바디인모드 FX+뷰티S주사 100cc 1회</t>
  </si>
  <si>
    <t>피코슈어 바디토닝 5회</t>
  </si>
  <si>
    <t>[화수목] 엑셀V 레드스카 1회</t>
  </si>
  <si>
    <t>[화수목] 측두근 보톡스 50U (나보타)</t>
  </si>
  <si>
    <t>[화수목] 내맘대로 안티에이징 주사 5회 (백옥주사/신데렐라/비타민C/마늘주사/감초주사/태반주사 中 택)</t>
  </si>
  <si>
    <t>[화수목] IBPS 부스터필 3회</t>
  </si>
  <si>
    <t>[화수목] 레스틸렌 (입술+입꼬리) 1cc+입꼬리 보톡스 (제오민)</t>
  </si>
  <si>
    <t>병원 상호명 변경으로 문구 수정해서
이미지 제작 다시 요청드립니다</t>
  </si>
  <si>
    <t>강조 이벤트 : 뷰티파크의원 범어점 그랜드 리오프닝 EVENT</t>
  </si>
  <si>
    <t>4월 디자인 작업 요청서</t>
  </si>
  <si>
    <t>월별 이벤트 전
홈페이상 금액(상시가)</t>
  </si>
  <si>
    <t>4월 예정인 월별 이벤트
금액의 정상가</t>
  </si>
  <si>
    <t>4월 예정인 월별 이벤트</t>
  </si>
  <si>
    <t>봄맞이 피부정원 OPEN</t>
  </si>
  <si>
    <t>사각턱 보톡스 50U (나보타)+프리미엄 아큐주사 3cc 1회</t>
  </si>
  <si>
    <t>인모드 FORMA+LDM 물방울리프팅 12분 1회</t>
  </si>
  <si>
    <t>[올타이트 추가 입고 EVENT] 올타이트 이중턱/하관 100샷</t>
  </si>
  <si>
    <t>[리쥬물광] 리쥬란힐러 2cc+물광주사 2.5cc+크라이오 1회 (하이쿡스 진행)</t>
  </si>
  <si>
    <t>아쿠아필 3단계+버츄RF 나비존+크라이오 3회</t>
  </si>
  <si>
    <t>[파격특가] 멜라부스터 더블토닝 (ISCE 엑소좀 MTS+피코슈어토닝 or 헐리우드토닝) 5회</t>
  </si>
  <si>
    <t>얼굴에 봄 한스푼
Spring Glow up</t>
  </si>
  <si>
    <t>[물결 주름 쫙 피기] 얼굴전체 스킨보톡스 (나보타) 1회</t>
  </si>
  <si>
    <t>헐리우드 토닝+위코우노 1cc+LDM 베이직 8분 1회</t>
  </si>
  <si>
    <t>[팰티어 소재로 아프지 않은 K-써마지] 쿨페이즈 600샷</t>
  </si>
  <si>
    <t>[카다시안의 선택, 핑크 세르프] 세르프 600샷+핑크필 1회</t>
  </si>
  <si>
    <t>[생기동안 프로그램] 써마지 600샷+엘라비에 리투오 7cc+비스포크 스킨케어 1회 (써마지, 리투오 4주 간격으로)</t>
  </si>
  <si>
    <t>미모 4텐 터지는
벚꽃놀이 필수관리</t>
  </si>
  <si>
    <t>골라 스킨부스터 3회 (리쥬란힐러 2cc/쥬베룩 2cc/리쥬란HB 1cc+크라이오/릴리이드M 5cc 中 택)</t>
  </si>
  <si>
    <t>벨로테로 리바이브 2cc 1회</t>
  </si>
  <si>
    <t>벨로테로 볼륨 3cc</t>
  </si>
  <si>
    <t>[화수목] 아이슈링크 200샷 1회</t>
  </si>
  <si>
    <t>[화수목] 침샘 보톡스-이하선 or 악하선 (제오민) 50U</t>
  </si>
  <si>
    <t>[화수목] 엑셀V 제네시스+엑셀V 홍조 3회</t>
  </si>
  <si>
    <t>[화수목] 무통 리쥬란HB 2cc+크라이오 관리 1회</t>
  </si>
  <si>
    <t>[화수목] 디지털 자동 주사 아이젝+쥬베룩 스킨부스터 4cc 1회</t>
  </si>
  <si>
    <t>베러미 범어점 카톡 플러스 친구 전용 이벤트 
-1인 1회 (3개월 정도 유지)</t>
  </si>
  <si>
    <t>올리핏 주사 런칭 EVENT
(런칭 이벤트 기간 : 26년 4월 말까지)</t>
  </si>
  <si>
    <t>런칭E) 올리핏 주사 2cc 1회</t>
  </si>
  <si>
    <t>런칭E) 올리핏 주사 2cc 3회</t>
  </si>
  <si>
    <t>쥬브아셀 런칭 EVENT
(런칭 이벤트 기간 : 26년 4월 말까지)</t>
  </si>
  <si>
    <t>쥬브아셀 런칭E) 쥬브아셀 4cc 1회 (하이쿡스 전용)</t>
  </si>
  <si>
    <t>쥬브아셀 런칭E) 쥬브아셀 4cc 3회 (하이쿡스 전용)</t>
  </si>
  <si>
    <t>쿨소닉 런칭 EVENT
(런칭 이벤트 기간 : 26년 4월 말까지)</t>
  </si>
  <si>
    <t>쿨소닉 런칭E) 쿨소닉 5000샷 (울쎄라 300샷 정도 효능)</t>
  </si>
  <si>
    <t>쿨소닉 런칭E) 쿨소닉 8000샷 (울쎄라 400샷 정도 효능)</t>
  </si>
  <si>
    <t>쿨소닉 런칭E) 쿨소닉 10000샷 (울쎄라 600샷 정도 효능)</t>
  </si>
  <si>
    <t>쿨소닉 런칭E 옵션가) 쿨페이즈 300샷</t>
  </si>
  <si>
    <t>쿨소닉 런칭E 옵션가) 쿨페이즈 600샷</t>
  </si>
  <si>
    <t>쿨소닉 런칭E 옵션가) 쿨페이즈 900샷</t>
  </si>
  <si>
    <t>쿨소닉 런칭E 옵션가) 써마지 300샷</t>
  </si>
  <si>
    <t>쿨소닉 런칭E 옵션가) 써마지 600샷</t>
  </si>
  <si>
    <t>쿨소닉 런칭E 옵션가) 쎄르프 300샷</t>
  </si>
  <si>
    <t>쿨소닉 런칭E 옵션가) 쎄르프 600샷</t>
  </si>
  <si>
    <t>쿨소닉 런칭E 옵션가) 올타이트 400샷</t>
  </si>
  <si>
    <t>쿨소닉 런칭E 옵션가) 올타이트 600샷</t>
  </si>
  <si>
    <t>쿨소닉 런칭E) MINI 유지치료 (슈링크 300샷 + 리프테라 3000샷)</t>
  </si>
  <si>
    <t>쿨소닉 런칭E 옵션가) 얼굴전체 스킨보톡스 (엘러간)</t>
  </si>
  <si>
    <t>쿨소닉 런칭E 옵션가) 얼굴전체 스킨보톡스 (제오민)</t>
  </si>
  <si>
    <t>쿨소닉 런칭E 옵션가) 얼굴전체 스킨보톡스 (나보타)</t>
  </si>
  <si>
    <t>쿨소닉 런칭E 옵션가) 비스포크 스킨부스터 1회 (무통 리쥬란HB 1cc)</t>
  </si>
  <si>
    <t>쿨소닉 런칭E 옵션가) 비스포크 스킨부스터 1회 (리쥬란힐러 2cc/쥬베룩 스킨부스터 2cc 中 택)</t>
  </si>
  <si>
    <t>쿨소닉 런칭E 옵션가) 버츄RF 아이리프팅 2회</t>
  </si>
  <si>
    <t>월초 : 얼굴에 봄 한스푼 Spring Glow up
월 중순 : 미모 4텐 터지는 벚꽃놀이 필수관리</t>
  </si>
  <si>
    <t>3월 디자인 작업 요청서</t>
  </si>
  <si>
    <t>3월 예정인 월별 이벤트
금액의 정상가</t>
  </si>
  <si>
    <t>3월 예정인 월별 이벤트</t>
  </si>
  <si>
    <t>베러미의원이 전하는 봄 
Better Me Clinic Spring Bloom</t>
  </si>
  <si>
    <t>리쥬비엘 주름필러 1cc (한정수량)</t>
  </si>
  <si>
    <t>LDM 베이직 8분+빛타민 케어 5회</t>
  </si>
  <si>
    <t>[아이리프팅 강추 조합] 버츄RF 아이 리프팅+아이 쿨페이즈 200샷 1회 (2주 간격)</t>
  </si>
  <si>
    <t>[남성제모] 풀페이스+진정관리 10회</t>
  </si>
  <si>
    <t>쿨페이즈 300샷+리프테라2 펜타입 3000샷 1회</t>
  </si>
  <si>
    <t>올타이트 600샷</t>
  </si>
  <si>
    <t>환절기 피부 장벽 복구 이벤트</t>
  </si>
  <si>
    <t>위코우노 1cc+LDM 베이직 8분 1회</t>
  </si>
  <si>
    <t>듀오 하이드로젠 테라피 3회</t>
  </si>
  <si>
    <t>쥬베룩 스킨부스터 2cc+스킨보톡스 얼굴전체 (나보타) 1회</t>
  </si>
  <si>
    <t>네오빔(압출미포함)+LDM 베이직 8분 3회</t>
  </si>
  <si>
    <t>[화이트닝] 봄맞이 잡티 지우개</t>
  </si>
  <si>
    <t>[결개선, 모공/흉터 개선] 버츄RF 얼굴전체+쥬베룩 스킨부스터 2cc+크라이오 1회</t>
  </si>
  <si>
    <t>[밤색 잡티 타파] 피코슈어토닝+모델링팩 5회+줌패스 1회</t>
  </si>
  <si>
    <t>[토닝과 미백을 동시에] GD토닝+LDM 베이직 8분 3회</t>
  </si>
  <si>
    <t xml:space="preserve">[칙칙한 피부톤 개선] 헐리우드 토닝+LDM 물방울리프팅 12분 5회	</t>
  </si>
  <si>
    <t>[화수목] 핑크필 1회</t>
  </si>
  <si>
    <t>[화수목] 주름 보톡스 3부위 (엘러간)</t>
  </si>
  <si>
    <t>[화수목] 슈링크 유니버스 (라인 or 부스터) 600샷+오로라 앰플 1회</t>
  </si>
  <si>
    <t>베이직 스킨케어(수분/재생/진정/미백) 3회 특가</t>
  </si>
  <si>
    <t>주름 보톡스(나보타) 3부위 특가</t>
  </si>
  <si>
    <t>리프테라2 (라인 300샷 / 펜타입 3000샷 중 택1) 특가</t>
  </si>
  <si>
    <t>힐로웨이브 런칭 EVENT
(런칭 이벤트 기간 : 26년 3월 말까지)</t>
  </si>
  <si>
    <t>힐로웨이브 2cc 1회 (10 point 시술, 니들 or 캐뉼라 선택 가능)</t>
  </si>
  <si>
    <t>힐로웨이브 2cc 3회 (8주간격)</t>
  </si>
  <si>
    <t>힐로웨이브 2cc 1회+리쥬란힐러 2cc 1회</t>
  </si>
  <si>
    <t>힐로웨이브 2cc (니들) 1회+엘라비에 리투오 8cc (니들) 1회 #니들만 가능#</t>
  </si>
  <si>
    <t>힐로웨이브 2cc 1회+LDM 물방울 리프팅 12분 3회</t>
  </si>
  <si>
    <t>힐로웨이브 2cc 1회+토르RF 풀페이스 (아이포함) 1회</t>
  </si>
  <si>
    <t>월초 : 베러미의원이 전하는 봄 Better Me Clinic Spring Bloom
월 중순 : 쥬브아셀 런칭 EVENT</t>
  </si>
  <si>
    <t>2월 디자인 작업 요청서</t>
  </si>
  <si>
    <t>2월 예정인 월별 이벤트
금액의 정상가</t>
  </si>
  <si>
    <t>2월 예정인 월별 이벤트</t>
  </si>
  <si>
    <t xml:space="preserve">설 명절 증후군, 피부로 풀자 </t>
  </si>
  <si>
    <t>[잡티원킬] 점제거, 사마귀, 쥐젖 20개+토닝+줌패스 1회</t>
  </si>
  <si>
    <t>피코프락셀+쥬베룩 스킨부스터 4cc 1회</t>
  </si>
  <si>
    <t>아이 소프웨이브 50샷+눈가 보톡스 (제오민)</t>
  </si>
  <si>
    <t>무통 리쥬란HB 3cc+크라이오 관리 1회</t>
  </si>
  <si>
    <t>피코슈어토닝+엑셀V 제네시스+선택관리(수분/진정/재생/미백) 5회</t>
  </si>
  <si>
    <t>버츄RF 얼굴전체+ISCE 더블 엑소좀+크라이오 (기미 재발 방지 상품) 3회</t>
  </si>
  <si>
    <t>세르프 600샷+토르RF 풀페이스 (아이포함) 1회</t>
  </si>
  <si>
    <t>My Sweet Better Me Valentine</t>
  </si>
  <si>
    <t>얼굴전체 스킨보톡스 (제오민)+물광주사 2.5cc 1회</t>
  </si>
  <si>
    <t>사각턱 보톡스 50U (제오민)+주름 보톡스 3부위 (제오민)</t>
  </si>
  <si>
    <t>GD토닝+LDM 베이직 8분 3회</t>
  </si>
  <si>
    <t>2쁨 2배 이벤트</t>
  </si>
  <si>
    <t>수소토닝 (수소 아쿠아필+피코슈어토닝) 2회</t>
  </si>
  <si>
    <t>골드PTT+엑셀V 듀얼모드 2회</t>
  </si>
  <si>
    <t>[아이리프팅 조합] 토르RF 아이리프팅+아이 쿨페이즈 200샷 1회</t>
  </si>
  <si>
    <t>얼굴전체 리프팅 버츄RF 2회</t>
  </si>
  <si>
    <t>[화수목] 피코슈어 바디토닝 1회</t>
  </si>
  <si>
    <t>[화수목] 엑셀V 레드스카 3회</t>
  </si>
  <si>
    <t>[화수목] 릴리이드M 5cc 1회</t>
  </si>
  <si>
    <t>[화수목] 하이엔드 경정맥 수액 3회</t>
  </si>
  <si>
    <t>[화수목] 프리미엄 스킨케어 3회</t>
  </si>
  <si>
    <t>[화수목] 헐리우드 듀얼토닝 (헐리우드 스펙트라 5000샷) 3회</t>
  </si>
  <si>
    <t>[화수목] 이중턱 인모드FX 3회 + 프리미엄 아큐주사 10cc 3회</t>
  </si>
  <si>
    <t>울쎄라피 프라임 런칭 EVENT
(런칭 이벤트 기간 : 26년 2월 말까지)</t>
  </si>
  <si>
    <t>울쎄라피 프라임 런칭E) 울쎄라피 프라임 300샷 리커버리 프로그램 (무통수액, 핑크필 포함, 마취크림 성분이 산성이라 핑크필은 당일 X, 1~2주일 이내)</t>
  </si>
  <si>
    <t>울쎄라피 프라임 런칭E) 울쎄라피 프라임 400샷 리커버리 프로그램 (무통수액, 핑크필 포함)</t>
  </si>
  <si>
    <t>울쎄라피 프라임 런칭E) 울쎄라피 프라임 600샷 리커버리 프로그램 (무통수액, 핑크필 포함)</t>
  </si>
  <si>
    <r>
      <rPr>
        <rFont val="Malgun Gothic"/>
        <color rgb="FF000000"/>
        <sz val="11.0"/>
      </rPr>
      <t>울쎄라피 프라임 런칭E) 울써마지 600샷 (울쎄라피 프라임 300샷, 써마지 300샷) (울쎄라피 300샷을 800,000원에 받는 혜택)</t>
    </r>
  </si>
  <si>
    <t>울쎄라피 프라임 런칭E) 울써마지 900샷 (울쎄라피 프라임 300샷, 써마지 600샷) (울쎄라피 300샷을 800,000원에 받는 혜택)</t>
  </si>
  <si>
    <t>울쎄라피 프라임 런칭E) 울쎄르프 600샷 (울쎄라피 프라임 300샷, 세르프 300샷) (울쎄라피 300샷을 800,000원에 받는 혜택)</t>
  </si>
  <si>
    <t>울쎄라피 프라임 런칭E) 울쎄르프 900샷 (울쎄라피 프라임 300샷, 세르프 600샷) (울쎄라피 300샷을 800,000원에 받는 혜택)</t>
  </si>
  <si>
    <t>울쎄라피 프라임 런칭E 옵션) MINI 유지치료 (슈링크 300샷 + 리프테라 3000샷)</t>
  </si>
  <si>
    <t>울쎄라피 프라임 런칭E 옵션) 얼굴 전체 스킨보톡스 (엘러간)</t>
  </si>
  <si>
    <t>울쎄라피 프라임 런칭E 옵션) 얼굴 전체 스킨보톡스 (제오민)</t>
  </si>
  <si>
    <t>울쎄라피 프라임 런칭E 옵션) 얼굴 전체 스킨보톡스 (나보타)</t>
  </si>
  <si>
    <t>울쎄라피 프라임 런칭E 옵션) 비스포크 스킨부스터 - 리쥬란 2cc, 무통 리쥬란HB 1cc, 쥬베룩 2cc</t>
  </si>
  <si>
    <t>울쎄라피 프라임 런칭E 옵션) 벨로테로 소프트 1cc 추가</t>
  </si>
  <si>
    <t xml:space="preserve">울쎄라피 프라임 런칭E 옵션) 버츄 아이 리프팅 2회 </t>
  </si>
  <si>
    <t>월초 : 2쁨 2배 이벤트
월 중순 : 쿨소닉 런칭 EVENT</t>
  </si>
  <si>
    <t>쥬브아셀 4cc 스킨부스터 (하이쿡스 전용)</t>
  </si>
  <si>
    <t>쥬브아셀 4cc 스킨부스터 (하이쿡스 전용) 3회</t>
  </si>
  <si>
    <t>1월 디자인 작업 요청서</t>
  </si>
  <si>
    <t>1월 예정인 월별 이벤트
금액의 정상가</t>
  </si>
  <si>
    <t>1월 예정인 월별 이벤트</t>
  </si>
  <si>
    <t>기재된 금액은 모두 vat 별도</t>
  </si>
  <si>
    <t>홈페이지 금액
(상시 이벤트가)</t>
  </si>
  <si>
    <t>정상가
(이벤트 금액X2)-1,000</t>
  </si>
  <si>
    <t>이벤트 금액</t>
  </si>
  <si>
    <t>실 할인율
(홈페이지 가격 대비)</t>
  </si>
  <si>
    <t>2026 베러미 신년 특별 기획전</t>
  </si>
  <si>
    <t>[새해 첫 관리] LDM 베이직 8분 5회</t>
  </si>
  <si>
    <t>[포마테라] 인모드 FORMA+리프테라 펜타입 3000샷 1회</t>
  </si>
  <si>
    <t>[새해는 리쥬란과 함께] 리쥬란힐러 4cc+LDM 베이직 8분 1회</t>
  </si>
  <si>
    <t>[2026년의 시작은 오래가는 스킨부스터로] 벨로테로 리바이브 2cc (선착순 10명)</t>
  </si>
  <si>
    <t>[킴카다시안의 선택] 쿨페이즈 600샷 + LDM 물방울 리프팅 12분 1회</t>
  </si>
  <si>
    <t>여드름 관리, 피부 장벽 강화 5주 패키지 (필요시 염증주사+약처방 포함)
1주 / 3주 : 압출+블랙필+네오빔
2주 / 4주 : LDM 재생관리
5주 : 제네시스 + 수소 아쿠아필</t>
  </si>
  <si>
    <t>대표원장님 추천시술/1년 회원권 시술</t>
  </si>
  <si>
    <t>스킨보톡스 얼굴전체 (제오민) 3회</t>
  </si>
  <si>
    <t>벨로테로 밸런스 디자인 동안 리프팅 필러 3cc (앞볼, 옆볼, 팔자)</t>
  </si>
  <si>
    <t>주름 보톡스 2부위 (제오민)+사각턱 보톡스 50U (제오민)</t>
  </si>
  <si>
    <t>이중턱파괴 브이올렛 2CC 1회</t>
  </si>
  <si>
    <t>슈링크 유니버스 600샷+토르RF 리프팅 풀페이스 1회</t>
  </si>
  <si>
    <t>피코슈어토닝+엑셀V 제네시스+선택관리 5회</t>
  </si>
  <si>
    <t>1월 다짐 패키지
[올해는 작심삼일 말고, 작심 365일]</t>
  </si>
  <si>
    <t>[쥬베룩X트리필 프로] 쥬베룩 볼륨 2cc +트리필 프로 1회</t>
  </si>
  <si>
    <t>리쥬베룩 HB (리쥬란HB 1cc+쥬베룩 스킨부스터 2cc) 1회</t>
  </si>
  <si>
    <t>엑셀V 홍조+엑셀V 제네시스 3회</t>
  </si>
  <si>
    <t>라라샷+LDM 베이직 8분 5회</t>
  </si>
  <si>
    <t>[화수목] 프리미엄 물톡스 1회</t>
  </si>
  <si>
    <t>[화수목] 민트 코 전체 실리프팅 (콧대4줄) + 벨로테로 인텐스</t>
  </si>
  <si>
    <t>[화수목] 프리미엄 항노화주사 5회</t>
  </si>
  <si>
    <t>[화수목] 토르RF 앞목전체 1회</t>
  </si>
  <si>
    <t>[화수목] 스킨보톡스 목주름 (제오민)+벨로테로 목주름 필러(소프트) 1cc</t>
  </si>
  <si>
    <t>[화수목] 피코슈어토닝+LDM 베이직 8분 5회</t>
  </si>
  <si>
    <t>[화수목] 버츄 RF (모공, 흉터 모드) 얼굴 전체 - 크라이오 3회</t>
  </si>
  <si>
    <t>쥬베룩 아이 런칭 EVENT
(런칭 이벤트 기간 : 26년 1월 말까지)</t>
  </si>
  <si>
    <t>쥬베룩 아이 2cc 1회</t>
  </si>
  <si>
    <t>쥬베룩 아이 2cc 3회</t>
  </si>
  <si>
    <r>
      <rPr>
        <rFont val="Malgun Gothic"/>
        <color rgb="FF000000"/>
        <sz val="11.0"/>
      </rPr>
      <t>울쎄라피 프라임 런칭E) 울써마지 600샷 (울쎄라피 프라임 300샷, 써마지 300샷) (울쎄라피 300샷을 800,000원에 받는 혜택)</t>
    </r>
  </si>
  <si>
    <t>#니들만 가능#</t>
  </si>
  <si>
    <t>월초 : 대표원장님 추천시술/1년 회원권 시술
월 중순 : 1월 다짐 패키지 [올해는 작심삼일 말고, 작심 365일]</t>
  </si>
  <si>
    <t>12월 디자인 작업 요청서</t>
  </si>
  <si>
    <t>12월 예정인 월별 이벤트
금액의 정상가</t>
  </si>
  <si>
    <t>12월 예정인 월별 이벤트</t>
  </si>
  <si>
    <t>2025 베러미 연말 결산</t>
  </si>
  <si>
    <t>LDM 물방울리프팅 20분 5회</t>
  </si>
  <si>
    <t>디자인 슈링크 600샷+토르RF 얼굴전체 1회 (슈링크 쫀쫀밴드 증정) #눈가제외#</t>
  </si>
  <si>
    <t>#눈가제외#</t>
  </si>
  <si>
    <t>스킨보톡스 얼굴전체 (엘러간) 3회</t>
  </si>
  <si>
    <t>풀페이스 리쥬란힐러(리쥬란힐러 2cc+아이리쥬란 1cc) 3회</t>
  </si>
  <si>
    <t>써마지FLX 600샷</t>
  </si>
  <si>
    <t>크리스마스 선물 패키지  
Christmas time again in Better me</t>
  </si>
  <si>
    <t>레스틸렌 (입술+입꼬리) 1cc+입꼬리 보톡스 (제오민)</t>
  </si>
  <si>
    <t>쥬베룩 스킨부스터 2cc 1회+인모드 FORMA 얼굴전체 1회</t>
  </si>
  <si>
    <t>민트 콧대 실리프팅 (콧대 4줄)</t>
  </si>
  <si>
    <t>벨로테로 (볼륨, 인텐스, 밸런스 中 교차 선택 가능) 3cc</t>
  </si>
  <si>
    <t>올타이트 400샷+턱라인 스킨보톡스 (국산)</t>
  </si>
  <si>
    <t>쿨페이즈 600샷+아이슈링크 100샷</t>
  </si>
  <si>
    <t>미리 메리 색소 제거 이벤트</t>
  </si>
  <si>
    <t>피코슈어 토닝+엑셀V 제네시스+LDM 베이직 8분 1회</t>
  </si>
  <si>
    <t>피코슈어토닝 3회+IBPS부스터필 3회</t>
  </si>
  <si>
    <t>피코슈어토닝 5회+LDM재생관리 5회</t>
  </si>
  <si>
    <t>[화수목] 라라필 1회</t>
  </si>
  <si>
    <t>[화수목] 이중턱 인모드FX+프리미엄 아큐주사 10cc 1회</t>
  </si>
  <si>
    <t>[화수목] 사각턱 보톡스 50U+침샘 보톡스 (나보타)</t>
  </si>
  <si>
    <t>[화수목] 주름 보톡스 2부위 (엘러간)</t>
  </si>
  <si>
    <t>[화수목] 이중턱 인모드FX+브이슈링크 200샷</t>
  </si>
  <si>
    <t xml:space="preserve">[화수목] 브이올렛 2cc 1회 </t>
  </si>
  <si>
    <t>노블쉐이프 20분 2부위 1회</t>
  </si>
  <si>
    <t>릴리이드 2.5cc 1회</t>
  </si>
  <si>
    <t>프리미엄 비타민 미백관리 2회</t>
  </si>
  <si>
    <t>수험생 할인 이벤트
(이벤트 기간 : 25년 11월 1일 ~ 25년 12월 31일)</t>
  </si>
  <si>
    <r>
      <rPr>
        <rFont val="Malgun Gothic"/>
        <b/>
        <color rgb="FF000000"/>
        <sz val="10.0"/>
      </rPr>
      <t>모든 상품 10% 할인 적용</t>
    </r>
    <r>
      <rPr>
        <rFont val="Malgun Gothic"/>
        <color rgb="FF000000"/>
        <sz val="10.0"/>
      </rPr>
      <t xml:space="preserve">
이벤트 기간 : 25년 11월 1일 ~ 25년 12월 31일
이벤트 제외 : 첫방문 상품, 월별 단기 이벤트 상품 (중복 불가)
*수험표 지참 확인 필수 - 기간내로 반복 할인 가능</t>
    </r>
  </si>
  <si>
    <t>세르프 리프팅 런칭 EVENT
(런칭 이벤트 기간 : 25년 12월 말까지)</t>
  </si>
  <si>
    <t>세르프 300샷</t>
  </si>
  <si>
    <t>세르프 600샷</t>
  </si>
  <si>
    <t>세르프 900샷</t>
  </si>
  <si>
    <t>울쎄르프 600샷 (울쎄라 300샷+세르프 300샷)</t>
  </si>
  <si>
    <t>울쎄르프 900샷 (울쎄라 300샷+세르프 600샷)</t>
  </si>
  <si>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프라임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런칭</t>
    </r>
    <r>
      <rPr>
        <rFont val="Calibri"/>
        <color rgb="FF000000"/>
        <sz val="11.0"/>
      </rPr>
      <t xml:space="preserve">E) </t>
    </r>
    <r>
      <rPr>
        <rFont val="Arial"/>
        <color rgb="FF000000"/>
        <sz val="11.0"/>
      </rPr>
      <t>울써마지</t>
    </r>
    <r>
      <rPr>
        <rFont val="Calibri"/>
        <color rgb="FF000000"/>
        <sz val="11.0"/>
      </rPr>
      <t xml:space="preserve"> 600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 xml:space="preserve"> (</t>
    </r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프라임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 xml:space="preserve">, </t>
    </r>
    <r>
      <rPr>
        <rFont val="Arial"/>
        <color rgb="FF000000"/>
        <sz val="11.0"/>
      </rPr>
      <t>써마지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>) (</t>
    </r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샷을</t>
    </r>
    <r>
      <rPr>
        <rFont val="Calibri"/>
        <color rgb="FF000000"/>
        <sz val="11.0"/>
      </rPr>
      <t xml:space="preserve"> 800,000</t>
    </r>
    <r>
      <rPr>
        <rFont val="Arial"/>
        <color rgb="FF000000"/>
        <sz val="11.0"/>
      </rPr>
      <t>원에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받는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혜택</t>
    </r>
    <r>
      <rPr>
        <rFont val="Calibri"/>
        <color rgb="FF000000"/>
        <sz val="11.0"/>
      </rPr>
      <t>)</t>
    </r>
  </si>
  <si>
    <t>월초 : 힐로웨이브 런칭 EVENT
월 중순 : 크리스마스 선물 패키지</t>
  </si>
  <si>
    <t>11월 디자인 작업 요청서</t>
  </si>
  <si>
    <t>11월 예정인 월별 이벤트
금액의 정상가</t>
  </si>
  <si>
    <t>11월 예정인 월별 이벤트</t>
  </si>
  <si>
    <t>빼빼로처럼 1+1 행복두배 UP!</t>
  </si>
  <si>
    <t>사각턱 보톡스 50U (국산)+프리미엄 아큐주사 10cc 1회</t>
  </si>
  <si>
    <t>엑셀V 제네시스 2회</t>
  </si>
  <si>
    <t>아이리쥬란 1cc+눈가 스킨보톡스 (국산) 1회</t>
  </si>
  <si>
    <t>플라필+피코슈어토닝 2회</t>
  </si>
  <si>
    <t>슈링크 600샷+턱라인 스킨보톡스 (국산) 1회</t>
  </si>
  <si>
    <t xml:space="preserve">블랙프라이데이 
BETTERME BLACK FRIDAY   </t>
  </si>
  <si>
    <t>듀오 하이드로젠 테라피 1회</t>
  </si>
  <si>
    <t>물광주사 2.5cc 3회</t>
  </si>
  <si>
    <t>[하이쿡스 ONLY] 릴리쥬베톡신 (쥬베룩 2cc+릴리이드M 2cc+국산 스킨보톡스 얼굴전체) 1회</t>
  </si>
  <si>
    <t>[눈밑잔주름전용] 울쎄라 100샷+스킨보톡스 1부위 (국산)</t>
  </si>
  <si>
    <t>[물광 하이엔드] 벨로테로 리바이브 1cc 1회</t>
  </si>
  <si>
    <t>11월, 가을 탄력 피부 되찾기</t>
  </si>
  <si>
    <t>토르RF 풀페이스 (아이포함) 1회</t>
  </si>
  <si>
    <t>[흉터 올인원 패키지] 헐리우드 프락셀 or 버츄RF 모공/흉터모드 + CO2 에어 서브시전 + 트리필 프로 쥬베룩 볼륨 2cc 1회</t>
  </si>
  <si>
    <t>피코슈어토닝+모델링팩 5회+줌패스 1회</t>
  </si>
  <si>
    <t>GD토닝+LDM 물방울리프팅 12분 3회</t>
  </si>
  <si>
    <t>November Glow Up:너의 피부 빛나는 순간</t>
  </si>
  <si>
    <t>핑크필 1회</t>
  </si>
  <si>
    <t>아이스 아쿠아필 3단계 3회</t>
  </si>
  <si>
    <t>멜라부스터 더블토닝 (ISCE 엑소좀+피코슈어토닝) 1회</t>
  </si>
  <si>
    <t>X</t>
  </si>
  <si>
    <t>[에어녹스 출시 기념] 리쥬란힐러 2cc+물광주사 2.5cc (리쥬란 4cc 진행시 349,000원 / 리쥬란 HB로 변경 시 1cc 당 50,000원 / 에어녹스 50,000원 추가)</t>
  </si>
  <si>
    <t>버츄 RF 얼굴전체 + ISCE 더블 엑소좀 + 크라이오 1회 (기미 재발 방지 상품)</t>
  </si>
  <si>
    <t>수능 이벤트</t>
  </si>
  <si>
    <t>골드PTT+엑셀V 듀얼모드 1회</t>
  </si>
  <si>
    <t>[수입] 벨로테로 인텐스 턱끝필러 1cc+자갈턱 보톡스 (제오민)</t>
  </si>
  <si>
    <t>[수입] 레스틸렌 이마 필러 3cc + 이마 보톡스 (제오민)</t>
  </si>
  <si>
    <t>여드름 4주 패키지 (필요시 염증주사+약처방 포함)
1주 / 3주 : 압출+블랙필+네오빔
2주 / 4주 : LDM 재생관리</t>
  </si>
  <si>
    <t>수험생 할인 이벤트</t>
  </si>
  <si>
    <r>
      <rPr>
        <rFont val="Malgun Gothic"/>
        <b/>
        <color rgb="FF000000"/>
        <sz val="10.0"/>
      </rPr>
      <t>모든 상품 10% 할인 적용</t>
    </r>
    <r>
      <rPr>
        <rFont val="Malgun Gothic"/>
        <color rgb="FF000000"/>
        <sz val="10.0"/>
      </rPr>
      <t xml:space="preserve">
이벤트 기간 : 25년 11월 1일 ~ 25년 12월 31일
이벤트 제외 : 첫방문 상품, 월별 단기 이벤트 상품 (중복 불가)
*수험표 지참 확인 필수 - 기간내로 반복 할인 가능</t>
    </r>
  </si>
  <si>
    <t>[화수목] 주름 보톡스 3부위 (제오민)</t>
  </si>
  <si>
    <t>[화수목] 광대 보톡스 (엘러간)</t>
  </si>
  <si>
    <t>[화수목] 옆볼필러 2cc (수입, 아말리안)</t>
  </si>
  <si>
    <t>[화수목] 얼굴전체 리프팅 버츄 1회</t>
  </si>
  <si>
    <t>[화수목] 골드PTT 3회</t>
  </si>
  <si>
    <t>세르프 리프팅 런칭
(런칭 이벤트 기간 : 25년 12월 말까지)</t>
  </si>
  <si>
    <t>쥬베룩 아이 런칭
(런칭 이벤트 기간 : 26년 1월 말까지)</t>
  </si>
  <si>
    <t>베러미 범어점 카톡 플러스 친구 전용 이벤트 
-1인 1회 (2개월 정도 유지)</t>
  </si>
  <si>
    <t>월초 : 빼빼로처럼 1+1 행복두배 UP!
월 중순 : 울쎄라피 프라임, 세르프 리프팅 런칭</t>
  </si>
  <si>
    <t>런칭 이벤트 후</t>
  </si>
  <si>
    <t>런칭 이벤트 상품의 정가</t>
  </si>
  <si>
    <t>2월말까지 런칭 이벤트 가격</t>
  </si>
  <si>
    <t>울쎄라피 프라임 런칭 이벤트
(런칭 이벤트 기간 : 26년 2월말까지)</t>
  </si>
  <si>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프라임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런칭</t>
    </r>
    <r>
      <rPr>
        <rFont val="Calibri"/>
        <color rgb="FF000000"/>
        <sz val="11.0"/>
      </rPr>
      <t xml:space="preserve">E) </t>
    </r>
    <r>
      <rPr>
        <rFont val="Arial"/>
        <color rgb="FF000000"/>
        <sz val="11.0"/>
      </rPr>
      <t>울써마지</t>
    </r>
    <r>
      <rPr>
        <rFont val="Calibri"/>
        <color rgb="FF000000"/>
        <sz val="11.0"/>
      </rPr>
      <t xml:space="preserve"> 600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 xml:space="preserve"> (</t>
    </r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프라임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 xml:space="preserve">, </t>
    </r>
    <r>
      <rPr>
        <rFont val="Arial"/>
        <color rgb="FF000000"/>
        <sz val="11.0"/>
      </rPr>
      <t>써마지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</t>
    </r>
    <r>
      <rPr>
        <rFont val="Calibri"/>
        <color rgb="FF000000"/>
        <sz val="11.0"/>
      </rPr>
      <t>) (</t>
    </r>
    <r>
      <rPr>
        <rFont val="Arial"/>
        <color rgb="FF000000"/>
        <sz val="11.0"/>
      </rPr>
      <t>울쎄라피</t>
    </r>
    <r>
      <rPr>
        <rFont val="Calibri"/>
        <color rgb="FF000000"/>
        <sz val="11.0"/>
      </rPr>
      <t xml:space="preserve"> 300</t>
    </r>
    <r>
      <rPr>
        <rFont val="Arial"/>
        <color rgb="FF000000"/>
        <sz val="11.0"/>
      </rPr>
      <t>샷을</t>
    </r>
    <r>
      <rPr>
        <rFont val="Calibri"/>
        <color rgb="FF000000"/>
        <sz val="11.0"/>
      </rPr>
      <t xml:space="preserve"> 800,000</t>
    </r>
    <r>
      <rPr>
        <rFont val="Arial"/>
        <color rgb="FF000000"/>
        <sz val="11.0"/>
      </rPr>
      <t>원에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받는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혜택</t>
    </r>
    <r>
      <rPr>
        <rFont val="Calibri"/>
        <color rgb="FF000000"/>
        <sz val="11.0"/>
      </rPr>
      <t>)</t>
    </r>
  </si>
  <si>
    <t>10월 디자인 작업 요청서</t>
  </si>
  <si>
    <t>9월 예정인 월별 이벤트
금액의 정상가</t>
  </si>
  <si>
    <t>10월 예정인 월별 이벤트</t>
  </si>
  <si>
    <t>추석 연휴 전
강秋 원데이 시술</t>
  </si>
  <si>
    <t>[원데이 노세범 패키지] 아쿠아필+네오빔 1회</t>
  </si>
  <si>
    <t>[원데이 모공&amp;흉터 세트] 헐리우드 프락셀+쥬베룩 스킨부스터 2cc+크라이오 1회 (트리필 프로 옵션 추가 가능)</t>
  </si>
  <si>
    <t>[원데이 미백&amp;리프팅 동시에] 토르RF 풀페이스+엑셀V 제네시스+LDM 베이직 8분 1회</t>
  </si>
  <si>
    <t>[원데이 리쥬란&amp;스킨보톡스 패키지] 리쥬란힐러 4cc+얼굴전체 스킨보톡스 (제오민)+LED+진정팩+더블백옥샷 1회</t>
  </si>
  <si>
    <r>
      <rPr>
        <rFont val="Malgun Gothic"/>
        <color rgb="FF000000"/>
        <sz val="11.0"/>
      </rPr>
      <t>10월 TOP 3 가성비 리프팅 추천</t>
    </r>
  </si>
  <si>
    <t>[이중턱 전용 V인모드] V슈링크 200샷+인모드 FX 1부위 (이중턱) 1회</t>
  </si>
  <si>
    <t>[눈가 주변을 탄탄하게] 토르RF 아이리프팅+아이리쥬란 1cc 1회</t>
  </si>
  <si>
    <t>인모드 FX 얼굴전체 + 슈링크 600샷 (V슈링크 100샷 포함) 1회</t>
  </si>
  <si>
    <r>
      <rPr>
        <rFont val="Malgun Gothic"/>
        <color rgb="FF000000"/>
        <sz val="11.0"/>
      </rPr>
      <t>10월 베러미 선물</t>
    </r>
  </si>
  <si>
    <t>하이엔드 경정맥 수액 2회</t>
  </si>
  <si>
    <t>피부를 더 환하고 탄탄하게, 더블 백옥주사 3회 (글루타치온 함량 2배)</t>
  </si>
  <si>
    <t>스킨보톡스 얼굴전체 (나보타) 1회</t>
  </si>
  <si>
    <t>GD토닝+LDM 베이직 8분 1회</t>
  </si>
  <si>
    <t>고객님 덕분에
베러미의원 감사제</t>
  </si>
  <si>
    <t>내맘대로 필링관리 5회 (라라필/플라필/물톡스필/부스터필 中 택1)</t>
  </si>
  <si>
    <t>250,000원 이상</t>
  </si>
  <si>
    <t>[서브시전 리쥬란S 흉터치료 패키지] 리쥬란S 1cc+재생관리+LED+모델링팩 1회</t>
  </si>
  <si>
    <t>쿨페이즈 300샷+리프테라 300샷 (or 펜타입 3000샷) 1회</t>
  </si>
  <si>
    <t>소프웨이브 소울 리프팅 패키지 (소프웨이브 100샷, 울쎄라 100샷)</t>
  </si>
  <si>
    <t>#포함 항목
- 소프웨이브 100샷 (팔자, 마리오네트)
- 울쎄라 100샷 (이중턱, 턱라인)
- 소프웨이브 시술 전용 쿨러
- 고주파 붓기 관리 or LDM 재생관리 8분 1회</t>
  </si>
  <si>
    <t>연휴 찐살타파</t>
  </si>
  <si>
    <t>바디 보톡스 150U (나보타)</t>
  </si>
  <si>
    <t>바디 플로리스 4000샷 1회</t>
  </si>
  <si>
    <t>[NO 스테로이드] 바디 골드XV 주사 100cc 1회</t>
  </si>
  <si>
    <t>바디인모드 FX+토르RF 바디 1회</t>
  </si>
  <si>
    <t>복부, 옆구리 바디인모드 FX 3회</t>
  </si>
  <si>
    <t>복부, 옆구리 S퀸러미주사 200cc 3회</t>
  </si>
  <si>
    <t>가을 색소 
화이트닝</t>
  </si>
  <si>
    <t>제네시스 토닝(엑셀V 제네시스+피코슈어토닝)+LDM 재생관리 2회</t>
  </si>
  <si>
    <t>[잡티원킬] 점제거, 사마귀, 쥐젖 10개+토닝+줌패스 1회</t>
  </si>
  <si>
    <t>피코슈어토닝+IBPS 부스터필 3회</t>
  </si>
  <si>
    <t>피코슈어토닝+LDM 재생관리 5회</t>
  </si>
  <si>
    <t>⭐품절 주의⭐ [색소 개선과 피부결 개선을 동시에] ECM 콜라겐 주사 엘라비에 리투오 1회</t>
  </si>
  <si>
    <t>에뻐지는 화수목 이벤트
(기존 수목금 -&gt; 화수목 변경)</t>
  </si>
  <si>
    <t>[화수목] 2세대 오투덤 산소테라피 1회</t>
  </si>
  <si>
    <t>[화수목] 눈가, 마리오네트 울트라콜 100 2cc 1회</t>
  </si>
  <si>
    <t>[화수목] 스킨보톡스 얼굴전체 (제오민)+물광주사 2.5cc 1회</t>
  </si>
  <si>
    <t>[화수목] 벨로테로 주름필러 (소프트) 1cc</t>
  </si>
  <si>
    <t>[화수목] 줄기세포배양액 ISCE 코어 재생 더블리프팅 버츄 RF 1회</t>
  </si>
  <si>
    <t>[화수목] 벨로테로 볼륨/밸런스/인텐스 필러 3cc 1회</t>
  </si>
  <si>
    <t>베러미 범어점 카톡 플러스
 친구 전용 이벤트 
-1인 1회 (2개월 정도 유지)</t>
  </si>
  <si>
    <t>월초 : 추석 전후 원데이 패키지
월 중순 : 연휴 찐살타파</t>
  </si>
  <si>
    <t>9월 디자인 작업 요청서</t>
  </si>
  <si>
    <t>9월 예정인 월별 이벤트</t>
  </si>
  <si>
    <r>
      <rPr>
        <rFont val="Segoe UI Emoji"/>
        <color rgb="FF000000"/>
        <sz val="10.0"/>
      </rPr>
      <t>💛</t>
    </r>
    <r>
      <rPr>
        <rFont val="맑은 고딕"/>
        <color rgb="FF000000"/>
        <sz val="10.0"/>
      </rPr>
      <t>2</t>
    </r>
    <r>
      <rPr>
        <rFont val="Calibri"/>
        <color rgb="FF000000"/>
        <sz val="10.0"/>
      </rPr>
      <t>ND YEAR ANNIVERSARY</t>
    </r>
    <r>
      <rPr>
        <rFont val="Segoe UI Emoji"/>
        <color rgb="FF000000"/>
        <sz val="10.0"/>
      </rPr>
      <t xml:space="preserve">💛
</t>
    </r>
    <r>
      <rPr>
        <rFont val="맑은 고딕"/>
        <color rgb="FF000000"/>
        <sz val="10.0"/>
      </rPr>
      <t xml:space="preserve">(베러미의원 범어점 2주년 감사 이벤트, 9월 1일 - 9월 30일까지 / 선착순 티케팅 완료 시 이벤트 조기 종료) </t>
    </r>
  </si>
  <si>
    <t>스킨부스터 22 감사 패키지 - 트리필프로 (리쥬란힐러 2cc + 물광주사 2.5cc) + 크라이오 (선착순 10명)</t>
  </si>
  <si>
    <t xml:space="preserve">스킨부스터 100 감사 패키지 - 풀페이스 리쥬란 힐러 (리쥬란HB 2cc + 아이 리쥬란 1cc) 3회 (선착순 10명) </t>
  </si>
  <si>
    <t>리프팅 200 감사 패키지 - 울쎄라 300샷 + 쿨페이즈 300샷 + 올타이트 400샷 + 토르RF 아이 1회 (선착순 10명)</t>
  </si>
  <si>
    <t xml:space="preserve">리프팅 300 감사 패키지 - 울쎄라 300샷 + 써마지 300샷 + 올타이트 600샷 + 토르RF 풀페이스 1회 +토르RF 아이 1회 (선착순 10명) </t>
  </si>
  <si>
    <t>리프팅 400 감사 패키지 - 울쎄라 300샷 + 써마지 600샷 + 올타이트 400샷 + 쿨페이즈 300샷 + 토르RF 풀페이스 1회 + 토르RF 아이 2회 (선착순 10명)</t>
  </si>
  <si>
    <t>9월에는 예뻐지9</t>
  </si>
  <si>
    <t xml:space="preserve">국산필러 1cc </t>
  </si>
  <si>
    <t xml:space="preserve">[얼굴볼륨리셋] 아띠에르 볼륨 필러 1cc </t>
  </si>
  <si>
    <t>입술주름개선 리쥬란HB 1cc</t>
  </si>
  <si>
    <t>[입술주름리셋] 입술주름개선 리쥬란HB 1cc</t>
  </si>
  <si>
    <t xml:space="preserve">[눈가주름리셋] 아이리쥬란 1cc+아이슈링크 100샷 </t>
  </si>
  <si>
    <t>[눈가주름리셋] 토르 아이 리프팅 + 아이 리프테라 2000샷 옵션) 아이리쥬란 12만원(vat별도)</t>
  </si>
  <si>
    <t>[목주름리셋] 목주름 리쥬란힐러 2cc + 목주름 스킨보톡스 옵션)토르 앞목 RF 22만원(vat별도)</t>
  </si>
  <si>
    <t>쥬베룩 볼륨 4cc 1회</t>
  </si>
  <si>
    <t>여름철 지친 피부 9해줘</t>
  </si>
  <si>
    <t>듀오 하이드로젠 테라피 5회</t>
  </si>
  <si>
    <t>[촉촉재생]프리미엄 수소 아쿠아필 3회(듀오 하이드로젠 + LDM 재생 8분 3회)</t>
  </si>
  <si>
    <t>쥬베룩 스킨부스터 3cc+진정관리 1회</t>
  </si>
  <si>
    <t>[올인원여드름케어]네오빔+ISCE 더블엑소좀+진정관리 3회</t>
  </si>
  <si>
    <t>[광채재생리쥬란] 리쥬란힐러 2cc+리쥬란 스킨부스터 or 톤업부스터 MTS 1회</t>
  </si>
  <si>
    <t xml:space="preserve">[색소반짝] 피코슈어토닝+엑셀V 제네시스 5회 </t>
  </si>
  <si>
    <t>[잡티타파] 피코슈어토닝+ 촉촉팩 3회+줌패스 얼굴전체 1회</t>
  </si>
  <si>
    <t>반가워 가을
혜택왔秋</t>
  </si>
  <si>
    <t>헐리우드 프락셀(얼굴전체)+크라이오 3회</t>
  </si>
  <si>
    <t>피코줌패스 얼굴전체 1회</t>
  </si>
  <si>
    <t>엑셀V제네시스+LDM 베이직 3회</t>
  </si>
  <si>
    <t>[슈링크 유니버스 이중턱 전용팁 출시] 슈링크 유니버스 6.0mm팁 200샷</t>
  </si>
  <si>
    <t>[염증타파] 여드름 스케일링 + 골드 PTT 1회</t>
  </si>
  <si>
    <t>[기미재발방지] 버츄RF 얼굴전체+ISCE 더블 엑소좀+크라이오 1회</t>
  </si>
  <si>
    <t>[피부장벽강화] 버츄RF 얼굴전체+ISCE 더블 엑소좀+크라이오 1회</t>
  </si>
  <si>
    <t xml:space="preserve">토르RF 풀페이스+쥬베룩 스킨부스터 2cc 1회  </t>
  </si>
  <si>
    <t>트리필 프로 - 엘라비에 밸런스 + PDRN 스킨부스터 3cc</t>
  </si>
  <si>
    <t>위코우노 3주 패키지</t>
  </si>
  <si>
    <t>[제로페인 스킨부스터] 위코우노 3주 패키지</t>
  </si>
  <si>
    <t>[남성제모] 풀페이스(턱+인중+볼+턱라인+구렛나루+윗목) 10회</t>
  </si>
  <si>
    <t>에뻐지는 수목금 이벤트</t>
  </si>
  <si>
    <t>[수목금] 주름 보톡스 3부위 (국산)</t>
  </si>
  <si>
    <t xml:space="preserve">[수목금] 엑셀V 레드스카 or 혈관 中 택 1회 </t>
  </si>
  <si>
    <t>[수목금] 프리미엄 물톡스 1회</t>
  </si>
  <si>
    <t>[수목금] 인모드 FORMA+LDM 물방울리프팅 12분 1회</t>
  </si>
  <si>
    <r>
      <rPr>
        <rFont val="Malgun Gothic"/>
        <color rgb="FF000000"/>
        <sz val="10.0"/>
      </rPr>
      <t>[수목금]</t>
    </r>
    <r>
      <rPr>
        <rFont val="Malgun Gothic"/>
        <b/>
        <color rgb="FFFF0000"/>
        <sz val="10.0"/>
      </rPr>
      <t xml:space="preserve"> 쥬베룩 볼륨 4cc 1회</t>
    </r>
  </si>
  <si>
    <t xml:space="preserve">[수목금] 브이올렛 2cc 1회 </t>
  </si>
  <si>
    <t>베러미 범어점 카톡 플러스
 친구 전용 이벤트 
-1인 1회</t>
  </si>
  <si>
    <t>주름 보톡스 2부위 (엘러간) 특가</t>
  </si>
  <si>
    <t>인모드 FX 1부위 2회</t>
  </si>
  <si>
    <t>슈링크 유니버스 300샷 1회</t>
  </si>
  <si>
    <r>
      <rPr>
        <rFont val="Malgun Gothic"/>
        <color rgb="FF000000"/>
        <sz val="10.0"/>
      </rPr>
      <t>올타이트 런칭 이벤트
(9월말까지)</t>
    </r>
  </si>
  <si>
    <t>런칭E) 올타이트 페이스 400샷</t>
  </si>
  <si>
    <t>런칭E) 올타이트 풀페이스 (페이스 + 이중턱) 600샷</t>
  </si>
  <si>
    <t>런칭E) 올타이트 로얄 풀페이스 (페이스 + 이중턱 + 목라인)</t>
  </si>
  <si>
    <t>런칭E) 1000샷 얼굴 소멸 이벤트 (올타이트 페이스 400샷 + 쿨페이즈 600샷)</t>
  </si>
  <si>
    <t>올타이트 런칭E 옵션가) 얼굴 전체 스킨보톡스 (나보타)</t>
  </si>
  <si>
    <t>올타이트 런칭E 옵션가) 얼굴 전체 스킨보톡스 (제오민)</t>
  </si>
  <si>
    <t>올타이트 런칭E 옵션가) 얼굴 전체 스킨보톡스 (엘러간)</t>
  </si>
  <si>
    <t>올타이트 런칭E 옵션가) 비스포크 스킨부스터 - 리쥬란 2cc, 무통리쥬란HB 1cc, 쥬베룩 2cc</t>
  </si>
  <si>
    <t>올타이트 런칭E 옵션가) 벨로테로 소프트 1cc 추가</t>
  </si>
  <si>
    <t>올타이트 런칭E 옵션가) 버츄 아이 리프팅 2회</t>
  </si>
  <si>
    <t>베러미 범어 시그니쳐 1
(9월말까지)</t>
  </si>
  <si>
    <t>프리미엄 모공소멸 프로그램 - 울쎄라 200샷 + 버츄RF 풀페이스 모공 흉터 1회 + 쥬베룩 4cc + 풀페이스 스킨보톡스 (엘러간) + 비스포크 스킨케어</t>
  </si>
  <si>
    <t>생기동안 프로그램 - 써마지 600샷 + 엘라비에 리투오 7cc + 비스포크 스킨케어 (써마지, 리투오 4주 간격으로 시행)</t>
  </si>
  <si>
    <t>올인원 탄력 패키지 - 소프웨이브 200샷, 써마지 600샷, 비스포크 스킨부스터, 비스포크 스킨케어, 태반주사</t>
  </si>
  <si>
    <r>
      <rPr>
        <rFont val="Malgun Gothic"/>
        <color rgb="FF000000"/>
        <sz val="10.0"/>
      </rPr>
      <t xml:space="preserve">월초 : </t>
    </r>
    <r>
      <rPr>
        <rFont val="Segoe UI Emoji"/>
        <color rgb="FF000000"/>
        <sz val="10.0"/>
      </rPr>
      <t>💛</t>
    </r>
    <r>
      <rPr>
        <rFont val="맑은 고딕"/>
        <color rgb="FF000000"/>
        <sz val="10.0"/>
      </rPr>
      <t>2ND ANNIVERSARY</t>
    </r>
    <r>
      <rPr>
        <rFont val="Segoe UI Emoji"/>
        <color rgb="FF000000"/>
        <sz val="10.0"/>
      </rPr>
      <t xml:space="preserve">💛
</t>
    </r>
    <r>
      <rPr>
        <rFont val="맑은 고딕"/>
        <color rgb="FF000000"/>
        <sz val="10.0"/>
      </rPr>
      <t>월 중순 : 올타이트 -&gt; 브이슈링크 입고시 변경</t>
    </r>
  </si>
  <si>
    <t>8월 디자인 작업 요청서</t>
  </si>
  <si>
    <t>정상금액</t>
  </si>
  <si>
    <t>이벤트 전 홈페이지 가격</t>
  </si>
  <si>
    <t>실 할인율 (홈페이지 가격 대비)</t>
  </si>
  <si>
    <t>피부리셋, 여름 투어 패키지</t>
  </si>
  <si>
    <t>여드름 스케일링(전체압출+진정관리)+LDM 재생관리 1회</t>
  </si>
  <si>
    <t>듀오 하이드로젠 테라피+네오빔 1회</t>
  </si>
  <si>
    <t>트리필 프로 쥬베룩 볼륨 흉터 치료 2cc 1회</t>
  </si>
  <si>
    <t>벨로테로 리바이브 2cc 1회 (2회 시 120만원)</t>
  </si>
  <si>
    <t>Skin Vacation
(여름이 남긴 자국, 피부에 쉼표를)</t>
  </si>
  <si>
    <t>피코토닝+LDM 베이직 8분 1회</t>
  </si>
  <si>
    <t>헐리우드 토닝+위코우노 1cc+LDM 베이직</t>
  </si>
  <si>
    <t>바이리즌 1cc+얼굴전체 스킨보톡스 (제오민) (8명 선착순 한정)</t>
  </si>
  <si>
    <t>무통 리쥬란 HB 3cc+LDM 재생관리</t>
  </si>
  <si>
    <t>헐리우드 토닝+위코우노+LDM 베이직 8분+LED+시트팩</t>
  </si>
  <si>
    <t>쁘띠 바캉스 
HOT 8</t>
  </si>
  <si>
    <t>인모드 FX 1부위+윤곽주사10cc</t>
  </si>
  <si>
    <t>주름 보톡스 3부위 (엘러간)</t>
  </si>
  <si>
    <t>바디 보톡스 200U (나보타)</t>
  </si>
  <si>
    <t>레스틸렌 입술필러 1cc+입꼬리 보톡스 (국산)</t>
  </si>
  <si>
    <t>민트 코 전체 실리프팅 (콧대 2줄)+벨로테로 인텐스 코 필러</t>
  </si>
  <si>
    <t>벨로테로 밸런스 3cc (옆볼, 앞볼, 팔자 부위 선택 가능)</t>
  </si>
  <si>
    <t>울쎄라 300샷</t>
  </si>
  <si>
    <t>벨로테로 리바이브 1cc+써마지 300샷 (벨로테로 Trainer가 추천하는 피부 재생 조합)</t>
  </si>
  <si>
    <t xml:space="preserve">
트리필 프로
</t>
  </si>
  <si>
    <t>▶쥬베룩 볼륨 트리필 프로 단독 시술 시 가격 / 여드름 박스 스카 (vat별도)</t>
  </si>
  <si>
    <t>1회</t>
  </si>
  <si>
    <t>3회</t>
  </si>
  <si>
    <t>트리필프로 쥬베룩 볼륨 흉터 치료 2cc</t>
  </si>
  <si>
    <t>트리필프로 쥬베룩 볼륨 흉터 치료 3cc</t>
  </si>
  <si>
    <t>트리필프로 쥬베룩 볼륨 흉터 치료 4cc</t>
  </si>
  <si>
    <t>▶흉터 올인원 패키지 / 여드름 박스 스카 치료 (vat별도)</t>
  </si>
  <si>
    <t>헐리우드 프락셀 or 버츄RF 모공/흉터 모드 + CO2 에어 서브시전 + 트리필 프로 쥬베룩 볼륨 2cc 3회</t>
  </si>
  <si>
    <t>헐리우드 프락셀 or 버츄RF 모공/흉터 모드 + CO2 에어 서브시전 + 트리필 프로 쥬베룩 볼륨 3cc 3회</t>
  </si>
  <si>
    <t>헐리우드 프락셀 or 버츄RF 모공/흉터 모드 + CO2 에어 서브시전 + 트리필 프로 쥬베룩 볼륨 4cc 3회</t>
  </si>
  <si>
    <t>[수목금] IBPS 부스터필 1회</t>
  </si>
  <si>
    <t>[수목금] 더블 백옥샷 3회</t>
  </si>
  <si>
    <t>[수목금] 물광주사 2.5cc+스킨보톡스 얼굴전체 (국산) 1회</t>
  </si>
  <si>
    <t>[수목금] 슈링크 유니버스 400샷</t>
  </si>
  <si>
    <t>[수목금] [남성제모] 턱+인중 10회</t>
  </si>
  <si>
    <t>[수목금] [여성제모] 겨드랑이+헐리우드 바디토닝 5회</t>
  </si>
  <si>
    <t>[수목금] 골드PTT 3회</t>
  </si>
  <si>
    <t>베러미 범어점 카톡 플러스
 친구 전용 이벤트 
-1인 1회 (상시)</t>
  </si>
  <si>
    <t>주름 보톡스(제오민) 3부위 특가</t>
  </si>
  <si>
    <t>리프테라2 300샷(라인/부스터 중 택1) 특가</t>
  </si>
  <si>
    <t>프리미엄 소프웨이브 런칭 이벤트
(8월말까지)</t>
  </si>
  <si>
    <t>소프웨이브 100샷 + 고주파 붓기관리 or LDM 재생관리 1회</t>
  </si>
  <si>
    <t>소프웨이브 200샷 + 무통 쿨러 + 고주파 붓기관리 or LDM 재생관리 1회</t>
  </si>
  <si>
    <t>소프웨이브 300샷 + 무통 쿨러 + 고주파 붓기관리 or LDM 재생관리 2회 (수요일·목요일 한정)</t>
  </si>
  <si>
    <t xml:space="preserve">소프웨이브 300샷 프리미엄 패키지  </t>
  </si>
  <si>
    <r>
      <rPr>
        <rFont val="Malgun Gothic"/>
        <color rgb="FF000000"/>
        <sz val="11.0"/>
      </rPr>
      <t>올타이트 런칭 이벤트
(9월말까지)</t>
    </r>
  </si>
  <si>
    <t>월초: 트리필프로 (고정은 올타이트)
월 중순 : 베러미 시그니쳐 (v슈링크 전에 나온다면 슈링크로 진행)</t>
  </si>
  <si>
    <t>7월 디자인 작업 요청서</t>
  </si>
  <si>
    <t>매월1일(친구톡)</t>
  </si>
  <si>
    <t>분류</t>
  </si>
  <si>
    <t>리뷰</t>
  </si>
  <si>
    <t xml:space="preserve"> HOT SUMMER SALE !</t>
  </si>
  <si>
    <t>제오민 주름 BTX 10회 회원권</t>
  </si>
  <si>
    <t>얼굴 전체 인모드 FX + 윤곽 주사</t>
  </si>
  <si>
    <t>레디어스 1VAIL</t>
  </si>
  <si>
    <t>울쎄라피 프라임 300샷</t>
  </si>
  <si>
    <t>티타늄 리프팅 + 레이더스 1회</t>
  </si>
  <si>
    <t>7월 맞이 예쁨 플랜</t>
  </si>
  <si>
    <t>인중+턱 제모 5회</t>
  </si>
  <si>
    <t>윤곽주사 3회</t>
  </si>
  <si>
    <t>여드름 피부관리 PKG 4주</t>
  </si>
  <si>
    <t>프리미엄 관리 패키지 8주</t>
  </si>
  <si>
    <r>
      <rPr>
        <rFont val="맑은 고딕"/>
        <color rgb="FF000000"/>
        <sz val="11.0"/>
      </rPr>
      <t>얼굴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전체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필러 (입술/이마/눈가/팔자 제외)</t>
    </r>
  </si>
  <si>
    <r>
      <rPr>
        <rFont val="Malgun Gothic"/>
        <color rgb="FF000000"/>
        <sz val="11.0"/>
      </rPr>
      <t>여름을 부탁해 !</t>
    </r>
    <r>
      <rPr>
        <rFont val="Yu Gothic"/>
        <color rgb="FF000000"/>
        <sz val="11.0"/>
      </rPr>
      <t xml:space="preserve">
</t>
    </r>
    <r>
      <rPr>
        <rFont val="맑은 고딕"/>
        <color rgb="FF000000"/>
        <sz val="11.0"/>
      </rPr>
      <t>바디 바캉스</t>
    </r>
  </si>
  <si>
    <t>겨드랑이 + 인중 제모 5회</t>
  </si>
  <si>
    <t>팔뚝 지방 분해 주사 + 승모근 BTX (코어톡스)</t>
  </si>
  <si>
    <t>바디올렛 + 다이어트 약 처방</t>
  </si>
  <si>
    <t>어깨필러 + 승모근 BTX</t>
  </si>
  <si>
    <t xml:space="preserve">바디인모드 + 종아리 BTX </t>
  </si>
  <si>
    <t>[수목금] 엑셀V 홍조 얼굴전체+LDM홍조 1회</t>
  </si>
  <si>
    <t>[수목금] 침샘보톡스 - 귀밑 or 턱밑 (제오민)</t>
  </si>
  <si>
    <t>[수목금] 아이슈링크 200샷 1회</t>
  </si>
  <si>
    <t>[수목금] 버츄RF 얼굴전체+크라이오 1회</t>
  </si>
  <si>
    <t>[수목금] 디지털 자동 주사 아이젝 쥬베룩 스킨부스터 2cc 1회</t>
  </si>
  <si>
    <t>[수목금] 민트 코 전체 실리프팅 (콧대4줄+코끝2줄)</t>
  </si>
  <si>
    <t>[수목금] 프리미엄 이마 필러 3cc (벨로테로 볼륨)</t>
  </si>
  <si>
    <t>슈링크 유니버스 300샷(라인/부스터 중 택1) 특가</t>
  </si>
  <si>
    <t>프리미엄 소프웨이브 런칭 이벤트 (8월말 까지)</t>
  </si>
  <si>
    <t xml:space="preserve"> </t>
  </si>
  <si>
    <t>플친</t>
  </si>
  <si>
    <t>베러미와 함께하는
여름 휴가 JUNE비</t>
  </si>
  <si>
    <t>2세대 오투덤 산소테라피 1회</t>
  </si>
  <si>
    <t>엑셀V 레드스카 3회</t>
  </si>
  <si>
    <t>올리지오 600샷+LDM 물방울 리프팅 12분 1회</t>
  </si>
  <si>
    <t>다한증 보톡스 100U (제오민)</t>
  </si>
  <si>
    <r>
      <rPr>
        <rFont val="Calibri"/>
        <color rgb="FF000000"/>
        <sz val="11.0"/>
      </rPr>
      <t>2025</t>
    </r>
    <r>
      <rPr>
        <rFont val="맑은 고딕"/>
        <color rgb="FF000000"/>
        <sz val="11.0"/>
      </rPr>
      <t>년 베러미 범어 상반기</t>
    </r>
    <r>
      <rPr>
        <rFont val="돋움"/>
        <color rgb="FF000000"/>
        <sz val="11.0"/>
      </rPr>
      <t xml:space="preserve"> TOP 3</t>
    </r>
  </si>
  <si>
    <t>GD토닝 3회 + LDM 베이직 8분 3회</t>
  </si>
  <si>
    <t>풀페이스 리쥬란 힐러 (리쥬란 2cc + 아이리쥬란 1cc) + LDM 물방울 리프팅 12분 1회</t>
  </si>
  <si>
    <t>쿨페이즈 600샷</t>
  </si>
  <si>
    <r>
      <rPr>
        <rFont val="맑은 고딕"/>
        <color rgb="FF000000"/>
        <sz val="11.0"/>
      </rPr>
      <t xml:space="preserve">한여름 </t>
    </r>
    <r>
      <rPr>
        <rFont val="Calibri"/>
        <color rgb="FF000000"/>
        <sz val="11.0"/>
      </rPr>
      <t>COOL</t>
    </r>
    <r>
      <rPr>
        <rFont val="맑은 고딕"/>
        <color rgb="FF000000"/>
        <sz val="11.0"/>
      </rPr>
      <t xml:space="preserve">한 </t>
    </r>
    <r>
      <rPr>
        <rFont val="Calibri"/>
        <color rgb="FF000000"/>
        <sz val="11.0"/>
      </rPr>
      <t>SALE</t>
    </r>
  </si>
  <si>
    <t>[여성제모] 겨드랑이 5+1</t>
  </si>
  <si>
    <t>신데렐라 주사 3+1</t>
  </si>
  <si>
    <t>아이스 아쿠아필 3단계 5+1</t>
  </si>
  <si>
    <t>[남성제모] 턱+인중+진정관리 5+1</t>
  </si>
  <si>
    <t>피코슈어토닝+LDM 물방울리프팅 12분 5+1</t>
  </si>
  <si>
    <t>베러미 범어 시그니쳐</t>
  </si>
  <si>
    <t>프리미엄 모공소멸 프로그램 - 울쎄라 200샷 + 버츄RF 풀페이스 모공 흉터 1회 + 아이젝 쥬베룩 4cc + 풀페이스 스킨보톡스 (엘러간) + 비스포크 스킨케어</t>
  </si>
  <si>
    <t>스킨부스터 택 1 - (리쥬란 4cc, 무통리쥬란HB 2cc, 쥬베룩4cc)</t>
  </si>
  <si>
    <t>프리미엄 소프웨이브 런칭 이벤트</t>
  </si>
  <si>
    <t>월초 이벤트 : 프리미엄 소프웨이브 런칭 이벤트
월중순 강조 이벤트 : 2025년 베러미 범어 상반기 TOP 3
작성 부탁드립니다 :)</t>
  </si>
  <si>
    <t xml:space="preserve">
미리 하는 여름 준비
</t>
  </si>
  <si>
    <t>프리미엄 비타민 미백관리 3회</t>
  </si>
  <si>
    <r>
      <rPr>
        <rFont val="Malgun Gothic"/>
        <color rgb="FF000000"/>
        <sz val="11.0"/>
      </rPr>
      <t>물광주사 2.5cc 3회</t>
    </r>
  </si>
  <si>
    <r>
      <rPr>
        <rFont val="Malgun Gothic"/>
        <color rgb="FF000000"/>
        <sz val="11.0"/>
      </rPr>
      <t>스킨보톡스 얼굴전체 (나보타) 3회</t>
    </r>
  </si>
  <si>
    <t xml:space="preserve">
베러미에서 준비한 
가정의 달 이벤트
</t>
  </si>
  <si>
    <t>주름필러 벨로테로 소프트 1cc</t>
  </si>
  <si>
    <r>
      <rPr>
        <rFont val="Malgun Gothic"/>
        <color rgb="FF000000"/>
        <sz val="11.0"/>
      </rPr>
      <t>벨로테로 인텐스 코필러 1cc</t>
    </r>
  </si>
  <si>
    <t>쥬베룩 볼륨 4cc 2회</t>
  </si>
  <si>
    <t>비스포크 울쎄라 300샷 + 나비존 더모톡신(국산)</t>
  </si>
  <si>
    <t xml:space="preserve">여름 대비 
바디 시술 이벤트  </t>
  </si>
  <si>
    <t>바디 보톡스 100U (제오민)</t>
  </si>
  <si>
    <t>S퀸러미주사 200cc 3회</t>
  </si>
  <si>
    <t>바디인모드 3회</t>
  </si>
  <si>
    <t>[수목금] 엑셀V 홍조 얼굴전체+LDM 홍조 1회</t>
  </si>
  <si>
    <t>[수목금] 광대 보톡스 (엘러간)</t>
  </si>
  <si>
    <r>
      <rPr>
        <rFont val="Malgun Gothic"/>
        <color rgb="FF000000"/>
        <sz val="11.0"/>
      </rPr>
      <t>[수목금] 아이슈링크 200샷 1회</t>
    </r>
  </si>
  <si>
    <t>[수목금] 민트 코 전체 실리프팅 (콧대 4줄)</t>
  </si>
  <si>
    <r>
      <rPr>
        <rFont val="Malgun Gothic"/>
        <color rgb="FF000000"/>
        <sz val="11.0"/>
      </rPr>
      <t>[수목금] 버츄 RF 브이라인 리프팅 + 크라이오 진정관리</t>
    </r>
  </si>
  <si>
    <t>[수목금] 리쥬란HB 3cc + 하이쿡스 + 크라이오 1회</t>
  </si>
  <si>
    <t>월초 이벤트 : 소프웨이브 런칭 이벤트
월중순 강조 이벤트 : 여름 대비 바디 시술 이벤트
작성 부탁드립니다 :)</t>
  </si>
  <si>
    <t>이벤트금액</t>
  </si>
  <si>
    <t>실 할인율</t>
  </si>
  <si>
    <t>베러미의원 범어점, 4월 맞춤 케어</t>
  </si>
  <si>
    <t>플래티넘 플라필 1회</t>
  </si>
  <si>
    <t>헐리우드 듀얼토닝 1회</t>
  </si>
  <si>
    <t>수소토닝 1회</t>
  </si>
  <si>
    <t>엑셀V 제네시스 3회</t>
  </si>
  <si>
    <t>벚꽃 필때, 외모 관리</t>
  </si>
  <si>
    <r>
      <rPr>
        <rFont val="맑은 고딕"/>
        <color rgb="FF000000"/>
        <sz val="11.0"/>
      </rPr>
      <t>민트 모노실</t>
    </r>
    <r>
      <rPr>
        <rFont val="Arial"/>
        <color rgb="FF000000"/>
        <sz val="11.0"/>
      </rPr>
      <t xml:space="preserve"> 30</t>
    </r>
    <r>
      <rPr>
        <rFont val="맑은 고딕"/>
        <color rgb="FF000000"/>
        <sz val="11.0"/>
      </rPr>
      <t>줄</t>
    </r>
  </si>
  <si>
    <r>
      <rPr>
        <rFont val="맑은 고딕"/>
        <color rgb="FF000000"/>
        <sz val="11.0"/>
      </rPr>
      <t>아띠에르</t>
    </r>
    <r>
      <rPr>
        <rFont val="Arial"/>
        <color rgb="FF000000"/>
        <sz val="11.0"/>
      </rPr>
      <t xml:space="preserve"> 3cc 
*</t>
    </r>
    <r>
      <rPr>
        <rFont val="맑은 고딕"/>
        <color rgb="FF000000"/>
        <sz val="11.0"/>
      </rPr>
      <t>미간/애교/눈밑/코/입술 제외</t>
    </r>
  </si>
  <si>
    <t>버츄RF 나비존 (모공,흉터모드)+크라이오 3회</t>
  </si>
  <si>
    <t>봄이 와서 준비해봄</t>
  </si>
  <si>
    <t>라라빔 1회 (라라샷+네오빔)</t>
  </si>
  <si>
    <t>토르RF 앞목전체+목주름 스킨보톡스 (국산) 1회</t>
  </si>
  <si>
    <t>리쥬란 스킨부스터 or 톤업부스터 (MTS O)+LDM 약물침투모드 3회</t>
  </si>
  <si>
    <t>[런칭이벤트] 엘라비에 리투오 7cc 1회</t>
  </si>
  <si>
    <t>[런칭이벤트] 벨로테로 리바이브 2cc 1회</t>
  </si>
  <si>
    <t>[수목금] 바디 보톡스 150U (국산)</t>
  </si>
  <si>
    <t>[수목금] 인모드FX 1부위+프리미엄 아큐주사 3cc 1회</t>
  </si>
  <si>
    <t>[수목금] 원데이 코조각 패키지 3회</t>
  </si>
  <si>
    <t>[수목금] 주름 보톡스 3부위 (엘러간)</t>
  </si>
  <si>
    <t>[수목금] 바이리즌 2cc 1회</t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</si>
  <si>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수목금</t>
    </r>
    <r>
      <rPr>
        <rFont val="Arial"/>
        <color rgb="FF000000"/>
        <sz val="11.0"/>
      </rPr>
      <t xml:space="preserve">] </t>
    </r>
    <r>
      <rPr>
        <rFont val="맑은 고딕"/>
        <color rgb="FF000000"/>
        <sz val="11.0"/>
      </rPr>
      <t>민트실</t>
    </r>
    <r>
      <rPr>
        <rFont val="Arial"/>
        <color rgb="FF000000"/>
        <sz val="11.0"/>
      </rPr>
      <t xml:space="preserve"> 4</t>
    </r>
    <r>
      <rPr>
        <rFont val="맑은 고딕"/>
        <color rgb="FF000000"/>
        <sz val="11.0"/>
      </rPr>
      <t>줄</t>
    </r>
  </si>
  <si>
    <t>[수목금] 이마 벨로테로 필러 3cc</t>
  </si>
  <si>
    <t>베러미 범어점 김우림 원장님 
초빙 이벤트</t>
  </si>
  <si>
    <t>스킨보톡스 얼굴전체 (제오민) 1회</t>
  </si>
  <si>
    <t>원장님 사진 없이
타이틀만 디자인
(월화수 한정, 
김우림 원장님 지정시에만 가능)</t>
  </si>
  <si>
    <t>쥬베룩 스킨부스터 2cc 1회</t>
  </si>
  <si>
    <t>멜라부스터 ISCE 더블토닝 1회</t>
  </si>
  <si>
    <t>리쥬란힐러 2cc 1회</t>
  </si>
  <si>
    <t>올리지오 300샷</t>
  </si>
  <si>
    <t>프리미엄 써마지 런칭 이벤트</t>
  </si>
  <si>
    <t>써마지FLX 300샷</t>
  </si>
  <si>
    <t>울써마지 600샷 (울쎄라 300샷+써마지FLX 300샷)</t>
  </si>
  <si>
    <t>울써마지 900샷 (울쎄라 300샷+써마지FLX 600샷)</t>
  </si>
  <si>
    <t xml:space="preserve"> +) 런칭 기념 시술 혜택 (비스포크 수액 + LDM 재생 관리)</t>
  </si>
  <si>
    <t>단독 이벤트 매월 초 : 봄이 와서 준비해봄
강조 이벤트 매월 중순 : 벚꽃 필때, 외모 관리</t>
  </si>
  <si>
    <t>할인율</t>
  </si>
  <si>
    <t>블로그/인스타(2개)</t>
  </si>
  <si>
    <t>3월은 3배 혜택</t>
  </si>
  <si>
    <t>여성 겨드랑이 제모 3회+3회</t>
  </si>
  <si>
    <t>백옥샷 3회+3회</t>
  </si>
  <si>
    <t>남성 턱+인중 제모3회+3회</t>
  </si>
  <si>
    <t>수소 아쿠아필 3단계 3회+3회</t>
  </si>
  <si>
    <t>베러미에도 
봄이 왔나 봄</t>
  </si>
  <si>
    <t>목 주름 리프테라2 펜타입 2000샷+목 주름 보톡스 (나보타) 1회</t>
  </si>
  <si>
    <t>아이슈링크 200샷+눈가&amp;눈밑 보톡스 (국산)</t>
  </si>
  <si>
    <t>피코프락셀 전체 + 크라이오 + 모델링팩 3회</t>
  </si>
  <si>
    <t>GD토닝 3회+LDM 베이직 8분 3회</t>
  </si>
  <si>
    <t xml:space="preserve">프리미엄 수입필러 레스틸렌 3cc (이마, 앞볼, 팔자) </t>
  </si>
  <si>
    <t>올리지오 300샷+울쎄라 300샷</t>
  </si>
  <si>
    <t>릴리이드M 5cc 3회 (옵션 복수 선택 가능)</t>
  </si>
  <si>
    <t>옵션1) IZZO 리쥬벤 크림 1개</t>
  </si>
  <si>
    <t>옵션2) 하라셀 레이셀 크림 1개</t>
  </si>
  <si>
    <t>옵션3) 시술 후 1주일 뒤 LDM 재생관리 3회</t>
  </si>
  <si>
    <t>봄맞이 다이어트 시작</t>
  </si>
  <si>
    <t>복부 S퀸러미주사 100cc 1회</t>
  </si>
  <si>
    <t>바디인모드FX 1부위</t>
  </si>
  <si>
    <t>팔뚝 플로리스 2000샷+S퀸러미주사 100cc 1회</t>
  </si>
  <si>
    <t>쿨페이즈 300샷+리프테라2 펜타입 3000샷</t>
  </si>
  <si>
    <t>[수목금] 국산 스킨보톡스 1부위 (턱라인/나비존 택1)</t>
  </si>
  <si>
    <t>[수목금] 원샷원킬 피로회복(마늘주사+감초주사)</t>
  </si>
  <si>
    <t>[수목금] IBPS부스터필+LDM 약물침투모드 1회</t>
  </si>
  <si>
    <t>[수목금] 주름 보톡스 2부위 (제오민)</t>
  </si>
  <si>
    <t>[수목금] 인모드FX 1부위 3회</t>
  </si>
  <si>
    <t>[수목금] 벨로테로 인텐스 1cc (코,턱끝)</t>
  </si>
  <si>
    <t>[수목금] 쥬베룩 스킨부스터 2cc+리쥬비엘W 1cc 1회 (하이쿡스 포함)</t>
  </si>
  <si>
    <t xml:space="preserve">베러미 범어점 김우림 원장님 
초빙 이벤트 
</t>
  </si>
  <si>
    <t>얼굴전체 스킨보톡스 (제오민)</t>
  </si>
  <si>
    <t xml:space="preserve">전월과 동일 </t>
  </si>
  <si>
    <t xml:space="preserve">단독 이벤트 매월 초 : 봄맞이 다이어트 시작
강조 이벤트 매월 중순 : 프리미엄 써마지 런칭 </t>
  </si>
  <si>
    <t>2월엔 2배 예뻐지기</t>
  </si>
  <si>
    <t xml:space="preserve">여성 겨드랑이 제모 3회+3회 </t>
  </si>
  <si>
    <t xml:space="preserve">남성 풀페이스 제모 3회+3회 </t>
  </si>
  <si>
    <t>아이스 아쿠아필(아쿠아필1,2,3단계+크라이오) 3회+3회</t>
  </si>
  <si>
    <t>버츄 RF (모공, 흉터 모드) 얼굴 전체 - 크라이오 3회</t>
  </si>
  <si>
    <t>겨울철에는 무통 리쥬란 HB 3cc + LDM</t>
  </si>
  <si>
    <t>쥬베룩 볼륨 한보틀 8cc 1회 (나눠서 사용 불가/당일 8cc 진행)-표기 X</t>
  </si>
  <si>
    <t>베러미의원에서 드리는
발렌타인데이 선물</t>
  </si>
  <si>
    <t xml:space="preserve">입술필러 1cc + 입꼬리보톡스(국산) </t>
  </si>
  <si>
    <t xml:space="preserve">턱보톡스 50U(나보타) + 주름보톡스 2회(나보타) </t>
  </si>
  <si>
    <t>리쥬란 2cc</t>
  </si>
  <si>
    <t>골드PTT + 엑셀V 듀얼모드 2회</t>
  </si>
  <si>
    <t>피코슈어토닝+엑셀V 제네시스+선택관리(수분/진정/재생/미백) 3회</t>
  </si>
  <si>
    <t>GD토닝 런칭 패키지 특가 (헐리우드 토닝 3회, GD토닝 2회)</t>
  </si>
  <si>
    <t>2팔 청춘 리프팅 이벤트</t>
  </si>
  <si>
    <t>리프테라2 라인 400샷 + 펜타입 2000샷</t>
  </si>
  <si>
    <t>토르RF 풀페이스 + LDM 재생관리</t>
  </si>
  <si>
    <t xml:space="preserve">벨로테로 밸런스 디자인 동안 리프팅 필러 3cc (앞볼, 옆볼, 팔자) </t>
  </si>
  <si>
    <t>올리지오 600샷 + 릴리이드M 2cc</t>
  </si>
  <si>
    <t>어려지는 수목금 이벤트</t>
  </si>
  <si>
    <t xml:space="preserve">[수목금] 라라필 1회 </t>
  </si>
  <si>
    <t>[수목금] 아띠에르 필러 1cc (팔자, 턱끝)</t>
  </si>
  <si>
    <t>[수목금] 목주름 지우개 1cc (벨로테로 소프트) + 목주름 더모톡신 (국산) 1cc</t>
  </si>
  <si>
    <t>[수목금] 민트 모노실 30줄 (30줄 추가 시 90,000원)</t>
  </si>
  <si>
    <t xml:space="preserve">[수목금] 이중턱 인모드FX+프리미엄 아큐주사 10cc 1회 </t>
  </si>
  <si>
    <t xml:space="preserve">[수목금] 릴리이드M 5cc 1회 </t>
  </si>
  <si>
    <t>[수목금] 주름보톡스 3부위 (수입, 엘러간)</t>
  </si>
  <si>
    <t xml:space="preserve">베러미 범어점 카톡 플러스
 친구 전용 이벤트 
-1인 1회
</t>
  </si>
  <si>
    <t>슈링크 300샷(라인/부스터 중 택1) 특가</t>
  </si>
  <si>
    <r>
      <rPr>
        <rFont val="Malgun Gothic"/>
        <color rgb="FF000000"/>
        <sz val="11.0"/>
      </rPr>
      <t>써마지FLX</t>
    </r>
    <r>
      <rPr>
        <rFont val="굴림"/>
        <color rgb="FF000000"/>
        <sz val="11.0"/>
      </rPr>
      <t xml:space="preserve"> </t>
    </r>
    <r>
      <rPr>
        <rFont val="굴림"/>
        <b/>
        <color rgb="FF000000"/>
        <sz val="11.0"/>
      </rPr>
      <t>300샷</t>
    </r>
  </si>
  <si>
    <t>블로그/인스타</t>
  </si>
  <si>
    <t>새해에는 한살 더 어려지자</t>
  </si>
  <si>
    <t>벨로테로 밸런스 1cc (앞볼 동안)</t>
  </si>
  <si>
    <t>필러</t>
  </si>
  <si>
    <t>턱보톡스(국산) 50U+프리미엄 아큐주사 3cc</t>
  </si>
  <si>
    <t>보톡스, 쁘띠</t>
  </si>
  <si>
    <t>풀페이스 인모드(FX+FORMA) 1회</t>
  </si>
  <si>
    <t>고주파 리프팅</t>
  </si>
  <si>
    <t>울트라콜 200 2cc 3회</t>
  </si>
  <si>
    <t>HIFU 리프팅</t>
  </si>
  <si>
    <t>미니 울쎄라 (울쎄라 150샷 + 리쥬란힐러 2cc) + 힐링포마크림 증정 (선착순)</t>
  </si>
  <si>
    <t>쁘띠</t>
  </si>
  <si>
    <t>쿨페이즈 600샷 + LDM 물방울 리프팅 12분 1회</t>
  </si>
  <si>
    <t>1월에만 받을 수 있는 혜택</t>
  </si>
  <si>
    <t>[런칭특가] 듀오 하이드로젠 테라피</t>
  </si>
  <si>
    <t>스킨케어</t>
  </si>
  <si>
    <t>여성) 인중제모 1회</t>
  </si>
  <si>
    <t>제모</t>
  </si>
  <si>
    <t>남성) 턱+인중제모 1회</t>
  </si>
  <si>
    <t>수소 토닝 (수소 아쿠아필 + 피코슈어토닝)</t>
  </si>
  <si>
    <t>스킨케어, 미백레이저</t>
  </si>
  <si>
    <t>[눈가전용] 아이슈링크 200샷 1회</t>
  </si>
  <si>
    <t>빛나는 새해, 빛나는 내피부</t>
  </si>
  <si>
    <t>프리미엄 스킨케어 3회 (라라필, 물톡스, 플라필, 부스터필, 라라젯 중 선택)</t>
  </si>
  <si>
    <t>풀페이스 리쥬란힐러 (2cc+아이 1cc) 1회</t>
  </si>
  <si>
    <t>스킨부스터 (PDRN)</t>
  </si>
  <si>
    <t>바이리즌 2cc 1회</t>
  </si>
  <si>
    <t>스킨부스터 (HA)</t>
  </si>
  <si>
    <t>헐리우드 듀얼토닝 6회 (5+1 이벤트)</t>
  </si>
  <si>
    <t>미백, 재생 레이저</t>
  </si>
  <si>
    <t>여드름</t>
  </si>
  <si>
    <t>설프라이즈!
설연휴 남모르게 예뻐지자</t>
  </si>
  <si>
    <t>윤곽주사 10cc 3회</t>
  </si>
  <si>
    <t>주름 보톡스 3부위 (제오민)</t>
  </si>
  <si>
    <t>보톡스</t>
  </si>
  <si>
    <t>피코슈어토닝 5회 + LDM재생관리 5회</t>
  </si>
  <si>
    <t>미백, 스킨케어</t>
  </si>
  <si>
    <t>디자인 슈링크 600샷 + 토르RF 풀페이스 1회</t>
  </si>
  <si>
    <t>HIFU 리프팅, 고주파 리프팅</t>
  </si>
  <si>
    <t>[더블SET] 울쎄라 300샷 1회 + 리프테라2 라인 300샷 or 펜타입 3000샷 2회</t>
  </si>
  <si>
    <t>예뻐지는 수목금 이벤트</t>
  </si>
  <si>
    <t>[수목금] 주름보톡스 1부위 (수입, 엘러간)</t>
  </si>
  <si>
    <t>[수목금] 리프테라2 라인 300샷+펜타입 1500샷 1회</t>
  </si>
  <si>
    <t>[수목금] 리쥬란HB 1cc</t>
  </si>
  <si>
    <t>스킨부스터 (PDRN + HA)</t>
  </si>
  <si>
    <t>[수목금] 얼굴 전체 스킨보톡스 (제오민) 3회</t>
  </si>
  <si>
    <t>[수목금] 목주름 스킨보톡스 (제오민)</t>
  </si>
  <si>
    <t>[수목금] 골드PTT + 엑셀V 듀얼모드 1회</t>
  </si>
  <si>
    <t>여드름, 피부재생</t>
  </si>
  <si>
    <t>[수목금] 피부재생 리쥬란힐러 2cc</t>
  </si>
  <si>
    <t>베러미의원 범어점 - 24년 12월 디자인 작업 요청서</t>
  </si>
  <si>
    <t>인스타(3개)</t>
  </si>
  <si>
    <t>와이드(3개)</t>
  </si>
  <si>
    <t>12월의 특별한 혜택</t>
  </si>
  <si>
    <t>나비존 모공톡스 (제오민)</t>
  </si>
  <si>
    <t>o</t>
  </si>
  <si>
    <t>아띠에르(입술+입꼬리) 1cc</t>
  </si>
  <si>
    <t>인모드 FX (한부위)+프리미엄 아큐주사 3cc</t>
  </si>
  <si>
    <t>리프팅+쁘띠</t>
  </si>
  <si>
    <t>리프테라2 라인 300샷+펜타입 1500샷</t>
  </si>
  <si>
    <t>사각턱 보톡스 50U+침샘 보톡스 1부위 (제오민)</t>
  </si>
  <si>
    <r>
      <rPr>
        <rFont val="Malgun Gothic"/>
        <color rgb="FF000000"/>
        <sz val="11.0"/>
      </rPr>
      <t xml:space="preserve">연말결산 BEST
</t>
    </r>
    <r>
      <rPr>
        <rFont val="Malgun Gothic"/>
        <b/>
        <color rgb="FFB6D7A8"/>
        <sz val="10.0"/>
      </rPr>
      <t>#매월 초 강조</t>
    </r>
  </si>
  <si>
    <t>노세범 패키지(블랙필+네오빔+모델링팩) 1회</t>
  </si>
  <si>
    <t>여드름 치료</t>
  </si>
  <si>
    <t>피코슈어토닝+엑셀V제네시스+모델링팩 1회</t>
  </si>
  <si>
    <t>색소, 재생 레이저</t>
  </si>
  <si>
    <t>디자인 슈링크 600샷 (슈링크 유니버스 라인 300샷+부스터 300샷+오로라 앰플) + 아큐주사 3cc</t>
  </si>
  <si>
    <t>올리지오 600샷+아이슈링크 100샷</t>
  </si>
  <si>
    <t>고주파, HIFU 리프팅</t>
  </si>
  <si>
    <t>울쎄라 300샷+LDM 물방울리프팅 12분 1회</t>
  </si>
  <si>
    <t>겨울에도 탱탱한 피부</t>
  </si>
  <si>
    <t>얼굴전체 스킨보톡스 엘러간 (수입)</t>
  </si>
  <si>
    <t>스킨부스터</t>
  </si>
  <si>
    <t>스킨부스터, 고주파</t>
  </si>
  <si>
    <t>리쥬란힐러 4cc+크라이오 1회</t>
  </si>
  <si>
    <t>ISCE 엑소좀 3cc MTS 3회</t>
  </si>
  <si>
    <r>
      <rPr>
        <rFont val="Malgun Gothic"/>
        <color rgb="FF000000"/>
        <sz val="11.0"/>
      </rPr>
      <t xml:space="preserve">미리 크리스마스 산타 선물
</t>
    </r>
    <r>
      <rPr>
        <rFont val="Malgun Gothic"/>
        <b/>
        <color rgb="FFB6D7A8"/>
        <sz val="10.0"/>
      </rPr>
      <t>#매월 중순 강조</t>
    </r>
  </si>
  <si>
    <t>얼굴전체 스킨보톡스 (국산)</t>
  </si>
  <si>
    <t>버츄RF 얼굴전체+크라이오 1회</t>
  </si>
  <si>
    <t>고주파 바늘 시술</t>
  </si>
  <si>
    <t>백옥주사 10회</t>
  </si>
  <si>
    <t>항노화주사</t>
  </si>
  <si>
    <t>쿨페이즈 300샷 + LDM 물방울리프팅 12분 1회</t>
  </si>
  <si>
    <t>[수목금] 남성 턱+인중 제모 5회</t>
  </si>
  <si>
    <t>[수목금] 주름 보톡스 2부위 (엘러간)</t>
  </si>
  <si>
    <t>[수목금] 프리미엄 아큐주사 10cc</t>
  </si>
  <si>
    <t>[수목금] 사각턱 보톡스 50U + 침샘 보톡스 (나보타)</t>
  </si>
  <si>
    <t>[수목금] 피지 잡는 네오빔(압출미포함) 5회</t>
  </si>
  <si>
    <t>레이저</t>
  </si>
  <si>
    <t>[수목금] 자연스러운 볼륨감 UP! 쥬베룩 볼륨 4cc</t>
  </si>
  <si>
    <r>
      <rPr>
        <rFont val="Malgun Gothic"/>
        <color rgb="FF000000"/>
        <sz val="11.0"/>
      </rPr>
      <t>올해의 마무리는</t>
    </r>
    <r>
      <rPr>
        <rFont val="맑은 고딕"/>
        <color rgb="FF000000"/>
        <sz val="11.0"/>
      </rPr>
      <t xml:space="preserve"> 아름답게</t>
    </r>
  </si>
  <si>
    <t>연말 모임 동안 앞볼, 팔자 필러 2cc (벨로테로 밸런스)</t>
  </si>
  <si>
    <t>겨울 대비 무통 리쥬란 HB 3cc + LDM</t>
  </si>
  <si>
    <t>스킨부스터 + 관리</t>
  </si>
  <si>
    <t>민트 코 전체 실리프팅 (콧대 4줄+코끝 2줄) + 민트 모노실 30줄</t>
  </si>
  <si>
    <t>베러미 범어점 신규 원장님 초빙 이벤트</t>
  </si>
  <si>
    <t>멜라 부스터 엑소좀 (ISCE) + 피코슈어토닝</t>
  </si>
  <si>
    <t>리쥬란 힐러 2cc</t>
  </si>
  <si>
    <r>
      <rPr>
        <rFont val="Malgun Gothic"/>
        <color rgb="FF000000"/>
        <sz val="11.0"/>
      </rPr>
      <t>쥬베룩</t>
    </r>
    <r>
      <rPr>
        <rFont val="굴림"/>
        <color rgb="FF000000"/>
        <sz val="11.0"/>
      </rPr>
      <t xml:space="preserve"> 스킨부스터 2cc</t>
    </r>
  </si>
  <si>
    <r>
      <rPr>
        <rFont val="Malgun Gothic"/>
        <color rgb="FF000000"/>
        <sz val="11.0"/>
      </rPr>
      <t>릴리이드</t>
    </r>
    <r>
      <rPr>
        <rFont val="굴림"/>
        <color rgb="FF000000"/>
        <sz val="11.0"/>
      </rPr>
      <t xml:space="preserve"> 물광주사 5cc</t>
    </r>
  </si>
  <si>
    <r>
      <rPr>
        <rFont val="Malgun Gothic"/>
        <color rgb="FF000000"/>
        <sz val="11.0"/>
      </rPr>
      <t>슈링크</t>
    </r>
    <r>
      <rPr>
        <rFont val="굴림"/>
        <color rgb="FF000000"/>
        <sz val="11.0"/>
      </rPr>
      <t xml:space="preserve"> 유니버스 300샷</t>
    </r>
  </si>
  <si>
    <t>인모드 FX + 인모드 포마 (얼굴 전체)</t>
  </si>
  <si>
    <t>베러미의원 11월 디자인 작업 요청서</t>
  </si>
  <si>
    <r>
      <rPr>
        <rFont val="Malgun Gothic"/>
        <color rgb="FF000000"/>
        <sz val="11.0"/>
      </rPr>
      <t xml:space="preserve">BEST 11월의 제안
</t>
    </r>
    <r>
      <rPr>
        <rFont val="Malgun Gothic"/>
        <b/>
        <color rgb="FF93C47D"/>
        <sz val="10.0"/>
      </rPr>
      <t>#매월 중순 강조</t>
    </r>
  </si>
  <si>
    <t>노세범 패키지 - 아쿠아필 1,2단계 + 네오빔 + 모델링팩</t>
  </si>
  <si>
    <t>울쎄라 300샷+인모드FX 1부위</t>
  </si>
  <si>
    <t>11월 1+1 꿀조합시술</t>
  </si>
  <si>
    <t>아이리쥬란 1cc + 눈가 스킨보톡스 (국산) 1회</t>
  </si>
  <si>
    <t>제네시스 토닝 (엑셀V 제네시스 + 피코슈어토닝) + LDM 재생관리 1회</t>
  </si>
  <si>
    <t>바이리즌 2cc+ 얼굴전체 스킨보톡스 (국산) 1회</t>
  </si>
  <si>
    <t>올리지오 600샷 + 리프테라2 펜타입 3000샷</t>
  </si>
  <si>
    <r>
      <rPr>
        <rFont val="Malgun Gothic"/>
        <color rgb="FF000000"/>
        <sz val="11.0"/>
      </rPr>
      <t xml:space="preserve">수능 끝, 예쁨 시작
</t>
    </r>
    <r>
      <rPr>
        <rFont val="Malgun Gothic"/>
        <b/>
        <color rgb="FF93C47D"/>
        <sz val="10.0"/>
      </rPr>
      <t>#매월 초 강조</t>
    </r>
  </si>
  <si>
    <t>[수입] 벨로테로 인텐스 턱끝필러 1cc + 자갈턱 보톡스 (제오민)</t>
  </si>
  <si>
    <t>골드 PTT + 엑셀V 듀얼모드 1회</t>
  </si>
  <si>
    <t>여드름 4주 패키지 (필요시 염증주사+약처방 포함)
1주 / 3주 : 압출+블랙필+네오빔
2주 / 4주 : LDM 재생관리
※수험표 지참 시, 본인 및 가족 10% 할인 (홈페이지는 미노출)</t>
  </si>
  <si>
    <t>빼빼로데이 이벤트
(11만원 이벤트)</t>
  </si>
  <si>
    <t>사각턱 보톡스 50u (나보타) + 인모드FX 1부위 + 프리미엄 아큐주사 3cc</t>
  </si>
  <si>
    <t>헐리우드 프락셀 (나비존) + 연어주사 1cc + 크라이오 + 모델링팩</t>
  </si>
  <si>
    <t>민트 모노실 30줄 (30줄 추가 시 90,000원)</t>
  </si>
  <si>
    <t>[수목금] 사각턱 보톡스 50U (국산, 메디톡스)</t>
  </si>
  <si>
    <t>[수목금] 주름 보톡스 1부위 (수입, 제오민)</t>
  </si>
  <si>
    <t>[수목금] 사각턱 보톡스 50U (수입, 제오민)</t>
  </si>
  <si>
    <t>[수목금] 얼굴전체 인모드 1가지 모드 (FX or FORMA 中 택)</t>
  </si>
  <si>
    <t>[수목금] 바디 골드XV주사 50cc 1회</t>
  </si>
  <si>
    <t>[수목금] 옆볼필러 2cc (수입, 아말리안)</t>
  </si>
  <si>
    <t>10월 이벤트 디자인 작업 요청서</t>
  </si>
  <si>
    <t>블로그/인스타(3개)</t>
  </si>
  <si>
    <t>FALL IN 베러미의원 범어점
(강조 이벤트-월초)</t>
  </si>
  <si>
    <t>광채 리쥬란힐러 2cc + 아이리쥬란 1cc 1회</t>
  </si>
  <si>
    <t xml:space="preserve">[수입] 벨로테로 목주름 필러 1cc + 목주름 스킨 보톡스 (제오민) 1회 </t>
  </si>
  <si>
    <t xml:space="preserve">[수입] 벨로테로 밸런스 디자인 동안필러 3cc (앞볼, 옆볼, 팔자) </t>
  </si>
  <si>
    <t>피코슈어토닝+줌패스+모델링팩 1회</t>
  </si>
  <si>
    <t>울쎄라 300샷 + 턱라인 리프팅톡스(메디톡신)</t>
  </si>
  <si>
    <t>10월에는 더 텐텐하게</t>
  </si>
  <si>
    <r>
      <rPr>
        <rFont val="맑은 고딕"/>
        <color rgb="FF000000"/>
        <sz val="11.0"/>
      </rPr>
      <t>피부를</t>
    </r>
    <r>
      <rPr>
        <rFont val="돋움"/>
        <color rgb="FF000000"/>
        <sz val="11.0"/>
      </rPr>
      <t xml:space="preserve"> 더 환하고 탄탄하게, 더블 백옥 주사 1회 (글루타치온 함량 2배)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</si>
  <si>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내맘대로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리프팅</t>
    </r>
    <r>
      <rPr>
        <rFont val="Arial"/>
        <color rgb="FF000000"/>
        <sz val="11.0"/>
      </rPr>
      <t xml:space="preserve"> 3</t>
    </r>
    <r>
      <rPr>
        <rFont val="맑은 고딕"/>
        <color rgb="FF000000"/>
        <sz val="11.0"/>
      </rPr>
      <t>회권</t>
    </r>
    <r>
      <rPr>
        <rFont val="Arial"/>
        <color rgb="FF000000"/>
        <sz val="11.0"/>
      </rPr>
      <t xml:space="preserve">] </t>
    </r>
    <r>
      <rPr>
        <rFont val="맑은 고딕"/>
        <color rgb="FF000000"/>
        <sz val="11.0"/>
      </rPr>
      <t>인모드</t>
    </r>
    <r>
      <rPr>
        <rFont val="Arial"/>
        <color rgb="FF000000"/>
        <sz val="11.0"/>
      </rPr>
      <t xml:space="preserve">FX </t>
    </r>
    <r>
      <rPr>
        <rFont val="맑은 고딕"/>
        <color rgb="FF000000"/>
        <sz val="11.0"/>
      </rPr>
      <t xml:space="preserve">풀페이스 </t>
    </r>
    <r>
      <rPr>
        <rFont val="Arial"/>
        <color rgb="FF000000"/>
        <sz val="11.0"/>
      </rPr>
      <t xml:space="preserve">or </t>
    </r>
    <r>
      <rPr>
        <rFont val="맑은 고딕"/>
        <color rgb="FF000000"/>
        <sz val="11.0"/>
      </rPr>
      <t>인모드</t>
    </r>
    <r>
      <rPr>
        <rFont val="Arial"/>
        <color rgb="FF000000"/>
        <sz val="11.0"/>
      </rPr>
      <t xml:space="preserve">FORMA </t>
    </r>
    <r>
      <rPr>
        <rFont val="맑은 고딕"/>
        <color rgb="FF000000"/>
        <sz val="11.0"/>
      </rPr>
      <t xml:space="preserve">풀페이스
</t>
    </r>
    <r>
      <rPr>
        <rFont val="Arial"/>
        <color rgb="FF000000"/>
        <sz val="11.0"/>
      </rPr>
      <t>/</t>
    </r>
    <r>
      <rPr>
        <rFont val="맑은 고딕"/>
        <color rgb="FF000000"/>
        <sz val="11.0"/>
      </rPr>
      <t>슈링크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라인</t>
    </r>
    <r>
      <rPr>
        <rFont val="Arial"/>
        <color rgb="FF000000"/>
        <sz val="11.0"/>
      </rPr>
      <t xml:space="preserve"> 300</t>
    </r>
    <r>
      <rPr>
        <rFont val="맑은 고딕"/>
        <color rgb="FF000000"/>
        <sz val="11.0"/>
      </rPr>
      <t>샷 or 슈링크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펜타입</t>
    </r>
    <r>
      <rPr>
        <rFont val="Arial"/>
        <color rgb="FF000000"/>
        <sz val="11.0"/>
      </rPr>
      <t xml:space="preserve"> 300</t>
    </r>
    <r>
      <rPr>
        <rFont val="맑은 고딕"/>
        <color rgb="FF000000"/>
        <sz val="11.0"/>
      </rPr>
      <t xml:space="preserve">샷
</t>
    </r>
    <r>
      <rPr>
        <rFont val="Arial"/>
        <color rgb="FF000000"/>
        <sz val="11.0"/>
      </rPr>
      <t>/</t>
    </r>
    <r>
      <rPr>
        <rFont val="맑은 고딕"/>
        <color rgb="FF000000"/>
        <sz val="11.0"/>
      </rPr>
      <t>리프테라</t>
    </r>
    <r>
      <rPr>
        <rFont val="Arial"/>
        <color rgb="FF000000"/>
        <sz val="11.0"/>
      </rPr>
      <t xml:space="preserve">2 </t>
    </r>
    <r>
      <rPr>
        <rFont val="맑은 고딕"/>
        <color rgb="FF000000"/>
        <sz val="11.0"/>
      </rPr>
      <t>라인</t>
    </r>
    <r>
      <rPr>
        <rFont val="Arial"/>
        <color rgb="FF000000"/>
        <sz val="11.0"/>
      </rPr>
      <t xml:space="preserve"> 300</t>
    </r>
    <r>
      <rPr>
        <rFont val="맑은 고딕"/>
        <color rgb="FF000000"/>
        <sz val="11.0"/>
      </rPr>
      <t>샷</t>
    </r>
    <r>
      <rPr>
        <rFont val="Arial"/>
        <color rgb="FF000000"/>
        <sz val="11.0"/>
      </rPr>
      <t>+</t>
    </r>
    <r>
      <rPr>
        <rFont val="맑은 고딕"/>
        <color rgb="FF000000"/>
        <sz val="11.0"/>
      </rPr>
      <t>펜타입</t>
    </r>
    <r>
      <rPr>
        <rFont val="Arial"/>
        <color rgb="FF000000"/>
        <sz val="11.0"/>
      </rPr>
      <t xml:space="preserve"> 1500</t>
    </r>
    <r>
      <rPr>
        <rFont val="맑은 고딕"/>
        <color rgb="FF000000"/>
        <sz val="11.0"/>
      </rPr>
      <t>샷</t>
    </r>
  </si>
  <si>
    <t>풀페이스 올리지오 600샷 1회</t>
  </si>
  <si>
    <t>쿨페이즈 300샷 + 슈링크 유니버스 300샷 1회</t>
  </si>
  <si>
    <t>쥬베룩 볼륨 한보틀 8cc 1회 (4cc 2회로 나눠서 사용 가능)</t>
  </si>
  <si>
    <t>득TEN 이벤트</t>
  </si>
  <si>
    <t>[피지관리] 아쿠아필+네오빔 1회</t>
  </si>
  <si>
    <t>프리미엄 아큐주사 3cc 3회</t>
  </si>
  <si>
    <t>사각턱 보톡스 50U 국산+프리미엄 아큐주사 10cc 1회</t>
  </si>
  <si>
    <t>하반기 빼빼, 급찐급빠 이벤트</t>
  </si>
  <si>
    <t>바디보톡스 100U (제오민)</t>
  </si>
  <si>
    <t>[셀룰라이트 개선] 바디 플로리스 2000샷+골드XV주사 50cc 1회</t>
  </si>
  <si>
    <t>[셀룰라이트 개선] 트리플 바디 플로리스 3000샷 1회</t>
  </si>
  <si>
    <t>S퀸러미주사 100cc 1회</t>
  </si>
  <si>
    <t>환절기 피부 케어</t>
  </si>
  <si>
    <t>베이직 스킨케어 5회 (수분/진정/재생/미백 중 택)</t>
  </si>
  <si>
    <t>블랙필 3회</t>
  </si>
  <si>
    <t>아쿠아필 3단계 10회</t>
  </si>
  <si>
    <t>여드름 스케일링(전체압출+진정관리) - 1인 1회</t>
  </si>
  <si>
    <t>프리미엄 스킨케어 3회 (플라필/라라필/물톡스/LDM 중 택)</t>
  </si>
  <si>
    <t>예뻐지는 요일 이벤트
(강조 이벤트-중순)</t>
  </si>
  <si>
    <t>[수목금] 주름보톡스 1부위 (국산 프리미엄, 나보타)</t>
  </si>
  <si>
    <t>[수목금] 나비존 모공보톡스 (나보타)</t>
  </si>
  <si>
    <t>[수목금] 아기주사 2cc MTS</t>
  </si>
  <si>
    <t>[수목금] 탱탱 입술주름 HB 1cc</t>
  </si>
  <si>
    <t>9월 이벤트 기획안</t>
  </si>
  <si>
    <r>
      <rPr>
        <rFont val="Malgun Gothic"/>
        <color rgb="FF000000"/>
        <sz val="11.0"/>
      </rPr>
      <t>N</t>
    </r>
    <r>
      <rPr>
        <rFont val="맑은 고딕"/>
        <color rgb="FF000000"/>
        <sz val="11.0"/>
      </rPr>
      <t>o</t>
    </r>
  </si>
  <si>
    <t>강조이벤트(2개)</t>
  </si>
  <si>
    <t>가격 적합성</t>
  </si>
  <si>
    <t>베러미의원 범어점 1주년 기념</t>
  </si>
  <si>
    <t>패키지 상품 10% 할인</t>
  </si>
  <si>
    <t>히스토랩 앰플 세트 10% 할인</t>
  </si>
  <si>
    <t>벨로테로 소프트 주름 필러 1cc (팔자, 목주름)</t>
  </si>
  <si>
    <t>얼굴 전체 스킨보톡스 (제오민) 3회</t>
  </si>
  <si>
    <t>버츄 RF 아이 리프팅 3회</t>
  </si>
  <si>
    <r>
      <rPr>
        <rFont val="맑은 고딕"/>
        <color rgb="FF7F7F7F"/>
        <sz val="11.0"/>
      </rPr>
      <t>울트라콜</t>
    </r>
    <r>
      <rPr>
        <rFont val="Calibri"/>
        <color rgb="FF7F7F7F"/>
        <sz val="11.0"/>
      </rPr>
      <t xml:space="preserve"> 200 2cc 3</t>
    </r>
    <r>
      <rPr>
        <rFont val="맑은 고딕"/>
        <color rgb="FF7F7F7F"/>
        <sz val="11.0"/>
      </rPr>
      <t>회</t>
    </r>
  </si>
  <si>
    <t>쥬베룩 볼륨 4cc 3회</t>
  </si>
  <si>
    <t>쿨페이즈 300샷</t>
  </si>
  <si>
    <t>울쎄라 400샷 + LDM</t>
  </si>
  <si>
    <t>9월에는 싸다9</t>
  </si>
  <si>
    <t>이중턱 슈링크 100샷 + 턱보톡스 (나보타,50유닛)</t>
  </si>
  <si>
    <t>여성 인중 + 겨드랑이 제모 5회</t>
  </si>
  <si>
    <t>아이슈링크 100샷 + 눈밑 + 눈가보톡스 (나보타)</t>
  </si>
  <si>
    <t>국산필러 1CC (눈밑, 애교 부위 제외)</t>
  </si>
  <si>
    <t>이중턱 파괴 브이올렛 주사 2cc 2회</t>
  </si>
  <si>
    <t>남성 풀페이스 제모 (턱 + 인중 + 구렛나루) 5회</t>
  </si>
  <si>
    <t>포마테라(인모드 FORMA+리프테라2 펜타입 2000샷) 1회</t>
  </si>
  <si>
    <t>추석 연휴 전
강秋시술</t>
  </si>
  <si>
    <t>얼굴 전체 CO2레이저 1회 (50개까지/점,비립종,편평사마귀,쥐젖 포함)</t>
  </si>
  <si>
    <t>[골라 스킨부스터 3회권]
바이리즌 1cc/리쥬란힐러 2cc/쥬베룩 2cc/리쥬란HB 1cc+크라이오/릴리이드M 5cc 중 택</t>
  </si>
  <si>
    <t>올리지오 300샷 + 슈링크 부스터 100샷</t>
  </si>
  <si>
    <t>울쎄라 300샷 + 턱라인 리프팅톡스 (메디톡신)</t>
  </si>
  <si>
    <t>휴가 후 지친 피부 9해줘</t>
  </si>
  <si>
    <t>줄기세포배양액 ISCE 코어 재생 더블리프팅 버츄 RF 3회</t>
  </si>
  <si>
    <t>인모드 FORMA + LDM 물방울리프팅 12분 1회</t>
  </si>
  <si>
    <t>주름펴9 예뻐지9</t>
  </si>
  <si>
    <t>리쥬비엘 주름필러 1cc + 미간 보톡스 (나보타)</t>
  </si>
  <si>
    <t>팔자 리프테라2 펜타입 3000샷 + 리쥬비엘 팔자필러 1cc</t>
  </si>
  <si>
    <t>수입 아말리안 필러 3cc</t>
  </si>
  <si>
    <t>[원데이 코조각 패키지] 코 조각주사+콧볼 보톡스 1회</t>
  </si>
  <si>
    <t>예뻐지는 요일 수목금 이벤트</t>
  </si>
  <si>
    <t>[수목금] 원데이 연예인 프리미엄 주사 1회 + 하이쿡스</t>
  </si>
  <si>
    <t>[수목금] 국산 바디 보톡스 100U (승모근/종아리 중 택)</t>
  </si>
  <si>
    <t>[수목금] 얼굴전체 인모드 1가지 모드</t>
  </si>
  <si>
    <t>[수목금] 민트실 리프팅 콧대 2줄</t>
  </si>
  <si>
    <t>[수목금] 엑셀V 듀얼모드 1회 (쿨뷰+제네시스)</t>
  </si>
  <si>
    <t>[수목금] 엑셀V 레드스카 1회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</si>
</sst>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,000"/>
    <numFmt numFmtId="165" formatCode="_-&quot;₩&quot;* #,##0_-;\-&quot;₩&quot;* #,##0_-;_-&quot;₩&quot;* &quot;-&quot;_-;_-@"/>
    <numFmt numFmtId="166" formatCode="0.0%"/>
    <numFmt numFmtId="167" formatCode="_-* #,##0_-;\-* #,##0_-;_-* &quot;-&quot;_-;_-@"/>
  </numFmts>
  <fonts count="19">
    <font>
      <sz val="11.0"/>
      <color rgb="FF000000"/>
      <name val="Calibri"/>
      <scheme val="minor"/>
    </font>
    <font>
      <b/>
      <sz val="14.0"/>
      <color rgb="FF000000"/>
      <name val="Malgun Gothic"/>
    </font>
    <font/>
    <font>
      <b/>
      <sz val="10.0"/>
      <color rgb="FF000000"/>
      <name val="Malgun Gothic"/>
    </font>
    <font>
      <sz val="11.0"/>
      <color rgb="FF000000"/>
      <name val="Malgun Gothic"/>
    </font>
    <font>
      <sz val="11.0"/>
      <color theme="1"/>
      <name val="Malgun Gothic"/>
    </font>
    <font>
      <b/>
      <sz val="11.0"/>
      <color rgb="FF000000"/>
      <name val="Malgun Gothic"/>
    </font>
    <font>
      <sz val="10.0"/>
      <color rgb="FF000000"/>
      <name val="Malgun Gothic"/>
    </font>
    <font>
      <sz val="11.0"/>
      <color rgb="FF000000"/>
      <name val="Calibri"/>
    </font>
    <font>
      <strike/>
      <sz val="10.0"/>
      <color rgb="FF000000"/>
      <name val="Malgun Gothic"/>
    </font>
    <font>
      <b/>
      <sz val="10.0"/>
      <color rgb="FFFF0000"/>
      <name val="Malgun Gothic"/>
    </font>
    <font>
      <b/>
      <sz val="9.0"/>
      <color rgb="FF000000"/>
      <name val="Malgun Gothic"/>
    </font>
    <font>
      <sz val="11.0"/>
      <color rgb="FF000000"/>
      <name val="Arial"/>
    </font>
    <font>
      <sz val="11.0"/>
      <color rgb="FFFF0000"/>
      <name val="Malgun Gothic"/>
    </font>
    <font>
      <sz val="11.0"/>
      <color rgb="FF212121"/>
      <name val="NanumBarunGothic"/>
    </font>
    <font>
      <sz val="11.0"/>
      <color rgb="FF006100"/>
      <name val="Calibri"/>
    </font>
    <font>
      <sz val="11.0"/>
      <color rgb="FF7F7F7F"/>
      <name val="Gulim"/>
    </font>
    <font>
      <sz val="11.0"/>
      <color rgb="FF7F7F7F"/>
      <name val="Calibri"/>
    </font>
    <font>
      <sz val="11.0"/>
      <color rgb="FF7F7F7F"/>
      <name val="Malgun Gothic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C6EFCE"/>
        <bgColor rgb="FFC6EFCE"/>
      </patternFill>
    </fill>
    <fill>
      <patternFill patternType="solid">
        <fgColor rgb="FF70AD47"/>
        <bgColor rgb="FF70AD47"/>
      </patternFill>
    </fill>
  </fills>
  <borders count="9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</border>
    <border>
      <left/>
      <right/>
      <top style="medium">
        <color rgb="FF000000"/>
      </top>
    </border>
    <border>
      <left/>
      <right/>
    </border>
    <border>
      <left/>
      <right style="medium">
        <color rgb="FF000000"/>
      </right>
      <top/>
    </border>
    <border>
      <left/>
      <right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</border>
    <border>
      <left/>
      <right style="medium">
        <color rgb="FF000000"/>
      </right>
      <top style="thin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top style="medium">
        <color rgb="FFCCCCCC"/>
      </top>
      <bottom style="medium">
        <color rgb="FFCCCCCC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CCCCCC"/>
      </bottom>
    </border>
    <border>
      <left style="medium">
        <color rgb="FF000000"/>
      </left>
      <top style="medium">
        <color rgb="FFCCCCCC"/>
      </top>
    </border>
    <border>
      <left style="medium">
        <color rgb="FF000000"/>
      </left>
      <bottom style="medium">
        <color rgb="FFCCCCCC"/>
      </bottom>
    </border>
    <border>
      <left style="medium">
        <color rgb="FF000000"/>
      </left>
      <top style="medium">
        <color rgb="FFCCCCCC"/>
      </top>
      <bottom style="medium">
        <color rgb="FFCCCCCC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0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2" fontId="3" numFmtId="164" xfId="0" applyAlignment="1" applyBorder="1" applyFill="1" applyFont="1" applyNumberFormat="1">
      <alignment horizontal="center" shrinkToFit="0" vertical="center" wrapText="1"/>
    </xf>
    <xf borderId="4" fillId="3" fontId="3" numFmtId="164" xfId="0" applyAlignment="1" applyBorder="1" applyFill="1" applyFont="1" applyNumberFormat="1">
      <alignment horizontal="center" shrinkToFit="0" vertical="center" wrapText="1"/>
    </xf>
    <xf borderId="4" fillId="4" fontId="3" numFmtId="164" xfId="0" applyAlignment="1" applyBorder="1" applyFill="1" applyFont="1" applyNumberFormat="1">
      <alignment horizontal="center" shrinkToFit="0" vertical="center" wrapText="1"/>
    </xf>
    <xf borderId="5" fillId="5" fontId="3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6" fontId="4" numFmtId="0" xfId="0" applyAlignment="1" applyBorder="1" applyFill="1" applyFont="1">
      <alignment horizontal="center" vertical="center"/>
    </xf>
    <xf borderId="13" fillId="0" fontId="2" numFmtId="0" xfId="0" applyAlignment="1" applyBorder="1" applyFont="1">
      <alignment vertical="center"/>
    </xf>
    <xf borderId="14" fillId="6" fontId="3" numFmtId="164" xfId="0" applyAlignment="1" applyBorder="1" applyFont="1" applyNumberFormat="1">
      <alignment horizontal="center" vertical="center"/>
    </xf>
    <xf borderId="4" fillId="6" fontId="3" numFmtId="164" xfId="0" applyAlignment="1" applyBorder="1" applyFont="1" applyNumberFormat="1">
      <alignment horizontal="center" vertical="center"/>
    </xf>
    <xf borderId="15" fillId="6" fontId="3" numFmtId="165" xfId="0" applyAlignment="1" applyBorder="1" applyFont="1" applyNumberFormat="1">
      <alignment horizontal="center" vertical="center"/>
    </xf>
    <xf borderId="16" fillId="6" fontId="3" numFmtId="165" xfId="0" applyAlignment="1" applyBorder="1" applyFont="1" applyNumberFormat="1">
      <alignment horizontal="center" vertical="center"/>
    </xf>
    <xf borderId="17" fillId="6" fontId="3" numFmtId="165" xfId="0" applyAlignment="1" applyBorder="1" applyFont="1" applyNumberFormat="1">
      <alignment horizontal="center" vertical="center"/>
    </xf>
    <xf borderId="3" fillId="6" fontId="3" numFmtId="165" xfId="0" applyAlignment="1" applyBorder="1" applyFont="1" applyNumberFormat="1">
      <alignment horizontal="center" vertical="center"/>
    </xf>
    <xf borderId="18" fillId="6" fontId="6" numFmtId="0" xfId="0" applyAlignment="1" applyBorder="1" applyFont="1">
      <alignment horizontal="center" vertical="center"/>
    </xf>
    <xf borderId="19" fillId="6" fontId="6" numFmtId="0" xfId="0" applyAlignment="1" applyBorder="1" applyFont="1">
      <alignment horizontal="left"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6" fontId="3" numFmtId="165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vertical="center"/>
    </xf>
    <xf borderId="24" fillId="7" fontId="7" numFmtId="0" xfId="0" applyAlignment="1" applyBorder="1" applyFill="1" applyFont="1">
      <alignment horizontal="center" shrinkToFit="0" vertical="center" wrapText="1"/>
    </xf>
    <xf borderId="3" fillId="0" fontId="7" numFmtId="0" xfId="0" applyAlignment="1" applyBorder="1" applyFont="1">
      <alignment shrinkToFit="0" vertical="center" wrapText="1"/>
    </xf>
    <xf borderId="3" fillId="0" fontId="7" numFmtId="3" xfId="0" applyAlignment="1" applyBorder="1" applyFont="1" applyNumberFormat="1">
      <alignment horizontal="right" shrinkToFit="0" vertical="bottom" wrapText="1"/>
    </xf>
    <xf borderId="1" fillId="0" fontId="7" numFmtId="3" xfId="0" applyAlignment="1" applyBorder="1" applyFont="1" applyNumberFormat="1">
      <alignment horizontal="right" shrinkToFit="0" vertical="bottom" wrapText="1"/>
    </xf>
    <xf borderId="15" fillId="8" fontId="4" numFmtId="165" xfId="0" applyAlignment="1" applyBorder="1" applyFill="1" applyFont="1" applyNumberFormat="1">
      <alignment horizontal="center" vertical="center"/>
    </xf>
    <xf borderId="4" fillId="5" fontId="4" numFmtId="0" xfId="0" applyAlignment="1" applyBorder="1" applyFont="1">
      <alignment vertical="center"/>
    </xf>
    <xf borderId="11" fillId="0" fontId="7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0" fillId="0" fontId="7" numFmtId="0" xfId="0" applyAlignment="1" applyBorder="1" applyFont="1">
      <alignment shrinkToFit="0" vertical="center" wrapText="1"/>
    </xf>
    <xf borderId="20" fillId="0" fontId="7" numFmtId="3" xfId="0" applyAlignment="1" applyBorder="1" applyFont="1" applyNumberFormat="1">
      <alignment horizontal="right" shrinkToFit="0" vertical="bottom" wrapText="1"/>
    </xf>
    <xf borderId="7" fillId="0" fontId="7" numFmtId="3" xfId="0" applyAlignment="1" applyBorder="1" applyFont="1" applyNumberFormat="1">
      <alignment horizontal="right" shrinkToFit="0" vertical="bottom" wrapText="1"/>
    </xf>
    <xf borderId="15" fillId="5" fontId="4" numFmtId="165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horizontal="center" vertical="center"/>
    </xf>
    <xf borderId="15" fillId="8" fontId="4" numFmtId="0" xfId="0" applyAlignment="1" applyBorder="1" applyFont="1">
      <alignment vertical="center"/>
    </xf>
    <xf borderId="8" fillId="0" fontId="7" numFmtId="0" xfId="0" applyAlignment="1" applyBorder="1" applyFont="1">
      <alignment horizontal="center" vertical="center"/>
    </xf>
    <xf borderId="20" fillId="0" fontId="3" numFmtId="0" xfId="0" applyAlignment="1" applyBorder="1" applyFont="1">
      <alignment shrinkToFit="0" vertical="center" wrapText="1"/>
    </xf>
    <xf borderId="20" fillId="0" fontId="7" numFmtId="3" xfId="0" applyAlignment="1" applyBorder="1" applyFont="1" applyNumberFormat="1">
      <alignment horizontal="right" readingOrder="0" shrinkToFit="0" vertical="bottom" wrapText="1"/>
    </xf>
    <xf borderId="15" fillId="5" fontId="4" numFmtId="0" xfId="0" applyAlignment="1" applyBorder="1" applyFont="1">
      <alignment vertical="center"/>
    </xf>
    <xf borderId="26" fillId="5" fontId="4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8" fillId="0" fontId="7" numFmtId="0" xfId="0" applyAlignment="1" applyBorder="1" applyFont="1">
      <alignment shrinkToFit="0" vertical="center" wrapText="1"/>
    </xf>
    <xf borderId="8" fillId="0" fontId="7" numFmtId="3" xfId="0" applyAlignment="1" applyBorder="1" applyFont="1" applyNumberFormat="1">
      <alignment horizontal="right" shrinkToFit="0" vertical="bottom" wrapText="1"/>
    </xf>
    <xf borderId="28" fillId="0" fontId="7" numFmtId="3" xfId="0" applyAlignment="1" applyBorder="1" applyFont="1" applyNumberFormat="1">
      <alignment horizontal="right" shrinkToFit="0" vertical="bottom" wrapText="1"/>
    </xf>
    <xf borderId="1" fillId="0" fontId="7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22" fillId="5" fontId="4" numFmtId="0" xfId="0" applyAlignment="1" applyBorder="1" applyFont="1">
      <alignment vertical="center"/>
    </xf>
    <xf borderId="20" fillId="0" fontId="7" numFmtId="0" xfId="0" applyAlignment="1" applyBorder="1" applyFont="1">
      <alignment readingOrder="0" shrinkToFit="0" vertical="center" wrapText="1"/>
    </xf>
    <xf borderId="29" fillId="8" fontId="4" numFmtId="0" xfId="0" applyAlignment="1" applyBorder="1" applyFont="1">
      <alignment vertical="center"/>
    </xf>
    <xf borderId="21" fillId="8" fontId="4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7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vertical="center"/>
    </xf>
    <xf borderId="3" fillId="0" fontId="7" numFmtId="164" xfId="0" applyAlignment="1" applyBorder="1" applyFont="1" applyNumberFormat="1">
      <alignment horizontal="right" vertical="center"/>
    </xf>
    <xf borderId="1" fillId="0" fontId="7" numFmtId="164" xfId="0" applyAlignment="1" applyBorder="1" applyFont="1" applyNumberFormat="1">
      <alignment horizontal="right" vertical="center"/>
    </xf>
    <xf borderId="15" fillId="7" fontId="4" numFmtId="0" xfId="0" applyAlignment="1" applyBorder="1" applyFont="1">
      <alignment horizontal="center" vertical="center"/>
    </xf>
    <xf borderId="4" fillId="7" fontId="4" numFmtId="0" xfId="0" applyAlignment="1" applyBorder="1" applyFont="1">
      <alignment vertical="center"/>
    </xf>
    <xf borderId="20" fillId="0" fontId="7" numFmtId="0" xfId="0" applyAlignment="1" applyBorder="1" applyFont="1">
      <alignment vertical="center"/>
    </xf>
    <xf borderId="20" fillId="0" fontId="7" numFmtId="164" xfId="0" applyAlignment="1" applyBorder="1" applyFont="1" applyNumberFormat="1">
      <alignment horizontal="right" vertical="center"/>
    </xf>
    <xf borderId="7" fillId="0" fontId="7" numFmtId="164" xfId="0" applyAlignment="1" applyBorder="1" applyFont="1" applyNumberFormat="1">
      <alignment horizontal="right" vertical="center"/>
    </xf>
    <xf borderId="8" fillId="0" fontId="7" numFmtId="164" xfId="0" applyAlignment="1" applyBorder="1" applyFont="1" applyNumberFormat="1">
      <alignment horizontal="right" vertical="center"/>
    </xf>
    <xf borderId="28" fillId="0" fontId="7" numFmtId="164" xfId="0" applyAlignment="1" applyBorder="1" applyFont="1" applyNumberFormat="1">
      <alignment horizontal="right" vertical="center"/>
    </xf>
    <xf borderId="15" fillId="8" fontId="4" numFmtId="0" xfId="0" applyAlignment="1" applyBorder="1" applyFont="1">
      <alignment horizontal="center" vertical="center"/>
    </xf>
    <xf borderId="15" fillId="5" fontId="4" numFmtId="0" xfId="0" applyAlignment="1" applyBorder="1" applyFont="1">
      <alignment horizontal="center" vertical="center"/>
    </xf>
    <xf borderId="20" fillId="0" fontId="7" numFmtId="3" xfId="0" applyAlignment="1" applyBorder="1" applyFont="1" applyNumberFormat="1">
      <alignment horizontal="right" vertical="center"/>
    </xf>
    <xf borderId="7" fillId="0" fontId="7" numFmtId="3" xfId="0" applyAlignment="1" applyBorder="1" applyFont="1" applyNumberFormat="1">
      <alignment horizontal="right" vertical="center"/>
    </xf>
    <xf borderId="15" fillId="7" fontId="4" numFmtId="3" xfId="0" applyAlignment="1" applyBorder="1" applyFont="1" applyNumberFormat="1">
      <alignment vertical="center"/>
    </xf>
    <xf borderId="4" fillId="7" fontId="4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shrinkToFit="0" vertical="center" wrapText="1"/>
    </xf>
    <xf borderId="8" fillId="0" fontId="7" numFmtId="3" xfId="0" applyAlignment="1" applyBorder="1" applyFont="1" applyNumberFormat="1">
      <alignment horizontal="right" vertical="center"/>
    </xf>
    <xf borderId="28" fillId="0" fontId="7" numFmtId="3" xfId="0" applyAlignment="1" applyBorder="1" applyFont="1" applyNumberFormat="1">
      <alignment horizontal="right" shrinkToFit="0" vertical="center" wrapText="1"/>
    </xf>
    <xf borderId="15" fillId="7" fontId="4" numFmtId="0" xfId="0" applyAlignment="1" applyBorder="1" applyFont="1">
      <alignment vertical="center"/>
    </xf>
    <xf borderId="1" fillId="0" fontId="7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4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24" fillId="2" fontId="3" numFmtId="164" xfId="0" applyAlignment="1" applyBorder="1" applyFont="1" applyNumberFormat="1">
      <alignment horizontal="center" shrinkToFit="0" vertical="center" wrapText="1"/>
    </xf>
    <xf borderId="3" fillId="3" fontId="3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vertical="center"/>
    </xf>
    <xf borderId="3" fillId="6" fontId="3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shrinkToFit="0" vertical="bottom" wrapText="1"/>
    </xf>
    <xf borderId="6" fillId="0" fontId="7" numFmtId="164" xfId="0" applyAlignment="1" applyBorder="1" applyFont="1" applyNumberFormat="1">
      <alignment vertical="center"/>
    </xf>
    <xf borderId="15" fillId="7" fontId="4" numFmtId="165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shrinkToFit="0" vertical="bottom" wrapText="1"/>
    </xf>
    <xf borderId="11" fillId="0" fontId="7" numFmtId="164" xfId="0" applyAlignment="1" applyBorder="1" applyFont="1" applyNumberFormat="1">
      <alignment vertical="center"/>
    </xf>
    <xf borderId="20" fillId="0" fontId="7" numFmtId="164" xfId="0" applyAlignment="1" applyBorder="1" applyFont="1" applyNumberFormat="1">
      <alignment vertical="center"/>
    </xf>
    <xf borderId="26" fillId="7" fontId="4" numFmtId="0" xfId="0" applyAlignment="1" applyBorder="1" applyFont="1">
      <alignment vertical="center"/>
    </xf>
    <xf borderId="28" fillId="0" fontId="7" numFmtId="0" xfId="0" applyAlignment="1" applyBorder="1" applyFont="1">
      <alignment shrinkToFit="0" vertical="bottom" wrapText="1"/>
    </xf>
    <xf borderId="8" fillId="0" fontId="7" numFmtId="164" xfId="0" applyAlignment="1" applyBorder="1" applyFont="1" applyNumberFormat="1">
      <alignment vertical="center"/>
    </xf>
    <xf borderId="31" fillId="0" fontId="7" numFmtId="164" xfId="0" applyAlignment="1" applyBorder="1" applyFont="1" applyNumberFormat="1">
      <alignment vertical="center"/>
    </xf>
    <xf borderId="19" fillId="7" fontId="4" numFmtId="0" xfId="0" applyAlignment="1" applyBorder="1" applyFont="1">
      <alignment vertical="center"/>
    </xf>
    <xf borderId="32" fillId="7" fontId="4" numFmtId="0" xfId="0" applyAlignment="1" applyBorder="1" applyFont="1">
      <alignment vertical="center"/>
    </xf>
    <xf borderId="33" fillId="7" fontId="4" numFmtId="0" xfId="0" applyAlignment="1" applyBorder="1" applyFont="1">
      <alignment vertical="center"/>
    </xf>
    <xf borderId="3" fillId="0" fontId="7" numFmtId="0" xfId="0" applyAlignment="1" applyBorder="1" applyFont="1">
      <alignment shrinkToFit="0" vertical="bottom" wrapText="1"/>
    </xf>
    <xf borderId="2" fillId="0" fontId="7" numFmtId="164" xfId="0" applyAlignment="1" applyBorder="1" applyFont="1" applyNumberFormat="1">
      <alignment vertical="center"/>
    </xf>
    <xf borderId="20" fillId="0" fontId="7" numFmtId="0" xfId="0" applyAlignment="1" applyBorder="1" applyFont="1">
      <alignment shrinkToFit="0" vertical="bottom" wrapText="1"/>
    </xf>
    <xf borderId="8" fillId="0" fontId="7" numFmtId="0" xfId="0" applyAlignment="1" applyBorder="1" applyFont="1">
      <alignment shrinkToFit="0" vertical="bottom" wrapText="1"/>
    </xf>
    <xf borderId="7" fillId="0" fontId="7" numFmtId="0" xfId="0" applyAlignment="1" applyBorder="1" applyFont="1">
      <alignment vertical="center"/>
    </xf>
    <xf borderId="2" fillId="0" fontId="7" numFmtId="164" xfId="0" applyAlignment="1" applyBorder="1" applyFont="1" applyNumberFormat="1">
      <alignment horizontal="right" vertical="center"/>
    </xf>
    <xf borderId="32" fillId="7" fontId="4" numFmtId="0" xfId="0" applyAlignment="1" applyBorder="1" applyFont="1">
      <alignment horizontal="center" vertical="center"/>
    </xf>
    <xf borderId="0" fillId="0" fontId="7" numFmtId="164" xfId="0" applyAlignment="1" applyFont="1" applyNumberFormat="1">
      <alignment horizontal="right" vertical="center"/>
    </xf>
    <xf borderId="28" fillId="0" fontId="7" numFmtId="0" xfId="0" applyAlignment="1" applyBorder="1" applyFont="1">
      <alignment vertical="center"/>
    </xf>
    <xf borderId="32" fillId="5" fontId="4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vertical="center"/>
    </xf>
    <xf borderId="3" fillId="0" fontId="7" numFmtId="3" xfId="0" applyAlignment="1" applyBorder="1" applyFont="1" applyNumberFormat="1">
      <alignment horizontal="right" vertical="center"/>
    </xf>
    <xf borderId="2" fillId="0" fontId="7" numFmtId="3" xfId="0" applyAlignment="1" applyBorder="1" applyFont="1" applyNumberFormat="1">
      <alignment horizontal="right" vertical="center"/>
    </xf>
    <xf borderId="32" fillId="7" fontId="4" numFmtId="3" xfId="0" applyAlignment="1" applyBorder="1" applyFont="1" applyNumberFormat="1">
      <alignment vertical="center"/>
    </xf>
    <xf borderId="0" fillId="0" fontId="7" numFmtId="3" xfId="0" applyAlignment="1" applyFont="1" applyNumberFormat="1">
      <alignment horizontal="right" vertical="center"/>
    </xf>
    <xf borderId="30" fillId="0" fontId="7" numFmtId="3" xfId="0" applyAlignment="1" applyBorder="1" applyFont="1" applyNumberFormat="1">
      <alignment horizontal="right" shrinkToFit="0" vertical="center" wrapText="1"/>
    </xf>
    <xf borderId="17" fillId="6" fontId="3" numFmtId="164" xfId="0" applyAlignment="1" applyBorder="1" applyFont="1" applyNumberFormat="1">
      <alignment horizontal="center" vertical="center"/>
    </xf>
    <xf borderId="3" fillId="0" fontId="7" numFmtId="164" xfId="0" applyAlignment="1" applyBorder="1" applyFont="1" applyNumberFormat="1">
      <alignment vertical="center"/>
    </xf>
    <xf borderId="30" fillId="0" fontId="7" numFmtId="164" xfId="0" applyAlignment="1" applyBorder="1" applyFont="1" applyNumberFormat="1">
      <alignment vertical="center"/>
    </xf>
    <xf borderId="32" fillId="5" fontId="4" numFmtId="0" xfId="0" applyAlignment="1" applyBorder="1" applyFont="1">
      <alignment vertical="center"/>
    </xf>
    <xf borderId="1" fillId="0" fontId="7" numFmtId="3" xfId="0" applyAlignment="1" applyBorder="1" applyFont="1" applyNumberFormat="1">
      <alignment horizontal="right" vertical="center"/>
    </xf>
    <xf borderId="28" fillId="0" fontId="7" numFmtId="3" xfId="0" applyAlignment="1" applyBorder="1" applyFont="1" applyNumberFormat="1">
      <alignment horizontal="right" vertical="center"/>
    </xf>
    <xf borderId="20" fillId="0" fontId="7" numFmtId="165" xfId="0" applyAlignment="1" applyBorder="1" applyFont="1" applyNumberFormat="1">
      <alignment vertical="center"/>
    </xf>
    <xf borderId="11" fillId="0" fontId="4" numFmtId="164" xfId="0" applyAlignment="1" applyBorder="1" applyFont="1" applyNumberFormat="1">
      <alignment horizontal="right" vertical="center"/>
    </xf>
    <xf borderId="11" fillId="0" fontId="4" numFmtId="0" xfId="0" applyAlignment="1" applyBorder="1" applyFont="1">
      <alignment vertical="center"/>
    </xf>
    <xf borderId="3" fillId="0" fontId="7" numFmtId="165" xfId="0" applyAlignment="1" applyBorder="1" applyFont="1" applyNumberFormat="1">
      <alignment vertical="center"/>
    </xf>
    <xf borderId="6" fillId="0" fontId="4" numFmtId="164" xfId="0" applyAlignment="1" applyBorder="1" applyFont="1" applyNumberFormat="1">
      <alignment horizontal="right" vertical="center"/>
    </xf>
    <xf borderId="1" fillId="0" fontId="7" numFmtId="165" xfId="0" applyAlignment="1" applyBorder="1" applyFont="1" applyNumberFormat="1">
      <alignment vertical="center"/>
    </xf>
    <xf borderId="1" fillId="0" fontId="7" numFmtId="164" xfId="0" applyAlignment="1" applyBorder="1" applyFont="1" applyNumberFormat="1">
      <alignment vertical="center"/>
    </xf>
    <xf borderId="7" fillId="0" fontId="7" numFmtId="165" xfId="0" applyAlignment="1" applyBorder="1" applyFont="1" applyNumberFormat="1">
      <alignment vertical="center"/>
    </xf>
    <xf borderId="7" fillId="0" fontId="7" numFmtId="164" xfId="0" applyAlignment="1" applyBorder="1" applyFont="1" applyNumberFormat="1">
      <alignment vertical="center"/>
    </xf>
    <xf borderId="28" fillId="0" fontId="7" numFmtId="164" xfId="0" applyAlignment="1" applyBorder="1" applyFont="1" applyNumberFormat="1">
      <alignment vertical="center"/>
    </xf>
    <xf borderId="31" fillId="0" fontId="4" numFmtId="164" xfId="0" applyAlignment="1" applyBorder="1" applyFont="1" applyNumberFormat="1">
      <alignment horizontal="right" vertical="center"/>
    </xf>
    <xf borderId="11" fillId="0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32" fillId="7" fontId="4" numFmtId="165" xfId="0" applyAlignment="1" applyBorder="1" applyFont="1" applyNumberFormat="1">
      <alignment horizontal="center" vertical="center"/>
    </xf>
    <xf borderId="2" fillId="0" fontId="4" numFmtId="164" xfId="0" applyAlignment="1" applyBorder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30" fillId="0" fontId="7" numFmtId="164" xfId="0" applyAlignment="1" applyBorder="1" applyFont="1" applyNumberFormat="1">
      <alignment horizontal="right" vertical="center"/>
    </xf>
    <xf borderId="30" fillId="0" fontId="4" numFmtId="164" xfId="0" applyAlignment="1" applyBorder="1" applyFont="1" applyNumberFormat="1">
      <alignment horizontal="right" vertical="center"/>
    </xf>
    <xf borderId="17" fillId="7" fontId="7" numFmtId="0" xfId="0" applyAlignment="1" applyBorder="1" applyFont="1">
      <alignment horizontal="center" shrinkToFit="0" vertical="center" wrapText="1"/>
    </xf>
    <xf borderId="34" fillId="0" fontId="2" numFmtId="0" xfId="0" applyAlignment="1" applyBorder="1" applyFont="1">
      <alignment vertical="center"/>
    </xf>
    <xf borderId="8" fillId="0" fontId="7" numFmtId="165" xfId="0" applyAlignment="1" applyBorder="1" applyFont="1" applyNumberFormat="1">
      <alignment vertical="center"/>
    </xf>
    <xf borderId="3" fillId="0" fontId="4" numFmtId="164" xfId="0" applyAlignment="1" applyBorder="1" applyFont="1" applyNumberFormat="1">
      <alignment horizontal="right" vertical="center"/>
    </xf>
    <xf borderId="20" fillId="0" fontId="4" numFmtId="164" xfId="0" applyAlignment="1" applyBorder="1" applyFont="1" applyNumberFormat="1">
      <alignment horizontal="right" vertical="center"/>
    </xf>
    <xf borderId="8" fillId="0" fontId="4" numFmtId="164" xfId="0" applyAlignment="1" applyBorder="1" applyFont="1" applyNumberFormat="1">
      <alignment horizontal="right" vertical="center"/>
    </xf>
    <xf borderId="3" fillId="2" fontId="3" numFmtId="0" xfId="0" applyAlignment="1" applyBorder="1" applyFont="1">
      <alignment horizontal="center" vertical="center"/>
    </xf>
    <xf borderId="24" fillId="2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4" fillId="6" fontId="3" numFmtId="165" xfId="0" applyAlignment="1" applyBorder="1" applyFont="1" applyNumberFormat="1">
      <alignment horizontal="center" vertical="center"/>
    </xf>
    <xf borderId="24" fillId="7" fontId="4" numFmtId="0" xfId="0" applyAlignment="1" applyBorder="1" applyFont="1">
      <alignment horizontal="center" shrinkToFit="0" vertical="center" wrapText="1"/>
    </xf>
    <xf borderId="6" fillId="0" fontId="7" numFmtId="3" xfId="0" applyAlignment="1" applyBorder="1" applyFont="1" applyNumberFormat="1">
      <alignment vertical="center"/>
    </xf>
    <xf borderId="11" fillId="0" fontId="7" numFmtId="3" xfId="0" applyAlignment="1" applyBorder="1" applyFont="1" applyNumberFormat="1">
      <alignment vertical="center"/>
    </xf>
    <xf borderId="7" fillId="0" fontId="7" numFmtId="3" xfId="0" applyAlignment="1" applyBorder="1" applyFont="1" applyNumberFormat="1">
      <alignment vertical="center"/>
    </xf>
    <xf borderId="28" fillId="0" fontId="7" numFmtId="3" xfId="0" applyAlignment="1" applyBorder="1" applyFont="1" applyNumberFormat="1">
      <alignment vertical="center"/>
    </xf>
    <xf borderId="0" fillId="0" fontId="7" numFmtId="3" xfId="0" applyAlignment="1" applyFont="1" applyNumberFormat="1">
      <alignment vertical="center"/>
    </xf>
    <xf borderId="30" fillId="0" fontId="7" numFmtId="3" xfId="0" applyAlignment="1" applyBorder="1" applyFont="1" applyNumberFormat="1">
      <alignment vertical="center"/>
    </xf>
    <xf borderId="3" fillId="0" fontId="4" numFmtId="0" xfId="0" applyAlignment="1" applyBorder="1" applyFont="1">
      <alignment horizontal="center" shrinkToFit="0" vertical="center" wrapText="1"/>
    </xf>
    <xf borderId="3" fillId="0" fontId="4" numFmtId="165" xfId="0" applyAlignment="1" applyBorder="1" applyFont="1" applyNumberFormat="1">
      <alignment vertical="center"/>
    </xf>
    <xf borderId="1" fillId="0" fontId="4" numFmtId="165" xfId="0" applyAlignment="1" applyBorder="1" applyFont="1" applyNumberFormat="1">
      <alignment horizontal="right" vertical="center"/>
    </xf>
    <xf borderId="6" fillId="0" fontId="4" numFmtId="165" xfId="0" applyAlignment="1" applyBorder="1" applyFont="1" applyNumberFormat="1">
      <alignment horizontal="right" vertical="center"/>
    </xf>
    <xf borderId="35" fillId="7" fontId="4" numFmtId="0" xfId="0" applyAlignment="1" applyBorder="1" applyFont="1">
      <alignment vertical="center"/>
    </xf>
    <xf borderId="11" fillId="0" fontId="4" numFmtId="165" xfId="0" applyAlignment="1" applyBorder="1" applyFont="1" applyNumberFormat="1">
      <alignment vertical="center"/>
    </xf>
    <xf borderId="0" fillId="0" fontId="4" numFmtId="165" xfId="0" applyAlignment="1" applyFont="1" applyNumberFormat="1">
      <alignment horizontal="right" vertical="center"/>
    </xf>
    <xf borderId="11" fillId="0" fontId="4" numFmtId="165" xfId="0" applyAlignment="1" applyBorder="1" applyFont="1" applyNumberFormat="1">
      <alignment horizontal="right" vertical="center"/>
    </xf>
    <xf borderId="0" fillId="0" fontId="8" numFmtId="164" xfId="0" applyAlignment="1" applyFont="1" applyNumberFormat="1">
      <alignment vertical="center"/>
    </xf>
    <xf borderId="20" fillId="0" fontId="4" numFmtId="165" xfId="0" applyAlignment="1" applyBorder="1" applyFont="1" applyNumberFormat="1">
      <alignment vertical="center"/>
    </xf>
    <xf borderId="30" fillId="0" fontId="8" numFmtId="164" xfId="0" applyAlignment="1" applyBorder="1" applyFont="1" applyNumberFormat="1">
      <alignment vertical="center"/>
    </xf>
    <xf borderId="31" fillId="0" fontId="4" numFmtId="165" xfId="0" applyAlignment="1" applyBorder="1" applyFont="1" applyNumberFormat="1">
      <alignment horizontal="right" vertical="center"/>
    </xf>
    <xf borderId="29" fillId="7" fontId="4" numFmtId="0" xfId="0" applyAlignment="1" applyBorder="1" applyFont="1">
      <alignment vertical="center"/>
    </xf>
    <xf borderId="17" fillId="7" fontId="4" numFmtId="0" xfId="0" applyAlignment="1" applyBorder="1" applyFont="1">
      <alignment horizontal="center" shrinkToFit="0" vertical="center" wrapText="1"/>
    </xf>
    <xf borderId="8" fillId="0" fontId="4" numFmtId="165" xfId="0" applyAlignment="1" applyBorder="1" applyFont="1" applyNumberFormat="1">
      <alignment vertical="center"/>
    </xf>
    <xf borderId="1" fillId="0" fontId="7" numFmtId="165" xfId="0" applyAlignment="1" applyBorder="1" applyFont="1" applyNumberFormat="1">
      <alignment horizontal="right" vertical="center"/>
    </xf>
    <xf borderId="6" fillId="0" fontId="7" numFmtId="165" xfId="0" applyAlignment="1" applyBorder="1" applyFont="1" applyNumberFormat="1">
      <alignment horizontal="right" vertical="center"/>
    </xf>
    <xf borderId="7" fillId="0" fontId="7" numFmtId="165" xfId="0" applyAlignment="1" applyBorder="1" applyFont="1" applyNumberFormat="1">
      <alignment horizontal="right" vertical="center"/>
    </xf>
    <xf borderId="11" fillId="0" fontId="7" numFmtId="165" xfId="0" applyAlignment="1" applyBorder="1" applyFont="1" applyNumberFormat="1">
      <alignment horizontal="right" vertical="center"/>
    </xf>
    <xf borderId="31" fillId="0" fontId="7" numFmtId="165" xfId="0" applyAlignment="1" applyBorder="1" applyFont="1" applyNumberFormat="1">
      <alignment horizontal="right" vertical="center"/>
    </xf>
    <xf borderId="0" fillId="0" fontId="4" numFmtId="0" xfId="0" applyAlignment="1" applyFont="1">
      <alignment shrinkToFit="0" vertical="center" wrapText="1"/>
    </xf>
    <xf borderId="0" fillId="0" fontId="4" numFmtId="165" xfId="0" applyAlignment="1" applyFont="1" applyNumberFormat="1">
      <alignment horizontal="center" vertical="center"/>
    </xf>
    <xf borderId="3" fillId="2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vertical="center"/>
    </xf>
    <xf borderId="3" fillId="7" fontId="4" numFmtId="0" xfId="0" applyAlignment="1" applyBorder="1" applyFont="1">
      <alignment horizontal="center" shrinkToFit="0" vertical="center" wrapText="1"/>
    </xf>
    <xf borderId="2" fillId="0" fontId="7" numFmtId="3" xfId="0" applyAlignment="1" applyBorder="1" applyFont="1" applyNumberFormat="1">
      <alignment vertical="center"/>
    </xf>
    <xf borderId="3" fillId="0" fontId="7" numFmtId="166" xfId="0" applyAlignment="1" applyBorder="1" applyFont="1" applyNumberFormat="1">
      <alignment vertical="center"/>
    </xf>
    <xf borderId="3" fillId="7" fontId="4" numFmtId="0" xfId="0" applyAlignment="1" applyBorder="1" applyFont="1">
      <alignment vertical="center"/>
    </xf>
    <xf borderId="20" fillId="0" fontId="7" numFmtId="166" xfId="0" applyAlignment="1" applyBorder="1" applyFont="1" applyNumberFormat="1">
      <alignment vertical="center"/>
    </xf>
    <xf borderId="20" fillId="0" fontId="7" numFmtId="3" xfId="0" applyAlignment="1" applyBorder="1" applyFont="1" applyNumberFormat="1">
      <alignment vertical="center"/>
    </xf>
    <xf borderId="28" fillId="0" fontId="4" numFmtId="0" xfId="0" applyAlignment="1" applyBorder="1" applyFont="1">
      <alignment shrinkToFit="0" vertical="center" wrapText="1"/>
    </xf>
    <xf borderId="8" fillId="0" fontId="7" numFmtId="3" xfId="0" applyAlignment="1" applyBorder="1" applyFont="1" applyNumberFormat="1">
      <alignment vertical="center"/>
    </xf>
    <xf borderId="8" fillId="0" fontId="7" numFmtId="166" xfId="0" applyAlignment="1" applyBorder="1" applyFont="1" applyNumberFormat="1">
      <alignment vertical="center"/>
    </xf>
    <xf borderId="3" fillId="5" fontId="4" numFmtId="0" xfId="0" applyAlignment="1" applyBorder="1" applyFont="1">
      <alignment vertical="center"/>
    </xf>
    <xf borderId="20" fillId="0" fontId="7" numFmtId="0" xfId="0" applyAlignment="1" applyBorder="1" applyFont="1">
      <alignment horizontal="left" vertical="center"/>
    </xf>
    <xf borderId="20" fillId="0" fontId="7" numFmtId="166" xfId="0" applyAlignment="1" applyBorder="1" applyFont="1" applyNumberFormat="1">
      <alignment horizontal="right" vertical="center"/>
    </xf>
    <xf borderId="3" fillId="7" fontId="4" numFmtId="0" xfId="0" applyAlignment="1" applyBorder="1" applyFont="1">
      <alignment horizontal="center" vertical="center"/>
    </xf>
    <xf borderId="8" fillId="0" fontId="7" numFmtId="166" xfId="0" applyAlignment="1" applyBorder="1" applyFont="1" applyNumberFormat="1">
      <alignment horizontal="right" vertical="center"/>
    </xf>
    <xf borderId="3" fillId="0" fontId="4" numFmtId="165" xfId="0" applyAlignment="1" applyBorder="1" applyFont="1" applyNumberFormat="1">
      <alignment horizontal="left" vertical="center"/>
    </xf>
    <xf borderId="20" fillId="0" fontId="4" numFmtId="165" xfId="0" applyAlignment="1" applyBorder="1" applyFont="1" applyNumberFormat="1">
      <alignment horizontal="left" vertical="center"/>
    </xf>
    <xf borderId="7" fillId="0" fontId="4" numFmtId="165" xfId="0" applyAlignment="1" applyBorder="1" applyFont="1" applyNumberFormat="1">
      <alignment horizontal="right" vertical="center"/>
    </xf>
    <xf borderId="8" fillId="0" fontId="4" numFmtId="165" xfId="0" applyAlignment="1" applyBorder="1" applyFont="1" applyNumberFormat="1">
      <alignment horizontal="left" vertical="center"/>
    </xf>
    <xf borderId="28" fillId="0" fontId="4" numFmtId="165" xfId="0" applyAlignment="1" applyBorder="1" applyFont="1" applyNumberFormat="1">
      <alignment horizontal="right" vertical="center"/>
    </xf>
    <xf borderId="3" fillId="0" fontId="4" numFmtId="0" xfId="0" applyAlignment="1" applyBorder="1" applyFont="1">
      <alignment vertical="center"/>
    </xf>
    <xf borderId="12" fillId="0" fontId="4" numFmtId="165" xfId="0" applyAlignment="1" applyBorder="1" applyFont="1" applyNumberFormat="1">
      <alignment horizontal="right" vertical="center"/>
    </xf>
    <xf borderId="32" fillId="0" fontId="7" numFmtId="164" xfId="0" applyAlignment="1" applyBorder="1" applyFont="1" applyNumberFormat="1">
      <alignment vertical="center"/>
    </xf>
    <xf borderId="13" fillId="0" fontId="4" numFmtId="165" xfId="0" applyAlignment="1" applyBorder="1" applyFont="1" applyNumberFormat="1">
      <alignment horizontal="right" vertical="center"/>
    </xf>
    <xf borderId="20" fillId="0" fontId="4" numFmtId="0" xfId="0" applyAlignment="1" applyBorder="1" applyFont="1">
      <alignment vertical="center"/>
    </xf>
    <xf borderId="30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4" fillId="6" fontId="3" numFmtId="165" xfId="0" applyAlignment="1" applyBorder="1" applyFont="1" applyNumberFormat="1">
      <alignment horizontal="center" vertical="center"/>
    </xf>
    <xf borderId="20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3" fillId="0" fontId="8" numFmtId="165" xfId="0" applyAlignment="1" applyBorder="1" applyFont="1" applyNumberFormat="1">
      <alignment vertical="center"/>
    </xf>
    <xf borderId="3" fillId="0" fontId="8" numFmtId="165" xfId="0" applyAlignment="1" applyBorder="1" applyFont="1" applyNumberFormat="1">
      <alignment horizontal="right" vertical="center"/>
    </xf>
    <xf borderId="3" fillId="0" fontId="4" numFmtId="165" xfId="0" applyAlignment="1" applyBorder="1" applyFont="1" applyNumberFormat="1">
      <alignment horizontal="right" vertical="center"/>
    </xf>
    <xf borderId="6" fillId="0" fontId="8" numFmtId="165" xfId="0" applyAlignment="1" applyBorder="1" applyFont="1" applyNumberFormat="1">
      <alignment horizontal="right" vertical="center"/>
    </xf>
    <xf borderId="11" fillId="0" fontId="8" numFmtId="0" xfId="0" applyAlignment="1" applyBorder="1" applyFont="1">
      <alignment vertical="center"/>
    </xf>
    <xf borderId="32" fillId="0" fontId="8" numFmtId="0" xfId="0" applyAlignment="1" applyBorder="1" applyFont="1">
      <alignment vertical="center"/>
    </xf>
    <xf borderId="20" fillId="0" fontId="8" numFmtId="165" xfId="0" applyAlignment="1" applyBorder="1" applyFont="1" applyNumberFormat="1">
      <alignment vertical="center"/>
    </xf>
    <xf borderId="20" fillId="0" fontId="8" numFmtId="165" xfId="0" applyAlignment="1" applyBorder="1" applyFont="1" applyNumberFormat="1">
      <alignment horizontal="right" vertical="center"/>
    </xf>
    <xf borderId="20" fillId="0" fontId="4" numFmtId="165" xfId="0" applyAlignment="1" applyBorder="1" applyFont="1" applyNumberFormat="1">
      <alignment horizontal="right" vertical="center"/>
    </xf>
    <xf borderId="11" fillId="0" fontId="8" numFmtId="165" xfId="0" applyAlignment="1" applyBorder="1" applyFont="1" applyNumberFormat="1">
      <alignment horizontal="right" vertical="center"/>
    </xf>
    <xf borderId="8" fillId="0" fontId="8" numFmtId="165" xfId="0" applyAlignment="1" applyBorder="1" applyFont="1" applyNumberFormat="1">
      <alignment vertical="center"/>
    </xf>
    <xf borderId="8" fillId="0" fontId="8" numFmtId="165" xfId="0" applyAlignment="1" applyBorder="1" applyFont="1" applyNumberFormat="1">
      <alignment horizontal="right" vertical="center"/>
    </xf>
    <xf borderId="8" fillId="0" fontId="4" numFmtId="165" xfId="0" applyAlignment="1" applyBorder="1" applyFont="1" applyNumberFormat="1">
      <alignment horizontal="right" vertical="center"/>
    </xf>
    <xf borderId="31" fillId="0" fontId="8" numFmtId="165" xfId="0" applyAlignment="1" applyBorder="1" applyFont="1" applyNumberFormat="1">
      <alignment horizontal="right" vertical="center"/>
    </xf>
    <xf borderId="3" fillId="0" fontId="8" numFmtId="0" xfId="0" applyAlignment="1" applyBorder="1" applyFont="1">
      <alignment vertical="center"/>
    </xf>
    <xf borderId="32" fillId="0" fontId="8" numFmtId="165" xfId="0" applyAlignment="1" applyBorder="1" applyFont="1" applyNumberFormat="1">
      <alignment horizontal="right" vertical="center"/>
    </xf>
    <xf borderId="32" fillId="0" fontId="4" numFmtId="165" xfId="0" applyAlignment="1" applyBorder="1" applyFont="1" applyNumberFormat="1">
      <alignment horizontal="right" vertical="center"/>
    </xf>
    <xf borderId="13" fillId="0" fontId="8" numFmtId="165" xfId="0" applyAlignment="1" applyBorder="1" applyFont="1" applyNumberFormat="1">
      <alignment horizontal="right" vertical="center"/>
    </xf>
    <xf borderId="20" fillId="0" fontId="8" numFmtId="0" xfId="0" applyAlignment="1" applyBorder="1" applyFont="1">
      <alignment vertical="center"/>
    </xf>
    <xf borderId="8" fillId="0" fontId="8" numFmtId="0" xfId="0" applyAlignment="1" applyBorder="1" applyFont="1">
      <alignment vertical="center"/>
    </xf>
    <xf borderId="30" fillId="0" fontId="8" numFmtId="0" xfId="0" applyAlignment="1" applyBorder="1" applyFont="1">
      <alignment vertical="center"/>
    </xf>
    <xf borderId="24" fillId="2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7" numFmtId="0" xfId="0" applyAlignment="1" applyFont="1">
      <alignment vertical="bottom"/>
    </xf>
    <xf borderId="6" fillId="0" fontId="4" numFmtId="0" xfId="0" applyAlignment="1" applyBorder="1" applyFont="1">
      <alignment vertical="center"/>
    </xf>
    <xf borderId="7" fillId="0" fontId="6" numFmtId="0" xfId="0" applyAlignment="1" applyBorder="1" applyFont="1">
      <alignment horizontal="center" shrinkToFit="0" vertical="center" wrapText="1"/>
    </xf>
    <xf borderId="3" fillId="0" fontId="7" numFmtId="166" xfId="0" applyAlignment="1" applyBorder="1" applyFont="1" applyNumberFormat="1">
      <alignment horizontal="right" vertical="center"/>
    </xf>
    <xf borderId="6" fillId="0" fontId="8" numFmtId="165" xfId="0" applyAlignment="1" applyBorder="1" applyFont="1" applyNumberFormat="1">
      <alignment vertical="center"/>
    </xf>
    <xf borderId="11" fillId="0" fontId="8" numFmtId="165" xfId="0" applyAlignment="1" applyBorder="1" applyFont="1" applyNumberFormat="1">
      <alignment vertical="center"/>
    </xf>
    <xf borderId="31" fillId="0" fontId="8" numFmtId="165" xfId="0" applyAlignment="1" applyBorder="1" applyFont="1" applyNumberFormat="1">
      <alignment vertical="center"/>
    </xf>
    <xf borderId="32" fillId="0" fontId="8" numFmtId="165" xfId="0" applyAlignment="1" applyBorder="1" applyFont="1" applyNumberFormat="1">
      <alignment vertical="center"/>
    </xf>
    <xf borderId="32" fillId="0" fontId="4" numFmtId="165" xfId="0" applyAlignment="1" applyBorder="1" applyFont="1" applyNumberFormat="1">
      <alignment vertical="center"/>
    </xf>
    <xf borderId="13" fillId="0" fontId="8" numFmtId="165" xfId="0" applyAlignment="1" applyBorder="1" applyFont="1" applyNumberFormat="1">
      <alignment vertical="center"/>
    </xf>
    <xf borderId="3" fillId="2" fontId="6" numFmtId="0" xfId="0" applyAlignment="1" applyBorder="1" applyFont="1">
      <alignment horizontal="center" vertical="center"/>
    </xf>
    <xf borderId="24" fillId="2" fontId="6" numFmtId="0" xfId="0" applyAlignment="1" applyBorder="1" applyFont="1">
      <alignment horizontal="center" vertical="center"/>
    </xf>
    <xf borderId="3" fillId="3" fontId="6" numFmtId="0" xfId="0" applyAlignment="1" applyBorder="1" applyFont="1">
      <alignment horizontal="center" vertical="center"/>
    </xf>
    <xf borderId="5" fillId="5" fontId="6" numFmtId="0" xfId="0" applyAlignment="1" applyBorder="1" applyFont="1">
      <alignment horizontal="center" vertical="center"/>
    </xf>
    <xf borderId="12" fillId="6" fontId="8" numFmtId="0" xfId="0" applyAlignment="1" applyBorder="1" applyFont="1">
      <alignment vertical="center"/>
    </xf>
    <xf borderId="17" fillId="6" fontId="6" numFmtId="165" xfId="0" applyAlignment="1" applyBorder="1" applyFont="1" applyNumberFormat="1">
      <alignment horizontal="center" vertical="center"/>
    </xf>
    <xf borderId="3" fillId="6" fontId="6" numFmtId="165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center" vertical="center"/>
    </xf>
    <xf borderId="15" fillId="6" fontId="6" numFmtId="165" xfId="0" applyAlignment="1" applyBorder="1" applyFont="1" applyNumberFormat="1">
      <alignment horizontal="center" vertical="center"/>
    </xf>
    <xf borderId="16" fillId="6" fontId="6" numFmtId="165" xfId="0" applyAlignment="1" applyBorder="1" applyFont="1" applyNumberFormat="1">
      <alignment horizontal="center" vertical="center"/>
    </xf>
    <xf borderId="32" fillId="6" fontId="6" numFmtId="0" xfId="0" applyAlignment="1" applyBorder="1" applyFont="1">
      <alignment vertical="center"/>
    </xf>
    <xf borderId="22" fillId="6" fontId="6" numFmtId="165" xfId="0" applyAlignment="1" applyBorder="1" applyFont="1" applyNumberFormat="1">
      <alignment horizontal="center" vertical="center"/>
    </xf>
    <xf borderId="3" fillId="0" fontId="4" numFmtId="3" xfId="0" applyAlignment="1" applyBorder="1" applyFont="1" applyNumberFormat="1">
      <alignment horizontal="right" vertical="center"/>
    </xf>
    <xf borderId="3" fillId="0" fontId="4" numFmtId="166" xfId="0" applyAlignment="1" applyBorder="1" applyFont="1" applyNumberFormat="1">
      <alignment horizontal="right" vertical="center"/>
    </xf>
    <xf borderId="36" fillId="7" fontId="8" numFmtId="165" xfId="0" applyAlignment="1" applyBorder="1" applyFont="1" applyNumberFormat="1">
      <alignment vertical="center"/>
    </xf>
    <xf borderId="37" fillId="7" fontId="8" numFmtId="165" xfId="0" applyAlignment="1" applyBorder="1" applyFont="1" applyNumberFormat="1">
      <alignment vertical="center"/>
    </xf>
    <xf borderId="4" fillId="5" fontId="8" numFmtId="0" xfId="0" applyAlignment="1" applyBorder="1" applyFont="1">
      <alignment vertical="center"/>
    </xf>
    <xf borderId="20" fillId="0" fontId="4" numFmtId="3" xfId="0" applyAlignment="1" applyBorder="1" applyFont="1" applyNumberFormat="1">
      <alignment horizontal="right" vertical="center"/>
    </xf>
    <xf borderId="20" fillId="0" fontId="4" numFmtId="166" xfId="0" applyAlignment="1" applyBorder="1" applyFont="1" applyNumberFormat="1">
      <alignment horizontal="right" vertical="center"/>
    </xf>
    <xf borderId="38" fillId="7" fontId="8" numFmtId="165" xfId="0" applyAlignment="1" applyBorder="1" applyFont="1" applyNumberFormat="1">
      <alignment vertical="center"/>
    </xf>
    <xf borderId="39" fillId="7" fontId="8" numFmtId="165" xfId="0" applyAlignment="1" applyBorder="1" applyFont="1" applyNumberFormat="1">
      <alignment vertical="center"/>
    </xf>
    <xf borderId="40" fillId="7" fontId="8" numFmtId="0" xfId="0" applyAlignment="1" applyBorder="1" applyFont="1">
      <alignment vertical="center"/>
    </xf>
    <xf borderId="41" fillId="7" fontId="8" numFmtId="0" xfId="0" applyAlignment="1" applyBorder="1" applyFont="1">
      <alignment vertical="center"/>
    </xf>
    <xf borderId="8" fillId="0" fontId="4" numFmtId="0" xfId="0" applyAlignment="1" applyBorder="1" applyFont="1">
      <alignment vertical="bottom"/>
    </xf>
    <xf borderId="8" fillId="0" fontId="4" numFmtId="3" xfId="0" applyAlignment="1" applyBorder="1" applyFont="1" applyNumberFormat="1">
      <alignment horizontal="right" vertical="center"/>
    </xf>
    <xf borderId="8" fillId="0" fontId="4" numFmtId="166" xfId="0" applyAlignment="1" applyBorder="1" applyFont="1" applyNumberFormat="1">
      <alignment horizontal="right" vertical="center"/>
    </xf>
    <xf borderId="42" fillId="7" fontId="8" numFmtId="0" xfId="0" applyAlignment="1" applyBorder="1" applyFont="1">
      <alignment vertical="center"/>
    </xf>
    <xf borderId="43" fillId="7" fontId="8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38" fillId="7" fontId="8" numFmtId="0" xfId="0" applyAlignment="1" applyBorder="1" applyFont="1">
      <alignment vertical="center"/>
    </xf>
    <xf borderId="39" fillId="5" fontId="8" numFmtId="0" xfId="0" applyAlignment="1" applyBorder="1" applyFont="1">
      <alignment vertical="center"/>
    </xf>
    <xf borderId="29" fillId="7" fontId="8" numFmtId="0" xfId="0" applyAlignment="1" applyBorder="1" applyFont="1">
      <alignment vertical="center"/>
    </xf>
    <xf borderId="33" fillId="7" fontId="8" numFmtId="0" xfId="0" applyAlignment="1" applyBorder="1" applyFont="1">
      <alignment vertical="center"/>
    </xf>
    <xf borderId="1" fillId="0" fontId="4" numFmtId="164" xfId="0" applyAlignment="1" applyBorder="1" applyFont="1" applyNumberFormat="1">
      <alignment horizontal="right" vertical="center"/>
    </xf>
    <xf borderId="39" fillId="7" fontId="8" numFmtId="0" xfId="0" applyAlignment="1" applyBorder="1" applyFont="1">
      <alignment vertical="center"/>
    </xf>
    <xf borderId="7" fillId="0" fontId="4" numFmtId="164" xfId="0" applyAlignment="1" applyBorder="1" applyFont="1" applyNumberFormat="1">
      <alignment horizontal="right" vertical="center"/>
    </xf>
    <xf borderId="40" fillId="5" fontId="8" numFmtId="0" xfId="0" applyAlignment="1" applyBorder="1" applyFont="1">
      <alignment vertical="center"/>
    </xf>
    <xf borderId="28" fillId="0" fontId="4" numFmtId="164" xfId="0" applyAlignment="1" applyBorder="1" applyFont="1" applyNumberFormat="1">
      <alignment horizontal="right" vertical="center"/>
    </xf>
    <xf borderId="11" fillId="0" fontId="4" numFmtId="0" xfId="0" applyAlignment="1" applyBorder="1" applyFont="1">
      <alignment vertical="bottom"/>
    </xf>
    <xf borderId="35" fillId="7" fontId="8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11" fillId="0" fontId="4" numFmtId="0" xfId="0" applyAlignment="1" applyBorder="1" applyFont="1">
      <alignment horizontal="center" shrinkToFit="0" vertical="center" wrapText="1"/>
    </xf>
    <xf borderId="44" fillId="7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horizontal="right" vertical="bottom"/>
    </xf>
    <xf borderId="20" fillId="0" fontId="4" numFmtId="0" xfId="0" applyAlignment="1" applyBorder="1" applyFont="1">
      <alignment vertical="bottom"/>
    </xf>
    <xf borderId="36" fillId="7" fontId="8" numFmtId="0" xfId="0" applyAlignment="1" applyBorder="1" applyFont="1">
      <alignment vertical="center"/>
    </xf>
    <xf borderId="4" fillId="7" fontId="8" numFmtId="0" xfId="0" applyAlignment="1" applyBorder="1" applyFont="1">
      <alignment vertical="center"/>
    </xf>
    <xf borderId="45" fillId="7" fontId="8" numFmtId="0" xfId="0" applyAlignment="1" applyBorder="1" applyFont="1">
      <alignment vertical="center"/>
    </xf>
    <xf borderId="45" fillId="5" fontId="8" numFmtId="0" xfId="0" applyAlignment="1" applyBorder="1" applyFont="1">
      <alignment vertical="center"/>
    </xf>
    <xf borderId="3" fillId="0" fontId="4" numFmtId="0" xfId="0" applyAlignment="1" applyBorder="1" applyFont="1">
      <alignment shrinkToFit="0" vertical="center" wrapText="1"/>
    </xf>
    <xf borderId="46" fillId="7" fontId="8" numFmtId="0" xfId="0" applyAlignment="1" applyBorder="1" applyFont="1">
      <alignment vertical="center"/>
    </xf>
    <xf borderId="37" fillId="7" fontId="8" numFmtId="0" xfId="0" applyAlignment="1" applyBorder="1" applyFont="1">
      <alignment vertical="center"/>
    </xf>
    <xf borderId="22" fillId="7" fontId="8" numFmtId="0" xfId="0" applyAlignment="1" applyBorder="1" applyFont="1">
      <alignment vertical="center"/>
    </xf>
    <xf borderId="20" fillId="0" fontId="4" numFmtId="0" xfId="0" applyAlignment="1" applyBorder="1" applyFont="1">
      <alignment shrinkToFit="0" vertical="center" wrapText="1"/>
    </xf>
    <xf borderId="47" fillId="7" fontId="8" numFmtId="0" xfId="0" applyAlignment="1" applyBorder="1" applyFont="1">
      <alignment vertical="center"/>
    </xf>
    <xf borderId="48" fillId="7" fontId="8" numFmtId="0" xfId="0" applyAlignment="1" applyBorder="1" applyFont="1">
      <alignment vertical="center"/>
    </xf>
    <xf borderId="49" fillId="7" fontId="8" numFmtId="0" xfId="0" applyAlignment="1" applyBorder="1" applyFont="1">
      <alignment vertical="center"/>
    </xf>
    <xf borderId="8" fillId="0" fontId="4" numFmtId="0" xfId="0" applyAlignment="1" applyBorder="1" applyFont="1">
      <alignment shrinkToFit="0" vertical="center" wrapText="1"/>
    </xf>
    <xf borderId="50" fillId="7" fontId="8" numFmtId="0" xfId="0" applyAlignment="1" applyBorder="1" applyFont="1">
      <alignment vertical="center"/>
    </xf>
    <xf borderId="36" fillId="7" fontId="8" numFmtId="3" xfId="0" applyAlignment="1" applyBorder="1" applyFont="1" applyNumberFormat="1">
      <alignment vertical="center"/>
    </xf>
    <xf borderId="51" fillId="7" fontId="8" numFmtId="3" xfId="0" applyAlignment="1" applyBorder="1" applyFont="1" applyNumberFormat="1">
      <alignment vertical="center"/>
    </xf>
    <xf borderId="38" fillId="7" fontId="8" numFmtId="3" xfId="0" applyAlignment="1" applyBorder="1" applyFont="1" applyNumberFormat="1">
      <alignment vertical="center"/>
    </xf>
    <xf borderId="52" fillId="7" fontId="8" numFmtId="3" xfId="0" applyAlignment="1" applyBorder="1" applyFont="1" applyNumberFormat="1">
      <alignment vertical="center"/>
    </xf>
    <xf borderId="53" fillId="7" fontId="8" numFmtId="0" xfId="0" applyAlignment="1" applyBorder="1" applyFont="1">
      <alignment vertical="center"/>
    </xf>
    <xf borderId="5" fillId="5" fontId="1" numFmtId="0" xfId="0" applyAlignment="1" applyBorder="1" applyFont="1">
      <alignment horizontal="center" vertical="center"/>
    </xf>
    <xf borderId="54" fillId="6" fontId="6" numFmtId="0" xfId="0" applyAlignment="1" applyBorder="1" applyFont="1">
      <alignment horizontal="center" vertical="center"/>
    </xf>
    <xf borderId="55" fillId="0" fontId="2" numFmtId="0" xfId="0" applyAlignment="1" applyBorder="1" applyFont="1">
      <alignment vertical="center"/>
    </xf>
    <xf borderId="56" fillId="6" fontId="6" numFmtId="0" xfId="0" applyAlignment="1" applyBorder="1" applyFont="1">
      <alignment horizontal="center" vertical="center"/>
    </xf>
    <xf borderId="57" fillId="6" fontId="6" numFmtId="0" xfId="0" applyAlignment="1" applyBorder="1" applyFont="1">
      <alignment horizontal="left" vertical="center"/>
    </xf>
    <xf borderId="3" fillId="7" fontId="7" numFmtId="0" xfId="0" applyAlignment="1" applyBorder="1" applyFont="1">
      <alignment horizontal="center" shrinkToFit="0" vertical="center" wrapText="1"/>
    </xf>
    <xf borderId="3" fillId="0" fontId="7" numFmtId="3" xfId="0" applyAlignment="1" applyBorder="1" applyFont="1" applyNumberFormat="1">
      <alignment vertical="center"/>
    </xf>
    <xf borderId="58" fillId="6" fontId="6" numFmtId="165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vertical="center"/>
    </xf>
    <xf borderId="59" fillId="5" fontId="7" numFmtId="0" xfId="0" applyAlignment="1" applyBorder="1" applyFont="1">
      <alignment horizontal="center" vertical="center"/>
    </xf>
    <xf borderId="60" fillId="0" fontId="2" numFmtId="0" xfId="0" applyAlignment="1" applyBorder="1" applyFont="1">
      <alignment vertical="center"/>
    </xf>
    <xf borderId="61" fillId="0" fontId="2" numFmtId="0" xfId="0" applyAlignment="1" applyBorder="1" applyFont="1">
      <alignment vertical="center"/>
    </xf>
    <xf borderId="44" fillId="7" fontId="7" numFmtId="0" xfId="0" applyAlignment="1" applyBorder="1" applyFont="1">
      <alignment horizontal="center" shrinkToFit="0" vertical="center" wrapText="1"/>
    </xf>
    <xf borderId="20" fillId="0" fontId="9" numFmtId="0" xfId="0" applyAlignment="1" applyBorder="1" applyFont="1">
      <alignment vertical="center"/>
    </xf>
    <xf borderId="11" fillId="0" fontId="9" numFmtId="3" xfId="0" applyAlignment="1" applyBorder="1" applyFont="1" applyNumberFormat="1">
      <alignment vertical="center"/>
    </xf>
    <xf borderId="0" fillId="0" fontId="9" numFmtId="3" xfId="0" applyAlignment="1" applyFont="1" applyNumberFormat="1">
      <alignment vertical="center"/>
    </xf>
    <xf borderId="62" fillId="7" fontId="7" numFmtId="0" xfId="0" applyAlignment="1" applyBorder="1" applyFont="1">
      <alignment horizontal="center" vertical="center"/>
    </xf>
    <xf borderId="52" fillId="7" fontId="7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center" vertical="center"/>
    </xf>
    <xf borderId="20" fillId="0" fontId="9" numFmtId="0" xfId="0" applyAlignment="1" applyBorder="1" applyFont="1">
      <alignment shrinkToFit="0" vertical="bottom" wrapText="1"/>
    </xf>
    <xf borderId="47" fillId="7" fontId="7" numFmtId="0" xfId="0" applyAlignment="1" applyBorder="1" applyFont="1">
      <alignment horizontal="center" vertical="center"/>
    </xf>
    <xf borderId="53" fillId="5" fontId="7" numFmtId="0" xfId="0" applyAlignment="1" applyBorder="1" applyFont="1">
      <alignment horizontal="center" vertical="center"/>
    </xf>
    <xf borderId="53" fillId="7" fontId="7" numFmtId="0" xfId="0" applyAlignment="1" applyBorder="1" applyFont="1">
      <alignment horizontal="center" vertical="center"/>
    </xf>
    <xf borderId="48" fillId="7" fontId="7" numFmtId="0" xfId="0" applyAlignment="1" applyBorder="1" applyFont="1">
      <alignment horizontal="center" vertical="center"/>
    </xf>
    <xf borderId="63" fillId="7" fontId="7" numFmtId="0" xfId="0" applyAlignment="1" applyBorder="1" applyFont="1">
      <alignment horizontal="center" vertical="center"/>
    </xf>
    <xf borderId="20" fillId="0" fontId="10" numFmtId="0" xfId="0" applyAlignment="1" applyBorder="1" applyFont="1">
      <alignment shrinkToFit="0" vertical="bottom" wrapText="1"/>
    </xf>
    <xf borderId="8" fillId="0" fontId="9" numFmtId="0" xfId="0" applyAlignment="1" applyBorder="1" applyFont="1">
      <alignment shrinkToFit="0" vertical="bottom" wrapText="1"/>
    </xf>
    <xf borderId="31" fillId="0" fontId="9" numFmtId="3" xfId="0" applyAlignment="1" applyBorder="1" applyFont="1" applyNumberFormat="1">
      <alignment vertical="center"/>
    </xf>
    <xf borderId="50" fillId="7" fontId="7" numFmtId="0" xfId="0" applyAlignment="1" applyBorder="1" applyFont="1">
      <alignment horizontal="center" vertical="center"/>
    </xf>
    <xf borderId="64" fillId="7" fontId="7" numFmtId="0" xfId="0" applyAlignment="1" applyBorder="1" applyFont="1">
      <alignment horizontal="center" vertical="center"/>
    </xf>
    <xf borderId="1" fillId="0" fontId="9" numFmtId="0" xfId="0" applyAlignment="1" applyBorder="1" applyFont="1">
      <alignment shrinkToFit="0" vertical="bottom" wrapText="1"/>
    </xf>
    <xf borderId="3" fillId="0" fontId="9" numFmtId="3" xfId="0" applyAlignment="1" applyBorder="1" applyFont="1" applyNumberFormat="1">
      <alignment vertical="center"/>
    </xf>
    <xf borderId="6" fillId="0" fontId="7" numFmtId="166" xfId="0" applyAlignment="1" applyBorder="1" applyFont="1" applyNumberFormat="1">
      <alignment vertical="center"/>
    </xf>
    <xf borderId="46" fillId="7" fontId="7" numFmtId="0" xfId="0" applyAlignment="1" applyBorder="1" applyFont="1">
      <alignment horizontal="center" vertical="center"/>
    </xf>
    <xf borderId="51" fillId="7" fontId="7" numFmtId="0" xfId="0" applyAlignment="1" applyBorder="1" applyFont="1">
      <alignment horizontal="center" vertical="center"/>
    </xf>
    <xf borderId="65" fillId="0" fontId="7" numFmtId="3" xfId="0" applyAlignment="1" applyBorder="1" applyFont="1" applyNumberFormat="1">
      <alignment vertical="center"/>
    </xf>
    <xf borderId="66" fillId="7" fontId="7" numFmtId="0" xfId="0" applyAlignment="1" applyBorder="1" applyFont="1">
      <alignment horizontal="center" vertical="center"/>
    </xf>
    <xf borderId="65" fillId="0" fontId="9" numFmtId="3" xfId="0" applyAlignment="1" applyBorder="1" applyFont="1" applyNumberFormat="1">
      <alignment vertical="center"/>
    </xf>
    <xf borderId="47" fillId="5" fontId="7" numFmtId="0" xfId="0" applyAlignment="1" applyBorder="1" applyFont="1">
      <alignment horizontal="center" vertical="center"/>
    </xf>
    <xf borderId="48" fillId="5" fontId="7" numFmtId="0" xfId="0" applyAlignment="1" applyBorder="1" applyFont="1">
      <alignment horizontal="center" vertical="center"/>
    </xf>
    <xf borderId="32" fillId="0" fontId="7" numFmtId="0" xfId="0" applyAlignment="1" applyBorder="1" applyFont="1">
      <alignment shrinkToFit="0" vertical="bottom" wrapText="1"/>
    </xf>
    <xf borderId="1" fillId="0" fontId="7" numFmtId="3" xfId="0" applyAlignment="1" applyBorder="1" applyFont="1" applyNumberFormat="1">
      <alignment vertical="center"/>
    </xf>
    <xf borderId="4" fillId="5" fontId="7" numFmtId="0" xfId="0" applyAlignment="1" applyBorder="1" applyFont="1">
      <alignment vertical="center"/>
    </xf>
    <xf borderId="7" fillId="0" fontId="9" numFmtId="3" xfId="0" applyAlignment="1" applyBorder="1" applyFont="1" applyNumberFormat="1">
      <alignment vertical="center"/>
    </xf>
    <xf borderId="63" fillId="5" fontId="7" numFmtId="0" xfId="0" applyAlignment="1" applyBorder="1" applyFont="1">
      <alignment horizontal="center" vertical="center"/>
    </xf>
    <xf borderId="67" fillId="7" fontId="7" numFmtId="0" xfId="0" applyAlignment="1" applyBorder="1" applyFont="1">
      <alignment shrinkToFit="0" vertical="bottom" wrapText="1"/>
    </xf>
    <xf borderId="37" fillId="7" fontId="7" numFmtId="0" xfId="0" applyAlignment="1" applyBorder="1" applyFont="1">
      <alignment horizontal="center" vertical="center"/>
    </xf>
    <xf borderId="22" fillId="7" fontId="7" numFmtId="0" xfId="0" applyAlignment="1" applyBorder="1" applyFont="1">
      <alignment vertical="center"/>
    </xf>
    <xf borderId="41" fillId="7" fontId="7" numFmtId="0" xfId="0" applyAlignment="1" applyBorder="1" applyFont="1">
      <alignment horizontal="center" vertical="center"/>
    </xf>
    <xf borderId="35" fillId="7" fontId="7" numFmtId="0" xfId="0" applyAlignment="1" applyBorder="1" applyFont="1">
      <alignment vertical="center"/>
    </xf>
    <xf borderId="49" fillId="7" fontId="7" numFmtId="0" xfId="0" applyAlignment="1" applyBorder="1" applyFont="1">
      <alignment horizontal="center" vertical="center"/>
    </xf>
    <xf borderId="43" fillId="7" fontId="7" numFmtId="0" xfId="0" applyAlignment="1" applyBorder="1" applyFont="1">
      <alignment horizontal="center" vertical="center"/>
    </xf>
    <xf borderId="29" fillId="7" fontId="7" numFmtId="0" xfId="0" applyAlignment="1" applyBorder="1" applyFont="1">
      <alignment vertical="center"/>
    </xf>
    <xf borderId="1" fillId="0" fontId="9" numFmtId="0" xfId="0" applyAlignment="1" applyBorder="1" applyFont="1">
      <alignment vertical="center"/>
    </xf>
    <xf borderId="3" fillId="0" fontId="9" numFmtId="3" xfId="0" applyAlignment="1" applyBorder="1" applyFont="1" applyNumberFormat="1">
      <alignment horizontal="right" vertical="center"/>
    </xf>
    <xf borderId="2" fillId="0" fontId="9" numFmtId="3" xfId="0" applyAlignment="1" applyBorder="1" applyFont="1" applyNumberFormat="1">
      <alignment horizontal="right" vertical="center"/>
    </xf>
    <xf borderId="56" fillId="7" fontId="7" numFmtId="3" xfId="0" applyAlignment="1" applyBorder="1" applyFont="1" applyNumberFormat="1">
      <alignment vertical="center"/>
    </xf>
    <xf borderId="51" fillId="7" fontId="7" numFmtId="3" xfId="0" applyAlignment="1" applyBorder="1" applyFont="1" applyNumberFormat="1">
      <alignment vertical="center"/>
    </xf>
    <xf borderId="7" fillId="0" fontId="10" numFmtId="0" xfId="0" applyAlignment="1" applyBorder="1" applyFont="1">
      <alignment vertical="center"/>
    </xf>
    <xf borderId="18" fillId="7" fontId="7" numFmtId="3" xfId="0" applyAlignment="1" applyBorder="1" applyFont="1" applyNumberFormat="1">
      <alignment vertical="center"/>
    </xf>
    <xf borderId="52" fillId="7" fontId="7" numFmtId="3" xfId="0" applyAlignment="1" applyBorder="1" applyFont="1" applyNumberFormat="1">
      <alignment vertical="center"/>
    </xf>
    <xf borderId="68" fillId="7" fontId="7" numFmtId="0" xfId="0" applyAlignment="1" applyBorder="1" applyFont="1">
      <alignment vertical="center"/>
    </xf>
    <xf borderId="53" fillId="7" fontId="7" numFmtId="0" xfId="0" applyAlignment="1" applyBorder="1" applyFont="1">
      <alignment vertical="center"/>
    </xf>
    <xf borderId="69" fillId="7" fontId="7" numFmtId="0" xfId="0" applyAlignment="1" applyBorder="1" applyFont="1">
      <alignment vertical="center"/>
    </xf>
    <xf borderId="63" fillId="7" fontId="7" numFmtId="0" xfId="0" applyAlignment="1" applyBorder="1" applyFont="1">
      <alignment vertical="center"/>
    </xf>
    <xf borderId="28" fillId="0" fontId="9" numFmtId="0" xfId="0" applyAlignment="1" applyBorder="1" applyFont="1">
      <alignment vertical="center"/>
    </xf>
    <xf borderId="8" fillId="0" fontId="9" numFmtId="3" xfId="0" applyAlignment="1" applyBorder="1" applyFont="1" applyNumberFormat="1">
      <alignment horizontal="right" vertical="center"/>
    </xf>
    <xf borderId="30" fillId="0" fontId="9" numFmtId="3" xfId="0" applyAlignment="1" applyBorder="1" applyFont="1" applyNumberFormat="1">
      <alignment horizontal="right" shrinkToFit="0" vertical="center" wrapText="1"/>
    </xf>
    <xf borderId="70" fillId="7" fontId="7" numFmtId="0" xfId="0" applyAlignment="1" applyBorder="1" applyFont="1">
      <alignment horizontal="center" vertical="center"/>
    </xf>
    <xf borderId="0" fillId="0" fontId="7" numFmtId="3" xfId="0" applyAlignment="1" applyFont="1" applyNumberFormat="1">
      <alignment horizontal="right" shrinkToFit="0" vertical="center" wrapText="1"/>
    </xf>
    <xf borderId="71" fillId="5" fontId="7" numFmtId="0" xfId="0" applyAlignment="1" applyBorder="1" applyFont="1">
      <alignment horizontal="center" vertical="center"/>
    </xf>
    <xf borderId="26" fillId="7" fontId="7" numFmtId="0" xfId="0" applyAlignment="1" applyBorder="1" applyFont="1">
      <alignment horizontal="center" vertical="center"/>
    </xf>
    <xf borderId="72" fillId="7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vertical="center"/>
    </xf>
    <xf borderId="73" fillId="7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6" fillId="0" fontId="7" numFmtId="3" xfId="0" applyAlignment="1" applyBorder="1" applyFont="1" applyNumberFormat="1">
      <alignment horizontal="right" vertical="center"/>
    </xf>
    <xf borderId="1" fillId="0" fontId="7" numFmtId="3" xfId="0" applyAlignment="1" applyBorder="1" applyFont="1" applyNumberFormat="1">
      <alignment horizontal="right" shrinkToFit="0" vertical="center" wrapText="1"/>
    </xf>
    <xf borderId="66" fillId="7" fontId="7" numFmtId="0" xfId="0" applyAlignment="1" applyBorder="1" applyFont="1">
      <alignment vertical="center"/>
    </xf>
    <xf borderId="74" fillId="7" fontId="7" numFmtId="0" xfId="0" applyAlignment="1" applyBorder="1" applyFont="1">
      <alignment vertical="center"/>
    </xf>
    <xf borderId="3" fillId="7" fontId="7" numFmtId="0" xfId="0" applyAlignment="1" applyBorder="1" applyFont="1">
      <alignment vertical="center"/>
    </xf>
    <xf borderId="7" fillId="0" fontId="7" numFmtId="0" xfId="0" applyAlignment="1" applyBorder="1" applyFont="1">
      <alignment shrinkToFit="0" vertical="center" wrapText="1"/>
    </xf>
    <xf borderId="11" fillId="0" fontId="7" numFmtId="3" xfId="0" applyAlignment="1" applyBorder="1" applyFont="1" applyNumberFormat="1">
      <alignment horizontal="right" vertical="center"/>
    </xf>
    <xf borderId="7" fillId="0" fontId="7" numFmtId="3" xfId="0" applyAlignment="1" applyBorder="1" applyFont="1" applyNumberFormat="1">
      <alignment horizontal="right" shrinkToFit="0" vertical="center" wrapText="1"/>
    </xf>
    <xf borderId="28" fillId="0" fontId="7" numFmtId="0" xfId="0" applyAlignment="1" applyBorder="1" applyFont="1">
      <alignment shrinkToFit="0" vertical="center" wrapText="1"/>
    </xf>
    <xf borderId="31" fillId="0" fontId="7" numFmtId="3" xfId="0" applyAlignment="1" applyBorder="1" applyFont="1" applyNumberFormat="1">
      <alignment horizontal="right" vertical="center"/>
    </xf>
    <xf borderId="75" fillId="7" fontId="7" numFmtId="0" xfId="0" applyAlignment="1" applyBorder="1" applyFont="1">
      <alignment vertical="center"/>
    </xf>
    <xf borderId="76" fillId="7" fontId="7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2" fillId="0" fontId="4" numFmtId="0" xfId="0" applyAlignment="1" applyBorder="1" applyFont="1">
      <alignment vertical="center"/>
    </xf>
    <xf borderId="77" fillId="0" fontId="2" numFmtId="0" xfId="0" applyAlignment="1" applyBorder="1" applyFont="1">
      <alignment vertical="center"/>
    </xf>
    <xf borderId="16" fillId="6" fontId="11" numFmtId="165" xfId="0" applyAlignment="1" applyBorder="1" applyFont="1" applyNumberFormat="1">
      <alignment horizontal="center" vertical="center"/>
    </xf>
    <xf borderId="1" fillId="6" fontId="6" numFmtId="165" xfId="0" applyAlignment="1" applyBorder="1" applyFont="1" applyNumberFormat="1">
      <alignment horizontal="center" vertical="center"/>
    </xf>
    <xf borderId="19" fillId="6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bottom" wrapText="1"/>
    </xf>
    <xf borderId="3" fillId="0" fontId="4" numFmtId="3" xfId="0" applyAlignment="1" applyBorder="1" applyFont="1" applyNumberFormat="1">
      <alignment vertical="center"/>
    </xf>
    <xf borderId="6" fillId="0" fontId="4" numFmtId="3" xfId="0" applyAlignment="1" applyBorder="1" applyFont="1" applyNumberFormat="1">
      <alignment vertical="center"/>
    </xf>
    <xf borderId="2" fillId="0" fontId="4" numFmtId="3" xfId="0" applyAlignment="1" applyBorder="1" applyFont="1" applyNumberFormat="1">
      <alignment vertical="center"/>
    </xf>
    <xf borderId="3" fillId="0" fontId="4" numFmtId="166" xfId="0" applyAlignment="1" applyBorder="1" applyFont="1" applyNumberFormat="1">
      <alignment vertical="center"/>
    </xf>
    <xf borderId="58" fillId="7" fontId="4" numFmtId="0" xfId="0" applyAlignment="1" applyBorder="1" applyFont="1">
      <alignment horizontal="center" vertical="center"/>
    </xf>
    <xf borderId="51" fillId="7" fontId="4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shrinkToFit="0" vertical="bottom" wrapText="1"/>
    </xf>
    <xf borderId="20" fillId="0" fontId="4" numFmtId="3" xfId="0" applyAlignment="1" applyBorder="1" applyFont="1" applyNumberFormat="1">
      <alignment vertical="center"/>
    </xf>
    <xf borderId="11" fillId="0" fontId="4" numFmtId="3" xfId="0" applyAlignment="1" applyBorder="1" applyFont="1" applyNumberFormat="1">
      <alignment vertical="center"/>
    </xf>
    <xf borderId="0" fillId="0" fontId="4" numFmtId="3" xfId="0" applyAlignment="1" applyFont="1" applyNumberFormat="1">
      <alignment vertical="center"/>
    </xf>
    <xf borderId="47" fillId="7" fontId="4" numFmtId="0" xfId="0" applyAlignment="1" applyBorder="1" applyFont="1">
      <alignment horizontal="center" vertical="center"/>
    </xf>
    <xf borderId="53" fillId="7" fontId="4" numFmtId="0" xfId="0" applyAlignment="1" applyBorder="1" applyFont="1">
      <alignment horizontal="center" vertical="center"/>
    </xf>
    <xf borderId="47" fillId="5" fontId="4" numFmtId="0" xfId="0" applyAlignment="1" applyBorder="1" applyFont="1">
      <alignment horizontal="center" vertical="center"/>
    </xf>
    <xf borderId="53" fillId="5" fontId="4" numFmtId="0" xfId="0" applyAlignment="1" applyBorder="1" applyFont="1">
      <alignment horizontal="center" vertical="center"/>
    </xf>
    <xf borderId="8" fillId="0" fontId="4" numFmtId="3" xfId="0" applyAlignment="1" applyBorder="1" applyFont="1" applyNumberFormat="1">
      <alignment vertical="center"/>
    </xf>
    <xf borderId="31" fillId="0" fontId="4" numFmtId="3" xfId="0" applyAlignment="1" applyBorder="1" applyFont="1" applyNumberFormat="1">
      <alignment vertical="center"/>
    </xf>
    <xf borderId="30" fillId="0" fontId="4" numFmtId="3" xfId="0" applyAlignment="1" applyBorder="1" applyFont="1" applyNumberFormat="1">
      <alignment vertical="center"/>
    </xf>
    <xf borderId="50" fillId="7" fontId="4" numFmtId="0" xfId="0" applyAlignment="1" applyBorder="1" applyFont="1">
      <alignment horizontal="center" vertical="center"/>
    </xf>
    <xf borderId="64" fillId="7" fontId="4" numFmtId="0" xfId="0" applyAlignment="1" applyBorder="1" applyFont="1">
      <alignment horizontal="center" vertical="center"/>
    </xf>
    <xf borderId="19" fillId="7" fontId="4" numFmtId="0" xfId="0" applyAlignment="1" applyBorder="1" applyFont="1">
      <alignment shrinkToFit="0" vertical="bottom" wrapText="1"/>
    </xf>
    <xf borderId="78" fillId="0" fontId="4" numFmtId="3" xfId="0" applyAlignment="1" applyBorder="1" applyFont="1" applyNumberFormat="1">
      <alignment vertical="center"/>
    </xf>
    <xf borderId="46" fillId="7" fontId="4" numFmtId="0" xfId="0" applyAlignment="1" applyBorder="1" applyFont="1">
      <alignment horizontal="center" vertical="center"/>
    </xf>
    <xf borderId="67" fillId="7" fontId="4" numFmtId="0" xfId="0" applyAlignment="1" applyBorder="1" applyFont="1">
      <alignment shrinkToFit="0" vertical="bottom" wrapText="1"/>
    </xf>
    <xf borderId="65" fillId="0" fontId="4" numFmtId="3" xfId="0" applyAlignment="1" applyBorder="1" applyFont="1" applyNumberFormat="1">
      <alignment vertical="center"/>
    </xf>
    <xf borderId="67" fillId="7" fontId="4" numFmtId="0" xfId="0" applyAlignment="1" applyBorder="1" applyFont="1">
      <alignment vertical="center"/>
    </xf>
    <xf borderId="33" fillId="7" fontId="4" numFmtId="0" xfId="0" applyAlignment="1" applyBorder="1" applyFont="1">
      <alignment shrinkToFit="0" vertical="bottom" wrapText="1"/>
    </xf>
    <xf borderId="1" fillId="0" fontId="4" numFmtId="3" xfId="0" applyAlignment="1" applyBorder="1" applyFont="1" applyNumberFormat="1">
      <alignment vertical="center"/>
    </xf>
    <xf borderId="7" fillId="0" fontId="4" numFmtId="3" xfId="0" applyAlignment="1" applyBorder="1" applyFont="1" applyNumberFormat="1">
      <alignment vertical="center"/>
    </xf>
    <xf borderId="66" fillId="7" fontId="4" numFmtId="0" xfId="0" applyAlignment="1" applyBorder="1" applyFont="1">
      <alignment horizontal="center" vertical="center"/>
    </xf>
    <xf borderId="48" fillId="7" fontId="4" numFmtId="0" xfId="0" applyAlignment="1" applyBorder="1" applyFont="1">
      <alignment horizontal="center" vertical="center"/>
    </xf>
    <xf borderId="63" fillId="7" fontId="4" numFmtId="0" xfId="0" applyAlignment="1" applyBorder="1" applyFont="1">
      <alignment horizontal="center" vertical="center"/>
    </xf>
    <xf borderId="48" fillId="5" fontId="4" numFmtId="0" xfId="0" applyAlignment="1" applyBorder="1" applyFont="1">
      <alignment horizontal="center" vertical="center"/>
    </xf>
    <xf borderId="6" fillId="0" fontId="4" numFmtId="166" xfId="0" applyAlignment="1" applyBorder="1" applyFont="1" applyNumberFormat="1">
      <alignment vertical="center"/>
    </xf>
    <xf borderId="58" fillId="5" fontId="4" numFmtId="0" xfId="0" applyAlignment="1" applyBorder="1" applyFont="1">
      <alignment horizontal="center" vertical="center"/>
    </xf>
    <xf borderId="79" fillId="7" fontId="4" numFmtId="0" xfId="0" applyAlignment="1" applyBorder="1" applyFont="1">
      <alignment horizontal="center" vertical="center"/>
    </xf>
    <xf borderId="0" fillId="0" fontId="8" numFmtId="165" xfId="0" applyAlignment="1" applyFont="1" applyNumberFormat="1">
      <alignment vertical="center"/>
    </xf>
    <xf borderId="62" fillId="5" fontId="4" numFmtId="0" xfId="0" applyAlignment="1" applyBorder="1" applyFont="1">
      <alignment horizontal="center" vertical="center"/>
    </xf>
    <xf borderId="80" fillId="7" fontId="4" numFmtId="0" xfId="0" applyAlignment="1" applyBorder="1" applyFont="1">
      <alignment horizontal="center" vertical="center"/>
    </xf>
    <xf borderId="30" fillId="0" fontId="8" numFmtId="165" xfId="0" applyAlignment="1" applyBorder="1" applyFont="1" applyNumberFormat="1">
      <alignment vertical="center"/>
    </xf>
    <xf borderId="13" fillId="0" fontId="4" numFmtId="166" xfId="0" applyAlignment="1" applyBorder="1" applyFont="1" applyNumberFormat="1">
      <alignment vertical="center"/>
    </xf>
    <xf borderId="75" fillId="5" fontId="4" numFmtId="0" xfId="0" applyAlignment="1" applyBorder="1" applyFont="1">
      <alignment horizontal="center" vertical="center"/>
    </xf>
    <xf borderId="81" fillId="7" fontId="4" numFmtId="0" xfId="0" applyAlignment="1" applyBorder="1" applyFont="1">
      <alignment horizontal="center" vertical="center"/>
    </xf>
    <xf borderId="14" fillId="7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shrinkToFit="0" vertical="center" wrapText="1"/>
    </xf>
    <xf borderId="7" fillId="0" fontId="4" numFmtId="3" xfId="0" applyAlignment="1" applyBorder="1" applyFont="1" applyNumberFormat="1">
      <alignment horizontal="right" shrinkToFit="0" vertical="center" wrapText="1"/>
    </xf>
    <xf borderId="20" fillId="0" fontId="4" numFmtId="166" xfId="0" applyAlignment="1" applyBorder="1" applyFont="1" applyNumberFormat="1">
      <alignment vertical="center"/>
    </xf>
    <xf borderId="66" fillId="7" fontId="4" numFmtId="0" xfId="0" applyAlignment="1" applyBorder="1" applyFont="1">
      <alignment vertical="center"/>
    </xf>
    <xf borderId="52" fillId="7" fontId="4" numFmtId="0" xfId="0" applyAlignment="1" applyBorder="1" applyFont="1">
      <alignment vertical="center"/>
    </xf>
    <xf borderId="7" fillId="0" fontId="4" numFmtId="3" xfId="0" applyAlignment="1" applyBorder="1" applyFont="1" applyNumberFormat="1">
      <alignment horizontal="right" vertical="center"/>
    </xf>
    <xf borderId="47" fillId="7" fontId="4" numFmtId="0" xfId="0" applyAlignment="1" applyBorder="1" applyFont="1">
      <alignment vertical="center"/>
    </xf>
    <xf borderId="53" fillId="7" fontId="4" numFmtId="0" xfId="0" applyAlignment="1" applyBorder="1" applyFont="1">
      <alignment vertical="center"/>
    </xf>
    <xf borderId="53" fillId="5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6" fillId="0" fontId="4" numFmtId="3" xfId="0" applyAlignment="1" applyBorder="1" applyFont="1" applyNumberFormat="1">
      <alignment horizontal="right" vertical="center"/>
    </xf>
    <xf borderId="2" fillId="0" fontId="4" numFmtId="3" xfId="0" applyAlignment="1" applyBorder="1" applyFont="1" applyNumberFormat="1">
      <alignment horizontal="right" vertical="center"/>
    </xf>
    <xf borderId="58" fillId="7" fontId="4" numFmtId="3" xfId="0" applyAlignment="1" applyBorder="1" applyFont="1" applyNumberFormat="1">
      <alignment vertical="center"/>
    </xf>
    <xf borderId="51" fillId="7" fontId="4" numFmtId="3" xfId="0" applyAlignment="1" applyBorder="1" applyFont="1" applyNumberFormat="1">
      <alignment vertical="center"/>
    </xf>
    <xf borderId="0" fillId="0" fontId="4" numFmtId="0" xfId="0" applyAlignment="1" applyFont="1">
      <alignment horizontal="center" shrinkToFit="0" vertical="center" wrapText="1"/>
    </xf>
    <xf borderId="7" fillId="0" fontId="4" numFmtId="0" xfId="0" applyAlignment="1" applyBorder="1" applyFont="1">
      <alignment vertical="center"/>
    </xf>
    <xf borderId="11" fillId="0" fontId="4" numFmtId="3" xfId="0" applyAlignment="1" applyBorder="1" applyFont="1" applyNumberFormat="1">
      <alignment horizontal="right" vertical="center"/>
    </xf>
    <xf borderId="0" fillId="0" fontId="4" numFmtId="3" xfId="0" applyAlignment="1" applyFont="1" applyNumberFormat="1">
      <alignment horizontal="right" vertical="center"/>
    </xf>
    <xf borderId="28" fillId="0" fontId="4" numFmtId="0" xfId="0" applyAlignment="1" applyBorder="1" applyFont="1">
      <alignment vertical="center"/>
    </xf>
    <xf borderId="31" fillId="0" fontId="4" numFmtId="3" xfId="0" applyAlignment="1" applyBorder="1" applyFont="1" applyNumberFormat="1">
      <alignment horizontal="right" vertical="center"/>
    </xf>
    <xf borderId="30" fillId="0" fontId="4" numFmtId="3" xfId="0" applyAlignment="1" applyBorder="1" applyFont="1" applyNumberFormat="1">
      <alignment horizontal="right" shrinkToFit="0" vertical="center" wrapText="1"/>
    </xf>
    <xf borderId="6" fillId="0" fontId="8" numFmtId="3" xfId="0" applyAlignment="1" applyBorder="1" applyFont="1" applyNumberFormat="1">
      <alignment vertical="center"/>
    </xf>
    <xf borderId="1" fillId="0" fontId="4" numFmtId="3" xfId="0" applyAlignment="1" applyBorder="1" applyFont="1" applyNumberFormat="1">
      <alignment horizontal="right" vertical="center"/>
    </xf>
    <xf borderId="46" fillId="7" fontId="4" numFmtId="0" xfId="0" applyAlignment="1" applyBorder="1" applyFont="1">
      <alignment vertical="center"/>
    </xf>
    <xf borderId="51" fillId="7" fontId="4" numFmtId="0" xfId="0" applyAlignment="1" applyBorder="1" applyFont="1">
      <alignment vertical="center"/>
    </xf>
    <xf borderId="11" fillId="0" fontId="8" numFmtId="3" xfId="0" applyAlignment="1" applyBorder="1" applyFont="1" applyNumberFormat="1">
      <alignment vertical="center"/>
    </xf>
    <xf borderId="31" fillId="0" fontId="8" numFmtId="3" xfId="0" applyAlignment="1" applyBorder="1" applyFont="1" applyNumberFormat="1">
      <alignment vertical="center"/>
    </xf>
    <xf borderId="28" fillId="0" fontId="4" numFmtId="3" xfId="0" applyAlignment="1" applyBorder="1" applyFont="1" applyNumberFormat="1">
      <alignment horizontal="right" vertical="center"/>
    </xf>
    <xf borderId="75" fillId="7" fontId="4" numFmtId="3" xfId="0" applyAlignment="1" applyBorder="1" applyFont="1" applyNumberFormat="1">
      <alignment vertical="center"/>
    </xf>
    <xf borderId="64" fillId="7" fontId="4" numFmtId="3" xfId="0" applyAlignment="1" applyBorder="1" applyFont="1" applyNumberFormat="1">
      <alignment vertical="center"/>
    </xf>
    <xf borderId="0" fillId="0" fontId="4" numFmtId="3" xfId="0" applyAlignment="1" applyFont="1" applyNumberFormat="1">
      <alignment horizontal="right" shrinkToFit="0" vertical="center" wrapText="1"/>
    </xf>
    <xf borderId="82" fillId="5" fontId="4" numFmtId="0" xfId="0" applyAlignment="1" applyBorder="1" applyFont="1">
      <alignment horizontal="center" vertical="center"/>
    </xf>
    <xf borderId="26" fillId="5" fontId="4" numFmtId="0" xfId="0" applyAlignment="1" applyBorder="1" applyFont="1">
      <alignment horizontal="center" vertical="center"/>
    </xf>
    <xf borderId="83" fillId="7" fontId="4" numFmtId="0" xfId="0" applyAlignment="1" applyBorder="1" applyFont="1">
      <alignment horizontal="center" vertical="center"/>
    </xf>
    <xf borderId="84" fillId="7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3" xfId="0" applyAlignment="1" applyBorder="1" applyFont="1" applyNumberFormat="1">
      <alignment horizontal="right" shrinkToFit="0" vertical="center" wrapText="1"/>
    </xf>
    <xf borderId="66" fillId="7" fontId="8" numFmtId="0" xfId="0" applyAlignment="1" applyBorder="1" applyFont="1">
      <alignment vertical="center"/>
    </xf>
    <xf borderId="74" fillId="7" fontId="8" numFmtId="0" xfId="0" applyAlignment="1" applyBorder="1" applyFont="1">
      <alignment vertical="center"/>
    </xf>
    <xf borderId="3" fillId="7" fontId="8" numFmtId="0" xfId="0" applyAlignment="1" applyBorder="1" applyFont="1">
      <alignment vertical="center"/>
    </xf>
    <xf borderId="28" fillId="0" fontId="4" numFmtId="3" xfId="0" applyAlignment="1" applyBorder="1" applyFont="1" applyNumberFormat="1">
      <alignment horizontal="right" shrinkToFit="0" vertical="center" wrapText="1"/>
    </xf>
    <xf borderId="32" fillId="0" fontId="4" numFmtId="166" xfId="0" applyAlignment="1" applyBorder="1" applyFont="1" applyNumberFormat="1">
      <alignment vertical="center"/>
    </xf>
    <xf borderId="75" fillId="7" fontId="8" numFmtId="0" xfId="0" applyAlignment="1" applyBorder="1" applyFont="1">
      <alignment vertical="center"/>
    </xf>
    <xf borderId="76" fillId="7" fontId="8" numFmtId="0" xfId="0" applyAlignment="1" applyBorder="1" applyFont="1">
      <alignment vertical="center"/>
    </xf>
    <xf borderId="85" fillId="7" fontId="4" numFmtId="0" xfId="0" applyAlignment="1" applyBorder="1" applyFont="1">
      <alignment horizontal="center" vertical="center"/>
    </xf>
    <xf borderId="86" fillId="7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shrinkToFit="0" vertical="bottom" wrapText="1"/>
    </xf>
    <xf borderId="8" fillId="0" fontId="4" numFmtId="166" xfId="0" applyAlignment="1" applyBorder="1" applyFont="1" applyNumberFormat="1">
      <alignment vertical="center"/>
    </xf>
    <xf borderId="87" fillId="7" fontId="4" numFmtId="0" xfId="0" applyAlignment="1" applyBorder="1" applyFont="1">
      <alignment horizontal="center" vertical="center"/>
    </xf>
    <xf borderId="88" fillId="0" fontId="4" numFmtId="3" xfId="0" applyAlignment="1" applyBorder="1" applyFont="1" applyNumberFormat="1">
      <alignment vertical="center"/>
    </xf>
    <xf borderId="3" fillId="0" fontId="4" numFmtId="0" xfId="0" applyAlignment="1" applyBorder="1" applyFont="1">
      <alignment shrinkToFit="0" vertical="bottom" wrapText="1"/>
    </xf>
    <xf borderId="20" fillId="0" fontId="4" numFmtId="0" xfId="0" applyAlignment="1" applyBorder="1" applyFont="1">
      <alignment shrinkToFit="0" vertical="bottom" wrapText="1"/>
    </xf>
    <xf borderId="8" fillId="0" fontId="4" numFmtId="0" xfId="0" applyAlignment="1" applyBorder="1" applyFont="1">
      <alignment shrinkToFit="0" vertical="bottom" wrapText="1"/>
    </xf>
    <xf borderId="28" fillId="0" fontId="4" numFmtId="3" xfId="0" applyAlignment="1" applyBorder="1" applyFont="1" applyNumberFormat="1">
      <alignment vertical="center"/>
    </xf>
    <xf borderId="85" fillId="7" fontId="4" numFmtId="0" xfId="0" applyAlignment="1" applyBorder="1" applyFont="1">
      <alignment vertical="center"/>
    </xf>
    <xf borderId="22" fillId="7" fontId="4" numFmtId="0" xfId="0" applyAlignment="1" applyBorder="1" applyFont="1">
      <alignment horizontal="center" vertical="center"/>
    </xf>
    <xf borderId="86" fillId="7" fontId="4" numFmtId="0" xfId="0" applyAlignment="1" applyBorder="1" applyFont="1">
      <alignment vertical="center"/>
    </xf>
    <xf borderId="35" fillId="7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shrinkToFit="0" vertical="center" wrapText="1"/>
    </xf>
    <xf borderId="28" fillId="0" fontId="4" numFmtId="0" xfId="0" applyAlignment="1" applyBorder="1" applyFont="1">
      <alignment horizontal="left" shrinkToFit="0" vertical="center" wrapText="1"/>
    </xf>
    <xf borderId="29" fillId="7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85" fillId="7" fontId="4" numFmtId="3" xfId="0" applyAlignment="1" applyBorder="1" applyFont="1" applyNumberFormat="1">
      <alignment vertical="center"/>
    </xf>
    <xf borderId="7" fillId="0" fontId="4" numFmtId="0" xfId="0" applyAlignment="1" applyBorder="1" applyFont="1">
      <alignment horizontal="left" vertical="center"/>
    </xf>
    <xf borderId="28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shrinkToFit="0" vertical="center" wrapText="1"/>
    </xf>
    <xf borderId="87" fillId="7" fontId="4" numFmtId="3" xfId="0" applyAlignment="1" applyBorder="1" applyFont="1" applyNumberFormat="1">
      <alignment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bottom" wrapText="1"/>
    </xf>
    <xf borderId="0" fillId="0" fontId="4" numFmtId="166" xfId="0" applyAlignment="1" applyFont="1" applyNumberFormat="1">
      <alignment vertical="center"/>
    </xf>
    <xf borderId="62" fillId="7" fontId="4" numFmtId="0" xfId="0" applyAlignment="1" applyBorder="1" applyFont="1">
      <alignment horizontal="center" vertical="center"/>
    </xf>
    <xf borderId="32" fillId="6" fontId="6" numFmtId="0" xfId="0" applyAlignment="1" applyBorder="1" applyFont="1">
      <alignment horizontal="left" vertical="center"/>
    </xf>
    <xf borderId="40" fillId="7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40" fillId="5" fontId="4" numFmtId="0" xfId="0" applyAlignment="1" applyBorder="1" applyFont="1">
      <alignment horizontal="center" vertical="center"/>
    </xf>
    <xf borderId="42" fillId="7" fontId="4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shrinkToFit="0" vertical="center" wrapText="1"/>
    </xf>
    <xf borderId="26" fillId="5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36" fillId="7" fontId="4" numFmtId="0" xfId="0" applyAlignment="1" applyBorder="1" applyFont="1">
      <alignment horizontal="center" vertical="center"/>
    </xf>
    <xf borderId="38" fillId="7" fontId="4" numFmtId="0" xfId="0" applyAlignment="1" applyBorder="1" applyFont="1">
      <alignment horizontal="center" vertical="center"/>
    </xf>
    <xf borderId="44" fillId="7" fontId="4" numFmtId="0" xfId="0" applyAlignment="1" applyBorder="1" applyFont="1">
      <alignment horizontal="center" vertical="center"/>
    </xf>
    <xf borderId="38" fillId="7" fontId="4" numFmtId="0" xfId="0" applyAlignment="1" applyBorder="1" applyFont="1">
      <alignment vertical="center"/>
    </xf>
    <xf borderId="40" fillId="7" fontId="4" numFmtId="0" xfId="0" applyAlignment="1" applyBorder="1" applyFont="1">
      <alignment vertical="center"/>
    </xf>
    <xf borderId="3" fillId="0" fontId="4" numFmtId="0" xfId="0" applyAlignment="1" applyBorder="1" applyFont="1">
      <alignment horizontal="left" shrinkToFit="0" vertical="center" wrapText="1"/>
    </xf>
    <xf borderId="3" fillId="0" fontId="4" numFmtId="3" xfId="0" applyAlignment="1" applyBorder="1" applyFont="1" applyNumberFormat="1">
      <alignment horizontal="right" shrinkToFit="0" vertical="center" wrapText="1"/>
    </xf>
    <xf borderId="19" fillId="7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left" shrinkToFit="0" vertical="center" wrapText="1"/>
    </xf>
    <xf borderId="20" fillId="0" fontId="4" numFmtId="3" xfId="0" applyAlignment="1" applyBorder="1" applyFont="1" applyNumberFormat="1">
      <alignment horizontal="right" shrinkToFit="0" vertical="center" wrapText="1"/>
    </xf>
    <xf borderId="7" fillId="0" fontId="4" numFmtId="166" xfId="0" applyAlignment="1" applyBorder="1" applyFont="1" applyNumberFormat="1">
      <alignment vertical="center"/>
    </xf>
    <xf borderId="41" fillId="5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left" shrinkToFit="0" vertical="center" wrapText="1"/>
    </xf>
    <xf borderId="8" fillId="0" fontId="4" numFmtId="3" xfId="0" applyAlignment="1" applyBorder="1" applyFont="1" applyNumberFormat="1">
      <alignment horizontal="right" shrinkToFit="0" vertical="center" wrapText="1"/>
    </xf>
    <xf borderId="33" fillId="7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22" fillId="7" fontId="4" numFmtId="3" xfId="0" applyAlignment="1" applyBorder="1" applyFont="1" applyNumberFormat="1">
      <alignment vertical="center"/>
    </xf>
    <xf borderId="45" fillId="7" fontId="4" numFmtId="0" xfId="0" applyAlignment="1" applyBorder="1" applyFont="1">
      <alignment horizontal="center" vertical="center"/>
    </xf>
    <xf borderId="36" fillId="7" fontId="4" numFmtId="0" xfId="0" applyAlignment="1" applyBorder="1" applyFont="1">
      <alignment vertical="center"/>
    </xf>
    <xf borderId="4" fillId="9" fontId="4" numFmtId="0" xfId="0" applyAlignment="1" applyBorder="1" applyFill="1" applyFont="1">
      <alignment horizontal="center" vertical="center"/>
    </xf>
    <xf borderId="35" fillId="7" fontId="4" numFmtId="3" xfId="0" applyAlignment="1" applyBorder="1" applyFont="1" applyNumberFormat="1">
      <alignment vertical="center"/>
    </xf>
    <xf borderId="11" fillId="0" fontId="4" numFmtId="166" xfId="0" applyAlignment="1" applyBorder="1" applyFont="1" applyNumberFormat="1">
      <alignment vertical="center"/>
    </xf>
    <xf borderId="31" fillId="0" fontId="4" numFmtId="166" xfId="0" applyAlignment="1" applyBorder="1" applyFont="1" applyNumberFormat="1">
      <alignment vertical="center"/>
    </xf>
    <xf borderId="17" fillId="7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62" fillId="7" fontId="4" numFmtId="0" xfId="0" applyAlignment="1" applyBorder="1" applyFont="1">
      <alignment vertical="center"/>
    </xf>
    <xf borderId="62" fillId="7" fontId="4" numFmtId="0" xfId="0" applyAlignment="1" applyBorder="1" applyFont="1">
      <alignment shrinkToFit="0" vertical="center" wrapText="1"/>
    </xf>
    <xf borderId="62" fillId="7" fontId="4" numFmtId="3" xfId="0" applyAlignment="1" applyBorder="1" applyFont="1" applyNumberFormat="1">
      <alignment vertical="center"/>
    </xf>
    <xf borderId="1" fillId="0" fontId="12" numFmtId="0" xfId="0" applyAlignment="1" applyBorder="1" applyFont="1">
      <alignment shrinkToFit="0" vertical="bottom" wrapText="1"/>
    </xf>
    <xf borderId="2" fillId="0" fontId="4" numFmtId="166" xfId="0" applyAlignment="1" applyBorder="1" applyFont="1" applyNumberFormat="1">
      <alignment vertical="center"/>
    </xf>
    <xf borderId="7" fillId="0" fontId="12" numFmtId="0" xfId="0" applyAlignment="1" applyBorder="1" applyFont="1">
      <alignment shrinkToFit="0" vertical="bottom" wrapText="1"/>
    </xf>
    <xf borderId="41" fillId="7" fontId="4" numFmtId="0" xfId="0" applyAlignment="1" applyBorder="1" applyFont="1">
      <alignment horizontal="center" vertical="center"/>
    </xf>
    <xf borderId="28" fillId="0" fontId="12" numFmtId="0" xfId="0" applyAlignment="1" applyBorder="1" applyFont="1">
      <alignment shrinkToFit="0" vertical="bottom" wrapText="1"/>
    </xf>
    <xf borderId="43" fillId="7" fontId="4" numFmtId="0" xfId="0" applyAlignment="1" applyBorder="1" applyFont="1">
      <alignment horizontal="center" vertical="center"/>
    </xf>
    <xf borderId="3" fillId="0" fontId="12" numFmtId="0" xfId="0" applyAlignment="1" applyBorder="1" applyFont="1">
      <alignment shrinkToFit="0" vertical="bottom" wrapText="1"/>
    </xf>
    <xf borderId="39" fillId="5" fontId="4" numFmtId="0" xfId="0" applyAlignment="1" applyBorder="1" applyFont="1">
      <alignment horizontal="center" vertical="center"/>
    </xf>
    <xf borderId="20" fillId="0" fontId="12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shrinkToFit="0" vertical="center" wrapText="1"/>
    </xf>
    <xf borderId="8" fillId="0" fontId="8" numFmtId="3" xfId="0" applyAlignment="1" applyBorder="1" applyFont="1" applyNumberFormat="1">
      <alignment vertical="center"/>
    </xf>
    <xf borderId="37" fillId="7" fontId="4" numFmtId="0" xfId="0" applyAlignment="1" applyBorder="1" applyFont="1">
      <alignment horizontal="center" vertical="center"/>
    </xf>
    <xf borderId="89" fillId="0" fontId="4" numFmtId="0" xfId="0" applyAlignment="1" applyBorder="1" applyFont="1">
      <alignment shrinkToFit="0" vertical="center" wrapText="1"/>
    </xf>
    <xf borderId="39" fillId="7" fontId="4" numFmtId="0" xfId="0" applyAlignment="1" applyBorder="1" applyFont="1">
      <alignment horizontal="center" vertical="center"/>
    </xf>
    <xf borderId="8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center" wrapText="1"/>
    </xf>
    <xf borderId="37" fillId="7" fontId="4" numFmtId="0" xfId="0" applyAlignment="1" applyBorder="1" applyFont="1">
      <alignment vertical="center"/>
    </xf>
    <xf borderId="41" fillId="7" fontId="4" numFmtId="0" xfId="0" applyAlignment="1" applyBorder="1" applyFont="1">
      <alignment vertical="center"/>
    </xf>
    <xf borderId="49" fillId="5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vertical="center"/>
    </xf>
    <xf borderId="3" fillId="0" fontId="4" numFmtId="164" xfId="0" applyAlignment="1" applyBorder="1" applyFont="1" applyNumberFormat="1">
      <alignment vertical="center"/>
    </xf>
    <xf borderId="6" fillId="0" fontId="4" numFmtId="164" xfId="0" applyAlignment="1" applyBorder="1" applyFont="1" applyNumberFormat="1">
      <alignment vertical="center"/>
    </xf>
    <xf borderId="6" fillId="0" fontId="4" numFmtId="164" xfId="0" applyAlignment="1" applyBorder="1" applyFont="1" applyNumberFormat="1">
      <alignment horizontal="right" shrinkToFit="0" vertical="center" wrapText="1"/>
    </xf>
    <xf borderId="22" fillId="7" fontId="4" numFmtId="0" xfId="0" applyAlignment="1" applyBorder="1" applyFont="1">
      <alignment vertical="center"/>
    </xf>
    <xf borderId="20" fillId="0" fontId="4" numFmtId="0" xfId="0" applyAlignment="1" applyBorder="1" applyFont="1">
      <alignment horizontal="left" vertical="center"/>
    </xf>
    <xf borderId="20" fillId="0" fontId="4" numFmtId="164" xfId="0" applyAlignment="1" applyBorder="1" applyFont="1" applyNumberFormat="1">
      <alignment vertical="center"/>
    </xf>
    <xf borderId="11" fillId="0" fontId="4" numFmtId="164" xfId="0" applyAlignment="1" applyBorder="1" applyFont="1" applyNumberFormat="1">
      <alignment vertical="center"/>
    </xf>
    <xf borderId="11" fillId="0" fontId="4" numFmtId="164" xfId="0" applyAlignment="1" applyBorder="1" applyFont="1" applyNumberFormat="1">
      <alignment horizontal="right" shrinkToFit="0" vertical="center" wrapText="1"/>
    </xf>
    <xf borderId="19" fillId="7" fontId="4" numFmtId="3" xfId="0" applyAlignment="1" applyBorder="1" applyFont="1" applyNumberFormat="1">
      <alignment vertical="center"/>
    </xf>
    <xf borderId="67" fillId="7" fontId="4" numFmtId="3" xfId="0" applyAlignment="1" applyBorder="1" applyFont="1" applyNumberFormat="1">
      <alignment vertical="center"/>
    </xf>
    <xf borderId="11" fillId="0" fontId="4" numFmtId="3" xfId="0" applyAlignment="1" applyBorder="1" applyFont="1" applyNumberFormat="1">
      <alignment horizontal="right" shrinkToFit="0" vertical="center" wrapText="1"/>
    </xf>
    <xf borderId="12" fillId="0" fontId="4" numFmtId="0" xfId="0" applyAlignment="1" applyBorder="1" applyFont="1">
      <alignment horizontal="left" shrinkToFit="0" vertical="center" wrapText="1"/>
    </xf>
    <xf borderId="90" fillId="0" fontId="2" numFmtId="0" xfId="0" applyAlignment="1" applyBorder="1" applyFont="1">
      <alignment vertical="center"/>
    </xf>
    <xf borderId="33" fillId="7" fontId="4" numFmtId="3" xfId="0" applyAlignment="1" applyBorder="1" applyFont="1" applyNumberFormat="1">
      <alignment vertical="center"/>
    </xf>
    <xf borderId="49" fillId="7" fontId="4" numFmtId="0" xfId="0" applyAlignment="1" applyBorder="1" applyFont="1">
      <alignment horizontal="center" vertical="center"/>
    </xf>
    <xf borderId="91" fillId="0" fontId="4" numFmtId="0" xfId="0" applyAlignment="1" applyBorder="1" applyFont="1">
      <alignment horizontal="left" shrinkToFit="0" vertical="center" wrapText="1"/>
    </xf>
    <xf borderId="92" fillId="0" fontId="4" numFmtId="0" xfId="0" applyAlignment="1" applyBorder="1" applyFont="1">
      <alignment horizontal="left" shrinkToFit="0" vertical="center" wrapText="1"/>
    </xf>
    <xf borderId="93" fillId="0" fontId="4" numFmtId="0" xfId="0" applyAlignment="1" applyBorder="1" applyFont="1">
      <alignment horizontal="left" shrinkToFit="0" vertical="center" wrapText="1"/>
    </xf>
    <xf borderId="94" fillId="0" fontId="4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left" shrinkToFit="0" vertical="bottom" wrapText="1"/>
    </xf>
    <xf borderId="41" fillId="0" fontId="4" numFmtId="0" xfId="0" applyAlignment="1" applyBorder="1" applyFont="1">
      <alignment horizontal="left" shrinkToFit="0" vertical="center" wrapText="1"/>
    </xf>
    <xf borderId="95" fillId="9" fontId="4" numFmtId="3" xfId="0" applyAlignment="1" applyBorder="1" applyFont="1" applyNumberFormat="1">
      <alignment horizontal="center" vertical="center"/>
    </xf>
    <xf borderId="53" fillId="0" fontId="4" numFmtId="3" xfId="0" applyAlignment="1" applyBorder="1" applyFont="1" applyNumberFormat="1">
      <alignment vertical="center"/>
    </xf>
    <xf borderId="43" fillId="0" fontId="4" numFmtId="0" xfId="0" applyAlignment="1" applyBorder="1" applyFont="1">
      <alignment horizontal="left" shrinkToFit="0" vertical="center" wrapText="1"/>
    </xf>
    <xf borderId="96" fillId="0" fontId="2" numFmtId="0" xfId="0" applyAlignment="1" applyBorder="1" applyFont="1">
      <alignment vertical="center"/>
    </xf>
    <xf borderId="64" fillId="0" fontId="4" numFmtId="3" xfId="0" applyAlignment="1" applyBorder="1" applyFont="1" applyNumberFormat="1">
      <alignment vertical="center"/>
    </xf>
    <xf borderId="97" fillId="0" fontId="2" numFmtId="0" xfId="0" applyAlignment="1" applyBorder="1" applyFont="1">
      <alignment vertical="center"/>
    </xf>
    <xf borderId="30" fillId="0" fontId="4" numFmtId="166" xfId="0" applyAlignment="1" applyBorder="1" applyFont="1" applyNumberFormat="1">
      <alignment vertical="center"/>
    </xf>
    <xf borderId="3" fillId="0" fontId="4" numFmtId="0" xfId="0" applyAlignment="1" applyBorder="1" applyFont="1">
      <alignment horizontal="left" shrinkToFit="0" vertical="bottom" wrapText="1"/>
    </xf>
    <xf borderId="37" fillId="5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 shrinkToFit="0" vertical="center" wrapText="1"/>
    </xf>
    <xf borderId="2" fillId="0" fontId="4" numFmtId="3" xfId="0" applyAlignment="1" applyBorder="1" applyFont="1" applyNumberFormat="1">
      <alignment horizontal="right" shrinkToFit="0" vertical="center" wrapText="1"/>
    </xf>
    <xf borderId="1" fillId="0" fontId="4" numFmtId="166" xfId="0" applyAlignment="1" applyBorder="1" applyFont="1" applyNumberFormat="1">
      <alignment vertical="center"/>
    </xf>
    <xf borderId="28" fillId="0" fontId="4" numFmtId="166" xfId="0" applyAlignment="1" applyBorder="1" applyFont="1" applyNumberFormat="1">
      <alignment vertical="center"/>
    </xf>
    <xf borderId="43" fillId="5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2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31" fillId="0" fontId="4" numFmtId="0" xfId="0" applyAlignment="1" applyBorder="1" applyFont="1">
      <alignment horizontal="center" vertical="center"/>
    </xf>
    <xf borderId="19" fillId="5" fontId="4" numFmtId="0" xfId="0" applyAlignment="1" applyBorder="1" applyFont="1">
      <alignment horizontal="center" vertical="center"/>
    </xf>
    <xf borderId="67" fillId="5" fontId="4" numFmtId="0" xfId="0" applyAlignment="1" applyBorder="1" applyFont="1">
      <alignment horizontal="center" vertical="center"/>
    </xf>
    <xf borderId="33" fillId="5" fontId="4" numFmtId="0" xfId="0" applyAlignment="1" applyBorder="1" applyFont="1">
      <alignment horizontal="center" vertical="center"/>
    </xf>
    <xf borderId="35" fillId="5" fontId="4" numFmtId="0" xfId="0" applyAlignment="1" applyBorder="1" applyFont="1">
      <alignment horizontal="center" vertical="center"/>
    </xf>
    <xf borderId="67" fillId="7" fontId="4" numFmtId="0" xfId="0" applyAlignment="1" applyBorder="1" applyFont="1">
      <alignment horizontal="center" vertical="center"/>
    </xf>
    <xf borderId="22" fillId="5" fontId="4" numFmtId="0" xfId="0" applyAlignment="1" applyBorder="1" applyFont="1">
      <alignment horizontal="center" vertical="center"/>
    </xf>
    <xf borderId="29" fillId="5" fontId="4" numFmtId="0" xfId="0" applyAlignment="1" applyBorder="1" applyFont="1">
      <alignment horizontal="center" vertical="center"/>
    </xf>
    <xf borderId="14" fillId="5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31" fillId="0" fontId="4" numFmtId="3" xfId="0" applyAlignment="1" applyBorder="1" applyFont="1" applyNumberFormat="1">
      <alignment horizontal="right" shrinkToFit="0" vertical="center" wrapText="1"/>
    </xf>
    <xf borderId="8" fillId="0" fontId="13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167" xfId="0" applyAlignment="1" applyFont="1" applyNumberFormat="1">
      <alignment vertical="center"/>
    </xf>
    <xf borderId="32" fillId="6" fontId="6" numFmtId="0" xfId="0" applyAlignment="1" applyBorder="1" applyFont="1">
      <alignment horizontal="center" vertical="center"/>
    </xf>
    <xf borderId="17" fillId="5" fontId="4" numFmtId="0" xfId="0" applyAlignment="1" applyBorder="1" applyFont="1">
      <alignment horizontal="center" vertical="center"/>
    </xf>
    <xf borderId="3" fillId="0" fontId="4" numFmtId="167" xfId="0" applyAlignment="1" applyBorder="1" applyFont="1" applyNumberFormat="1">
      <alignment vertical="center"/>
    </xf>
    <xf borderId="20" fillId="0" fontId="4" numFmtId="167" xfId="0" applyAlignment="1" applyBorder="1" applyFont="1" applyNumberFormat="1">
      <alignment vertical="center"/>
    </xf>
    <xf borderId="33" fillId="5" fontId="4" numFmtId="0" xfId="0" applyAlignment="1" applyBorder="1" applyFont="1">
      <alignment vertical="center"/>
    </xf>
    <xf borderId="8" fillId="0" fontId="4" numFmtId="167" xfId="0" applyAlignment="1" applyBorder="1" applyFont="1" applyNumberFormat="1">
      <alignment vertical="center"/>
    </xf>
    <xf borderId="14" fillId="7" fontId="4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vertical="center"/>
    </xf>
    <xf borderId="0" fillId="0" fontId="13" numFmtId="0" xfId="0" applyAlignment="1" applyFont="1">
      <alignment horizontal="center" vertical="center"/>
    </xf>
    <xf borderId="32" fillId="6" fontId="6" numFmtId="165" xfId="0" applyAlignment="1" applyBorder="1" applyFont="1" applyNumberFormat="1">
      <alignment horizontal="center" vertical="center"/>
    </xf>
    <xf borderId="11" fillId="0" fontId="4" numFmtId="167" xfId="0" applyAlignment="1" applyBorder="1" applyFont="1" applyNumberFormat="1">
      <alignment vertical="center"/>
    </xf>
    <xf borderId="8" fillId="0" fontId="4" numFmtId="164" xfId="0" applyAlignment="1" applyBorder="1" applyFont="1" applyNumberFormat="1">
      <alignment vertical="center"/>
    </xf>
    <xf borderId="31" fillId="0" fontId="4" numFmtId="167" xfId="0" applyAlignment="1" applyBorder="1" applyFont="1" applyNumberFormat="1">
      <alignment vertical="center"/>
    </xf>
    <xf borderId="3" fillId="5" fontId="4" numFmtId="0" xfId="0" applyAlignment="1" applyBorder="1" applyFont="1">
      <alignment horizontal="center" vertical="center"/>
    </xf>
    <xf borderId="31" fillId="0" fontId="4" numFmtId="164" xfId="0" applyAlignment="1" applyBorder="1" applyFont="1" applyNumberFormat="1">
      <alignment horizontal="right" shrinkToFit="0" vertical="center" wrapText="1"/>
    </xf>
    <xf borderId="8" fillId="0" fontId="4" numFmtId="164" xfId="0" applyAlignment="1" applyBorder="1" applyFont="1" applyNumberFormat="1">
      <alignment horizontal="right" shrinkToFit="0" vertical="center" wrapText="1"/>
    </xf>
    <xf borderId="19" fillId="5" fontId="4" numFmtId="0" xfId="0" applyAlignment="1" applyBorder="1" applyFont="1">
      <alignment vertical="center"/>
    </xf>
    <xf borderId="6" fillId="0" fontId="4" numFmtId="0" xfId="0" applyAlignment="1" applyBorder="1" applyFont="1">
      <alignment horizontal="center" shrinkToFit="0" vertical="center" wrapText="1"/>
    </xf>
    <xf borderId="26" fillId="5" fontId="4" numFmtId="167" xfId="0" applyAlignment="1" applyBorder="1" applyFont="1" applyNumberFormat="1">
      <alignment vertical="center"/>
    </xf>
    <xf borderId="29" fillId="5" fontId="4" numFmtId="167" xfId="0" applyAlignment="1" applyBorder="1" applyFont="1" applyNumberFormat="1">
      <alignment vertical="center"/>
    </xf>
    <xf borderId="35" fillId="5" fontId="4" numFmtId="167" xfId="0" applyAlignment="1" applyBorder="1" applyFont="1" applyNumberFormat="1">
      <alignment vertical="center"/>
    </xf>
    <xf borderId="0" fillId="0" fontId="14" numFmtId="0" xfId="0" applyAlignment="1" applyFont="1">
      <alignment vertical="center"/>
    </xf>
    <xf borderId="62" fillId="10" fontId="15" numFmtId="0" xfId="0" applyAlignment="1" applyBorder="1" applyFill="1" applyFont="1">
      <alignment vertical="bottom"/>
    </xf>
    <xf borderId="98" fillId="0" fontId="12" numFmtId="0" xfId="0" applyAlignment="1" applyBorder="1" applyFont="1">
      <alignment vertical="center"/>
    </xf>
    <xf borderId="67" fillId="10" fontId="15" numFmtId="0" xfId="0" applyAlignment="1" applyBorder="1" applyFont="1">
      <alignment horizontal="center" vertical="center"/>
    </xf>
    <xf borderId="98" fillId="0" fontId="12" numFmtId="0" xfId="0" applyAlignment="1" applyBorder="1" applyFont="1">
      <alignment shrinkToFit="0" vertical="center" wrapText="1"/>
    </xf>
    <xf borderId="33" fillId="10" fontId="15" numFmtId="0" xfId="0" applyAlignment="1" applyBorder="1" applyFont="1">
      <alignment horizontal="center" vertical="center"/>
    </xf>
    <xf borderId="0" fillId="0" fontId="13" numFmtId="167" xfId="0" applyAlignment="1" applyFont="1" applyNumberFormat="1">
      <alignment vertical="center"/>
    </xf>
    <xf borderId="67" fillId="10" fontId="15" numFmtId="3" xfId="0" applyAlignment="1" applyBorder="1" applyFont="1" applyNumberFormat="1">
      <alignment vertical="center"/>
    </xf>
    <xf borderId="49" fillId="10" fontId="15" numFmtId="0" xfId="0" applyAlignment="1" applyBorder="1" applyFont="1">
      <alignment horizontal="center" vertical="center"/>
    </xf>
    <xf borderId="6" fillId="0" fontId="4" numFmtId="3" xfId="0" applyAlignment="1" applyBorder="1" applyFont="1" applyNumberFormat="1">
      <alignment horizontal="right" shrinkToFit="0" vertical="center" wrapText="1"/>
    </xf>
    <xf borderId="8" fillId="0" fontId="8" numFmtId="0" xfId="0" applyAlignment="1" applyBorder="1" applyFont="1">
      <alignment vertical="bottom"/>
    </xf>
    <xf borderId="0" fillId="0" fontId="1" numFmtId="0" xfId="0" applyAlignment="1" applyFont="1">
      <alignment horizontal="center" vertical="center"/>
    </xf>
    <xf borderId="3" fillId="6" fontId="4" numFmtId="0" xfId="0" applyAlignment="1" applyBorder="1" applyFont="1">
      <alignment horizontal="center" vertical="center"/>
    </xf>
    <xf borderId="3" fillId="6" fontId="6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14" fillId="7" fontId="16" numFmtId="0" xfId="0" applyAlignment="1" applyBorder="1" applyFont="1">
      <alignment horizontal="center" vertical="center"/>
    </xf>
    <xf borderId="20" fillId="0" fontId="17" numFmtId="0" xfId="0" applyAlignment="1" applyBorder="1" applyFont="1">
      <alignment horizontal="left" vertical="center"/>
    </xf>
    <xf borderId="20" fillId="0" fontId="18" numFmtId="3" xfId="0" applyAlignment="1" applyBorder="1" applyFont="1" applyNumberFormat="1">
      <alignment vertical="center"/>
    </xf>
    <xf borderId="20" fillId="0" fontId="17" numFmtId="3" xfId="0" applyAlignment="1" applyBorder="1" applyFont="1" applyNumberFormat="1">
      <alignment horizontal="right" vertical="center"/>
    </xf>
    <xf borderId="62" fillId="11" fontId="4" numFmtId="167" xfId="0" applyAlignment="1" applyBorder="1" applyFill="1" applyFont="1" applyNumberFormat="1">
      <alignment vertical="center"/>
    </xf>
    <xf borderId="62" fillId="10" fontId="15" numFmtId="0" xfId="0" applyAlignment="1" applyBorder="1" applyFont="1">
      <alignment vertical="center"/>
    </xf>
    <xf borderId="20" fillId="0" fontId="17" numFmtId="0" xfId="0" applyAlignment="1" applyBorder="1" applyFont="1">
      <alignment horizontal="left" shrinkToFit="0" vertical="center" wrapText="1"/>
    </xf>
    <xf borderId="20" fillId="0" fontId="17" numFmtId="3" xfId="0" applyAlignment="1" applyBorder="1" applyFont="1" applyNumberFormat="1">
      <alignment horizontal="right" shrinkToFit="0" vertical="center" wrapText="1"/>
    </xf>
    <xf borderId="8" fillId="0" fontId="17" numFmtId="0" xfId="0" applyAlignment="1" applyBorder="1" applyFont="1">
      <alignment horizontal="left" shrinkToFit="0" vertical="center" wrapText="1"/>
    </xf>
    <xf borderId="8" fillId="0" fontId="18" numFmtId="3" xfId="0" applyAlignment="1" applyBorder="1" applyFont="1" applyNumberFormat="1">
      <alignment vertical="center"/>
    </xf>
    <xf borderId="8" fillId="0" fontId="17" numFmtId="3" xfId="0" applyAlignment="1" applyBorder="1" applyFont="1" applyNumberFormat="1">
      <alignment horizontal="right" shrinkToFit="0" vertical="center" wrapText="1"/>
    </xf>
    <xf borderId="3" fillId="7" fontId="18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vertical="center"/>
    </xf>
    <xf borderId="3" fillId="0" fontId="18" numFmtId="3" xfId="0" applyAlignment="1" applyBorder="1" applyFont="1" applyNumberFormat="1">
      <alignment vertical="center"/>
    </xf>
    <xf borderId="20" fillId="0" fontId="18" numFmtId="0" xfId="0" applyAlignment="1" applyBorder="1" applyFont="1">
      <alignment vertical="center"/>
    </xf>
    <xf borderId="20" fillId="0" fontId="18" numFmtId="0" xfId="0" applyAlignment="1" applyBorder="1" applyFont="1">
      <alignment shrinkToFit="0" vertical="center" wrapText="1"/>
    </xf>
    <xf borderId="8" fillId="0" fontId="18" numFmtId="0" xfId="0" applyAlignment="1" applyBorder="1" applyFont="1">
      <alignment vertical="center"/>
    </xf>
    <xf borderId="8" fillId="0" fontId="18" numFmtId="0" xfId="0" applyAlignment="1" applyBorder="1" applyFont="1">
      <alignment shrinkToFit="0" vertical="center" wrapText="1"/>
    </xf>
    <xf borderId="3" fillId="0" fontId="18" numFmtId="0" xfId="0" applyAlignment="1" applyBorder="1" applyFont="1">
      <alignment shrinkToFit="0" vertical="center" wrapText="1"/>
    </xf>
    <xf borderId="14" fillId="7" fontId="18" numFmtId="0" xfId="0" applyAlignment="1" applyBorder="1" applyFont="1">
      <alignment horizontal="center" shrinkToFit="0" vertical="center" wrapText="1"/>
    </xf>
    <xf borderId="3" fillId="7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shrinkToFit="0" vertical="center" wrapText="1"/>
    </xf>
    <xf borderId="3" fillId="0" fontId="17" numFmtId="3" xfId="0" applyAlignment="1" applyBorder="1" applyFont="1" applyNumberFormat="1">
      <alignment horizontal="right" shrinkToFit="0" vertical="center" wrapText="1"/>
    </xf>
    <xf borderId="0" fillId="0" fontId="1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98.43"/>
    <col customWidth="1" min="3" max="3" width="21.71"/>
    <col customWidth="1" min="4" max="5" width="19.29"/>
    <col customWidth="1" min="6" max="6" width="21.14"/>
    <col customWidth="1" min="7" max="7" width="21.57"/>
    <col customWidth="1" min="9" max="9" width="49.71"/>
  </cols>
  <sheetData>
    <row r="1" ht="16.5" customHeight="1">
      <c r="A1" s="1" t="s">
        <v>0</v>
      </c>
      <c r="B1" s="2"/>
      <c r="C1" s="3" t="s">
        <v>1</v>
      </c>
      <c r="D1" s="4" t="s">
        <v>2</v>
      </c>
      <c r="E1" s="5" t="s">
        <v>3</v>
      </c>
      <c r="F1" s="6"/>
      <c r="G1" s="2"/>
      <c r="H1" s="2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ht="16.5" customHeight="1">
      <c r="A2" s="10"/>
      <c r="C2" s="11"/>
      <c r="D2" s="12"/>
      <c r="E2" s="12"/>
      <c r="F2" s="13"/>
      <c r="I2" s="1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 ht="16.5" customHeight="1">
      <c r="A3" s="15"/>
      <c r="B3" s="16"/>
      <c r="C3" s="17"/>
      <c r="D3" s="18"/>
      <c r="E3" s="18"/>
      <c r="F3" s="19" t="s">
        <v>4</v>
      </c>
      <c r="G3" s="20" t="s">
        <v>5</v>
      </c>
      <c r="H3" s="21" t="s">
        <v>6</v>
      </c>
      <c r="I3" s="22" t="s">
        <v>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 ht="16.5" customHeight="1">
      <c r="A4" s="23" t="s">
        <v>8</v>
      </c>
      <c r="B4" s="24" t="s">
        <v>9</v>
      </c>
      <c r="C4" s="25"/>
      <c r="D4" s="26"/>
      <c r="E4" s="26"/>
      <c r="F4" s="27" t="s">
        <v>10</v>
      </c>
      <c r="G4" s="27" t="s">
        <v>11</v>
      </c>
      <c r="H4" s="28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 ht="16.5" customHeight="1">
      <c r="A5" s="29" t="s">
        <v>12</v>
      </c>
      <c r="B5" s="30" t="s">
        <v>13</v>
      </c>
      <c r="C5" s="31">
        <v>60000.0</v>
      </c>
      <c r="D5" s="32">
        <v>40000.0</v>
      </c>
      <c r="E5" s="31">
        <v>44000.0</v>
      </c>
      <c r="F5" s="33"/>
      <c r="G5" s="33"/>
      <c r="H5" s="34"/>
      <c r="I5" s="3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 ht="16.5" customHeight="1">
      <c r="A6" s="36"/>
      <c r="B6" s="37" t="s">
        <v>14</v>
      </c>
      <c r="C6" s="38">
        <v>205000.0</v>
      </c>
      <c r="D6" s="39">
        <v>160000.0</v>
      </c>
      <c r="E6" s="38">
        <v>176000.0</v>
      </c>
      <c r="F6" s="33"/>
      <c r="G6" s="40"/>
      <c r="H6" s="26"/>
      <c r="I6" s="4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 ht="16.5" customHeight="1">
      <c r="A7" s="36"/>
      <c r="B7" s="37" t="s">
        <v>15</v>
      </c>
      <c r="C7" s="38">
        <v>260000.0</v>
      </c>
      <c r="D7" s="39">
        <v>200000.0</v>
      </c>
      <c r="E7" s="38">
        <v>220000.0</v>
      </c>
      <c r="F7" s="42"/>
      <c r="G7" s="42"/>
      <c r="H7" s="26"/>
      <c r="I7" s="4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ht="16.5" customHeight="1">
      <c r="A8" s="36"/>
      <c r="B8" s="37" t="s">
        <v>16</v>
      </c>
      <c r="C8" s="38">
        <v>270000.0</v>
      </c>
      <c r="D8" s="39">
        <v>220000.0</v>
      </c>
      <c r="E8" s="38">
        <v>242000.0</v>
      </c>
      <c r="F8" s="42"/>
      <c r="G8" s="42"/>
      <c r="H8" s="12"/>
      <c r="I8" s="43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 ht="16.5" customHeight="1">
      <c r="A9" s="36"/>
      <c r="B9" s="44" t="s">
        <v>17</v>
      </c>
      <c r="C9" s="45">
        <v>475000.0</v>
      </c>
      <c r="D9" s="39">
        <v>400000.0</v>
      </c>
      <c r="E9" s="38">
        <v>440000.0</v>
      </c>
      <c r="F9" s="46"/>
      <c r="G9" s="42"/>
      <c r="H9" s="47"/>
      <c r="I9" s="4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 ht="16.5" customHeight="1">
      <c r="A10" s="48"/>
      <c r="B10" s="49" t="s">
        <v>18</v>
      </c>
      <c r="C10" s="50">
        <v>660000.0</v>
      </c>
      <c r="D10" s="51">
        <v>600000.0</v>
      </c>
      <c r="E10" s="50">
        <v>660000.0</v>
      </c>
      <c r="F10" s="42"/>
      <c r="G10" s="46"/>
      <c r="H10" s="26"/>
      <c r="I10" s="4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 ht="16.5" customHeight="1">
      <c r="A11" s="52" t="s">
        <v>19</v>
      </c>
      <c r="B11" s="53" t="s">
        <v>20</v>
      </c>
      <c r="C11" s="31">
        <v>140000.0</v>
      </c>
      <c r="D11" s="32">
        <v>100000.0</v>
      </c>
      <c r="E11" s="31">
        <v>110000.0</v>
      </c>
      <c r="F11" s="54"/>
      <c r="G11" s="42"/>
      <c r="H11" s="26"/>
      <c r="I11" s="4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 ht="16.5" customHeight="1">
      <c r="A12" s="10"/>
      <c r="B12" s="55" t="s">
        <v>21</v>
      </c>
      <c r="C12" s="38">
        <v>300000.0</v>
      </c>
      <c r="D12" s="39">
        <v>250000.0</v>
      </c>
      <c r="E12" s="38">
        <v>275000.0</v>
      </c>
      <c r="F12" s="46"/>
      <c r="G12" s="46"/>
      <c r="H12" s="26"/>
      <c r="I12" s="4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 ht="16.5" customHeight="1">
      <c r="A13" s="10"/>
      <c r="B13" s="37" t="s">
        <v>22</v>
      </c>
      <c r="C13" s="38">
        <v>330000.0</v>
      </c>
      <c r="D13" s="39">
        <v>250000.0</v>
      </c>
      <c r="E13" s="38">
        <v>275000.0</v>
      </c>
      <c r="F13" s="56"/>
      <c r="G13" s="42"/>
      <c r="H13" s="26"/>
      <c r="I13" s="4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 ht="16.5" customHeight="1">
      <c r="A14" s="10"/>
      <c r="B14" s="49" t="s">
        <v>23</v>
      </c>
      <c r="C14" s="50">
        <v>800000.0</v>
      </c>
      <c r="D14" s="51">
        <v>700000.0</v>
      </c>
      <c r="E14" s="50">
        <v>770000.0</v>
      </c>
      <c r="F14" s="56"/>
      <c r="G14" s="46"/>
      <c r="H14" s="12"/>
      <c r="I14" s="4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 ht="16.5" customHeight="1">
      <c r="A15" s="52" t="s">
        <v>24</v>
      </c>
      <c r="B15" s="30" t="s">
        <v>25</v>
      </c>
      <c r="C15" s="31">
        <v>85000.0</v>
      </c>
      <c r="D15" s="32">
        <v>70000.0</v>
      </c>
      <c r="E15" s="31">
        <f t="shared" ref="E15:E17" si="1">D15*1.1</f>
        <v>77000</v>
      </c>
      <c r="F15" s="42"/>
      <c r="G15" s="42"/>
      <c r="H15" s="57"/>
      <c r="I15" s="4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 ht="16.5" customHeight="1">
      <c r="A16" s="10"/>
      <c r="B16" s="37" t="s">
        <v>26</v>
      </c>
      <c r="C16" s="38">
        <v>250000.0</v>
      </c>
      <c r="D16" s="39">
        <v>200000.0</v>
      </c>
      <c r="E16" s="38">
        <f t="shared" si="1"/>
        <v>220000</v>
      </c>
      <c r="F16" s="42"/>
      <c r="G16" s="42"/>
      <c r="H16" s="26"/>
      <c r="I16" s="4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 ht="16.5" customHeight="1">
      <c r="A17" s="58"/>
      <c r="B17" s="59" t="s">
        <v>27</v>
      </c>
      <c r="C17" s="50">
        <v>360000.0</v>
      </c>
      <c r="D17" s="51">
        <v>330000.0</v>
      </c>
      <c r="E17" s="50">
        <f t="shared" si="1"/>
        <v>363000</v>
      </c>
      <c r="F17" s="42"/>
      <c r="G17" s="42"/>
      <c r="H17" s="26"/>
      <c r="I17" s="4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ht="16.5" customHeight="1">
      <c r="A18" s="60" t="s">
        <v>28</v>
      </c>
      <c r="B18" s="61" t="s">
        <v>29</v>
      </c>
      <c r="C18" s="62">
        <v>50000.0</v>
      </c>
      <c r="D18" s="63">
        <v>36000.0</v>
      </c>
      <c r="E18" s="31">
        <v>39600.0</v>
      </c>
      <c r="F18" s="64"/>
      <c r="G18" s="64"/>
      <c r="H18" s="65"/>
      <c r="I18" s="4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ht="16.5" customHeight="1">
      <c r="A19" s="10"/>
      <c r="B19" s="66" t="s">
        <v>30</v>
      </c>
      <c r="C19" s="67">
        <v>125000.0</v>
      </c>
      <c r="D19" s="68">
        <v>90000.0</v>
      </c>
      <c r="E19" s="38">
        <v>99000.0</v>
      </c>
      <c r="F19" s="64"/>
      <c r="G19" s="64"/>
      <c r="H19" s="26"/>
      <c r="I19" s="4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ht="16.5" customHeight="1">
      <c r="A20" s="10"/>
      <c r="B20" s="66" t="s">
        <v>31</v>
      </c>
      <c r="C20" s="67">
        <v>140000.0</v>
      </c>
      <c r="D20" s="68">
        <v>110000.0</v>
      </c>
      <c r="E20" s="38">
        <v>121000.0</v>
      </c>
      <c r="F20" s="64"/>
      <c r="G20" s="64"/>
      <c r="H20" s="26"/>
      <c r="I20" s="4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ht="16.5" customHeight="1">
      <c r="A21" s="10"/>
      <c r="B21" s="66" t="s">
        <v>32</v>
      </c>
      <c r="C21" s="67">
        <v>175000.0</v>
      </c>
      <c r="D21" s="68">
        <v>130000.0</v>
      </c>
      <c r="E21" s="38">
        <v>143000.0</v>
      </c>
      <c r="F21" s="64"/>
      <c r="G21" s="64"/>
      <c r="H21" s="26"/>
      <c r="I21" s="4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ht="16.5" customHeight="1">
      <c r="A22" s="10"/>
      <c r="B22" s="59" t="s">
        <v>33</v>
      </c>
      <c r="C22" s="69">
        <v>400000.0</v>
      </c>
      <c r="D22" s="70">
        <v>250000.0</v>
      </c>
      <c r="E22" s="50">
        <v>275000.0</v>
      </c>
      <c r="F22" s="71"/>
      <c r="G22" s="72"/>
      <c r="H22" s="26"/>
      <c r="I22" s="4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ht="16.5" customHeight="1">
      <c r="A23" s="52" t="s">
        <v>34</v>
      </c>
      <c r="B23" s="66" t="s">
        <v>35</v>
      </c>
      <c r="C23" s="73">
        <v>110000.0</v>
      </c>
      <c r="D23" s="74">
        <v>90000.0</v>
      </c>
      <c r="E23" s="31">
        <f t="shared" ref="E23:E25" si="2">D23*1.1</f>
        <v>99000</v>
      </c>
      <c r="F23" s="75"/>
      <c r="G23" s="75"/>
      <c r="H23" s="76"/>
      <c r="I23" s="7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ht="16.5" customHeight="1">
      <c r="A24" s="10"/>
      <c r="B24" s="66" t="s">
        <v>36</v>
      </c>
      <c r="C24" s="73">
        <v>165000.0</v>
      </c>
      <c r="D24" s="74">
        <v>120000.0</v>
      </c>
      <c r="E24" s="38">
        <f t="shared" si="2"/>
        <v>132000</v>
      </c>
      <c r="F24" s="75"/>
      <c r="G24" s="75"/>
      <c r="H24" s="26"/>
      <c r="I24" s="25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ht="16.5" customHeight="1">
      <c r="A25" s="58"/>
      <c r="B25" s="59" t="s">
        <v>37</v>
      </c>
      <c r="C25" s="78">
        <v>150000.0</v>
      </c>
      <c r="D25" s="79">
        <v>120000.0</v>
      </c>
      <c r="E25" s="50">
        <f t="shared" si="2"/>
        <v>132000</v>
      </c>
      <c r="F25" s="80"/>
      <c r="G25" s="80"/>
      <c r="H25" s="12"/>
      <c r="I25" s="1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ht="16.5" customHeight="1">
      <c r="A26" s="81" t="s">
        <v>38</v>
      </c>
      <c r="B26" s="2"/>
      <c r="C26" s="2"/>
      <c r="D26" s="2"/>
      <c r="E26" s="2"/>
      <c r="F26" s="2"/>
      <c r="G26" s="2"/>
      <c r="H26" s="2"/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ht="16.5" customHeight="1">
      <c r="A27" s="10"/>
      <c r="I27" s="14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ht="16.5" customHeight="1">
      <c r="A28" s="10"/>
      <c r="I28" s="14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ht="16.5" customHeight="1">
      <c r="A29" s="10"/>
      <c r="I29" s="14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 ht="16.5" customHeight="1">
      <c r="A30" s="58"/>
      <c r="B30" s="82"/>
      <c r="C30" s="82"/>
      <c r="D30" s="82"/>
      <c r="E30" s="82"/>
      <c r="F30" s="82"/>
      <c r="G30" s="82"/>
      <c r="H30" s="82"/>
      <c r="I30" s="8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 ht="16.5" customHeight="1">
      <c r="A31" s="8"/>
      <c r="B31" s="8"/>
      <c r="C31" s="84"/>
      <c r="D31" s="84"/>
      <c r="E31" s="84"/>
      <c r="F31" s="85"/>
      <c r="G31" s="86"/>
      <c r="H31" s="86"/>
      <c r="I31" s="86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 ht="16.5" customHeight="1">
      <c r="A32" s="8"/>
      <c r="B32" s="8"/>
      <c r="C32" s="87"/>
      <c r="D32" s="87"/>
      <c r="E32" s="8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 ht="16.5" customHeight="1">
      <c r="A33" s="8"/>
      <c r="B33" s="8"/>
      <c r="C33" s="84"/>
      <c r="D33" s="84"/>
      <c r="E33" s="84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 ht="16.5" customHeight="1">
      <c r="A34" s="8"/>
      <c r="B34" s="8"/>
      <c r="C34" s="84"/>
      <c r="D34" s="84"/>
      <c r="E34" s="84"/>
      <c r="F34" s="85"/>
      <c r="G34" s="86"/>
      <c r="H34" s="86"/>
      <c r="I34" s="86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 ht="16.5" customHeight="1">
      <c r="A35" s="8"/>
      <c r="B35" s="8"/>
      <c r="C35" s="84"/>
      <c r="D35" s="84"/>
      <c r="E35" s="84"/>
      <c r="F35" s="85"/>
      <c r="G35" s="86"/>
      <c r="H35" s="86"/>
      <c r="I35" s="86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ht="16.5" customHeight="1">
      <c r="A36" s="8"/>
      <c r="B36" s="8"/>
      <c r="C36" s="84"/>
      <c r="D36" s="84"/>
      <c r="E36" s="84"/>
      <c r="F36" s="85"/>
      <c r="G36" s="86"/>
      <c r="H36" s="86"/>
      <c r="I36" s="8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 ht="16.5" customHeight="1">
      <c r="A37" s="8"/>
      <c r="B37" s="8" t="s">
        <v>39</v>
      </c>
      <c r="C37" s="84"/>
      <c r="D37" s="84"/>
      <c r="E37" s="84"/>
      <c r="F37" s="85"/>
      <c r="G37" s="86"/>
      <c r="H37" s="86"/>
      <c r="I37" s="86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 ht="16.5" customHeight="1">
      <c r="A38" s="8"/>
      <c r="B38" s="8"/>
      <c r="C38" s="84"/>
      <c r="D38" s="84"/>
      <c r="E38" s="84"/>
      <c r="F38" s="85"/>
      <c r="G38" s="86"/>
      <c r="H38" s="86"/>
      <c r="I38" s="86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 ht="16.5" customHeight="1">
      <c r="A39" s="8"/>
      <c r="B39" s="8"/>
      <c r="C39" s="84"/>
      <c r="D39" s="84"/>
      <c r="E39" s="84"/>
      <c r="F39" s="85"/>
      <c r="G39" s="86"/>
      <c r="H39" s="86"/>
      <c r="I39" s="86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 ht="16.5" customHeight="1">
      <c r="A40" s="8"/>
      <c r="B40" s="8"/>
      <c r="C40" s="84"/>
      <c r="D40" s="84"/>
      <c r="E40" s="84"/>
      <c r="F40" s="85"/>
      <c r="G40" s="86"/>
      <c r="H40" s="86"/>
      <c r="I40" s="86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 ht="16.5" customHeight="1">
      <c r="A41" s="8"/>
      <c r="B41" s="8"/>
      <c r="C41" s="84"/>
      <c r="D41" s="84"/>
      <c r="E41" s="84"/>
      <c r="F41" s="85"/>
      <c r="G41" s="86"/>
      <c r="H41" s="86"/>
      <c r="I41" s="86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 ht="16.5" customHeight="1">
      <c r="A42" s="8"/>
      <c r="B42" s="8"/>
      <c r="C42" s="84"/>
      <c r="D42" s="84"/>
      <c r="E42" s="84"/>
      <c r="F42" s="85"/>
      <c r="G42" s="86"/>
      <c r="H42" s="86"/>
      <c r="I42" s="86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 ht="16.5" customHeight="1">
      <c r="A43" s="8"/>
      <c r="B43" s="8"/>
      <c r="C43" s="84"/>
      <c r="D43" s="84"/>
      <c r="E43" s="84"/>
      <c r="F43" s="85"/>
      <c r="G43" s="86"/>
      <c r="H43" s="86"/>
      <c r="I43" s="86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 ht="16.5" customHeight="1">
      <c r="A44" s="8"/>
      <c r="B44" s="8"/>
      <c r="C44" s="84"/>
      <c r="D44" s="84"/>
      <c r="E44" s="84"/>
      <c r="F44" s="85"/>
      <c r="G44" s="86"/>
      <c r="H44" s="86"/>
      <c r="I44" s="86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 ht="16.5" customHeight="1">
      <c r="A45" s="8"/>
      <c r="B45" s="8"/>
      <c r="C45" s="84"/>
      <c r="D45" s="84"/>
      <c r="E45" s="84"/>
      <c r="F45" s="85"/>
      <c r="G45" s="86"/>
      <c r="H45" s="86"/>
      <c r="I45" s="86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 ht="16.5" customHeight="1">
      <c r="A46" s="8"/>
      <c r="B46" s="8"/>
      <c r="C46" s="84"/>
      <c r="D46" s="84"/>
      <c r="E46" s="84"/>
      <c r="F46" s="85"/>
      <c r="G46" s="86"/>
      <c r="H46" s="86"/>
      <c r="I46" s="86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 ht="16.5" customHeight="1">
      <c r="A47" s="8"/>
      <c r="B47" s="8"/>
      <c r="C47" s="84"/>
      <c r="D47" s="84"/>
      <c r="E47" s="84"/>
      <c r="F47" s="85"/>
      <c r="G47" s="86"/>
      <c r="H47" s="86"/>
      <c r="I47" s="86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 ht="16.5" customHeight="1">
      <c r="A48" s="8"/>
      <c r="B48" s="8"/>
      <c r="C48" s="84"/>
      <c r="D48" s="84"/>
      <c r="E48" s="84"/>
      <c r="F48" s="85"/>
      <c r="G48" s="86"/>
      <c r="H48" s="86"/>
      <c r="I48" s="86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 ht="16.5" customHeight="1">
      <c r="A49" s="8"/>
      <c r="B49" s="8"/>
      <c r="C49" s="84"/>
      <c r="D49" s="84"/>
      <c r="E49" s="84"/>
      <c r="F49" s="85"/>
      <c r="G49" s="86"/>
      <c r="H49" s="86"/>
      <c r="I49" s="86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 ht="16.5" customHeight="1">
      <c r="A50" s="8"/>
      <c r="B50" s="8"/>
      <c r="C50" s="84"/>
      <c r="D50" s="84"/>
      <c r="E50" s="84"/>
      <c r="F50" s="85"/>
      <c r="G50" s="86"/>
      <c r="H50" s="86"/>
      <c r="I50" s="86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 ht="16.5" customHeight="1">
      <c r="A51" s="8"/>
      <c r="B51" s="8"/>
      <c r="C51" s="84"/>
      <c r="D51" s="84"/>
      <c r="E51" s="84"/>
      <c r="F51" s="85"/>
      <c r="G51" s="86"/>
      <c r="H51" s="86"/>
      <c r="I51" s="86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 ht="16.5" customHeight="1">
      <c r="A52" s="8"/>
      <c r="B52" s="8"/>
      <c r="C52" s="84"/>
      <c r="D52" s="84"/>
      <c r="E52" s="84"/>
      <c r="F52" s="85"/>
      <c r="G52" s="86"/>
      <c r="H52" s="86"/>
      <c r="I52" s="86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 ht="16.5" customHeight="1">
      <c r="A53" s="8"/>
      <c r="B53" s="8"/>
      <c r="C53" s="84"/>
      <c r="D53" s="84"/>
      <c r="E53" s="84"/>
      <c r="F53" s="85"/>
      <c r="G53" s="86"/>
      <c r="H53" s="86"/>
      <c r="I53" s="86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 ht="16.5" customHeight="1">
      <c r="A54" s="8"/>
      <c r="B54" s="8"/>
      <c r="C54" s="84"/>
      <c r="D54" s="84"/>
      <c r="E54" s="84"/>
      <c r="F54" s="85"/>
      <c r="G54" s="86"/>
      <c r="H54" s="86"/>
      <c r="I54" s="86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 ht="16.5" customHeight="1">
      <c r="A55" s="8"/>
      <c r="B55" s="8"/>
      <c r="C55" s="84"/>
      <c r="D55" s="84"/>
      <c r="E55" s="84"/>
      <c r="F55" s="85"/>
      <c r="G55" s="86"/>
      <c r="H55" s="86"/>
      <c r="I55" s="86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 ht="16.5" customHeight="1">
      <c r="A56" s="8"/>
      <c r="B56" s="8"/>
      <c r="C56" s="84"/>
      <c r="D56" s="84"/>
      <c r="E56" s="84"/>
      <c r="F56" s="85"/>
      <c r="G56" s="86"/>
      <c r="H56" s="86"/>
      <c r="I56" s="86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 ht="16.5" customHeight="1">
      <c r="A57" s="8"/>
      <c r="B57" s="8"/>
      <c r="C57" s="84"/>
      <c r="D57" s="84"/>
      <c r="E57" s="84"/>
      <c r="F57" s="85"/>
      <c r="G57" s="86"/>
      <c r="H57" s="86"/>
      <c r="I57" s="86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 ht="16.5" customHeight="1">
      <c r="A58" s="8"/>
      <c r="B58" s="8"/>
      <c r="C58" s="84"/>
      <c r="D58" s="84"/>
      <c r="E58" s="84"/>
      <c r="F58" s="85"/>
      <c r="G58" s="86"/>
      <c r="H58" s="86"/>
      <c r="I58" s="86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 ht="16.5" customHeight="1">
      <c r="A59" s="8"/>
      <c r="B59" s="8"/>
      <c r="C59" s="84"/>
      <c r="D59" s="84"/>
      <c r="E59" s="84"/>
      <c r="F59" s="85"/>
      <c r="G59" s="86"/>
      <c r="H59" s="86"/>
      <c r="I59" s="86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 ht="16.5" customHeight="1">
      <c r="A60" s="8"/>
      <c r="B60" s="8"/>
      <c r="C60" s="84"/>
      <c r="D60" s="84"/>
      <c r="E60" s="84"/>
      <c r="F60" s="85"/>
      <c r="G60" s="86"/>
      <c r="H60" s="86"/>
      <c r="I60" s="86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 ht="16.5" customHeight="1">
      <c r="A61" s="8"/>
      <c r="B61" s="8"/>
      <c r="C61" s="84"/>
      <c r="D61" s="84"/>
      <c r="E61" s="84"/>
      <c r="F61" s="85"/>
      <c r="G61" s="86"/>
      <c r="H61" s="86"/>
      <c r="I61" s="86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 ht="16.5" customHeight="1">
      <c r="A62" s="8"/>
      <c r="B62" s="8"/>
      <c r="C62" s="84"/>
      <c r="D62" s="84"/>
      <c r="E62" s="84"/>
      <c r="F62" s="85"/>
      <c r="G62" s="86"/>
      <c r="H62" s="86"/>
      <c r="I62" s="86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 ht="16.5" customHeight="1">
      <c r="A63" s="8"/>
      <c r="B63" s="8"/>
      <c r="C63" s="84"/>
      <c r="D63" s="84"/>
      <c r="E63" s="84"/>
      <c r="F63" s="85"/>
      <c r="G63" s="86"/>
      <c r="H63" s="86"/>
      <c r="I63" s="86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 ht="16.5" customHeight="1">
      <c r="A64" s="8"/>
      <c r="B64" s="8"/>
      <c r="C64" s="84"/>
      <c r="D64" s="84"/>
      <c r="E64" s="84"/>
      <c r="F64" s="85"/>
      <c r="G64" s="86"/>
      <c r="H64" s="86"/>
      <c r="I64" s="86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 ht="16.5" customHeight="1">
      <c r="A65" s="8"/>
      <c r="B65" s="8"/>
      <c r="C65" s="84"/>
      <c r="D65" s="84"/>
      <c r="E65" s="84"/>
      <c r="F65" s="85"/>
      <c r="G65" s="86"/>
      <c r="H65" s="86"/>
      <c r="I65" s="86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 ht="16.5" customHeight="1">
      <c r="A66" s="8"/>
      <c r="B66" s="8"/>
      <c r="C66" s="84"/>
      <c r="D66" s="84"/>
      <c r="E66" s="84"/>
      <c r="F66" s="85"/>
      <c r="G66" s="86"/>
      <c r="H66" s="86"/>
      <c r="I66" s="86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 ht="16.5" customHeight="1">
      <c r="A67" s="8"/>
      <c r="B67" s="8"/>
      <c r="C67" s="84"/>
      <c r="D67" s="84"/>
      <c r="E67" s="84"/>
      <c r="F67" s="85"/>
      <c r="G67" s="86"/>
      <c r="H67" s="86"/>
      <c r="I67" s="86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 ht="16.5" customHeight="1">
      <c r="A68" s="8"/>
      <c r="B68" s="8"/>
      <c r="C68" s="84"/>
      <c r="D68" s="84"/>
      <c r="E68" s="84"/>
      <c r="F68" s="85"/>
      <c r="G68" s="86"/>
      <c r="H68" s="86"/>
      <c r="I68" s="86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 ht="16.5" customHeight="1">
      <c r="A69" s="8"/>
      <c r="B69" s="8"/>
      <c r="C69" s="84"/>
      <c r="D69" s="84"/>
      <c r="E69" s="84"/>
      <c r="F69" s="85"/>
      <c r="G69" s="86"/>
      <c r="H69" s="86"/>
      <c r="I69" s="86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 ht="16.5" customHeight="1">
      <c r="A70" s="8"/>
      <c r="B70" s="8"/>
      <c r="C70" s="84"/>
      <c r="D70" s="84"/>
      <c r="E70" s="84"/>
      <c r="F70" s="85"/>
      <c r="G70" s="86"/>
      <c r="H70" s="86"/>
      <c r="I70" s="86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 ht="16.5" customHeight="1">
      <c r="A71" s="8"/>
      <c r="B71" s="8"/>
      <c r="C71" s="84"/>
      <c r="D71" s="84"/>
      <c r="E71" s="84"/>
      <c r="F71" s="85"/>
      <c r="G71" s="86"/>
      <c r="H71" s="86"/>
      <c r="I71" s="86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 ht="16.5" customHeight="1">
      <c r="A72" s="8"/>
      <c r="B72" s="8"/>
      <c r="C72" s="84"/>
      <c r="D72" s="84"/>
      <c r="E72" s="84"/>
      <c r="F72" s="85"/>
      <c r="G72" s="86"/>
      <c r="H72" s="86"/>
      <c r="I72" s="86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 ht="16.5" customHeight="1">
      <c r="A73" s="8"/>
      <c r="B73" s="8"/>
      <c r="C73" s="84"/>
      <c r="D73" s="84"/>
      <c r="E73" s="84"/>
      <c r="F73" s="85"/>
      <c r="G73" s="86"/>
      <c r="H73" s="86"/>
      <c r="I73" s="86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 ht="16.5" customHeight="1">
      <c r="A74" s="8"/>
      <c r="B74" s="8"/>
      <c r="C74" s="84"/>
      <c r="D74" s="84"/>
      <c r="E74" s="84"/>
      <c r="F74" s="85"/>
      <c r="G74" s="86"/>
      <c r="H74" s="86"/>
      <c r="I74" s="86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 ht="16.5" customHeight="1">
      <c r="A75" s="8"/>
      <c r="B75" s="8"/>
      <c r="C75" s="84"/>
      <c r="D75" s="84"/>
      <c r="E75" s="84"/>
      <c r="F75" s="85"/>
      <c r="G75" s="86"/>
      <c r="H75" s="86"/>
      <c r="I75" s="86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 ht="16.5" customHeight="1">
      <c r="A76" s="8"/>
      <c r="B76" s="8"/>
      <c r="C76" s="84"/>
      <c r="D76" s="84"/>
      <c r="E76" s="84"/>
      <c r="F76" s="85"/>
      <c r="G76" s="86"/>
      <c r="H76" s="86"/>
      <c r="I76" s="86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 ht="16.5" customHeight="1">
      <c r="A77" s="8"/>
      <c r="B77" s="8"/>
      <c r="C77" s="84"/>
      <c r="D77" s="84"/>
      <c r="E77" s="84"/>
      <c r="F77" s="85"/>
      <c r="G77" s="86"/>
      <c r="H77" s="86"/>
      <c r="I77" s="86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 ht="16.5" customHeight="1">
      <c r="A78" s="8"/>
      <c r="B78" s="8"/>
      <c r="C78" s="84"/>
      <c r="D78" s="84"/>
      <c r="E78" s="84"/>
      <c r="F78" s="85"/>
      <c r="G78" s="86"/>
      <c r="H78" s="86"/>
      <c r="I78" s="86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 ht="16.5" customHeight="1">
      <c r="A79" s="8"/>
      <c r="B79" s="8"/>
      <c r="C79" s="84"/>
      <c r="D79" s="84"/>
      <c r="E79" s="84"/>
      <c r="F79" s="85"/>
      <c r="G79" s="86"/>
      <c r="H79" s="86"/>
      <c r="I79" s="86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 ht="16.5" customHeight="1">
      <c r="A80" s="8"/>
      <c r="B80" s="8"/>
      <c r="C80" s="84"/>
      <c r="D80" s="84"/>
      <c r="E80" s="84"/>
      <c r="F80" s="85"/>
      <c r="G80" s="86"/>
      <c r="H80" s="86"/>
      <c r="I80" s="86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 ht="16.5" customHeight="1">
      <c r="A81" s="8"/>
      <c r="B81" s="8"/>
      <c r="C81" s="84"/>
      <c r="D81" s="84"/>
      <c r="E81" s="84"/>
      <c r="F81" s="85"/>
      <c r="G81" s="86"/>
      <c r="H81" s="86"/>
      <c r="I81" s="86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 ht="16.5" customHeight="1">
      <c r="A82" s="8"/>
      <c r="B82" s="8"/>
      <c r="C82" s="84"/>
      <c r="D82" s="84"/>
      <c r="E82" s="84"/>
      <c r="F82" s="85"/>
      <c r="G82" s="86"/>
      <c r="H82" s="86"/>
      <c r="I82" s="86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 ht="16.5" customHeight="1">
      <c r="A83" s="8"/>
      <c r="B83" s="8"/>
      <c r="C83" s="84"/>
      <c r="D83" s="84"/>
      <c r="E83" s="84"/>
      <c r="F83" s="85"/>
      <c r="G83" s="86"/>
      <c r="H83" s="86"/>
      <c r="I83" s="86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 ht="16.5" customHeight="1">
      <c r="A84" s="8"/>
      <c r="B84" s="8"/>
      <c r="C84" s="84"/>
      <c r="D84" s="84"/>
      <c r="E84" s="84"/>
      <c r="F84" s="85"/>
      <c r="G84" s="86"/>
      <c r="H84" s="86"/>
      <c r="I84" s="86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 ht="16.5" customHeight="1">
      <c r="A85" s="8"/>
      <c r="B85" s="8"/>
      <c r="C85" s="84"/>
      <c r="D85" s="84"/>
      <c r="E85" s="84"/>
      <c r="F85" s="85"/>
      <c r="G85" s="86"/>
      <c r="H85" s="86"/>
      <c r="I85" s="86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 ht="16.5" customHeight="1">
      <c r="A86" s="8"/>
      <c r="B86" s="8"/>
      <c r="C86" s="84"/>
      <c r="D86" s="84"/>
      <c r="E86" s="84"/>
      <c r="F86" s="85"/>
      <c r="G86" s="86"/>
      <c r="H86" s="86"/>
      <c r="I86" s="86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 ht="16.5" customHeight="1">
      <c r="A87" s="8"/>
      <c r="B87" s="8"/>
      <c r="C87" s="84"/>
      <c r="D87" s="84"/>
      <c r="E87" s="84"/>
      <c r="F87" s="85"/>
      <c r="G87" s="86"/>
      <c r="H87" s="86"/>
      <c r="I87" s="86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 ht="16.5" customHeight="1">
      <c r="A88" s="8"/>
      <c r="B88" s="8"/>
      <c r="C88" s="84"/>
      <c r="D88" s="84"/>
      <c r="E88" s="84"/>
      <c r="F88" s="85"/>
      <c r="G88" s="86"/>
      <c r="H88" s="86"/>
      <c r="I88" s="86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 ht="16.5" customHeight="1">
      <c r="A89" s="8"/>
      <c r="B89" s="8"/>
      <c r="C89" s="84"/>
      <c r="D89" s="84"/>
      <c r="E89" s="84"/>
      <c r="F89" s="85"/>
      <c r="G89" s="86"/>
      <c r="H89" s="86"/>
      <c r="I89" s="86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 ht="16.5" customHeight="1">
      <c r="A90" s="8"/>
      <c r="B90" s="8"/>
      <c r="C90" s="84"/>
      <c r="D90" s="84"/>
      <c r="E90" s="84"/>
      <c r="F90" s="85"/>
      <c r="G90" s="86"/>
      <c r="H90" s="86"/>
      <c r="I90" s="86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 ht="16.5" customHeight="1">
      <c r="A91" s="8"/>
      <c r="B91" s="8"/>
      <c r="C91" s="84"/>
      <c r="D91" s="84"/>
      <c r="E91" s="84"/>
      <c r="F91" s="85"/>
      <c r="G91" s="86"/>
      <c r="H91" s="86"/>
      <c r="I91" s="86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 ht="16.5" customHeight="1">
      <c r="A92" s="8"/>
      <c r="B92" s="8"/>
      <c r="C92" s="84"/>
      <c r="D92" s="84"/>
      <c r="E92" s="84"/>
      <c r="F92" s="85"/>
      <c r="G92" s="86"/>
      <c r="H92" s="86"/>
      <c r="I92" s="86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 ht="16.5" customHeight="1">
      <c r="A93" s="8"/>
      <c r="B93" s="8"/>
      <c r="C93" s="84"/>
      <c r="D93" s="84"/>
      <c r="E93" s="84"/>
      <c r="F93" s="85"/>
      <c r="G93" s="86"/>
      <c r="H93" s="86"/>
      <c r="I93" s="86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 ht="16.5" customHeight="1">
      <c r="A94" s="8"/>
      <c r="B94" s="8"/>
      <c r="C94" s="84"/>
      <c r="D94" s="84"/>
      <c r="E94" s="84"/>
      <c r="F94" s="85"/>
      <c r="G94" s="86"/>
      <c r="H94" s="86"/>
      <c r="I94" s="86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 ht="16.5" customHeight="1">
      <c r="A95" s="8"/>
      <c r="B95" s="8"/>
      <c r="C95" s="84"/>
      <c r="D95" s="84"/>
      <c r="E95" s="84"/>
      <c r="F95" s="85"/>
      <c r="G95" s="86"/>
      <c r="H95" s="86"/>
      <c r="I95" s="86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 ht="16.5" customHeight="1">
      <c r="A96" s="8"/>
      <c r="B96" s="8"/>
      <c r="C96" s="84"/>
      <c r="D96" s="84"/>
      <c r="E96" s="84"/>
      <c r="F96" s="85"/>
      <c r="G96" s="86"/>
      <c r="H96" s="86"/>
      <c r="I96" s="86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 ht="16.5" customHeight="1">
      <c r="A97" s="8"/>
      <c r="B97" s="8"/>
      <c r="C97" s="84"/>
      <c r="D97" s="84"/>
      <c r="E97" s="84"/>
      <c r="F97" s="85"/>
      <c r="G97" s="86"/>
      <c r="H97" s="86"/>
      <c r="I97" s="86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 ht="15.75" customHeight="1">
      <c r="A98" s="8"/>
      <c r="B98" s="8"/>
      <c r="C98" s="84"/>
      <c r="D98" s="84"/>
      <c r="E98" s="84"/>
      <c r="F98" s="85"/>
      <c r="G98" s="86"/>
      <c r="H98" s="86"/>
      <c r="I98" s="8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 ht="15.75" customHeight="1">
      <c r="A99" s="8"/>
      <c r="B99" s="8"/>
      <c r="C99" s="84"/>
      <c r="D99" s="84"/>
      <c r="E99" s="84"/>
      <c r="F99" s="85"/>
      <c r="G99" s="86"/>
      <c r="H99" s="86"/>
      <c r="I99" s="86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 ht="15.75" customHeight="1">
      <c r="A100" s="8"/>
      <c r="B100" s="8"/>
      <c r="C100" s="84"/>
      <c r="D100" s="84"/>
      <c r="E100" s="84"/>
      <c r="F100" s="85"/>
      <c r="G100" s="86"/>
      <c r="H100" s="86"/>
      <c r="I100" s="86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 ht="15.75" customHeight="1">
      <c r="A101" s="8"/>
      <c r="B101" s="8"/>
      <c r="C101" s="84"/>
      <c r="D101" s="84"/>
      <c r="E101" s="84"/>
      <c r="F101" s="85"/>
      <c r="G101" s="86"/>
      <c r="H101" s="86"/>
      <c r="I101" s="86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 ht="15.75" customHeight="1">
      <c r="A102" s="8"/>
      <c r="B102" s="8"/>
      <c r="C102" s="84"/>
      <c r="D102" s="84"/>
      <c r="E102" s="84"/>
      <c r="F102" s="85"/>
      <c r="G102" s="86"/>
      <c r="H102" s="86"/>
      <c r="I102" s="86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 ht="15.75" customHeight="1">
      <c r="A103" s="8"/>
      <c r="B103" s="8"/>
      <c r="C103" s="88"/>
      <c r="D103" s="88"/>
      <c r="E103" s="88"/>
      <c r="F103" s="86"/>
      <c r="G103" s="86"/>
      <c r="H103" s="86"/>
      <c r="I103" s="86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 ht="15.75" customHeight="1">
      <c r="A104" s="8"/>
      <c r="B104" s="8"/>
      <c r="C104" s="88"/>
      <c r="D104" s="88"/>
      <c r="E104" s="88"/>
      <c r="F104" s="86"/>
      <c r="G104" s="86"/>
      <c r="H104" s="86"/>
      <c r="I104" s="8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 ht="15.75" customHeight="1">
      <c r="A105" s="8"/>
      <c r="B105" s="8"/>
      <c r="C105" s="88"/>
      <c r="D105" s="88"/>
      <c r="E105" s="88"/>
      <c r="F105" s="86"/>
      <c r="G105" s="86"/>
      <c r="H105" s="86"/>
      <c r="I105" s="86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 ht="15.75" customHeight="1">
      <c r="A106" s="8"/>
      <c r="B106" s="8"/>
      <c r="C106" s="88"/>
      <c r="D106" s="88"/>
      <c r="E106" s="88"/>
      <c r="F106" s="86"/>
      <c r="G106" s="86"/>
      <c r="H106" s="86"/>
      <c r="I106" s="86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 ht="15.75" customHeight="1">
      <c r="A107" s="8"/>
      <c r="B107" s="8"/>
      <c r="C107" s="88"/>
      <c r="D107" s="88"/>
      <c r="E107" s="88"/>
      <c r="F107" s="86"/>
      <c r="G107" s="86"/>
      <c r="H107" s="86"/>
      <c r="I107" s="8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 ht="15.75" customHeight="1">
      <c r="A108" s="8"/>
      <c r="B108" s="8"/>
      <c r="C108" s="88"/>
      <c r="D108" s="88"/>
      <c r="E108" s="88"/>
      <c r="F108" s="86"/>
      <c r="G108" s="86"/>
      <c r="H108" s="86"/>
      <c r="I108" s="86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 ht="15.75" customHeight="1">
      <c r="A109" s="8"/>
      <c r="B109" s="8"/>
      <c r="C109" s="88"/>
      <c r="D109" s="88"/>
      <c r="E109" s="88"/>
      <c r="F109" s="86"/>
      <c r="G109" s="86"/>
      <c r="H109" s="86"/>
      <c r="I109" s="86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 ht="15.75" customHeight="1">
      <c r="A110" s="8"/>
      <c r="B110" s="8"/>
      <c r="C110" s="88"/>
      <c r="D110" s="88"/>
      <c r="E110" s="88"/>
      <c r="F110" s="86"/>
      <c r="G110" s="86"/>
      <c r="H110" s="86"/>
      <c r="I110" s="8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 ht="15.75" customHeight="1">
      <c r="A111" s="8"/>
      <c r="B111" s="8"/>
      <c r="C111" s="88"/>
      <c r="D111" s="88"/>
      <c r="E111" s="88"/>
      <c r="F111" s="86"/>
      <c r="G111" s="86"/>
      <c r="H111" s="86"/>
      <c r="I111" s="86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 ht="15.75" customHeight="1">
      <c r="A112" s="8"/>
      <c r="B112" s="8"/>
      <c r="C112" s="88"/>
      <c r="D112" s="88"/>
      <c r="E112" s="88"/>
      <c r="F112" s="86"/>
      <c r="G112" s="86"/>
      <c r="H112" s="86"/>
      <c r="I112" s="86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 ht="15.75" customHeight="1">
      <c r="A113" s="8"/>
      <c r="B113" s="8"/>
      <c r="C113" s="88"/>
      <c r="D113" s="88"/>
      <c r="E113" s="88"/>
      <c r="F113" s="86"/>
      <c r="G113" s="86"/>
      <c r="H113" s="86"/>
      <c r="I113" s="8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 ht="15.75" customHeight="1">
      <c r="A114" s="8"/>
      <c r="B114" s="8"/>
      <c r="C114" s="88"/>
      <c r="D114" s="88"/>
      <c r="E114" s="88"/>
      <c r="F114" s="86"/>
      <c r="G114" s="86"/>
      <c r="H114" s="86"/>
      <c r="I114" s="86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 ht="15.75" customHeight="1">
      <c r="A115" s="8"/>
      <c r="B115" s="8"/>
      <c r="C115" s="88"/>
      <c r="D115" s="88"/>
      <c r="E115" s="88"/>
      <c r="F115" s="86"/>
      <c r="G115" s="86"/>
      <c r="H115" s="86"/>
      <c r="I115" s="86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 ht="15.75" customHeight="1">
      <c r="A116" s="8"/>
      <c r="B116" s="8"/>
      <c r="C116" s="88"/>
      <c r="D116" s="88"/>
      <c r="E116" s="88"/>
      <c r="F116" s="86"/>
      <c r="G116" s="86"/>
      <c r="H116" s="86"/>
      <c r="I116" s="8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 ht="15.75" customHeight="1">
      <c r="A117" s="8"/>
      <c r="B117" s="8"/>
      <c r="C117" s="88"/>
      <c r="D117" s="88"/>
      <c r="E117" s="88"/>
      <c r="F117" s="86"/>
      <c r="G117" s="86"/>
      <c r="H117" s="86"/>
      <c r="I117" s="86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 ht="15.75" customHeight="1">
      <c r="A118" s="8"/>
      <c r="B118" s="8"/>
      <c r="C118" s="88"/>
      <c r="D118" s="88"/>
      <c r="E118" s="88"/>
      <c r="F118" s="86"/>
      <c r="G118" s="86"/>
      <c r="H118" s="86"/>
      <c r="I118" s="86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 ht="15.75" customHeight="1">
      <c r="A119" s="8"/>
      <c r="B119" s="8"/>
      <c r="C119" s="88"/>
      <c r="D119" s="88"/>
      <c r="E119" s="88"/>
      <c r="F119" s="86"/>
      <c r="G119" s="86"/>
      <c r="H119" s="86"/>
      <c r="I119" s="86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 ht="15.75" customHeight="1">
      <c r="A120" s="8"/>
      <c r="B120" s="8"/>
      <c r="C120" s="88"/>
      <c r="D120" s="88"/>
      <c r="E120" s="88"/>
      <c r="F120" s="86"/>
      <c r="G120" s="86"/>
      <c r="H120" s="86"/>
      <c r="I120" s="86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 ht="15.75" customHeight="1">
      <c r="A121" s="8"/>
      <c r="B121" s="8"/>
      <c r="C121" s="88"/>
      <c r="D121" s="88"/>
      <c r="E121" s="88"/>
      <c r="F121" s="86"/>
      <c r="G121" s="86"/>
      <c r="H121" s="86"/>
      <c r="I121" s="86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 ht="15.75" customHeight="1">
      <c r="A122" s="8"/>
      <c r="B122" s="8"/>
      <c r="C122" s="88"/>
      <c r="D122" s="88"/>
      <c r="E122" s="88"/>
      <c r="F122" s="86"/>
      <c r="G122" s="86"/>
      <c r="H122" s="86"/>
      <c r="I122" s="86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 ht="15.75" customHeight="1">
      <c r="A123" s="8"/>
      <c r="B123" s="8"/>
      <c r="C123" s="88"/>
      <c r="D123" s="88"/>
      <c r="E123" s="88"/>
      <c r="F123" s="86"/>
      <c r="G123" s="86"/>
      <c r="H123" s="86"/>
      <c r="I123" s="86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 ht="15.75" customHeight="1">
      <c r="A124" s="8"/>
      <c r="B124" s="8"/>
      <c r="C124" s="88"/>
      <c r="D124" s="88"/>
      <c r="E124" s="88"/>
      <c r="F124" s="86"/>
      <c r="G124" s="86"/>
      <c r="H124" s="86"/>
      <c r="I124" s="86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 ht="15.75" customHeight="1">
      <c r="A125" s="8"/>
      <c r="B125" s="8"/>
      <c r="C125" s="88"/>
      <c r="D125" s="88"/>
      <c r="E125" s="88"/>
      <c r="F125" s="86"/>
      <c r="G125" s="86"/>
      <c r="H125" s="86"/>
      <c r="I125" s="86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 ht="15.75" customHeight="1">
      <c r="A126" s="8"/>
      <c r="B126" s="8"/>
      <c r="C126" s="88"/>
      <c r="D126" s="88"/>
      <c r="E126" s="88"/>
      <c r="F126" s="86"/>
      <c r="G126" s="86"/>
      <c r="H126" s="86"/>
      <c r="I126" s="86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 ht="15.75" customHeight="1">
      <c r="A127" s="8"/>
      <c r="B127" s="8"/>
      <c r="C127" s="88"/>
      <c r="D127" s="88"/>
      <c r="E127" s="88"/>
      <c r="F127" s="86"/>
      <c r="G127" s="86"/>
      <c r="H127" s="86"/>
      <c r="I127" s="86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 ht="15.75" customHeight="1">
      <c r="A128" s="8"/>
      <c r="B128" s="8"/>
      <c r="C128" s="88"/>
      <c r="D128" s="88"/>
      <c r="E128" s="88"/>
      <c r="F128" s="86"/>
      <c r="G128" s="86"/>
      <c r="H128" s="86"/>
      <c r="I128" s="86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 ht="15.75" customHeight="1">
      <c r="A129" s="8"/>
      <c r="B129" s="8"/>
      <c r="C129" s="88"/>
      <c r="D129" s="88"/>
      <c r="E129" s="88"/>
      <c r="F129" s="86"/>
      <c r="G129" s="86"/>
      <c r="H129" s="86"/>
      <c r="I129" s="8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 ht="15.75" customHeight="1">
      <c r="A130" s="8"/>
      <c r="B130" s="8"/>
      <c r="C130" s="88"/>
      <c r="D130" s="88"/>
      <c r="E130" s="88"/>
      <c r="F130" s="86"/>
      <c r="G130" s="86"/>
      <c r="H130" s="86"/>
      <c r="I130" s="8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 ht="15.75" customHeight="1">
      <c r="A131" s="8"/>
      <c r="B131" s="8"/>
      <c r="C131" s="88"/>
      <c r="D131" s="88"/>
      <c r="E131" s="88"/>
      <c r="F131" s="86"/>
      <c r="G131" s="86"/>
      <c r="H131" s="86"/>
      <c r="I131" s="86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 ht="15.75" customHeight="1">
      <c r="A132" s="8"/>
      <c r="B132" s="8"/>
      <c r="C132" s="88"/>
      <c r="D132" s="88"/>
      <c r="E132" s="88"/>
      <c r="F132" s="86"/>
      <c r="G132" s="86"/>
      <c r="H132" s="86"/>
      <c r="I132" s="86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 ht="15.75" customHeight="1">
      <c r="A133" s="8"/>
      <c r="B133" s="8"/>
      <c r="C133" s="88"/>
      <c r="D133" s="88"/>
      <c r="E133" s="88"/>
      <c r="F133" s="86"/>
      <c r="G133" s="86"/>
      <c r="H133" s="86"/>
      <c r="I133" s="8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 ht="15.75" customHeight="1">
      <c r="A134" s="8"/>
      <c r="B134" s="8"/>
      <c r="C134" s="88"/>
      <c r="D134" s="88"/>
      <c r="E134" s="88"/>
      <c r="F134" s="86"/>
      <c r="G134" s="86"/>
      <c r="H134" s="86"/>
      <c r="I134" s="86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 ht="15.75" customHeight="1">
      <c r="A135" s="8"/>
      <c r="B135" s="8"/>
      <c r="C135" s="88"/>
      <c r="D135" s="88"/>
      <c r="E135" s="88"/>
      <c r="F135" s="86"/>
      <c r="G135" s="86"/>
      <c r="H135" s="86"/>
      <c r="I135" s="86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 ht="15.75" customHeight="1">
      <c r="A136" s="8"/>
      <c r="B136" s="8"/>
      <c r="C136" s="88"/>
      <c r="D136" s="88"/>
      <c r="E136" s="88"/>
      <c r="F136" s="86"/>
      <c r="G136" s="86"/>
      <c r="H136" s="86"/>
      <c r="I136" s="8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 ht="15.75" customHeight="1">
      <c r="A137" s="8"/>
      <c r="B137" s="8"/>
      <c r="C137" s="88"/>
      <c r="D137" s="88"/>
      <c r="E137" s="88"/>
      <c r="F137" s="86"/>
      <c r="G137" s="86"/>
      <c r="H137" s="86"/>
      <c r="I137" s="86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 ht="15.75" customHeight="1">
      <c r="A138" s="8"/>
      <c r="B138" s="8"/>
      <c r="C138" s="88"/>
      <c r="D138" s="88"/>
      <c r="E138" s="88"/>
      <c r="F138" s="86"/>
      <c r="G138" s="86"/>
      <c r="H138" s="86"/>
      <c r="I138" s="8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 ht="15.75" customHeight="1">
      <c r="A139" s="8"/>
      <c r="B139" s="8"/>
      <c r="C139" s="88"/>
      <c r="D139" s="88"/>
      <c r="E139" s="88"/>
      <c r="F139" s="86"/>
      <c r="G139" s="86"/>
      <c r="H139" s="86"/>
      <c r="I139" s="8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 ht="15.75" customHeight="1">
      <c r="A140" s="8"/>
      <c r="B140" s="8"/>
      <c r="C140" s="88"/>
      <c r="D140" s="88"/>
      <c r="E140" s="88"/>
      <c r="F140" s="86"/>
      <c r="G140" s="86"/>
      <c r="H140" s="86"/>
      <c r="I140" s="86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 ht="15.75" customHeight="1">
      <c r="A141" s="8"/>
      <c r="B141" s="8"/>
      <c r="C141" s="88"/>
      <c r="D141" s="88"/>
      <c r="E141" s="88"/>
      <c r="F141" s="86"/>
      <c r="G141" s="86"/>
      <c r="H141" s="86"/>
      <c r="I141" s="86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 ht="15.75" customHeight="1">
      <c r="A142" s="8"/>
      <c r="B142" s="8"/>
      <c r="C142" s="88"/>
      <c r="D142" s="88"/>
      <c r="E142" s="88"/>
      <c r="F142" s="86"/>
      <c r="G142" s="86"/>
      <c r="H142" s="86"/>
      <c r="I142" s="86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 ht="15.75" customHeight="1">
      <c r="A143" s="8"/>
      <c r="B143" s="8"/>
      <c r="C143" s="88"/>
      <c r="D143" s="88"/>
      <c r="E143" s="88"/>
      <c r="F143" s="86"/>
      <c r="G143" s="86"/>
      <c r="H143" s="86"/>
      <c r="I143" s="86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 ht="15.75" customHeight="1">
      <c r="A144" s="8"/>
      <c r="B144" s="8"/>
      <c r="C144" s="88"/>
      <c r="D144" s="88"/>
      <c r="E144" s="88"/>
      <c r="F144" s="86"/>
      <c r="G144" s="86"/>
      <c r="H144" s="86"/>
      <c r="I144" s="86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 ht="15.75" customHeight="1">
      <c r="A145" s="8"/>
      <c r="B145" s="8"/>
      <c r="C145" s="88"/>
      <c r="D145" s="88"/>
      <c r="E145" s="88"/>
      <c r="F145" s="86"/>
      <c r="G145" s="86"/>
      <c r="H145" s="86"/>
      <c r="I145" s="86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 ht="15.75" customHeight="1">
      <c r="A146" s="8"/>
      <c r="B146" s="8"/>
      <c r="C146" s="88"/>
      <c r="D146" s="88"/>
      <c r="E146" s="88"/>
      <c r="F146" s="86"/>
      <c r="G146" s="86"/>
      <c r="H146" s="86"/>
      <c r="I146" s="8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 ht="15.75" customHeight="1">
      <c r="A147" s="8"/>
      <c r="B147" s="8"/>
      <c r="C147" s="88"/>
      <c r="D147" s="88"/>
      <c r="E147" s="88"/>
      <c r="F147" s="86"/>
      <c r="G147" s="86"/>
      <c r="H147" s="86"/>
      <c r="I147" s="86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 ht="15.75" customHeight="1">
      <c r="A148" s="8"/>
      <c r="B148" s="8"/>
      <c r="C148" s="88"/>
      <c r="D148" s="88"/>
      <c r="E148" s="88"/>
      <c r="F148" s="86"/>
      <c r="G148" s="86"/>
      <c r="H148" s="86"/>
      <c r="I148" s="8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 ht="15.75" customHeight="1">
      <c r="A149" s="8"/>
      <c r="B149" s="8"/>
      <c r="C149" s="88"/>
      <c r="D149" s="88"/>
      <c r="E149" s="88"/>
      <c r="F149" s="86"/>
      <c r="G149" s="86"/>
      <c r="H149" s="86"/>
      <c r="I149" s="86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 ht="15.75" customHeight="1">
      <c r="A150" s="8"/>
      <c r="B150" s="8"/>
      <c r="C150" s="88"/>
      <c r="D150" s="88"/>
      <c r="E150" s="88"/>
      <c r="F150" s="86"/>
      <c r="G150" s="86"/>
      <c r="H150" s="86"/>
      <c r="I150" s="86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 ht="15.75" customHeight="1">
      <c r="A151" s="8"/>
      <c r="B151" s="8"/>
      <c r="C151" s="88"/>
      <c r="D151" s="88"/>
      <c r="E151" s="88"/>
      <c r="F151" s="86"/>
      <c r="G151" s="86"/>
      <c r="H151" s="86"/>
      <c r="I151" s="86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 ht="15.75" customHeight="1">
      <c r="A152" s="8"/>
      <c r="B152" s="8"/>
      <c r="C152" s="88"/>
      <c r="D152" s="88"/>
      <c r="E152" s="88"/>
      <c r="F152" s="86"/>
      <c r="G152" s="86"/>
      <c r="H152" s="86"/>
      <c r="I152" s="86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 ht="15.75" customHeight="1">
      <c r="A153" s="8"/>
      <c r="B153" s="8"/>
      <c r="C153" s="88"/>
      <c r="D153" s="88"/>
      <c r="E153" s="88"/>
      <c r="F153" s="86"/>
      <c r="G153" s="86"/>
      <c r="H153" s="86"/>
      <c r="I153" s="86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 ht="15.75" customHeight="1">
      <c r="A154" s="8"/>
      <c r="B154" s="8"/>
      <c r="C154" s="88"/>
      <c r="D154" s="88"/>
      <c r="E154" s="88"/>
      <c r="F154" s="86"/>
      <c r="G154" s="86"/>
      <c r="H154" s="86"/>
      <c r="I154" s="86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 ht="15.75" customHeight="1">
      <c r="A155" s="8"/>
      <c r="B155" s="8"/>
      <c r="C155" s="88"/>
      <c r="D155" s="88"/>
      <c r="E155" s="88"/>
      <c r="F155" s="86"/>
      <c r="G155" s="86"/>
      <c r="H155" s="86"/>
      <c r="I155" s="86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 ht="15.75" customHeight="1">
      <c r="A156" s="8"/>
      <c r="B156" s="8"/>
      <c r="C156" s="88"/>
      <c r="D156" s="88"/>
      <c r="E156" s="88"/>
      <c r="F156" s="86"/>
      <c r="G156" s="86"/>
      <c r="H156" s="86"/>
      <c r="I156" s="8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 ht="15.75" customHeight="1">
      <c r="A157" s="8"/>
      <c r="B157" s="8"/>
      <c r="C157" s="88"/>
      <c r="D157" s="88"/>
      <c r="E157" s="88"/>
      <c r="F157" s="86"/>
      <c r="G157" s="86"/>
      <c r="H157" s="86"/>
      <c r="I157" s="86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 ht="15.75" customHeight="1">
      <c r="A158" s="8"/>
      <c r="B158" s="8"/>
      <c r="C158" s="88"/>
      <c r="D158" s="88"/>
      <c r="E158" s="88"/>
      <c r="F158" s="86"/>
      <c r="G158" s="86"/>
      <c r="H158" s="86"/>
      <c r="I158" s="8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 ht="15.75" customHeight="1">
      <c r="A159" s="8"/>
      <c r="B159" s="8"/>
      <c r="C159" s="88"/>
      <c r="D159" s="88"/>
      <c r="E159" s="88"/>
      <c r="F159" s="86"/>
      <c r="G159" s="86"/>
      <c r="H159" s="86"/>
      <c r="I159" s="86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 ht="15.75" customHeight="1">
      <c r="A160" s="8"/>
      <c r="B160" s="8"/>
      <c r="C160" s="88"/>
      <c r="D160" s="88"/>
      <c r="E160" s="88"/>
      <c r="F160" s="86"/>
      <c r="G160" s="86"/>
      <c r="H160" s="86"/>
      <c r="I160" s="8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 ht="15.75" customHeight="1">
      <c r="A161" s="8"/>
      <c r="B161" s="8"/>
      <c r="C161" s="88"/>
      <c r="D161" s="88"/>
      <c r="E161" s="88"/>
      <c r="F161" s="86"/>
      <c r="G161" s="86"/>
      <c r="H161" s="86"/>
      <c r="I161" s="86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 ht="15.75" customHeight="1">
      <c r="A162" s="8"/>
      <c r="B162" s="8"/>
      <c r="C162" s="88"/>
      <c r="D162" s="88"/>
      <c r="E162" s="88"/>
      <c r="F162" s="86"/>
      <c r="G162" s="86"/>
      <c r="H162" s="86"/>
      <c r="I162" s="86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 ht="15.75" customHeight="1">
      <c r="A163" s="8"/>
      <c r="B163" s="8"/>
      <c r="C163" s="88"/>
      <c r="D163" s="88"/>
      <c r="E163" s="88"/>
      <c r="F163" s="86"/>
      <c r="G163" s="86"/>
      <c r="H163" s="86"/>
      <c r="I163" s="8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 ht="15.75" customHeight="1">
      <c r="A164" s="8"/>
      <c r="B164" s="8"/>
      <c r="C164" s="88"/>
      <c r="D164" s="88"/>
      <c r="E164" s="88"/>
      <c r="F164" s="86"/>
      <c r="G164" s="86"/>
      <c r="H164" s="86"/>
      <c r="I164" s="8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 ht="15.75" customHeight="1">
      <c r="A165" s="8"/>
      <c r="B165" s="8"/>
      <c r="C165" s="88"/>
      <c r="D165" s="88"/>
      <c r="E165" s="88"/>
      <c r="F165" s="86"/>
      <c r="G165" s="86"/>
      <c r="H165" s="86"/>
      <c r="I165" s="8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 ht="15.75" customHeight="1">
      <c r="A166" s="8"/>
      <c r="B166" s="8"/>
      <c r="C166" s="88"/>
      <c r="D166" s="88"/>
      <c r="E166" s="88"/>
      <c r="F166" s="86"/>
      <c r="G166" s="86"/>
      <c r="H166" s="86"/>
      <c r="I166" s="86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 ht="15.75" customHeight="1">
      <c r="A167" s="8"/>
      <c r="B167" s="8"/>
      <c r="C167" s="88"/>
      <c r="D167" s="88"/>
      <c r="E167" s="88"/>
      <c r="F167" s="86"/>
      <c r="G167" s="86"/>
      <c r="H167" s="86"/>
      <c r="I167" s="86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 ht="15.75" customHeight="1">
      <c r="A168" s="8"/>
      <c r="B168" s="8"/>
      <c r="C168" s="88"/>
      <c r="D168" s="88"/>
      <c r="E168" s="88"/>
      <c r="F168" s="86"/>
      <c r="G168" s="86"/>
      <c r="H168" s="86"/>
      <c r="I168" s="86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 ht="15.75" customHeight="1">
      <c r="A169" s="8"/>
      <c r="B169" s="8"/>
      <c r="C169" s="88"/>
      <c r="D169" s="88"/>
      <c r="E169" s="88"/>
      <c r="F169" s="86"/>
      <c r="G169" s="86"/>
      <c r="H169" s="86"/>
      <c r="I169" s="8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 ht="15.75" customHeight="1">
      <c r="A170" s="8"/>
      <c r="B170" s="8"/>
      <c r="C170" s="88"/>
      <c r="D170" s="88"/>
      <c r="E170" s="88"/>
      <c r="F170" s="86"/>
      <c r="G170" s="86"/>
      <c r="H170" s="86"/>
      <c r="I170" s="8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 ht="15.75" customHeight="1">
      <c r="A171" s="8"/>
      <c r="B171" s="8"/>
      <c r="C171" s="88"/>
      <c r="D171" s="88"/>
      <c r="E171" s="88"/>
      <c r="F171" s="86"/>
      <c r="G171" s="86"/>
      <c r="H171" s="86"/>
      <c r="I171" s="86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 ht="15.75" customHeight="1">
      <c r="A172" s="8"/>
      <c r="B172" s="8"/>
      <c r="C172" s="88"/>
      <c r="D172" s="88"/>
      <c r="E172" s="88"/>
      <c r="F172" s="86"/>
      <c r="G172" s="86"/>
      <c r="H172" s="86"/>
      <c r="I172" s="86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 ht="15.75" customHeight="1">
      <c r="A173" s="8"/>
      <c r="B173" s="8"/>
      <c r="C173" s="88"/>
      <c r="D173" s="88"/>
      <c r="E173" s="88"/>
      <c r="F173" s="86"/>
      <c r="G173" s="86"/>
      <c r="H173" s="86"/>
      <c r="I173" s="86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 ht="15.75" customHeight="1">
      <c r="A174" s="8"/>
      <c r="B174" s="8"/>
      <c r="C174" s="88"/>
      <c r="D174" s="88"/>
      <c r="E174" s="88"/>
      <c r="F174" s="86"/>
      <c r="G174" s="86"/>
      <c r="H174" s="86"/>
      <c r="I174" s="86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 ht="15.75" customHeight="1">
      <c r="A175" s="8"/>
      <c r="B175" s="8"/>
      <c r="C175" s="88"/>
      <c r="D175" s="88"/>
      <c r="E175" s="88"/>
      <c r="F175" s="86"/>
      <c r="G175" s="86"/>
      <c r="H175" s="86"/>
      <c r="I175" s="86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 ht="15.75" customHeight="1">
      <c r="A176" s="8"/>
      <c r="B176" s="8"/>
      <c r="C176" s="88"/>
      <c r="D176" s="88"/>
      <c r="E176" s="88"/>
      <c r="F176" s="86"/>
      <c r="G176" s="86"/>
      <c r="H176" s="86"/>
      <c r="I176" s="8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 ht="15.75" customHeight="1">
      <c r="A177" s="8"/>
      <c r="B177" s="8"/>
      <c r="C177" s="88"/>
      <c r="D177" s="88"/>
      <c r="E177" s="88"/>
      <c r="F177" s="86"/>
      <c r="G177" s="86"/>
      <c r="H177" s="86"/>
      <c r="I177" s="8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 ht="15.75" customHeight="1">
      <c r="A178" s="8"/>
      <c r="B178" s="8"/>
      <c r="C178" s="88"/>
      <c r="D178" s="88"/>
      <c r="E178" s="88"/>
      <c r="F178" s="86"/>
      <c r="G178" s="86"/>
      <c r="H178" s="86"/>
      <c r="I178" s="86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 ht="15.75" customHeight="1">
      <c r="A179" s="8"/>
      <c r="B179" s="8"/>
      <c r="C179" s="88"/>
      <c r="D179" s="88"/>
      <c r="E179" s="88"/>
      <c r="F179" s="86"/>
      <c r="G179" s="86"/>
      <c r="H179" s="86"/>
      <c r="I179" s="86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 ht="15.75" customHeight="1">
      <c r="A180" s="8"/>
      <c r="B180" s="8"/>
      <c r="C180" s="88"/>
      <c r="D180" s="88"/>
      <c r="E180" s="88"/>
      <c r="F180" s="86"/>
      <c r="G180" s="86"/>
      <c r="H180" s="86"/>
      <c r="I180" s="8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 ht="15.75" customHeight="1">
      <c r="A181" s="8"/>
      <c r="B181" s="8"/>
      <c r="C181" s="88"/>
      <c r="D181" s="88"/>
      <c r="E181" s="88"/>
      <c r="F181" s="86"/>
      <c r="G181" s="86"/>
      <c r="H181" s="86"/>
      <c r="I181" s="86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 ht="15.75" customHeight="1">
      <c r="A182" s="8"/>
      <c r="B182" s="8"/>
      <c r="C182" s="88"/>
      <c r="D182" s="88"/>
      <c r="E182" s="88"/>
      <c r="F182" s="86"/>
      <c r="G182" s="86"/>
      <c r="H182" s="86"/>
      <c r="I182" s="86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 ht="15.75" customHeight="1">
      <c r="A183" s="8"/>
      <c r="B183" s="8"/>
      <c r="C183" s="88"/>
      <c r="D183" s="88"/>
      <c r="E183" s="88"/>
      <c r="F183" s="86"/>
      <c r="G183" s="86"/>
      <c r="H183" s="86"/>
      <c r="I183" s="8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 ht="15.75" customHeight="1">
      <c r="A184" s="8"/>
      <c r="B184" s="8"/>
      <c r="C184" s="88"/>
      <c r="D184" s="88"/>
      <c r="E184" s="88"/>
      <c r="F184" s="86"/>
      <c r="G184" s="86"/>
      <c r="H184" s="86"/>
      <c r="I184" s="8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 ht="15.75" customHeight="1">
      <c r="A185" s="8"/>
      <c r="B185" s="8"/>
      <c r="C185" s="88"/>
      <c r="D185" s="88"/>
      <c r="E185" s="88"/>
      <c r="F185" s="86"/>
      <c r="G185" s="86"/>
      <c r="H185" s="86"/>
      <c r="I185" s="86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 ht="15.75" customHeight="1">
      <c r="A186" s="8"/>
      <c r="B186" s="8"/>
      <c r="C186" s="88"/>
      <c r="D186" s="88"/>
      <c r="E186" s="88"/>
      <c r="F186" s="86"/>
      <c r="G186" s="86"/>
      <c r="H186" s="86"/>
      <c r="I186" s="8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 ht="15.75" customHeight="1">
      <c r="A187" s="8"/>
      <c r="B187" s="8"/>
      <c r="C187" s="88"/>
      <c r="D187" s="88"/>
      <c r="E187" s="88"/>
      <c r="F187" s="86"/>
      <c r="G187" s="86"/>
      <c r="H187" s="86"/>
      <c r="I187" s="86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 ht="15.75" customHeight="1">
      <c r="A188" s="8"/>
      <c r="B188" s="8"/>
      <c r="C188" s="88"/>
      <c r="D188" s="88"/>
      <c r="E188" s="88"/>
      <c r="F188" s="86"/>
      <c r="G188" s="86"/>
      <c r="H188" s="86"/>
      <c r="I188" s="8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 ht="15.75" customHeight="1">
      <c r="A189" s="8"/>
      <c r="B189" s="8"/>
      <c r="C189" s="88"/>
      <c r="D189" s="88"/>
      <c r="E189" s="88"/>
      <c r="F189" s="86"/>
      <c r="G189" s="86"/>
      <c r="H189" s="86"/>
      <c r="I189" s="86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 ht="15.75" customHeight="1">
      <c r="A190" s="8"/>
      <c r="B190" s="8"/>
      <c r="C190" s="88"/>
      <c r="D190" s="88"/>
      <c r="E190" s="88"/>
      <c r="F190" s="86"/>
      <c r="G190" s="86"/>
      <c r="H190" s="86"/>
      <c r="I190" s="8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 ht="15.75" customHeight="1">
      <c r="A191" s="8"/>
      <c r="B191" s="8"/>
      <c r="C191" s="88"/>
      <c r="D191" s="88"/>
      <c r="E191" s="88"/>
      <c r="F191" s="86"/>
      <c r="G191" s="86"/>
      <c r="H191" s="86"/>
      <c r="I191" s="86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 ht="15.75" customHeight="1">
      <c r="A192" s="8"/>
      <c r="B192" s="8"/>
      <c r="C192" s="88"/>
      <c r="D192" s="88"/>
      <c r="E192" s="88"/>
      <c r="F192" s="86"/>
      <c r="G192" s="86"/>
      <c r="H192" s="86"/>
      <c r="I192" s="86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 ht="15.75" customHeight="1">
      <c r="A193" s="8"/>
      <c r="B193" s="8"/>
      <c r="C193" s="88"/>
      <c r="D193" s="88"/>
      <c r="E193" s="88"/>
      <c r="F193" s="86"/>
      <c r="G193" s="86"/>
      <c r="H193" s="86"/>
      <c r="I193" s="86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 ht="15.75" customHeight="1">
      <c r="A194" s="8"/>
      <c r="B194" s="8"/>
      <c r="C194" s="88"/>
      <c r="D194" s="88"/>
      <c r="E194" s="88"/>
      <c r="F194" s="86"/>
      <c r="G194" s="86"/>
      <c r="H194" s="86"/>
      <c r="I194" s="86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 ht="15.75" customHeight="1">
      <c r="A195" s="8"/>
      <c r="B195" s="8"/>
      <c r="C195" s="89"/>
      <c r="D195" s="89"/>
      <c r="E195" s="8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 ht="15.75" customHeight="1">
      <c r="A196" s="8"/>
      <c r="B196" s="8"/>
      <c r="C196" s="89"/>
      <c r="D196" s="89"/>
      <c r="E196" s="8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 ht="15.75" customHeight="1">
      <c r="A197" s="8"/>
      <c r="B197" s="8"/>
      <c r="C197" s="89"/>
      <c r="D197" s="89"/>
      <c r="E197" s="8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 ht="15.75" customHeight="1">
      <c r="A198" s="8"/>
      <c r="B198" s="8"/>
      <c r="C198" s="89"/>
      <c r="D198" s="89"/>
      <c r="E198" s="8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 ht="15.75" customHeight="1">
      <c r="A199" s="8"/>
      <c r="B199" s="8"/>
      <c r="C199" s="89"/>
      <c r="D199" s="89"/>
      <c r="E199" s="8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 ht="15.75" customHeight="1">
      <c r="A200" s="8"/>
      <c r="B200" s="8"/>
      <c r="C200" s="89"/>
      <c r="D200" s="89"/>
      <c r="E200" s="8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 ht="15.75" customHeight="1">
      <c r="A201" s="8"/>
      <c r="B201" s="8"/>
      <c r="C201" s="89"/>
      <c r="D201" s="89"/>
      <c r="E201" s="8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 ht="15.75" customHeight="1">
      <c r="A202" s="8"/>
      <c r="B202" s="8"/>
      <c r="C202" s="89"/>
      <c r="D202" s="89"/>
      <c r="E202" s="8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 ht="15.75" customHeight="1">
      <c r="A203" s="8"/>
      <c r="B203" s="8"/>
      <c r="C203" s="89"/>
      <c r="D203" s="89"/>
      <c r="E203" s="8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 ht="15.75" customHeight="1">
      <c r="A204" s="8"/>
      <c r="B204" s="8"/>
      <c r="C204" s="89"/>
      <c r="D204" s="89"/>
      <c r="E204" s="8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 ht="15.75" customHeight="1">
      <c r="A205" s="8"/>
      <c r="B205" s="8"/>
      <c r="C205" s="89"/>
      <c r="D205" s="89"/>
      <c r="E205" s="8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 ht="15.75" customHeight="1">
      <c r="A206" s="8"/>
      <c r="B206" s="8"/>
      <c r="C206" s="89"/>
      <c r="D206" s="89"/>
      <c r="E206" s="8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 ht="15.75" customHeight="1">
      <c r="A207" s="8"/>
      <c r="B207" s="8"/>
      <c r="C207" s="89"/>
      <c r="D207" s="89"/>
      <c r="E207" s="8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 ht="15.75" customHeight="1">
      <c r="A208" s="8"/>
      <c r="B208" s="8"/>
      <c r="C208" s="89"/>
      <c r="D208" s="89"/>
      <c r="E208" s="8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 ht="15.75" customHeight="1">
      <c r="A209" s="8"/>
      <c r="B209" s="8"/>
      <c r="C209" s="89"/>
      <c r="D209" s="89"/>
      <c r="E209" s="8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 ht="15.75" customHeight="1">
      <c r="A210" s="8"/>
      <c r="B210" s="8"/>
      <c r="C210" s="89"/>
      <c r="D210" s="89"/>
      <c r="E210" s="8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 ht="15.75" customHeight="1">
      <c r="A211" s="8"/>
      <c r="B211" s="8"/>
      <c r="C211" s="89"/>
      <c r="D211" s="89"/>
      <c r="E211" s="8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 ht="15.75" customHeight="1">
      <c r="A212" s="8"/>
      <c r="B212" s="8"/>
      <c r="C212" s="89"/>
      <c r="D212" s="89"/>
      <c r="E212" s="8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 ht="15.75" customHeight="1">
      <c r="A213" s="8"/>
      <c r="B213" s="8"/>
      <c r="C213" s="89"/>
      <c r="D213" s="89"/>
      <c r="E213" s="8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 ht="15.75" customHeight="1">
      <c r="A214" s="8"/>
      <c r="B214" s="8"/>
      <c r="C214" s="89"/>
      <c r="D214" s="89"/>
      <c r="E214" s="8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 ht="15.75" customHeight="1">
      <c r="A215" s="8"/>
      <c r="B215" s="8"/>
      <c r="C215" s="89"/>
      <c r="D215" s="89"/>
      <c r="E215" s="8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 ht="15.75" customHeight="1">
      <c r="A216" s="8"/>
      <c r="B216" s="8"/>
      <c r="C216" s="89"/>
      <c r="D216" s="89"/>
      <c r="E216" s="8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 ht="15.75" customHeight="1">
      <c r="A217" s="8"/>
      <c r="B217" s="8"/>
      <c r="C217" s="89"/>
      <c r="D217" s="89"/>
      <c r="E217" s="8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 ht="15.75" customHeight="1">
      <c r="A218" s="8"/>
      <c r="B218" s="8"/>
      <c r="C218" s="89"/>
      <c r="D218" s="89"/>
      <c r="E218" s="8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 ht="15.75" customHeight="1">
      <c r="A219" s="8"/>
      <c r="B219" s="8"/>
      <c r="C219" s="89"/>
      <c r="D219" s="89"/>
      <c r="E219" s="8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 ht="15.75" customHeight="1">
      <c r="A220" s="8"/>
      <c r="B220" s="8"/>
      <c r="C220" s="89"/>
      <c r="D220" s="89"/>
      <c r="E220" s="8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 ht="15.75" customHeight="1">
      <c r="A221" s="8"/>
      <c r="B221" s="8"/>
      <c r="C221" s="89"/>
      <c r="D221" s="89"/>
      <c r="E221" s="8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 ht="15.75" customHeight="1">
      <c r="A222" s="8"/>
      <c r="B222" s="8"/>
      <c r="C222" s="89"/>
      <c r="D222" s="89"/>
      <c r="E222" s="8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 ht="15.75" customHeight="1">
      <c r="A223" s="8"/>
      <c r="B223" s="8"/>
      <c r="C223" s="89"/>
      <c r="D223" s="89"/>
      <c r="E223" s="8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 ht="15.75" customHeight="1">
      <c r="A224" s="8"/>
      <c r="B224" s="8"/>
      <c r="C224" s="89"/>
      <c r="D224" s="89"/>
      <c r="E224" s="8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 ht="15.75" customHeight="1">
      <c r="A225" s="8"/>
      <c r="B225" s="8"/>
      <c r="C225" s="89"/>
      <c r="D225" s="89"/>
      <c r="E225" s="8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</sheetData>
  <mergeCells count="23">
    <mergeCell ref="D3:D4"/>
    <mergeCell ref="E3:E4"/>
    <mergeCell ref="A5:A10"/>
    <mergeCell ref="A11:A14"/>
    <mergeCell ref="A15:A17"/>
    <mergeCell ref="A18:A22"/>
    <mergeCell ref="A23:A25"/>
    <mergeCell ref="A26:I30"/>
    <mergeCell ref="H3:H4"/>
    <mergeCell ref="I3:I4"/>
    <mergeCell ref="H5:H8"/>
    <mergeCell ref="H9:H14"/>
    <mergeCell ref="H15:H17"/>
    <mergeCell ref="H18:H22"/>
    <mergeCell ref="H23:H25"/>
    <mergeCell ref="I23:I25"/>
    <mergeCell ref="A1:B2"/>
    <mergeCell ref="C1:C2"/>
    <mergeCell ref="D1:D2"/>
    <mergeCell ref="E1:E2"/>
    <mergeCell ref="F1:I2"/>
    <mergeCell ref="A3:B3"/>
    <mergeCell ref="C3:C4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94.14"/>
    <col customWidth="1" min="3" max="3" width="21.71"/>
    <col customWidth="1" min="4" max="4" width="19.29"/>
    <col customWidth="1" min="5" max="5" width="21.14"/>
    <col customWidth="1" min="6" max="6" width="21.57"/>
    <col customWidth="1" min="8" max="8" width="49.71"/>
  </cols>
  <sheetData>
    <row r="1" ht="16.5" customHeight="1">
      <c r="A1" s="1" t="s">
        <v>40</v>
      </c>
      <c r="B1" s="2"/>
      <c r="C1" s="90" t="s">
        <v>41</v>
      </c>
      <c r="D1" s="91" t="s">
        <v>42</v>
      </c>
      <c r="E1" s="6"/>
      <c r="F1" s="2"/>
      <c r="G1" s="2"/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2"/>
    </row>
    <row r="2" ht="16.5" customHeight="1">
      <c r="A2" s="10"/>
      <c r="C2" s="36"/>
      <c r="D2" s="11"/>
      <c r="E2" s="13"/>
      <c r="H2" s="1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2"/>
    </row>
    <row r="3" ht="16.5" customHeight="1">
      <c r="A3" s="15"/>
      <c r="B3" s="16"/>
      <c r="C3" s="93"/>
      <c r="D3" s="18"/>
      <c r="E3" s="19" t="s">
        <v>4</v>
      </c>
      <c r="F3" s="20" t="s">
        <v>5</v>
      </c>
      <c r="G3" s="21" t="s">
        <v>6</v>
      </c>
      <c r="H3" s="22" t="s">
        <v>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2"/>
    </row>
    <row r="4" ht="16.5" customHeight="1">
      <c r="A4" s="23" t="s">
        <v>8</v>
      </c>
      <c r="B4" s="24" t="s">
        <v>9</v>
      </c>
      <c r="C4" s="25"/>
      <c r="D4" s="26"/>
      <c r="E4" s="27" t="s">
        <v>10</v>
      </c>
      <c r="F4" s="27" t="s">
        <v>11</v>
      </c>
      <c r="G4" s="28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2"/>
    </row>
    <row r="5" ht="16.5" customHeight="1">
      <c r="A5" s="29" t="s">
        <v>43</v>
      </c>
      <c r="B5" s="94" t="s">
        <v>44</v>
      </c>
      <c r="C5" s="62">
        <v>130000.0</v>
      </c>
      <c r="D5" s="95">
        <v>90000.0</v>
      </c>
      <c r="E5" s="96"/>
      <c r="F5" s="96"/>
      <c r="G5" s="65"/>
      <c r="H5" s="35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2"/>
    </row>
    <row r="6" ht="16.5" customHeight="1">
      <c r="A6" s="36"/>
      <c r="B6" s="97" t="s">
        <v>45</v>
      </c>
      <c r="C6" s="67">
        <v>140000.0</v>
      </c>
      <c r="D6" s="98">
        <v>100000.0</v>
      </c>
      <c r="E6" s="40"/>
      <c r="F6" s="96"/>
      <c r="G6" s="26"/>
      <c r="H6" s="4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2"/>
    </row>
    <row r="7" ht="16.5" customHeight="1">
      <c r="A7" s="36"/>
      <c r="B7" s="97" t="s">
        <v>46</v>
      </c>
      <c r="C7" s="67">
        <v>200000.0</v>
      </c>
      <c r="D7" s="98">
        <v>180000.0</v>
      </c>
      <c r="E7" s="80"/>
      <c r="F7" s="80"/>
      <c r="G7" s="26"/>
      <c r="H7" s="4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2"/>
    </row>
    <row r="8" ht="16.5" customHeight="1">
      <c r="A8" s="36"/>
      <c r="B8" s="97" t="s">
        <v>47</v>
      </c>
      <c r="C8" s="67">
        <v>250000.0</v>
      </c>
      <c r="D8" s="98">
        <v>200000.0</v>
      </c>
      <c r="E8" s="80"/>
      <c r="F8" s="80"/>
      <c r="G8" s="12"/>
      <c r="H8" s="43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2"/>
    </row>
    <row r="9" ht="16.5" customHeight="1">
      <c r="A9" s="36"/>
      <c r="B9" s="97" t="s">
        <v>48</v>
      </c>
      <c r="C9" s="99">
        <v>440000.0</v>
      </c>
      <c r="D9" s="98">
        <v>400000.0</v>
      </c>
      <c r="E9" s="80"/>
      <c r="F9" s="80"/>
      <c r="G9" s="100"/>
      <c r="H9" s="4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2"/>
    </row>
    <row r="10" ht="16.5" customHeight="1">
      <c r="A10" s="48"/>
      <c r="B10" s="101" t="s">
        <v>49</v>
      </c>
      <c r="C10" s="102">
        <v>440000.0</v>
      </c>
      <c r="D10" s="103">
        <v>400000.0</v>
      </c>
      <c r="E10" s="80"/>
      <c r="F10" s="80"/>
      <c r="G10" s="26"/>
      <c r="H10" s="41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2"/>
    </row>
    <row r="11" ht="16.5" customHeight="1">
      <c r="A11" s="52" t="s">
        <v>50</v>
      </c>
      <c r="B11" s="97" t="s">
        <v>51</v>
      </c>
      <c r="C11" s="99">
        <v>130000.0</v>
      </c>
      <c r="D11" s="88">
        <v>100000.0</v>
      </c>
      <c r="E11" s="104"/>
      <c r="F11" s="80"/>
      <c r="G11" s="26"/>
      <c r="H11" s="4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2"/>
    </row>
    <row r="12" ht="16.5" customHeight="1">
      <c r="A12" s="10"/>
      <c r="B12" s="97" t="s">
        <v>52</v>
      </c>
      <c r="C12" s="99">
        <f>135000+95000</f>
        <v>230000</v>
      </c>
      <c r="D12" s="88">
        <v>180000.0</v>
      </c>
      <c r="E12" s="105"/>
      <c r="F12" s="46"/>
      <c r="G12" s="26"/>
      <c r="H12" s="4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2"/>
    </row>
    <row r="13" ht="16.5" customHeight="1">
      <c r="A13" s="10"/>
      <c r="B13" s="97" t="s">
        <v>53</v>
      </c>
      <c r="C13" s="99">
        <v>360000.0</v>
      </c>
      <c r="D13" s="88">
        <v>300000.0</v>
      </c>
      <c r="E13" s="106"/>
      <c r="F13" s="80"/>
      <c r="G13" s="26"/>
      <c r="H13" s="4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2"/>
    </row>
    <row r="14" ht="16.5" customHeight="1">
      <c r="A14" s="52" t="s">
        <v>54</v>
      </c>
      <c r="B14" s="107" t="s">
        <v>55</v>
      </c>
      <c r="C14" s="95">
        <v>120000.0</v>
      </c>
      <c r="D14" s="108">
        <v>100000.0</v>
      </c>
      <c r="E14" s="105"/>
      <c r="F14" s="80"/>
      <c r="G14" s="47"/>
      <c r="H14" s="41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2"/>
    </row>
    <row r="15" ht="16.5" customHeight="1">
      <c r="A15" s="10"/>
      <c r="B15" s="109" t="s">
        <v>56</v>
      </c>
      <c r="C15" s="98">
        <f>160000+105000</f>
        <v>265000</v>
      </c>
      <c r="D15" s="88">
        <v>200000.0</v>
      </c>
      <c r="E15" s="105"/>
      <c r="F15" s="80"/>
      <c r="G15" s="26"/>
      <c r="H15" s="4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2"/>
    </row>
    <row r="16" ht="16.5" customHeight="1">
      <c r="A16" s="58"/>
      <c r="B16" s="110" t="s">
        <v>57</v>
      </c>
      <c r="C16" s="98">
        <v>360000.0</v>
      </c>
      <c r="D16" s="88">
        <v>300000.0</v>
      </c>
      <c r="E16" s="105"/>
      <c r="F16" s="80"/>
      <c r="G16" s="26"/>
      <c r="H16" s="43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2"/>
    </row>
    <row r="17" ht="16.5" customHeight="1">
      <c r="A17" s="60" t="s">
        <v>28</v>
      </c>
      <c r="B17" s="111" t="s">
        <v>58</v>
      </c>
      <c r="C17" s="62">
        <v>70000.0</v>
      </c>
      <c r="D17" s="112">
        <v>50000.0</v>
      </c>
      <c r="E17" s="113"/>
      <c r="F17" s="64"/>
      <c r="G17" s="65"/>
      <c r="H17" s="4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2"/>
    </row>
    <row r="18" ht="16.5" customHeight="1">
      <c r="A18" s="10"/>
      <c r="B18" s="111" t="s">
        <v>59</v>
      </c>
      <c r="C18" s="67">
        <v>90000.0</v>
      </c>
      <c r="D18" s="114">
        <v>60000.0</v>
      </c>
      <c r="E18" s="113"/>
      <c r="F18" s="64"/>
      <c r="G18" s="26"/>
      <c r="H18" s="4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2"/>
    </row>
    <row r="19" ht="16.5" customHeight="1">
      <c r="A19" s="10"/>
      <c r="B19" s="111" t="s">
        <v>60</v>
      </c>
      <c r="C19" s="67">
        <v>150000.0</v>
      </c>
      <c r="D19" s="114">
        <v>100000.0</v>
      </c>
      <c r="E19" s="113"/>
      <c r="F19" s="64"/>
      <c r="G19" s="26"/>
      <c r="H19" s="4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2"/>
    </row>
    <row r="20" ht="16.5" customHeight="1">
      <c r="A20" s="10"/>
      <c r="B20" s="111" t="s">
        <v>61</v>
      </c>
      <c r="C20" s="67">
        <v>240000.0</v>
      </c>
      <c r="D20" s="114">
        <v>180000.0</v>
      </c>
      <c r="E20" s="113"/>
      <c r="F20" s="64"/>
      <c r="G20" s="26"/>
      <c r="H20" s="41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2"/>
    </row>
    <row r="21" ht="16.5" customHeight="1">
      <c r="A21" s="10"/>
      <c r="B21" s="115" t="s">
        <v>62</v>
      </c>
      <c r="C21" s="67">
        <v>280000.0</v>
      </c>
      <c r="D21" s="114">
        <v>240000.0</v>
      </c>
      <c r="E21" s="116"/>
      <c r="F21" s="64"/>
      <c r="G21" s="26"/>
      <c r="H21" s="4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2"/>
    </row>
    <row r="22" ht="16.5" customHeight="1">
      <c r="A22" s="117" t="s">
        <v>34</v>
      </c>
      <c r="B22" s="118" t="s">
        <v>35</v>
      </c>
      <c r="C22" s="119">
        <v>110000.0</v>
      </c>
      <c r="D22" s="120">
        <v>90000.0</v>
      </c>
      <c r="E22" s="121"/>
      <c r="F22" s="75"/>
      <c r="G22" s="76"/>
      <c r="H22" s="77" t="s">
        <v>63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2"/>
    </row>
    <row r="23" ht="16.5" customHeight="1">
      <c r="A23" s="25"/>
      <c r="B23" s="111" t="s">
        <v>36</v>
      </c>
      <c r="C23" s="73">
        <v>165000.0</v>
      </c>
      <c r="D23" s="122">
        <v>120000.0</v>
      </c>
      <c r="E23" s="121"/>
      <c r="F23" s="75"/>
      <c r="G23" s="26"/>
      <c r="H23" s="25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2"/>
    </row>
    <row r="24" ht="16.5" customHeight="1">
      <c r="A24" s="11"/>
      <c r="B24" s="111" t="s">
        <v>37</v>
      </c>
      <c r="C24" s="78">
        <v>150000.0</v>
      </c>
      <c r="D24" s="123">
        <v>120000.0</v>
      </c>
      <c r="E24" s="105"/>
      <c r="F24" s="80"/>
      <c r="G24" s="12"/>
      <c r="H24" s="11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2"/>
    </row>
    <row r="25" ht="16.5" customHeight="1">
      <c r="A25" s="52" t="s">
        <v>64</v>
      </c>
      <c r="B25" s="2"/>
      <c r="C25" s="2"/>
      <c r="D25" s="2"/>
      <c r="E25" s="2"/>
      <c r="F25" s="2"/>
      <c r="G25" s="2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2"/>
    </row>
    <row r="26" ht="16.5" customHeight="1">
      <c r="A26" s="10"/>
      <c r="H26" s="1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2"/>
    </row>
    <row r="27" ht="16.5" customHeight="1">
      <c r="A27" s="10"/>
      <c r="H27" s="1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2"/>
    </row>
    <row r="28" ht="16.5" customHeight="1">
      <c r="A28" s="10"/>
      <c r="H28" s="1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2"/>
    </row>
    <row r="29" ht="16.5" customHeight="1">
      <c r="A29" s="58"/>
      <c r="B29" s="82"/>
      <c r="C29" s="82"/>
      <c r="D29" s="82"/>
      <c r="E29" s="82"/>
      <c r="F29" s="82"/>
      <c r="G29" s="82"/>
      <c r="H29" s="83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2"/>
    </row>
    <row r="30" ht="16.5" customHeight="1">
      <c r="A30" s="8"/>
      <c r="B30" s="8"/>
      <c r="C30" s="84"/>
      <c r="D30" s="84"/>
      <c r="E30" s="85"/>
      <c r="F30" s="86"/>
      <c r="G30" s="86"/>
      <c r="H30" s="8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92"/>
    </row>
    <row r="31" ht="16.5" customHeight="1">
      <c r="A31" s="8"/>
      <c r="B31" s="8"/>
      <c r="C31" s="87"/>
      <c r="D31" s="8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92"/>
    </row>
    <row r="32" ht="16.5" customHeight="1">
      <c r="A32" s="8"/>
      <c r="B32" s="8"/>
      <c r="C32" s="87"/>
      <c r="D32" s="8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92"/>
    </row>
    <row r="33" ht="16.5" customHeight="1">
      <c r="A33" s="8"/>
      <c r="B33" s="8"/>
      <c r="C33" s="84"/>
      <c r="D33" s="84"/>
      <c r="E33" s="85"/>
      <c r="F33" s="86"/>
      <c r="G33" s="86"/>
      <c r="H33" s="8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2"/>
    </row>
    <row r="34" ht="16.5" customHeight="1">
      <c r="A34" s="8"/>
      <c r="B34" s="8"/>
      <c r="C34" s="84"/>
      <c r="D34" s="84"/>
      <c r="E34" s="85"/>
      <c r="F34" s="86"/>
      <c r="G34" s="86"/>
      <c r="H34" s="8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92"/>
    </row>
    <row r="35" ht="16.5" customHeight="1">
      <c r="A35" s="8"/>
      <c r="B35" s="8"/>
      <c r="C35" s="84"/>
      <c r="D35" s="84"/>
      <c r="E35" s="85"/>
      <c r="F35" s="86"/>
      <c r="G35" s="86"/>
      <c r="H35" s="8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2"/>
    </row>
    <row r="36" ht="16.5" customHeight="1">
      <c r="A36" s="8"/>
      <c r="B36" s="8"/>
      <c r="C36" s="84"/>
      <c r="D36" s="84"/>
      <c r="E36" s="85"/>
      <c r="F36" s="86"/>
      <c r="G36" s="86"/>
      <c r="H36" s="8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2"/>
    </row>
    <row r="37" ht="16.5" customHeight="1">
      <c r="A37" s="8"/>
      <c r="B37" s="8"/>
      <c r="C37" s="84"/>
      <c r="D37" s="84"/>
      <c r="E37" s="85"/>
      <c r="F37" s="86"/>
      <c r="G37" s="86"/>
      <c r="H37" s="8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2"/>
    </row>
    <row r="38" ht="16.5" customHeight="1">
      <c r="A38" s="8"/>
      <c r="B38" s="8"/>
      <c r="C38" s="84"/>
      <c r="D38" s="84"/>
      <c r="E38" s="85"/>
      <c r="F38" s="86"/>
      <c r="G38" s="86"/>
      <c r="H38" s="8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2"/>
    </row>
    <row r="39" ht="16.5" customHeight="1">
      <c r="A39" s="8"/>
      <c r="B39" s="8"/>
      <c r="C39" s="84"/>
      <c r="D39" s="84"/>
      <c r="E39" s="85"/>
      <c r="F39" s="86"/>
      <c r="G39" s="86"/>
      <c r="H39" s="8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2"/>
    </row>
    <row r="40" ht="16.5" customHeight="1">
      <c r="A40" s="8"/>
      <c r="B40" s="8"/>
      <c r="C40" s="84"/>
      <c r="D40" s="84"/>
      <c r="E40" s="85"/>
      <c r="F40" s="86"/>
      <c r="G40" s="86"/>
      <c r="H40" s="8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2"/>
    </row>
    <row r="41" ht="16.5" customHeight="1">
      <c r="A41" s="8"/>
      <c r="B41" s="8"/>
      <c r="C41" s="84"/>
      <c r="D41" s="84"/>
      <c r="E41" s="85"/>
      <c r="F41" s="86"/>
      <c r="G41" s="86"/>
      <c r="H41" s="8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92"/>
    </row>
    <row r="42" ht="16.5" customHeight="1">
      <c r="A42" s="8"/>
      <c r="B42" s="8"/>
      <c r="C42" s="84"/>
      <c r="D42" s="84"/>
      <c r="E42" s="85"/>
      <c r="F42" s="86"/>
      <c r="G42" s="86"/>
      <c r="H42" s="8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92"/>
    </row>
    <row r="43" ht="16.5" customHeight="1">
      <c r="A43" s="8"/>
      <c r="B43" s="8"/>
      <c r="C43" s="84"/>
      <c r="D43" s="84"/>
      <c r="E43" s="85"/>
      <c r="F43" s="86"/>
      <c r="G43" s="86"/>
      <c r="H43" s="8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92"/>
    </row>
    <row r="44" ht="16.5" customHeight="1">
      <c r="A44" s="8"/>
      <c r="B44" s="8"/>
      <c r="C44" s="84"/>
      <c r="D44" s="84"/>
      <c r="E44" s="85"/>
      <c r="F44" s="86"/>
      <c r="G44" s="86"/>
      <c r="H44" s="8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2"/>
    </row>
    <row r="45" ht="16.5" customHeight="1">
      <c r="A45" s="8"/>
      <c r="B45" s="8"/>
      <c r="C45" s="84"/>
      <c r="D45" s="84"/>
      <c r="E45" s="85"/>
      <c r="F45" s="86"/>
      <c r="G45" s="86"/>
      <c r="H45" s="8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2"/>
    </row>
    <row r="46" ht="16.5" customHeight="1">
      <c r="A46" s="8"/>
      <c r="B46" s="8"/>
      <c r="C46" s="84"/>
      <c r="D46" s="84"/>
      <c r="E46" s="85"/>
      <c r="F46" s="86"/>
      <c r="G46" s="86"/>
      <c r="H46" s="8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2"/>
    </row>
    <row r="47" ht="16.5" customHeight="1">
      <c r="A47" s="8"/>
      <c r="B47" s="8"/>
      <c r="C47" s="84"/>
      <c r="D47" s="84"/>
      <c r="E47" s="85"/>
      <c r="F47" s="86"/>
      <c r="G47" s="86"/>
      <c r="H47" s="8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2"/>
    </row>
    <row r="48" ht="16.5" customHeight="1">
      <c r="A48" s="8"/>
      <c r="B48" s="8"/>
      <c r="C48" s="84"/>
      <c r="D48" s="84"/>
      <c r="E48" s="85"/>
      <c r="F48" s="86"/>
      <c r="G48" s="86"/>
      <c r="H48" s="8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2"/>
    </row>
    <row r="49" ht="16.5" customHeight="1">
      <c r="A49" s="8"/>
      <c r="B49" s="8"/>
      <c r="C49" s="84"/>
      <c r="D49" s="84"/>
      <c r="E49" s="85"/>
      <c r="F49" s="86"/>
      <c r="G49" s="86"/>
      <c r="H49" s="8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2"/>
    </row>
    <row r="50" ht="16.5" customHeight="1">
      <c r="A50" s="8"/>
      <c r="B50" s="8"/>
      <c r="C50" s="84"/>
      <c r="D50" s="84"/>
      <c r="E50" s="85"/>
      <c r="F50" s="86"/>
      <c r="G50" s="86"/>
      <c r="H50" s="8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2"/>
    </row>
    <row r="51" ht="16.5" customHeight="1">
      <c r="A51" s="8"/>
      <c r="B51" s="8"/>
      <c r="C51" s="84"/>
      <c r="D51" s="84"/>
      <c r="E51" s="85"/>
      <c r="F51" s="86"/>
      <c r="G51" s="86"/>
      <c r="H51" s="8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2"/>
    </row>
    <row r="52" ht="16.5" customHeight="1">
      <c r="A52" s="8"/>
      <c r="B52" s="8"/>
      <c r="C52" s="84"/>
      <c r="D52" s="84"/>
      <c r="E52" s="85"/>
      <c r="F52" s="86"/>
      <c r="G52" s="86"/>
      <c r="H52" s="8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2"/>
    </row>
    <row r="53" ht="16.5" customHeight="1">
      <c r="A53" s="8"/>
      <c r="B53" s="8"/>
      <c r="C53" s="84"/>
      <c r="D53" s="84"/>
      <c r="E53" s="85"/>
      <c r="F53" s="86"/>
      <c r="G53" s="86"/>
      <c r="H53" s="8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2"/>
    </row>
    <row r="54" ht="16.5" customHeight="1">
      <c r="A54" s="8"/>
      <c r="B54" s="8"/>
      <c r="C54" s="84"/>
      <c r="D54" s="84"/>
      <c r="E54" s="85"/>
      <c r="F54" s="86"/>
      <c r="G54" s="86"/>
      <c r="H54" s="8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2"/>
    </row>
    <row r="55" ht="16.5" customHeight="1">
      <c r="A55" s="8"/>
      <c r="B55" s="8"/>
      <c r="C55" s="84"/>
      <c r="D55" s="84"/>
      <c r="E55" s="85"/>
      <c r="F55" s="86"/>
      <c r="G55" s="86"/>
      <c r="H55" s="8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2"/>
    </row>
    <row r="56" ht="16.5" customHeight="1">
      <c r="A56" s="8"/>
      <c r="B56" s="8"/>
      <c r="C56" s="84"/>
      <c r="D56" s="84"/>
      <c r="E56" s="85"/>
      <c r="F56" s="86"/>
      <c r="G56" s="86"/>
      <c r="H56" s="8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2"/>
    </row>
    <row r="57" ht="16.5" customHeight="1">
      <c r="A57" s="8"/>
      <c r="B57" s="8"/>
      <c r="C57" s="84"/>
      <c r="D57" s="84"/>
      <c r="E57" s="85"/>
      <c r="F57" s="86"/>
      <c r="G57" s="86"/>
      <c r="H57" s="8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2"/>
    </row>
    <row r="58" ht="16.5" customHeight="1">
      <c r="A58" s="8"/>
      <c r="B58" s="8"/>
      <c r="C58" s="84"/>
      <c r="D58" s="84"/>
      <c r="E58" s="85"/>
      <c r="F58" s="86"/>
      <c r="G58" s="86"/>
      <c r="H58" s="8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2"/>
    </row>
    <row r="59" ht="16.5" customHeight="1">
      <c r="A59" s="8"/>
      <c r="B59" s="8"/>
      <c r="C59" s="84"/>
      <c r="D59" s="84"/>
      <c r="E59" s="85"/>
      <c r="F59" s="86"/>
      <c r="G59" s="86"/>
      <c r="H59" s="8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2"/>
    </row>
    <row r="60" ht="16.5" customHeight="1">
      <c r="A60" s="8"/>
      <c r="B60" s="8"/>
      <c r="C60" s="84"/>
      <c r="D60" s="84"/>
      <c r="E60" s="85"/>
      <c r="F60" s="86"/>
      <c r="G60" s="86"/>
      <c r="H60" s="8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2"/>
    </row>
    <row r="61" ht="16.5" customHeight="1">
      <c r="A61" s="8"/>
      <c r="B61" s="8"/>
      <c r="C61" s="84"/>
      <c r="D61" s="84"/>
      <c r="E61" s="85"/>
      <c r="F61" s="86"/>
      <c r="G61" s="86"/>
      <c r="H61" s="8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2"/>
    </row>
    <row r="62" ht="16.5" customHeight="1">
      <c r="A62" s="8"/>
      <c r="B62" s="8"/>
      <c r="C62" s="84"/>
      <c r="D62" s="84"/>
      <c r="E62" s="85"/>
      <c r="F62" s="86"/>
      <c r="G62" s="86"/>
      <c r="H62" s="8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2"/>
    </row>
    <row r="63" ht="16.5" customHeight="1">
      <c r="A63" s="8"/>
      <c r="B63" s="8"/>
      <c r="C63" s="84"/>
      <c r="D63" s="84"/>
      <c r="E63" s="85"/>
      <c r="F63" s="86"/>
      <c r="G63" s="86"/>
      <c r="H63" s="8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2"/>
    </row>
    <row r="64" ht="16.5" customHeight="1">
      <c r="A64" s="8"/>
      <c r="B64" s="8"/>
      <c r="C64" s="84"/>
      <c r="D64" s="84"/>
      <c r="E64" s="85"/>
      <c r="F64" s="86"/>
      <c r="G64" s="86"/>
      <c r="H64" s="8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2"/>
    </row>
    <row r="65" ht="16.5" customHeight="1">
      <c r="A65" s="8"/>
      <c r="B65" s="8"/>
      <c r="C65" s="84"/>
      <c r="D65" s="84"/>
      <c r="E65" s="85"/>
      <c r="F65" s="86"/>
      <c r="G65" s="86"/>
      <c r="H65" s="8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2"/>
    </row>
    <row r="66" ht="16.5" customHeight="1">
      <c r="A66" s="8"/>
      <c r="B66" s="8"/>
      <c r="C66" s="84"/>
      <c r="D66" s="84"/>
      <c r="E66" s="85"/>
      <c r="F66" s="86"/>
      <c r="G66" s="86"/>
      <c r="H66" s="8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2"/>
    </row>
    <row r="67" ht="16.5" customHeight="1">
      <c r="A67" s="8"/>
      <c r="B67" s="8"/>
      <c r="C67" s="84"/>
      <c r="D67" s="84"/>
      <c r="E67" s="85"/>
      <c r="F67" s="86"/>
      <c r="G67" s="86"/>
      <c r="H67" s="8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2"/>
    </row>
    <row r="68" ht="16.5" customHeight="1">
      <c r="A68" s="8"/>
      <c r="B68" s="8"/>
      <c r="C68" s="84"/>
      <c r="D68" s="84"/>
      <c r="E68" s="85"/>
      <c r="F68" s="86"/>
      <c r="G68" s="86"/>
      <c r="H68" s="8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2"/>
    </row>
    <row r="69" ht="16.5" customHeight="1">
      <c r="A69" s="8"/>
      <c r="B69" s="8"/>
      <c r="C69" s="84"/>
      <c r="D69" s="84"/>
      <c r="E69" s="85"/>
      <c r="F69" s="86"/>
      <c r="G69" s="86"/>
      <c r="H69" s="8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2"/>
    </row>
    <row r="70" ht="16.5" customHeight="1">
      <c r="A70" s="8"/>
      <c r="B70" s="8"/>
      <c r="C70" s="84"/>
      <c r="D70" s="84"/>
      <c r="E70" s="85"/>
      <c r="F70" s="86"/>
      <c r="G70" s="86"/>
      <c r="H70" s="8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2"/>
    </row>
    <row r="71" ht="16.5" customHeight="1">
      <c r="A71" s="8"/>
      <c r="B71" s="8"/>
      <c r="C71" s="84"/>
      <c r="D71" s="84"/>
      <c r="E71" s="85"/>
      <c r="F71" s="86"/>
      <c r="G71" s="86"/>
      <c r="H71" s="8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2"/>
    </row>
    <row r="72" ht="16.5" customHeight="1">
      <c r="A72" s="8"/>
      <c r="B72" s="8"/>
      <c r="C72" s="84"/>
      <c r="D72" s="84"/>
      <c r="E72" s="85"/>
      <c r="F72" s="86"/>
      <c r="G72" s="86"/>
      <c r="H72" s="8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2"/>
    </row>
    <row r="73" ht="16.5" customHeight="1">
      <c r="A73" s="8"/>
      <c r="B73" s="8"/>
      <c r="C73" s="84"/>
      <c r="D73" s="84"/>
      <c r="E73" s="85"/>
      <c r="F73" s="86"/>
      <c r="G73" s="86"/>
      <c r="H73" s="8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2"/>
    </row>
    <row r="74" ht="16.5" customHeight="1">
      <c r="A74" s="8"/>
      <c r="B74" s="8"/>
      <c r="C74" s="84"/>
      <c r="D74" s="84"/>
      <c r="E74" s="85"/>
      <c r="F74" s="86"/>
      <c r="G74" s="86"/>
      <c r="H74" s="8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2"/>
    </row>
    <row r="75" ht="16.5" customHeight="1">
      <c r="A75" s="8"/>
      <c r="B75" s="8"/>
      <c r="C75" s="84"/>
      <c r="D75" s="84"/>
      <c r="E75" s="85"/>
      <c r="F75" s="86"/>
      <c r="G75" s="86"/>
      <c r="H75" s="8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2"/>
    </row>
    <row r="76" ht="16.5" customHeight="1">
      <c r="A76" s="8"/>
      <c r="B76" s="8"/>
      <c r="C76" s="84"/>
      <c r="D76" s="84"/>
      <c r="E76" s="85"/>
      <c r="F76" s="86"/>
      <c r="G76" s="86"/>
      <c r="H76" s="8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2"/>
    </row>
    <row r="77" ht="16.5" customHeight="1">
      <c r="A77" s="8"/>
      <c r="B77" s="8"/>
      <c r="C77" s="84"/>
      <c r="D77" s="84"/>
      <c r="E77" s="85"/>
      <c r="F77" s="86"/>
      <c r="G77" s="86"/>
      <c r="H77" s="8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2"/>
    </row>
    <row r="78" ht="16.5" customHeight="1">
      <c r="A78" s="8"/>
      <c r="B78" s="8"/>
      <c r="C78" s="84"/>
      <c r="D78" s="84"/>
      <c r="E78" s="85"/>
      <c r="F78" s="86"/>
      <c r="G78" s="86"/>
      <c r="H78" s="8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2"/>
    </row>
    <row r="79" ht="16.5" customHeight="1">
      <c r="A79" s="8"/>
      <c r="B79" s="8"/>
      <c r="C79" s="84"/>
      <c r="D79" s="84"/>
      <c r="E79" s="85"/>
      <c r="F79" s="86"/>
      <c r="G79" s="86"/>
      <c r="H79" s="8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2"/>
    </row>
    <row r="80" ht="16.5" customHeight="1">
      <c r="A80" s="8"/>
      <c r="B80" s="8"/>
      <c r="C80" s="84"/>
      <c r="D80" s="84"/>
      <c r="E80" s="85"/>
      <c r="F80" s="86"/>
      <c r="G80" s="86"/>
      <c r="H80" s="8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2"/>
    </row>
    <row r="81" ht="16.5" customHeight="1">
      <c r="A81" s="8"/>
      <c r="B81" s="8"/>
      <c r="C81" s="84"/>
      <c r="D81" s="84"/>
      <c r="E81" s="85"/>
      <c r="F81" s="86"/>
      <c r="G81" s="86"/>
      <c r="H81" s="8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2"/>
    </row>
    <row r="82" ht="16.5" customHeight="1">
      <c r="A82" s="8"/>
      <c r="B82" s="8"/>
      <c r="C82" s="84"/>
      <c r="D82" s="84"/>
      <c r="E82" s="85"/>
      <c r="F82" s="86"/>
      <c r="G82" s="86"/>
      <c r="H82" s="8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2"/>
    </row>
    <row r="83" ht="16.5" customHeight="1">
      <c r="A83" s="8"/>
      <c r="B83" s="8"/>
      <c r="C83" s="84"/>
      <c r="D83" s="84"/>
      <c r="E83" s="85"/>
      <c r="F83" s="86"/>
      <c r="G83" s="86"/>
      <c r="H83" s="8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2"/>
    </row>
    <row r="84" ht="16.5" customHeight="1">
      <c r="A84" s="8"/>
      <c r="B84" s="8"/>
      <c r="C84" s="84"/>
      <c r="D84" s="84"/>
      <c r="E84" s="85"/>
      <c r="F84" s="86"/>
      <c r="G84" s="86"/>
      <c r="H84" s="8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2"/>
    </row>
    <row r="85" ht="16.5" customHeight="1">
      <c r="A85" s="8"/>
      <c r="B85" s="8"/>
      <c r="C85" s="84"/>
      <c r="D85" s="84"/>
      <c r="E85" s="85"/>
      <c r="F85" s="86"/>
      <c r="G85" s="86"/>
      <c r="H85" s="8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2"/>
    </row>
    <row r="86" ht="16.5" customHeight="1">
      <c r="A86" s="8"/>
      <c r="B86" s="8"/>
      <c r="C86" s="84"/>
      <c r="D86" s="84"/>
      <c r="E86" s="85"/>
      <c r="F86" s="86"/>
      <c r="G86" s="86"/>
      <c r="H86" s="8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2"/>
    </row>
    <row r="87" ht="16.5" customHeight="1">
      <c r="A87" s="8"/>
      <c r="B87" s="8"/>
      <c r="C87" s="84"/>
      <c r="D87" s="84"/>
      <c r="E87" s="85"/>
      <c r="F87" s="86"/>
      <c r="G87" s="86"/>
      <c r="H87" s="8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2"/>
    </row>
    <row r="88" ht="16.5" customHeight="1">
      <c r="A88" s="8"/>
      <c r="B88" s="8"/>
      <c r="C88" s="84"/>
      <c r="D88" s="84"/>
      <c r="E88" s="85"/>
      <c r="F88" s="86"/>
      <c r="G88" s="86"/>
      <c r="H88" s="8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2"/>
    </row>
    <row r="89" ht="16.5" customHeight="1">
      <c r="A89" s="8"/>
      <c r="B89" s="8"/>
      <c r="C89" s="84"/>
      <c r="D89" s="84"/>
      <c r="E89" s="85"/>
      <c r="F89" s="86"/>
      <c r="G89" s="86"/>
      <c r="H89" s="8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2"/>
    </row>
    <row r="90" ht="16.5" customHeight="1">
      <c r="A90" s="8"/>
      <c r="B90" s="8"/>
      <c r="C90" s="84"/>
      <c r="D90" s="84"/>
      <c r="E90" s="85"/>
      <c r="F90" s="86"/>
      <c r="G90" s="86"/>
      <c r="H90" s="8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2"/>
    </row>
    <row r="91" ht="16.5" customHeight="1">
      <c r="A91" s="8"/>
      <c r="B91" s="8"/>
      <c r="C91" s="84"/>
      <c r="D91" s="84"/>
      <c r="E91" s="85"/>
      <c r="F91" s="86"/>
      <c r="G91" s="86"/>
      <c r="H91" s="8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2"/>
    </row>
    <row r="92" ht="16.5" customHeight="1">
      <c r="A92" s="8"/>
      <c r="B92" s="8"/>
      <c r="C92" s="84"/>
      <c r="D92" s="84"/>
      <c r="E92" s="85"/>
      <c r="F92" s="86"/>
      <c r="G92" s="86"/>
      <c r="H92" s="8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2"/>
    </row>
    <row r="93" ht="16.5" customHeight="1">
      <c r="A93" s="8"/>
      <c r="B93" s="8"/>
      <c r="C93" s="84"/>
      <c r="D93" s="84"/>
      <c r="E93" s="85"/>
      <c r="F93" s="86"/>
      <c r="G93" s="86"/>
      <c r="H93" s="8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2"/>
    </row>
    <row r="94" ht="16.5" customHeight="1">
      <c r="A94" s="8"/>
      <c r="B94" s="8"/>
      <c r="C94" s="84"/>
      <c r="D94" s="84"/>
      <c r="E94" s="85"/>
      <c r="F94" s="86"/>
      <c r="G94" s="86"/>
      <c r="H94" s="8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2"/>
    </row>
    <row r="95" ht="16.5" customHeight="1">
      <c r="A95" s="8"/>
      <c r="B95" s="8"/>
      <c r="C95" s="84"/>
      <c r="D95" s="84"/>
      <c r="E95" s="85"/>
      <c r="F95" s="86"/>
      <c r="G95" s="86"/>
      <c r="H95" s="8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2"/>
    </row>
    <row r="96" ht="16.5" customHeight="1">
      <c r="A96" s="8"/>
      <c r="B96" s="8"/>
      <c r="C96" s="84"/>
      <c r="D96" s="84"/>
      <c r="E96" s="85"/>
      <c r="F96" s="86"/>
      <c r="G96" s="86"/>
      <c r="H96" s="8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2"/>
    </row>
    <row r="97" ht="15.75" customHeight="1">
      <c r="A97" s="8"/>
      <c r="B97" s="8"/>
      <c r="C97" s="84"/>
      <c r="D97" s="84"/>
      <c r="E97" s="85"/>
      <c r="F97" s="86"/>
      <c r="G97" s="86"/>
      <c r="H97" s="8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2"/>
    </row>
    <row r="98" ht="15.75" customHeight="1">
      <c r="A98" s="8"/>
      <c r="B98" s="8"/>
      <c r="C98" s="84"/>
      <c r="D98" s="84"/>
      <c r="E98" s="85"/>
      <c r="F98" s="86"/>
      <c r="G98" s="86"/>
      <c r="H98" s="8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2"/>
    </row>
    <row r="99" ht="15.75" customHeight="1">
      <c r="A99" s="8"/>
      <c r="B99" s="8"/>
      <c r="C99" s="84"/>
      <c r="D99" s="84"/>
      <c r="E99" s="85"/>
      <c r="F99" s="86"/>
      <c r="G99" s="86"/>
      <c r="H99" s="8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2"/>
    </row>
    <row r="100" ht="15.75" customHeight="1">
      <c r="A100" s="8"/>
      <c r="B100" s="8"/>
      <c r="C100" s="84"/>
      <c r="D100" s="84"/>
      <c r="E100" s="85"/>
      <c r="F100" s="86"/>
      <c r="G100" s="86"/>
      <c r="H100" s="8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2"/>
    </row>
    <row r="101" ht="15.75" customHeight="1">
      <c r="A101" s="8"/>
      <c r="B101" s="8"/>
      <c r="C101" s="84"/>
      <c r="D101" s="84"/>
      <c r="E101" s="85"/>
      <c r="F101" s="86"/>
      <c r="G101" s="86"/>
      <c r="H101" s="8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2"/>
    </row>
    <row r="102" ht="15.75" customHeight="1">
      <c r="A102" s="8"/>
      <c r="B102" s="8"/>
      <c r="C102" s="88"/>
      <c r="D102" s="88"/>
      <c r="E102" s="86"/>
      <c r="F102" s="86"/>
      <c r="G102" s="86"/>
      <c r="H102" s="8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2"/>
    </row>
    <row r="103" ht="15.75" customHeight="1">
      <c r="A103" s="8"/>
      <c r="B103" s="8"/>
      <c r="C103" s="88"/>
      <c r="D103" s="88"/>
      <c r="E103" s="86"/>
      <c r="F103" s="86"/>
      <c r="G103" s="86"/>
      <c r="H103" s="8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2"/>
    </row>
    <row r="104" ht="15.75" customHeight="1">
      <c r="A104" s="8"/>
      <c r="B104" s="8"/>
      <c r="C104" s="88"/>
      <c r="D104" s="88"/>
      <c r="E104" s="86"/>
      <c r="F104" s="86"/>
      <c r="G104" s="86"/>
      <c r="H104" s="8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2"/>
    </row>
    <row r="105" ht="15.75" customHeight="1">
      <c r="A105" s="8"/>
      <c r="B105" s="8"/>
      <c r="C105" s="88"/>
      <c r="D105" s="88"/>
      <c r="E105" s="86"/>
      <c r="F105" s="86"/>
      <c r="G105" s="86"/>
      <c r="H105" s="8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2"/>
    </row>
    <row r="106" ht="15.75" customHeight="1">
      <c r="A106" s="8"/>
      <c r="B106" s="8"/>
      <c r="C106" s="88"/>
      <c r="D106" s="88"/>
      <c r="E106" s="86"/>
      <c r="F106" s="86"/>
      <c r="G106" s="86"/>
      <c r="H106" s="8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2"/>
    </row>
    <row r="107" ht="15.75" customHeight="1">
      <c r="A107" s="8"/>
      <c r="B107" s="8"/>
      <c r="C107" s="88"/>
      <c r="D107" s="88"/>
      <c r="E107" s="86"/>
      <c r="F107" s="86"/>
      <c r="G107" s="86"/>
      <c r="H107" s="8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2"/>
    </row>
    <row r="108" ht="15.75" customHeight="1">
      <c r="A108" s="8"/>
      <c r="B108" s="8"/>
      <c r="C108" s="88"/>
      <c r="D108" s="88"/>
      <c r="E108" s="86"/>
      <c r="F108" s="86"/>
      <c r="G108" s="86"/>
      <c r="H108" s="8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2"/>
    </row>
    <row r="109" ht="15.75" customHeight="1">
      <c r="A109" s="8"/>
      <c r="B109" s="8"/>
      <c r="C109" s="88"/>
      <c r="D109" s="88"/>
      <c r="E109" s="86"/>
      <c r="F109" s="86"/>
      <c r="G109" s="86"/>
      <c r="H109" s="8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2"/>
    </row>
    <row r="110" ht="15.75" customHeight="1">
      <c r="A110" s="8"/>
      <c r="B110" s="8"/>
      <c r="C110" s="88"/>
      <c r="D110" s="88"/>
      <c r="E110" s="86"/>
      <c r="F110" s="86"/>
      <c r="G110" s="86"/>
      <c r="H110" s="8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2"/>
    </row>
    <row r="111" ht="15.75" customHeight="1">
      <c r="A111" s="8"/>
      <c r="B111" s="8"/>
      <c r="C111" s="88"/>
      <c r="D111" s="88"/>
      <c r="E111" s="86"/>
      <c r="F111" s="86"/>
      <c r="G111" s="86"/>
      <c r="H111" s="8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2"/>
    </row>
    <row r="112" ht="15.75" customHeight="1">
      <c r="A112" s="8"/>
      <c r="B112" s="8"/>
      <c r="C112" s="88"/>
      <c r="D112" s="88"/>
      <c r="E112" s="86"/>
      <c r="F112" s="86"/>
      <c r="G112" s="86"/>
      <c r="H112" s="8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2"/>
    </row>
    <row r="113" ht="15.75" customHeight="1">
      <c r="A113" s="8"/>
      <c r="B113" s="8"/>
      <c r="C113" s="88"/>
      <c r="D113" s="88"/>
      <c r="E113" s="86"/>
      <c r="F113" s="86"/>
      <c r="G113" s="86"/>
      <c r="H113" s="8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2"/>
    </row>
    <row r="114" ht="15.75" customHeight="1">
      <c r="A114" s="8"/>
      <c r="B114" s="8"/>
      <c r="C114" s="88"/>
      <c r="D114" s="88"/>
      <c r="E114" s="86"/>
      <c r="F114" s="86"/>
      <c r="G114" s="86"/>
      <c r="H114" s="86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2"/>
    </row>
    <row r="115" ht="15.75" customHeight="1">
      <c r="A115" s="8"/>
      <c r="B115" s="8"/>
      <c r="C115" s="88"/>
      <c r="D115" s="88"/>
      <c r="E115" s="86"/>
      <c r="F115" s="86"/>
      <c r="G115" s="86"/>
      <c r="H115" s="8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2"/>
    </row>
    <row r="116" ht="15.75" customHeight="1">
      <c r="A116" s="8"/>
      <c r="B116" s="8"/>
      <c r="C116" s="88"/>
      <c r="D116" s="88"/>
      <c r="E116" s="86"/>
      <c r="F116" s="86"/>
      <c r="G116" s="86"/>
      <c r="H116" s="8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2"/>
    </row>
    <row r="117" ht="15.75" customHeight="1">
      <c r="A117" s="8"/>
      <c r="B117" s="8"/>
      <c r="C117" s="88"/>
      <c r="D117" s="88"/>
      <c r="E117" s="86"/>
      <c r="F117" s="86"/>
      <c r="G117" s="86"/>
      <c r="H117" s="8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2"/>
    </row>
    <row r="118" ht="15.75" customHeight="1">
      <c r="A118" s="8"/>
      <c r="B118" s="8"/>
      <c r="C118" s="88"/>
      <c r="D118" s="88"/>
      <c r="E118" s="86"/>
      <c r="F118" s="86"/>
      <c r="G118" s="86"/>
      <c r="H118" s="8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2"/>
    </row>
    <row r="119" ht="15.75" customHeight="1">
      <c r="A119" s="8"/>
      <c r="B119" s="8"/>
      <c r="C119" s="88"/>
      <c r="D119" s="88"/>
      <c r="E119" s="86"/>
      <c r="F119" s="86"/>
      <c r="G119" s="86"/>
      <c r="H119" s="8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2"/>
    </row>
    <row r="120" ht="15.75" customHeight="1">
      <c r="A120" s="8"/>
      <c r="B120" s="8"/>
      <c r="C120" s="88"/>
      <c r="D120" s="88"/>
      <c r="E120" s="86"/>
      <c r="F120" s="86"/>
      <c r="G120" s="86"/>
      <c r="H120" s="8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2"/>
    </row>
    <row r="121" ht="15.75" customHeight="1">
      <c r="A121" s="8"/>
      <c r="B121" s="8"/>
      <c r="C121" s="88"/>
      <c r="D121" s="88"/>
      <c r="E121" s="86"/>
      <c r="F121" s="86"/>
      <c r="G121" s="86"/>
      <c r="H121" s="8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2"/>
    </row>
    <row r="122" ht="15.75" customHeight="1">
      <c r="A122" s="8"/>
      <c r="B122" s="8"/>
      <c r="C122" s="88"/>
      <c r="D122" s="88"/>
      <c r="E122" s="86"/>
      <c r="F122" s="86"/>
      <c r="G122" s="86"/>
      <c r="H122" s="8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2"/>
    </row>
    <row r="123" ht="15.75" customHeight="1">
      <c r="A123" s="8"/>
      <c r="B123" s="8"/>
      <c r="C123" s="88"/>
      <c r="D123" s="88"/>
      <c r="E123" s="86"/>
      <c r="F123" s="86"/>
      <c r="G123" s="86"/>
      <c r="H123" s="8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2"/>
    </row>
    <row r="124" ht="15.75" customHeight="1">
      <c r="A124" s="8"/>
      <c r="B124" s="8"/>
      <c r="C124" s="88"/>
      <c r="D124" s="88"/>
      <c r="E124" s="86"/>
      <c r="F124" s="86"/>
      <c r="G124" s="86"/>
      <c r="H124" s="8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2"/>
    </row>
    <row r="125" ht="15.75" customHeight="1">
      <c r="A125" s="8"/>
      <c r="B125" s="8"/>
      <c r="C125" s="88"/>
      <c r="D125" s="88"/>
      <c r="E125" s="86"/>
      <c r="F125" s="86"/>
      <c r="G125" s="86"/>
      <c r="H125" s="8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2"/>
    </row>
    <row r="126" ht="15.75" customHeight="1">
      <c r="A126" s="8"/>
      <c r="B126" s="8"/>
      <c r="C126" s="88"/>
      <c r="D126" s="88"/>
      <c r="E126" s="86"/>
      <c r="F126" s="86"/>
      <c r="G126" s="86"/>
      <c r="H126" s="8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2"/>
    </row>
    <row r="127" ht="15.75" customHeight="1">
      <c r="A127" s="8"/>
      <c r="B127" s="8"/>
      <c r="C127" s="88"/>
      <c r="D127" s="88"/>
      <c r="E127" s="86"/>
      <c r="F127" s="86"/>
      <c r="G127" s="86"/>
      <c r="H127" s="8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2"/>
    </row>
    <row r="128" ht="15.75" customHeight="1">
      <c r="A128" s="8"/>
      <c r="B128" s="8"/>
      <c r="C128" s="88"/>
      <c r="D128" s="88"/>
      <c r="E128" s="86"/>
      <c r="F128" s="86"/>
      <c r="G128" s="86"/>
      <c r="H128" s="8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2"/>
    </row>
    <row r="129" ht="15.75" customHeight="1">
      <c r="A129" s="8"/>
      <c r="B129" s="8"/>
      <c r="C129" s="88"/>
      <c r="D129" s="88"/>
      <c r="E129" s="86"/>
      <c r="F129" s="86"/>
      <c r="G129" s="86"/>
      <c r="H129" s="8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2"/>
    </row>
    <row r="130" ht="15.75" customHeight="1">
      <c r="A130" s="8"/>
      <c r="B130" s="8"/>
      <c r="C130" s="88"/>
      <c r="D130" s="88"/>
      <c r="E130" s="86"/>
      <c r="F130" s="86"/>
      <c r="G130" s="86"/>
      <c r="H130" s="8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2"/>
    </row>
    <row r="131" ht="15.75" customHeight="1">
      <c r="A131" s="8"/>
      <c r="B131" s="8"/>
      <c r="C131" s="88"/>
      <c r="D131" s="88"/>
      <c r="E131" s="86"/>
      <c r="F131" s="86"/>
      <c r="G131" s="86"/>
      <c r="H131" s="8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2"/>
    </row>
    <row r="132" ht="15.75" customHeight="1">
      <c r="A132" s="8"/>
      <c r="B132" s="8"/>
      <c r="C132" s="88"/>
      <c r="D132" s="88"/>
      <c r="E132" s="86"/>
      <c r="F132" s="86"/>
      <c r="G132" s="86"/>
      <c r="H132" s="8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2"/>
    </row>
    <row r="133" ht="15.75" customHeight="1">
      <c r="A133" s="8"/>
      <c r="B133" s="8"/>
      <c r="C133" s="88"/>
      <c r="D133" s="88"/>
      <c r="E133" s="86"/>
      <c r="F133" s="86"/>
      <c r="G133" s="86"/>
      <c r="H133" s="8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2"/>
    </row>
    <row r="134" ht="15.75" customHeight="1">
      <c r="A134" s="8"/>
      <c r="B134" s="8"/>
      <c r="C134" s="88"/>
      <c r="D134" s="88"/>
      <c r="E134" s="86"/>
      <c r="F134" s="86"/>
      <c r="G134" s="86"/>
      <c r="H134" s="8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2"/>
    </row>
    <row r="135" ht="15.75" customHeight="1">
      <c r="A135" s="8"/>
      <c r="B135" s="8"/>
      <c r="C135" s="88"/>
      <c r="D135" s="88"/>
      <c r="E135" s="86"/>
      <c r="F135" s="86"/>
      <c r="G135" s="86"/>
      <c r="H135" s="8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2"/>
    </row>
    <row r="136" ht="15.75" customHeight="1">
      <c r="A136" s="8"/>
      <c r="B136" s="8"/>
      <c r="C136" s="88"/>
      <c r="D136" s="88"/>
      <c r="E136" s="86"/>
      <c r="F136" s="86"/>
      <c r="G136" s="86"/>
      <c r="H136" s="8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2"/>
    </row>
    <row r="137" ht="15.75" customHeight="1">
      <c r="A137" s="8"/>
      <c r="B137" s="8"/>
      <c r="C137" s="88"/>
      <c r="D137" s="88"/>
      <c r="E137" s="86"/>
      <c r="F137" s="86"/>
      <c r="G137" s="86"/>
      <c r="H137" s="8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2"/>
    </row>
    <row r="138" ht="15.75" customHeight="1">
      <c r="A138" s="8"/>
      <c r="B138" s="8"/>
      <c r="C138" s="88"/>
      <c r="D138" s="88"/>
      <c r="E138" s="86"/>
      <c r="F138" s="86"/>
      <c r="G138" s="86"/>
      <c r="H138" s="8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2"/>
    </row>
    <row r="139" ht="15.75" customHeight="1">
      <c r="A139" s="8"/>
      <c r="B139" s="8"/>
      <c r="C139" s="88"/>
      <c r="D139" s="88"/>
      <c r="E139" s="86"/>
      <c r="F139" s="86"/>
      <c r="G139" s="86"/>
      <c r="H139" s="8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2"/>
    </row>
    <row r="140" ht="15.75" customHeight="1">
      <c r="A140" s="8"/>
      <c r="B140" s="8"/>
      <c r="C140" s="88"/>
      <c r="D140" s="88"/>
      <c r="E140" s="86"/>
      <c r="F140" s="86"/>
      <c r="G140" s="86"/>
      <c r="H140" s="8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2"/>
    </row>
    <row r="141" ht="15.75" customHeight="1">
      <c r="A141" s="8"/>
      <c r="B141" s="8"/>
      <c r="C141" s="88"/>
      <c r="D141" s="88"/>
      <c r="E141" s="86"/>
      <c r="F141" s="86"/>
      <c r="G141" s="86"/>
      <c r="H141" s="8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2"/>
    </row>
    <row r="142" ht="15.75" customHeight="1">
      <c r="A142" s="8"/>
      <c r="B142" s="8"/>
      <c r="C142" s="88"/>
      <c r="D142" s="88"/>
      <c r="E142" s="86"/>
      <c r="F142" s="86"/>
      <c r="G142" s="86"/>
      <c r="H142" s="8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2"/>
    </row>
    <row r="143" ht="15.75" customHeight="1">
      <c r="A143" s="8"/>
      <c r="B143" s="8"/>
      <c r="C143" s="88"/>
      <c r="D143" s="88"/>
      <c r="E143" s="86"/>
      <c r="F143" s="86"/>
      <c r="G143" s="86"/>
      <c r="H143" s="8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2"/>
    </row>
    <row r="144" ht="15.75" customHeight="1">
      <c r="A144" s="8"/>
      <c r="B144" s="8"/>
      <c r="C144" s="88"/>
      <c r="D144" s="88"/>
      <c r="E144" s="86"/>
      <c r="F144" s="86"/>
      <c r="G144" s="86"/>
      <c r="H144" s="8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2"/>
    </row>
    <row r="145" ht="15.75" customHeight="1">
      <c r="A145" s="8"/>
      <c r="B145" s="8"/>
      <c r="C145" s="88"/>
      <c r="D145" s="88"/>
      <c r="E145" s="86"/>
      <c r="F145" s="86"/>
      <c r="G145" s="86"/>
      <c r="H145" s="8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2"/>
    </row>
    <row r="146" ht="15.75" customHeight="1">
      <c r="A146" s="8"/>
      <c r="B146" s="8"/>
      <c r="C146" s="88"/>
      <c r="D146" s="88"/>
      <c r="E146" s="86"/>
      <c r="F146" s="86"/>
      <c r="G146" s="86"/>
      <c r="H146" s="8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2"/>
    </row>
    <row r="147" ht="15.75" customHeight="1">
      <c r="A147" s="8"/>
      <c r="B147" s="8"/>
      <c r="C147" s="88"/>
      <c r="D147" s="88"/>
      <c r="E147" s="86"/>
      <c r="F147" s="86"/>
      <c r="G147" s="86"/>
      <c r="H147" s="8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2"/>
    </row>
    <row r="148" ht="15.75" customHeight="1">
      <c r="A148" s="8"/>
      <c r="B148" s="8"/>
      <c r="C148" s="88"/>
      <c r="D148" s="88"/>
      <c r="E148" s="86"/>
      <c r="F148" s="86"/>
      <c r="G148" s="86"/>
      <c r="H148" s="8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2"/>
    </row>
    <row r="149" ht="15.75" customHeight="1">
      <c r="A149" s="8"/>
      <c r="B149" s="8"/>
      <c r="C149" s="88"/>
      <c r="D149" s="88"/>
      <c r="E149" s="86"/>
      <c r="F149" s="86"/>
      <c r="G149" s="86"/>
      <c r="H149" s="8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2"/>
    </row>
    <row r="150" ht="15.75" customHeight="1">
      <c r="A150" s="8"/>
      <c r="B150" s="8"/>
      <c r="C150" s="88"/>
      <c r="D150" s="88"/>
      <c r="E150" s="86"/>
      <c r="F150" s="86"/>
      <c r="G150" s="86"/>
      <c r="H150" s="8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2"/>
    </row>
    <row r="151" ht="15.75" customHeight="1">
      <c r="A151" s="8"/>
      <c r="B151" s="8"/>
      <c r="C151" s="88"/>
      <c r="D151" s="88"/>
      <c r="E151" s="86"/>
      <c r="F151" s="86"/>
      <c r="G151" s="86"/>
      <c r="H151" s="8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2"/>
    </row>
    <row r="152" ht="15.75" customHeight="1">
      <c r="A152" s="8"/>
      <c r="B152" s="8"/>
      <c r="C152" s="88"/>
      <c r="D152" s="88"/>
      <c r="E152" s="86"/>
      <c r="F152" s="86"/>
      <c r="G152" s="86"/>
      <c r="H152" s="8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2"/>
    </row>
    <row r="153" ht="15.75" customHeight="1">
      <c r="A153" s="8"/>
      <c r="B153" s="8"/>
      <c r="C153" s="88"/>
      <c r="D153" s="88"/>
      <c r="E153" s="86"/>
      <c r="F153" s="86"/>
      <c r="G153" s="86"/>
      <c r="H153" s="8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2"/>
    </row>
    <row r="154" ht="15.75" customHeight="1">
      <c r="A154" s="8"/>
      <c r="B154" s="8"/>
      <c r="C154" s="88"/>
      <c r="D154" s="88"/>
      <c r="E154" s="86"/>
      <c r="F154" s="86"/>
      <c r="G154" s="86"/>
      <c r="H154" s="8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2"/>
    </row>
    <row r="155" ht="15.75" customHeight="1">
      <c r="A155" s="8"/>
      <c r="B155" s="8"/>
      <c r="C155" s="88"/>
      <c r="D155" s="88"/>
      <c r="E155" s="86"/>
      <c r="F155" s="86"/>
      <c r="G155" s="86"/>
      <c r="H155" s="8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2"/>
    </row>
    <row r="156" ht="15.75" customHeight="1">
      <c r="A156" s="8"/>
      <c r="B156" s="8"/>
      <c r="C156" s="88"/>
      <c r="D156" s="88"/>
      <c r="E156" s="86"/>
      <c r="F156" s="86"/>
      <c r="G156" s="86"/>
      <c r="H156" s="8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2"/>
    </row>
    <row r="157" ht="15.75" customHeight="1">
      <c r="A157" s="8"/>
      <c r="B157" s="8"/>
      <c r="C157" s="88"/>
      <c r="D157" s="88"/>
      <c r="E157" s="86"/>
      <c r="F157" s="86"/>
      <c r="G157" s="86"/>
      <c r="H157" s="8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2"/>
    </row>
    <row r="158" ht="15.75" customHeight="1">
      <c r="A158" s="8"/>
      <c r="B158" s="8"/>
      <c r="C158" s="88"/>
      <c r="D158" s="88"/>
      <c r="E158" s="86"/>
      <c r="F158" s="86"/>
      <c r="G158" s="86"/>
      <c r="H158" s="8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2"/>
    </row>
    <row r="159" ht="15.75" customHeight="1">
      <c r="A159" s="8"/>
      <c r="B159" s="8"/>
      <c r="C159" s="88"/>
      <c r="D159" s="88"/>
      <c r="E159" s="86"/>
      <c r="F159" s="86"/>
      <c r="G159" s="86"/>
      <c r="H159" s="8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2"/>
    </row>
    <row r="160" ht="15.75" customHeight="1">
      <c r="A160" s="8"/>
      <c r="B160" s="8"/>
      <c r="C160" s="88"/>
      <c r="D160" s="88"/>
      <c r="E160" s="86"/>
      <c r="F160" s="86"/>
      <c r="G160" s="86"/>
      <c r="H160" s="8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2"/>
    </row>
    <row r="161" ht="15.75" customHeight="1">
      <c r="A161" s="8"/>
      <c r="B161" s="8"/>
      <c r="C161" s="88"/>
      <c r="D161" s="88"/>
      <c r="E161" s="86"/>
      <c r="F161" s="86"/>
      <c r="G161" s="86"/>
      <c r="H161" s="8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2"/>
    </row>
    <row r="162" ht="15.75" customHeight="1">
      <c r="A162" s="8"/>
      <c r="B162" s="8"/>
      <c r="C162" s="88"/>
      <c r="D162" s="88"/>
      <c r="E162" s="86"/>
      <c r="F162" s="86"/>
      <c r="G162" s="86"/>
      <c r="H162" s="8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2"/>
    </row>
    <row r="163" ht="15.75" customHeight="1">
      <c r="A163" s="8"/>
      <c r="B163" s="8"/>
      <c r="C163" s="88"/>
      <c r="D163" s="88"/>
      <c r="E163" s="86"/>
      <c r="F163" s="86"/>
      <c r="G163" s="86"/>
      <c r="H163" s="8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2"/>
    </row>
    <row r="164" ht="15.75" customHeight="1">
      <c r="A164" s="8"/>
      <c r="B164" s="8"/>
      <c r="C164" s="88"/>
      <c r="D164" s="88"/>
      <c r="E164" s="86"/>
      <c r="F164" s="86"/>
      <c r="G164" s="86"/>
      <c r="H164" s="8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2"/>
    </row>
    <row r="165" ht="15.75" customHeight="1">
      <c r="A165" s="8"/>
      <c r="B165" s="8"/>
      <c r="C165" s="88"/>
      <c r="D165" s="88"/>
      <c r="E165" s="86"/>
      <c r="F165" s="86"/>
      <c r="G165" s="86"/>
      <c r="H165" s="8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2"/>
    </row>
    <row r="166" ht="15.75" customHeight="1">
      <c r="A166" s="8"/>
      <c r="B166" s="8"/>
      <c r="C166" s="88"/>
      <c r="D166" s="88"/>
      <c r="E166" s="86"/>
      <c r="F166" s="86"/>
      <c r="G166" s="86"/>
      <c r="H166" s="8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2"/>
    </row>
    <row r="167" ht="15.75" customHeight="1">
      <c r="A167" s="8"/>
      <c r="B167" s="8"/>
      <c r="C167" s="88"/>
      <c r="D167" s="88"/>
      <c r="E167" s="86"/>
      <c r="F167" s="86"/>
      <c r="G167" s="86"/>
      <c r="H167" s="8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2"/>
    </row>
    <row r="168" ht="15.75" customHeight="1">
      <c r="A168" s="8"/>
      <c r="B168" s="8"/>
      <c r="C168" s="88"/>
      <c r="D168" s="88"/>
      <c r="E168" s="86"/>
      <c r="F168" s="86"/>
      <c r="G168" s="86"/>
      <c r="H168" s="8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2"/>
    </row>
    <row r="169" ht="15.75" customHeight="1">
      <c r="A169" s="8"/>
      <c r="B169" s="8"/>
      <c r="C169" s="88"/>
      <c r="D169" s="88"/>
      <c r="E169" s="86"/>
      <c r="F169" s="86"/>
      <c r="G169" s="86"/>
      <c r="H169" s="8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2"/>
    </row>
    <row r="170" ht="15.75" customHeight="1">
      <c r="A170" s="8"/>
      <c r="B170" s="8"/>
      <c r="C170" s="88"/>
      <c r="D170" s="88"/>
      <c r="E170" s="86"/>
      <c r="F170" s="86"/>
      <c r="G170" s="86"/>
      <c r="H170" s="8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2"/>
    </row>
    <row r="171" ht="15.75" customHeight="1">
      <c r="A171" s="8"/>
      <c r="B171" s="8"/>
      <c r="C171" s="88"/>
      <c r="D171" s="88"/>
      <c r="E171" s="86"/>
      <c r="F171" s="86"/>
      <c r="G171" s="86"/>
      <c r="H171" s="8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2"/>
    </row>
    <row r="172" ht="15.75" customHeight="1">
      <c r="A172" s="8"/>
      <c r="B172" s="8"/>
      <c r="C172" s="88"/>
      <c r="D172" s="88"/>
      <c r="E172" s="86"/>
      <c r="F172" s="86"/>
      <c r="G172" s="86"/>
      <c r="H172" s="8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2"/>
    </row>
    <row r="173" ht="15.75" customHeight="1">
      <c r="A173" s="8"/>
      <c r="B173" s="8"/>
      <c r="C173" s="88"/>
      <c r="D173" s="88"/>
      <c r="E173" s="86"/>
      <c r="F173" s="86"/>
      <c r="G173" s="86"/>
      <c r="H173" s="8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2"/>
    </row>
    <row r="174" ht="15.75" customHeight="1">
      <c r="A174" s="8"/>
      <c r="B174" s="8"/>
      <c r="C174" s="88"/>
      <c r="D174" s="88"/>
      <c r="E174" s="86"/>
      <c r="F174" s="86"/>
      <c r="G174" s="86"/>
      <c r="H174" s="8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2"/>
    </row>
    <row r="175" ht="15.75" customHeight="1">
      <c r="A175" s="8"/>
      <c r="B175" s="8"/>
      <c r="C175" s="88"/>
      <c r="D175" s="88"/>
      <c r="E175" s="86"/>
      <c r="F175" s="86"/>
      <c r="G175" s="86"/>
      <c r="H175" s="8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2"/>
    </row>
    <row r="176" ht="15.75" customHeight="1">
      <c r="A176" s="8"/>
      <c r="B176" s="8"/>
      <c r="C176" s="88"/>
      <c r="D176" s="88"/>
      <c r="E176" s="86"/>
      <c r="F176" s="86"/>
      <c r="G176" s="86"/>
      <c r="H176" s="8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2"/>
    </row>
    <row r="177" ht="15.75" customHeight="1">
      <c r="A177" s="8"/>
      <c r="B177" s="8"/>
      <c r="C177" s="88"/>
      <c r="D177" s="88"/>
      <c r="E177" s="86"/>
      <c r="F177" s="86"/>
      <c r="G177" s="86"/>
      <c r="H177" s="8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2"/>
    </row>
    <row r="178" ht="15.75" customHeight="1">
      <c r="A178" s="8"/>
      <c r="B178" s="8"/>
      <c r="C178" s="88"/>
      <c r="D178" s="88"/>
      <c r="E178" s="86"/>
      <c r="F178" s="86"/>
      <c r="G178" s="86"/>
      <c r="H178" s="8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2"/>
    </row>
    <row r="179" ht="15.75" customHeight="1">
      <c r="A179" s="8"/>
      <c r="B179" s="8"/>
      <c r="C179" s="88"/>
      <c r="D179" s="88"/>
      <c r="E179" s="86"/>
      <c r="F179" s="86"/>
      <c r="G179" s="86"/>
      <c r="H179" s="8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2"/>
    </row>
    <row r="180" ht="15.75" customHeight="1">
      <c r="A180" s="8"/>
      <c r="B180" s="8"/>
      <c r="C180" s="88"/>
      <c r="D180" s="88"/>
      <c r="E180" s="86"/>
      <c r="F180" s="86"/>
      <c r="G180" s="86"/>
      <c r="H180" s="8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2"/>
    </row>
    <row r="181" ht="15.75" customHeight="1">
      <c r="A181" s="8"/>
      <c r="B181" s="8"/>
      <c r="C181" s="88"/>
      <c r="D181" s="88"/>
      <c r="E181" s="86"/>
      <c r="F181" s="86"/>
      <c r="G181" s="86"/>
      <c r="H181" s="8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2"/>
    </row>
    <row r="182" ht="15.75" customHeight="1">
      <c r="A182" s="8"/>
      <c r="B182" s="8"/>
      <c r="C182" s="88"/>
      <c r="D182" s="88"/>
      <c r="E182" s="86"/>
      <c r="F182" s="86"/>
      <c r="G182" s="86"/>
      <c r="H182" s="8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2"/>
    </row>
    <row r="183" ht="15.75" customHeight="1">
      <c r="A183" s="8"/>
      <c r="B183" s="8"/>
      <c r="C183" s="88"/>
      <c r="D183" s="88"/>
      <c r="E183" s="86"/>
      <c r="F183" s="86"/>
      <c r="G183" s="86"/>
      <c r="H183" s="8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2"/>
    </row>
    <row r="184" ht="15.75" customHeight="1">
      <c r="A184" s="8"/>
      <c r="B184" s="8"/>
      <c r="C184" s="88"/>
      <c r="D184" s="88"/>
      <c r="E184" s="86"/>
      <c r="F184" s="86"/>
      <c r="G184" s="86"/>
      <c r="H184" s="8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2"/>
    </row>
    <row r="185" ht="15.75" customHeight="1">
      <c r="A185" s="8"/>
      <c r="B185" s="8"/>
      <c r="C185" s="88"/>
      <c r="D185" s="88"/>
      <c r="E185" s="86"/>
      <c r="F185" s="86"/>
      <c r="G185" s="86"/>
      <c r="H185" s="8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2"/>
    </row>
    <row r="186" ht="15.75" customHeight="1">
      <c r="A186" s="8"/>
      <c r="B186" s="8"/>
      <c r="C186" s="88"/>
      <c r="D186" s="88"/>
      <c r="E186" s="86"/>
      <c r="F186" s="86"/>
      <c r="G186" s="86"/>
      <c r="H186" s="8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2"/>
    </row>
    <row r="187" ht="15.75" customHeight="1">
      <c r="A187" s="8"/>
      <c r="B187" s="8"/>
      <c r="C187" s="88"/>
      <c r="D187" s="88"/>
      <c r="E187" s="86"/>
      <c r="F187" s="86"/>
      <c r="G187" s="86"/>
      <c r="H187" s="8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2"/>
    </row>
    <row r="188" ht="15.75" customHeight="1">
      <c r="A188" s="8"/>
      <c r="B188" s="8"/>
      <c r="C188" s="88"/>
      <c r="D188" s="88"/>
      <c r="E188" s="86"/>
      <c r="F188" s="86"/>
      <c r="G188" s="86"/>
      <c r="H188" s="8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2"/>
    </row>
    <row r="189" ht="15.75" customHeight="1">
      <c r="A189" s="8"/>
      <c r="B189" s="8"/>
      <c r="C189" s="88"/>
      <c r="D189" s="88"/>
      <c r="E189" s="86"/>
      <c r="F189" s="86"/>
      <c r="G189" s="86"/>
      <c r="H189" s="8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2"/>
    </row>
    <row r="190" ht="15.75" customHeight="1">
      <c r="A190" s="8"/>
      <c r="B190" s="8"/>
      <c r="C190" s="88"/>
      <c r="D190" s="88"/>
      <c r="E190" s="86"/>
      <c r="F190" s="86"/>
      <c r="G190" s="86"/>
      <c r="H190" s="8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2"/>
    </row>
    <row r="191" ht="15.75" customHeight="1">
      <c r="A191" s="8"/>
      <c r="B191" s="8"/>
      <c r="C191" s="88"/>
      <c r="D191" s="88"/>
      <c r="E191" s="86"/>
      <c r="F191" s="86"/>
      <c r="G191" s="86"/>
      <c r="H191" s="8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2"/>
    </row>
    <row r="192" ht="15.75" customHeight="1">
      <c r="A192" s="8"/>
      <c r="B192" s="8"/>
      <c r="C192" s="88"/>
      <c r="D192" s="88"/>
      <c r="E192" s="86"/>
      <c r="F192" s="86"/>
      <c r="G192" s="86"/>
      <c r="H192" s="8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2"/>
    </row>
    <row r="193" ht="15.75" customHeight="1">
      <c r="A193" s="8"/>
      <c r="B193" s="8"/>
      <c r="C193" s="88"/>
      <c r="D193" s="88"/>
      <c r="E193" s="86"/>
      <c r="F193" s="86"/>
      <c r="G193" s="86"/>
      <c r="H193" s="8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2"/>
    </row>
    <row r="194" ht="15.75" customHeight="1">
      <c r="A194" s="8"/>
      <c r="B194" s="8"/>
      <c r="C194" s="89"/>
      <c r="D194" s="89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2"/>
    </row>
    <row r="195" ht="15.75" customHeight="1">
      <c r="A195" s="8"/>
      <c r="B195" s="8"/>
      <c r="C195" s="89"/>
      <c r="D195" s="8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2"/>
    </row>
    <row r="196" ht="15.75" customHeight="1">
      <c r="A196" s="8"/>
      <c r="B196" s="8"/>
      <c r="C196" s="89"/>
      <c r="D196" s="89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2"/>
    </row>
    <row r="197" ht="15.75" customHeight="1">
      <c r="A197" s="8"/>
      <c r="B197" s="8"/>
      <c r="C197" s="89"/>
      <c r="D197" s="8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2"/>
    </row>
    <row r="198" ht="15.75" customHeight="1">
      <c r="A198" s="8"/>
      <c r="B198" s="8"/>
      <c r="C198" s="89"/>
      <c r="D198" s="89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2"/>
    </row>
    <row r="199" ht="15.75" customHeight="1">
      <c r="A199" s="8"/>
      <c r="B199" s="8"/>
      <c r="C199" s="89"/>
      <c r="D199" s="8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2"/>
    </row>
    <row r="200" ht="15.75" customHeight="1">
      <c r="A200" s="8"/>
      <c r="B200" s="8"/>
      <c r="C200" s="89"/>
      <c r="D200" s="89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2"/>
    </row>
    <row r="201" ht="15.75" customHeight="1">
      <c r="A201" s="8"/>
      <c r="B201" s="8"/>
      <c r="C201" s="89"/>
      <c r="D201" s="89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2"/>
    </row>
    <row r="202" ht="15.75" customHeight="1">
      <c r="A202" s="8"/>
      <c r="B202" s="8"/>
      <c r="C202" s="89"/>
      <c r="D202" s="89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2"/>
    </row>
    <row r="203" ht="15.75" customHeight="1">
      <c r="A203" s="8"/>
      <c r="B203" s="8"/>
      <c r="C203" s="89"/>
      <c r="D203" s="89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2"/>
    </row>
    <row r="204" ht="15.75" customHeight="1">
      <c r="A204" s="8"/>
      <c r="B204" s="8"/>
      <c r="C204" s="89"/>
      <c r="D204" s="89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2"/>
    </row>
    <row r="205" ht="15.75" customHeight="1">
      <c r="A205" s="8"/>
      <c r="B205" s="8"/>
      <c r="C205" s="89"/>
      <c r="D205" s="89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2"/>
    </row>
    <row r="206" ht="15.75" customHeight="1">
      <c r="A206" s="8"/>
      <c r="B206" s="8"/>
      <c r="C206" s="89"/>
      <c r="D206" s="89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2"/>
    </row>
    <row r="207" ht="15.75" customHeight="1">
      <c r="A207" s="8"/>
      <c r="B207" s="8"/>
      <c r="C207" s="89"/>
      <c r="D207" s="89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2"/>
    </row>
    <row r="208" ht="15.75" customHeight="1">
      <c r="A208" s="8"/>
      <c r="B208" s="8"/>
      <c r="C208" s="89"/>
      <c r="D208" s="89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2"/>
    </row>
    <row r="209" ht="15.75" customHeight="1">
      <c r="A209" s="8"/>
      <c r="B209" s="8"/>
      <c r="C209" s="89"/>
      <c r="D209" s="89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2"/>
    </row>
    <row r="210" ht="15.75" customHeight="1">
      <c r="A210" s="8"/>
      <c r="B210" s="8"/>
      <c r="C210" s="89"/>
      <c r="D210" s="89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2"/>
    </row>
    <row r="211" ht="15.75" customHeight="1">
      <c r="A211" s="8"/>
      <c r="B211" s="8"/>
      <c r="C211" s="89"/>
      <c r="D211" s="89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2"/>
    </row>
    <row r="212" ht="15.75" customHeight="1">
      <c r="A212" s="8"/>
      <c r="B212" s="8"/>
      <c r="C212" s="89"/>
      <c r="D212" s="89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2"/>
    </row>
    <row r="213" ht="15.75" customHeight="1">
      <c r="A213" s="8"/>
      <c r="B213" s="8"/>
      <c r="C213" s="89"/>
      <c r="D213" s="89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2"/>
    </row>
    <row r="214" ht="15.75" customHeight="1">
      <c r="A214" s="8"/>
      <c r="B214" s="8"/>
      <c r="C214" s="89"/>
      <c r="D214" s="89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2"/>
    </row>
    <row r="215" ht="15.75" customHeight="1">
      <c r="A215" s="8"/>
      <c r="B215" s="8"/>
      <c r="C215" s="89"/>
      <c r="D215" s="89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2"/>
    </row>
    <row r="216" ht="15.75" customHeight="1">
      <c r="A216" s="8"/>
      <c r="B216" s="8"/>
      <c r="C216" s="89"/>
      <c r="D216" s="89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2"/>
    </row>
    <row r="217" ht="15.75" customHeight="1">
      <c r="A217" s="8"/>
      <c r="B217" s="8"/>
      <c r="C217" s="89"/>
      <c r="D217" s="89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2"/>
    </row>
    <row r="218" ht="15.75" customHeight="1">
      <c r="A218" s="8"/>
      <c r="B218" s="8"/>
      <c r="C218" s="89"/>
      <c r="D218" s="89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2"/>
    </row>
    <row r="219" ht="15.75" customHeight="1">
      <c r="A219" s="8"/>
      <c r="B219" s="8"/>
      <c r="C219" s="89"/>
      <c r="D219" s="89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2"/>
    </row>
    <row r="220" ht="15.75" customHeight="1">
      <c r="A220" s="8"/>
      <c r="B220" s="8"/>
      <c r="C220" s="89"/>
      <c r="D220" s="89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2"/>
    </row>
    <row r="221" ht="15.75" customHeight="1">
      <c r="A221" s="8"/>
      <c r="B221" s="8"/>
      <c r="C221" s="89"/>
      <c r="D221" s="89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2"/>
    </row>
    <row r="222" ht="15.75" customHeight="1">
      <c r="A222" s="8"/>
      <c r="B222" s="8"/>
      <c r="C222" s="89"/>
      <c r="D222" s="89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2"/>
    </row>
    <row r="223" ht="15.75" customHeight="1">
      <c r="A223" s="8"/>
      <c r="B223" s="8"/>
      <c r="C223" s="89"/>
      <c r="D223" s="89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2"/>
    </row>
    <row r="224" ht="15.75" customHeight="1">
      <c r="A224" s="8"/>
      <c r="B224" s="8"/>
      <c r="C224" s="89"/>
      <c r="D224" s="89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2"/>
    </row>
    <row r="225" ht="15.75" customHeight="1">
      <c r="A225" s="92"/>
      <c r="B225" s="92"/>
      <c r="C225" s="92"/>
      <c r="D225" s="92"/>
      <c r="E225" s="92"/>
      <c r="F225" s="92"/>
      <c r="H225" s="92"/>
    </row>
    <row r="226" ht="15.75" customHeight="1">
      <c r="A226" s="92"/>
      <c r="B226" s="92"/>
      <c r="C226" s="92"/>
      <c r="D226" s="92"/>
      <c r="E226" s="92"/>
      <c r="F226" s="92"/>
      <c r="H226" s="92"/>
    </row>
    <row r="227" ht="15.75" customHeight="1">
      <c r="A227" s="92"/>
      <c r="B227" s="92"/>
      <c r="C227" s="92"/>
      <c r="D227" s="92"/>
      <c r="E227" s="92"/>
      <c r="F227" s="92"/>
      <c r="H227" s="92"/>
    </row>
    <row r="228" ht="15.75" customHeight="1">
      <c r="A228" s="92"/>
      <c r="B228" s="92"/>
      <c r="C228" s="92"/>
      <c r="D228" s="92"/>
      <c r="E228" s="92"/>
      <c r="F228" s="92"/>
      <c r="H228" s="92"/>
    </row>
    <row r="229" ht="15.75" customHeight="1">
      <c r="A229" s="92"/>
      <c r="B229" s="92"/>
      <c r="C229" s="92"/>
      <c r="D229" s="92"/>
      <c r="E229" s="92"/>
      <c r="F229" s="92"/>
      <c r="H229" s="92"/>
    </row>
    <row r="230" ht="15.75" customHeight="1">
      <c r="A230" s="92"/>
      <c r="B230" s="92"/>
      <c r="C230" s="92"/>
      <c r="D230" s="92"/>
      <c r="E230" s="92"/>
      <c r="F230" s="92"/>
      <c r="H230" s="92"/>
    </row>
    <row r="231" ht="15.75" customHeight="1">
      <c r="A231" s="92"/>
      <c r="B231" s="92"/>
      <c r="C231" s="92"/>
      <c r="D231" s="92"/>
      <c r="E231" s="92"/>
      <c r="F231" s="92"/>
      <c r="H231" s="92"/>
    </row>
    <row r="232" ht="15.75" customHeight="1">
      <c r="A232" s="92"/>
      <c r="B232" s="92"/>
      <c r="C232" s="92"/>
      <c r="D232" s="92"/>
      <c r="E232" s="92"/>
      <c r="F232" s="92"/>
      <c r="H232" s="92"/>
    </row>
    <row r="233" ht="15.75" customHeight="1">
      <c r="A233" s="92"/>
      <c r="B233" s="92"/>
      <c r="C233" s="92"/>
      <c r="D233" s="92"/>
      <c r="E233" s="92"/>
      <c r="F233" s="92"/>
      <c r="H233" s="92"/>
    </row>
    <row r="234" ht="15.75" customHeight="1">
      <c r="A234" s="92"/>
      <c r="B234" s="92"/>
      <c r="C234" s="92"/>
      <c r="D234" s="92"/>
      <c r="E234" s="92"/>
      <c r="F234" s="92"/>
      <c r="H234" s="92"/>
    </row>
    <row r="235" ht="15.75" customHeight="1">
      <c r="A235" s="92"/>
      <c r="B235" s="92"/>
      <c r="C235" s="92"/>
      <c r="D235" s="92"/>
      <c r="E235" s="92"/>
      <c r="F235" s="92"/>
      <c r="H235" s="92"/>
    </row>
    <row r="236" ht="15.75" customHeight="1">
      <c r="A236" s="92"/>
      <c r="B236" s="92"/>
      <c r="C236" s="92"/>
      <c r="D236" s="92"/>
      <c r="E236" s="92"/>
      <c r="F236" s="92"/>
      <c r="H236" s="92"/>
    </row>
    <row r="237" ht="15.75" customHeight="1">
      <c r="A237" s="92"/>
      <c r="B237" s="92"/>
      <c r="C237" s="92"/>
      <c r="D237" s="92"/>
      <c r="E237" s="92"/>
      <c r="F237" s="92"/>
      <c r="H237" s="92"/>
    </row>
    <row r="238" ht="15.75" customHeight="1">
      <c r="A238" s="92"/>
      <c r="B238" s="92"/>
      <c r="C238" s="92"/>
      <c r="D238" s="92"/>
      <c r="E238" s="92"/>
      <c r="F238" s="92"/>
      <c r="H238" s="92"/>
    </row>
    <row r="239" ht="15.75" customHeight="1">
      <c r="A239" s="92"/>
      <c r="B239" s="92"/>
      <c r="C239" s="92"/>
      <c r="D239" s="92"/>
      <c r="E239" s="92"/>
      <c r="F239" s="92"/>
      <c r="H239" s="92"/>
    </row>
    <row r="240" ht="15.75" customHeight="1">
      <c r="A240" s="92"/>
      <c r="B240" s="92"/>
      <c r="C240" s="92"/>
      <c r="D240" s="92"/>
      <c r="E240" s="92"/>
      <c r="F240" s="92"/>
      <c r="H240" s="92"/>
    </row>
    <row r="241" ht="15.75" customHeight="1">
      <c r="A241" s="92"/>
      <c r="B241" s="92"/>
      <c r="C241" s="92"/>
      <c r="D241" s="92"/>
      <c r="E241" s="92"/>
      <c r="F241" s="92"/>
      <c r="H241" s="92"/>
    </row>
    <row r="242" ht="15.75" customHeight="1">
      <c r="A242" s="92"/>
      <c r="B242" s="92"/>
      <c r="C242" s="92"/>
      <c r="D242" s="92"/>
      <c r="E242" s="92"/>
      <c r="F242" s="92"/>
      <c r="H242" s="92"/>
    </row>
    <row r="243" ht="15.75" customHeight="1">
      <c r="A243" s="92"/>
      <c r="B243" s="92"/>
      <c r="C243" s="92"/>
      <c r="D243" s="92"/>
      <c r="E243" s="92"/>
      <c r="F243" s="92"/>
      <c r="H243" s="92"/>
    </row>
    <row r="244" ht="15.75" customHeight="1">
      <c r="A244" s="92"/>
      <c r="B244" s="92"/>
      <c r="C244" s="92"/>
      <c r="D244" s="92"/>
      <c r="E244" s="92"/>
      <c r="F244" s="92"/>
      <c r="H244" s="92"/>
    </row>
    <row r="245" ht="15.75" customHeight="1">
      <c r="A245" s="92"/>
      <c r="B245" s="92"/>
      <c r="C245" s="92"/>
      <c r="D245" s="92"/>
      <c r="E245" s="92"/>
      <c r="F245" s="92"/>
      <c r="H245" s="92"/>
    </row>
    <row r="246" ht="15.75" customHeight="1">
      <c r="A246" s="92"/>
      <c r="B246" s="92"/>
      <c r="C246" s="92"/>
      <c r="D246" s="92"/>
      <c r="E246" s="92"/>
      <c r="F246" s="92"/>
      <c r="H246" s="92"/>
    </row>
    <row r="247" ht="15.75" customHeight="1">
      <c r="A247" s="92"/>
      <c r="B247" s="92"/>
      <c r="C247" s="92"/>
      <c r="D247" s="92"/>
      <c r="E247" s="92"/>
      <c r="F247" s="92"/>
      <c r="H247" s="92"/>
    </row>
    <row r="248" ht="15.75" customHeight="1">
      <c r="A248" s="92"/>
      <c r="B248" s="92"/>
      <c r="C248" s="92"/>
      <c r="D248" s="92"/>
      <c r="E248" s="92"/>
      <c r="F248" s="92"/>
      <c r="H248" s="92"/>
    </row>
    <row r="249" ht="15.75" customHeight="1">
      <c r="A249" s="92"/>
      <c r="B249" s="92"/>
      <c r="C249" s="92"/>
      <c r="D249" s="92"/>
      <c r="E249" s="92"/>
      <c r="F249" s="92"/>
      <c r="H249" s="92"/>
    </row>
    <row r="250" ht="15.75" customHeight="1">
      <c r="A250" s="92"/>
      <c r="B250" s="92"/>
      <c r="C250" s="92"/>
      <c r="D250" s="92"/>
      <c r="E250" s="92"/>
      <c r="F250" s="92"/>
      <c r="H250" s="92"/>
    </row>
    <row r="251" ht="15.75" customHeight="1">
      <c r="A251" s="92"/>
      <c r="B251" s="92"/>
      <c r="C251" s="92"/>
      <c r="D251" s="92"/>
      <c r="E251" s="92"/>
      <c r="F251" s="92"/>
      <c r="H251" s="92"/>
    </row>
    <row r="252" ht="15.75" customHeight="1">
      <c r="A252" s="92"/>
      <c r="B252" s="92"/>
      <c r="C252" s="92"/>
      <c r="D252" s="92"/>
      <c r="E252" s="92"/>
      <c r="F252" s="92"/>
      <c r="H252" s="92"/>
    </row>
    <row r="253" ht="15.75" customHeight="1">
      <c r="A253" s="92"/>
      <c r="B253" s="92"/>
      <c r="C253" s="92"/>
      <c r="D253" s="92"/>
      <c r="E253" s="92"/>
      <c r="F253" s="92"/>
      <c r="H253" s="92"/>
    </row>
    <row r="254" ht="15.75" customHeight="1">
      <c r="A254" s="92"/>
      <c r="B254" s="92"/>
      <c r="C254" s="92"/>
      <c r="D254" s="92"/>
      <c r="E254" s="92"/>
      <c r="F254" s="92"/>
      <c r="H254" s="92"/>
    </row>
    <row r="255" ht="15.75" customHeight="1">
      <c r="A255" s="92"/>
      <c r="B255" s="92"/>
      <c r="C255" s="92"/>
      <c r="D255" s="92"/>
      <c r="E255" s="92"/>
      <c r="F255" s="92"/>
      <c r="H255" s="92"/>
    </row>
    <row r="256" ht="15.75" customHeight="1">
      <c r="A256" s="92"/>
      <c r="B256" s="92"/>
      <c r="C256" s="92"/>
      <c r="D256" s="92"/>
      <c r="E256" s="92"/>
      <c r="F256" s="92"/>
      <c r="H256" s="92"/>
    </row>
    <row r="257" ht="15.75" customHeight="1">
      <c r="A257" s="92"/>
      <c r="B257" s="92"/>
      <c r="C257" s="92"/>
      <c r="D257" s="92"/>
      <c r="E257" s="92"/>
      <c r="F257" s="92"/>
      <c r="H257" s="92"/>
    </row>
    <row r="258" ht="15.75" customHeight="1">
      <c r="A258" s="92"/>
      <c r="B258" s="92"/>
      <c r="C258" s="92"/>
      <c r="D258" s="92"/>
      <c r="E258" s="92"/>
      <c r="F258" s="92"/>
      <c r="H258" s="92"/>
    </row>
    <row r="259" ht="15.75" customHeight="1">
      <c r="A259" s="92"/>
      <c r="B259" s="92"/>
      <c r="C259" s="92"/>
      <c r="D259" s="92"/>
      <c r="E259" s="92"/>
      <c r="F259" s="92"/>
      <c r="H259" s="92"/>
    </row>
    <row r="260" ht="15.75" customHeight="1">
      <c r="A260" s="92"/>
      <c r="B260" s="92"/>
      <c r="C260" s="92"/>
      <c r="D260" s="92"/>
      <c r="E260" s="92"/>
      <c r="F260" s="92"/>
      <c r="H260" s="92"/>
    </row>
    <row r="261" ht="15.75" customHeight="1">
      <c r="A261" s="92"/>
      <c r="B261" s="92"/>
      <c r="C261" s="92"/>
      <c r="D261" s="92"/>
      <c r="E261" s="92"/>
      <c r="F261" s="92"/>
      <c r="H261" s="92"/>
    </row>
    <row r="262" ht="15.75" customHeight="1">
      <c r="A262" s="92"/>
      <c r="B262" s="92"/>
      <c r="C262" s="92"/>
      <c r="D262" s="92"/>
      <c r="E262" s="92"/>
      <c r="F262" s="92"/>
      <c r="H262" s="92"/>
    </row>
    <row r="263" ht="15.75" customHeight="1">
      <c r="A263" s="92"/>
      <c r="B263" s="92"/>
      <c r="C263" s="92"/>
      <c r="D263" s="92"/>
      <c r="E263" s="92"/>
      <c r="F263" s="92"/>
      <c r="H263" s="92"/>
    </row>
    <row r="264" ht="15.75" customHeight="1">
      <c r="A264" s="92"/>
      <c r="B264" s="92"/>
      <c r="C264" s="92"/>
      <c r="D264" s="92"/>
      <c r="E264" s="92"/>
      <c r="F264" s="92"/>
      <c r="H264" s="92"/>
    </row>
    <row r="265" ht="15.75" customHeight="1">
      <c r="A265" s="92"/>
      <c r="B265" s="92"/>
      <c r="C265" s="92"/>
      <c r="D265" s="92"/>
      <c r="E265" s="92"/>
      <c r="F265" s="92"/>
      <c r="H265" s="92"/>
    </row>
    <row r="266" ht="15.75" customHeight="1">
      <c r="A266" s="92"/>
      <c r="B266" s="92"/>
      <c r="C266" s="92"/>
      <c r="D266" s="92"/>
      <c r="E266" s="92"/>
      <c r="F266" s="92"/>
      <c r="H266" s="92"/>
    </row>
    <row r="267" ht="15.75" customHeight="1">
      <c r="A267" s="92"/>
      <c r="B267" s="92"/>
      <c r="C267" s="92"/>
      <c r="D267" s="92"/>
      <c r="E267" s="92"/>
      <c r="F267" s="92"/>
      <c r="H267" s="92"/>
    </row>
    <row r="268" ht="15.75" customHeight="1">
      <c r="A268" s="92"/>
      <c r="B268" s="92"/>
      <c r="C268" s="92"/>
      <c r="D268" s="92"/>
      <c r="E268" s="92"/>
      <c r="F268" s="92"/>
      <c r="H268" s="92"/>
    </row>
    <row r="269" ht="15.75" customHeight="1">
      <c r="A269" s="92"/>
      <c r="B269" s="92"/>
      <c r="C269" s="92"/>
      <c r="D269" s="92"/>
      <c r="E269" s="92"/>
      <c r="F269" s="92"/>
      <c r="H269" s="92"/>
    </row>
    <row r="270" ht="15.75" customHeight="1">
      <c r="A270" s="92"/>
      <c r="B270" s="92"/>
      <c r="C270" s="92"/>
      <c r="D270" s="92"/>
      <c r="E270" s="92"/>
      <c r="F270" s="92"/>
      <c r="H270" s="92"/>
    </row>
    <row r="271" ht="15.75" customHeight="1">
      <c r="A271" s="92"/>
      <c r="B271" s="92"/>
      <c r="C271" s="92"/>
      <c r="D271" s="92"/>
      <c r="E271" s="92"/>
      <c r="F271" s="92"/>
      <c r="H271" s="92"/>
    </row>
    <row r="272" ht="15.75" customHeight="1">
      <c r="A272" s="92"/>
      <c r="B272" s="92"/>
      <c r="C272" s="92"/>
      <c r="D272" s="92"/>
      <c r="E272" s="92"/>
      <c r="F272" s="92"/>
      <c r="H272" s="92"/>
    </row>
    <row r="273" ht="15.75" customHeight="1">
      <c r="A273" s="92"/>
      <c r="B273" s="92"/>
      <c r="C273" s="92"/>
      <c r="D273" s="92"/>
      <c r="E273" s="92"/>
      <c r="F273" s="92"/>
      <c r="H273" s="92"/>
    </row>
    <row r="274" ht="15.75" customHeight="1">
      <c r="A274" s="92"/>
      <c r="B274" s="92"/>
      <c r="C274" s="92"/>
      <c r="D274" s="92"/>
      <c r="E274" s="92"/>
      <c r="F274" s="92"/>
      <c r="H274" s="92"/>
    </row>
    <row r="275" ht="15.75" customHeight="1">
      <c r="A275" s="92"/>
      <c r="B275" s="92"/>
      <c r="C275" s="92"/>
      <c r="D275" s="92"/>
      <c r="E275" s="92"/>
      <c r="F275" s="92"/>
      <c r="H275" s="92"/>
    </row>
    <row r="276" ht="15.75" customHeight="1">
      <c r="A276" s="92"/>
      <c r="B276" s="92"/>
      <c r="C276" s="92"/>
      <c r="D276" s="92"/>
      <c r="E276" s="92"/>
      <c r="F276" s="92"/>
      <c r="H276" s="92"/>
    </row>
    <row r="277" ht="15.75" customHeight="1">
      <c r="A277" s="92"/>
      <c r="B277" s="92"/>
      <c r="C277" s="92"/>
      <c r="D277" s="92"/>
      <c r="E277" s="92"/>
      <c r="F277" s="92"/>
      <c r="H277" s="92"/>
    </row>
    <row r="278" ht="15.75" customHeight="1">
      <c r="A278" s="92"/>
      <c r="B278" s="92"/>
      <c r="C278" s="92"/>
      <c r="D278" s="92"/>
      <c r="E278" s="92"/>
      <c r="F278" s="92"/>
      <c r="H278" s="92"/>
    </row>
    <row r="279" ht="15.75" customHeight="1">
      <c r="A279" s="92"/>
      <c r="B279" s="92"/>
      <c r="C279" s="92"/>
      <c r="D279" s="92"/>
      <c r="E279" s="92"/>
      <c r="F279" s="92"/>
      <c r="H279" s="92"/>
    </row>
    <row r="280" ht="15.75" customHeight="1">
      <c r="A280" s="92"/>
      <c r="B280" s="92"/>
      <c r="C280" s="92"/>
      <c r="D280" s="92"/>
      <c r="E280" s="92"/>
      <c r="F280" s="92"/>
      <c r="H280" s="92"/>
    </row>
    <row r="281" ht="15.75" customHeight="1">
      <c r="A281" s="92"/>
      <c r="B281" s="92"/>
      <c r="C281" s="92"/>
      <c r="D281" s="92"/>
      <c r="E281" s="92"/>
      <c r="F281" s="92"/>
      <c r="H281" s="92"/>
    </row>
    <row r="282" ht="15.75" customHeight="1">
      <c r="A282" s="92"/>
      <c r="B282" s="92"/>
      <c r="C282" s="92"/>
      <c r="D282" s="92"/>
      <c r="E282" s="92"/>
      <c r="F282" s="92"/>
      <c r="H282" s="92"/>
    </row>
    <row r="283" ht="15.75" customHeight="1">
      <c r="A283" s="92"/>
      <c r="B283" s="92"/>
      <c r="C283" s="92"/>
      <c r="D283" s="92"/>
      <c r="E283" s="92"/>
      <c r="F283" s="92"/>
      <c r="H283" s="92"/>
    </row>
    <row r="284" ht="15.75" customHeight="1">
      <c r="A284" s="92"/>
      <c r="B284" s="92"/>
      <c r="C284" s="92"/>
      <c r="D284" s="92"/>
      <c r="E284" s="92"/>
      <c r="F284" s="92"/>
      <c r="H284" s="92"/>
    </row>
    <row r="285" ht="15.75" customHeight="1">
      <c r="A285" s="92"/>
      <c r="B285" s="92"/>
      <c r="C285" s="92"/>
      <c r="D285" s="92"/>
      <c r="E285" s="92"/>
      <c r="F285" s="92"/>
      <c r="H285" s="92"/>
    </row>
    <row r="286" ht="15.75" customHeight="1">
      <c r="A286" s="92"/>
      <c r="B286" s="92"/>
      <c r="C286" s="92"/>
      <c r="D286" s="92"/>
      <c r="E286" s="92"/>
      <c r="F286" s="92"/>
      <c r="H286" s="92"/>
    </row>
    <row r="287" ht="15.75" customHeight="1">
      <c r="A287" s="92"/>
      <c r="B287" s="92"/>
      <c r="C287" s="92"/>
      <c r="D287" s="92"/>
      <c r="E287" s="92"/>
      <c r="F287" s="92"/>
      <c r="H287" s="92"/>
    </row>
    <row r="288" ht="15.75" customHeight="1">
      <c r="A288" s="92"/>
      <c r="B288" s="92"/>
      <c r="C288" s="92"/>
      <c r="D288" s="92"/>
      <c r="E288" s="92"/>
      <c r="F288" s="92"/>
      <c r="H288" s="92"/>
    </row>
    <row r="289" ht="15.75" customHeight="1">
      <c r="A289" s="92"/>
      <c r="B289" s="92"/>
      <c r="C289" s="92"/>
      <c r="D289" s="92"/>
      <c r="E289" s="92"/>
      <c r="F289" s="92"/>
      <c r="H289" s="92"/>
    </row>
    <row r="290" ht="15.75" customHeight="1">
      <c r="A290" s="92"/>
      <c r="B290" s="92"/>
      <c r="C290" s="92"/>
      <c r="D290" s="92"/>
      <c r="E290" s="92"/>
      <c r="F290" s="92"/>
      <c r="H290" s="92"/>
    </row>
    <row r="291" ht="15.75" customHeight="1">
      <c r="A291" s="92"/>
      <c r="B291" s="92"/>
      <c r="C291" s="92"/>
      <c r="D291" s="92"/>
      <c r="E291" s="92"/>
      <c r="F291" s="92"/>
      <c r="H291" s="92"/>
    </row>
    <row r="292" ht="15.75" customHeight="1">
      <c r="A292" s="92"/>
      <c r="B292" s="92"/>
      <c r="C292" s="92"/>
      <c r="D292" s="92"/>
      <c r="E292" s="92"/>
      <c r="F292" s="92"/>
      <c r="H292" s="92"/>
    </row>
    <row r="293" ht="15.75" customHeight="1">
      <c r="A293" s="92"/>
      <c r="B293" s="92"/>
      <c r="C293" s="92"/>
      <c r="D293" s="92"/>
      <c r="E293" s="92"/>
      <c r="F293" s="92"/>
      <c r="H293" s="92"/>
    </row>
    <row r="294" ht="15.75" customHeight="1">
      <c r="A294" s="92"/>
      <c r="B294" s="92"/>
      <c r="C294" s="92"/>
      <c r="D294" s="92"/>
      <c r="E294" s="92"/>
      <c r="F294" s="92"/>
      <c r="H294" s="92"/>
    </row>
    <row r="295" ht="15.75" customHeight="1">
      <c r="A295" s="92"/>
      <c r="B295" s="92"/>
      <c r="C295" s="92"/>
      <c r="D295" s="92"/>
      <c r="E295" s="92"/>
      <c r="F295" s="92"/>
      <c r="H295" s="92"/>
    </row>
    <row r="296" ht="15.75" customHeight="1">
      <c r="A296" s="92"/>
      <c r="B296" s="92"/>
      <c r="C296" s="92"/>
      <c r="D296" s="92"/>
      <c r="E296" s="92"/>
      <c r="F296" s="92"/>
      <c r="H296" s="92"/>
    </row>
    <row r="297" ht="15.75" customHeight="1">
      <c r="A297" s="92"/>
      <c r="B297" s="92"/>
      <c r="C297" s="92"/>
      <c r="D297" s="92"/>
      <c r="E297" s="92"/>
      <c r="F297" s="92"/>
      <c r="H297" s="92"/>
    </row>
    <row r="298" ht="15.75" customHeight="1">
      <c r="A298" s="92"/>
      <c r="B298" s="92"/>
      <c r="C298" s="92"/>
      <c r="D298" s="92"/>
      <c r="E298" s="92"/>
      <c r="F298" s="92"/>
      <c r="H298" s="92"/>
    </row>
    <row r="299" ht="15.75" customHeight="1">
      <c r="A299" s="92"/>
      <c r="B299" s="92"/>
      <c r="C299" s="92"/>
      <c r="D299" s="92"/>
      <c r="E299" s="92"/>
      <c r="F299" s="92"/>
      <c r="H299" s="92"/>
    </row>
    <row r="300" ht="15.75" customHeight="1">
      <c r="A300" s="92"/>
      <c r="B300" s="92"/>
      <c r="C300" s="92"/>
      <c r="D300" s="92"/>
      <c r="E300" s="92"/>
      <c r="F300" s="92"/>
      <c r="H300" s="92"/>
    </row>
    <row r="301" ht="15.75" customHeight="1">
      <c r="A301" s="92"/>
      <c r="B301" s="92"/>
      <c r="C301" s="92"/>
      <c r="D301" s="92"/>
      <c r="E301" s="92"/>
      <c r="F301" s="92"/>
      <c r="H301" s="92"/>
    </row>
    <row r="302" ht="15.75" customHeight="1">
      <c r="A302" s="92"/>
      <c r="B302" s="92"/>
      <c r="C302" s="92"/>
      <c r="D302" s="92"/>
      <c r="E302" s="92"/>
      <c r="F302" s="92"/>
      <c r="H302" s="92"/>
    </row>
    <row r="303" ht="15.75" customHeight="1">
      <c r="A303" s="92"/>
      <c r="B303" s="92"/>
      <c r="C303" s="92"/>
      <c r="D303" s="92"/>
      <c r="E303" s="92"/>
      <c r="F303" s="92"/>
      <c r="H303" s="92"/>
    </row>
    <row r="304" ht="15.75" customHeight="1">
      <c r="A304" s="92"/>
      <c r="B304" s="92"/>
      <c r="C304" s="92"/>
      <c r="D304" s="92"/>
      <c r="E304" s="92"/>
      <c r="F304" s="92"/>
      <c r="H304" s="92"/>
    </row>
    <row r="305" ht="15.75" customHeight="1">
      <c r="A305" s="92"/>
      <c r="B305" s="92"/>
      <c r="C305" s="92"/>
      <c r="D305" s="92"/>
      <c r="E305" s="92"/>
      <c r="F305" s="92"/>
      <c r="H305" s="92"/>
    </row>
    <row r="306" ht="15.75" customHeight="1">
      <c r="A306" s="92"/>
      <c r="B306" s="92"/>
      <c r="C306" s="92"/>
      <c r="D306" s="92"/>
      <c r="E306" s="92"/>
      <c r="F306" s="92"/>
      <c r="H306" s="92"/>
    </row>
    <row r="307" ht="15.75" customHeight="1">
      <c r="A307" s="92"/>
      <c r="B307" s="92"/>
      <c r="C307" s="92"/>
      <c r="D307" s="92"/>
      <c r="E307" s="92"/>
      <c r="F307" s="92"/>
      <c r="H307" s="92"/>
    </row>
    <row r="308" ht="15.75" customHeight="1">
      <c r="A308" s="92"/>
      <c r="B308" s="92"/>
      <c r="C308" s="92"/>
      <c r="D308" s="92"/>
      <c r="E308" s="92"/>
      <c r="F308" s="92"/>
      <c r="H308" s="92"/>
    </row>
    <row r="309" ht="15.75" customHeight="1">
      <c r="A309" s="92"/>
      <c r="B309" s="92"/>
      <c r="C309" s="92"/>
      <c r="D309" s="92"/>
      <c r="E309" s="92"/>
      <c r="F309" s="92"/>
      <c r="H309" s="92"/>
    </row>
    <row r="310" ht="15.75" customHeight="1">
      <c r="A310" s="92"/>
      <c r="B310" s="92"/>
      <c r="C310" s="92"/>
      <c r="D310" s="92"/>
      <c r="E310" s="92"/>
      <c r="F310" s="92"/>
      <c r="H310" s="92"/>
    </row>
    <row r="311" ht="15.75" customHeight="1">
      <c r="A311" s="92"/>
      <c r="B311" s="92"/>
      <c r="C311" s="92"/>
      <c r="D311" s="92"/>
      <c r="E311" s="92"/>
      <c r="F311" s="92"/>
      <c r="H311" s="92"/>
    </row>
    <row r="312" ht="15.75" customHeight="1">
      <c r="A312" s="92"/>
      <c r="B312" s="92"/>
      <c r="C312" s="92"/>
      <c r="D312" s="92"/>
      <c r="E312" s="92"/>
      <c r="F312" s="92"/>
      <c r="H312" s="92"/>
    </row>
    <row r="313" ht="15.75" customHeight="1">
      <c r="A313" s="92"/>
      <c r="B313" s="92"/>
      <c r="C313" s="92"/>
      <c r="D313" s="92"/>
      <c r="E313" s="92"/>
      <c r="F313" s="92"/>
      <c r="H313" s="92"/>
    </row>
    <row r="314" ht="15.75" customHeight="1">
      <c r="A314" s="92"/>
      <c r="B314" s="92"/>
      <c r="C314" s="92"/>
      <c r="D314" s="92"/>
      <c r="E314" s="92"/>
      <c r="F314" s="92"/>
      <c r="H314" s="92"/>
    </row>
    <row r="315" ht="15.75" customHeight="1">
      <c r="A315" s="92"/>
      <c r="B315" s="92"/>
      <c r="C315" s="92"/>
      <c r="D315" s="92"/>
      <c r="E315" s="92"/>
      <c r="F315" s="92"/>
      <c r="H315" s="92"/>
    </row>
    <row r="316" ht="15.75" customHeight="1">
      <c r="A316" s="92"/>
      <c r="B316" s="92"/>
      <c r="C316" s="92"/>
      <c r="D316" s="92"/>
      <c r="E316" s="92"/>
      <c r="F316" s="92"/>
      <c r="H316" s="92"/>
    </row>
    <row r="317" ht="15.75" customHeight="1">
      <c r="A317" s="92"/>
      <c r="B317" s="92"/>
      <c r="C317" s="92"/>
      <c r="D317" s="92"/>
      <c r="E317" s="92"/>
      <c r="F317" s="92"/>
      <c r="H317" s="92"/>
    </row>
    <row r="318" ht="15.75" customHeight="1">
      <c r="A318" s="92"/>
      <c r="B318" s="92"/>
      <c r="C318" s="92"/>
      <c r="D318" s="92"/>
      <c r="E318" s="92"/>
      <c r="F318" s="92"/>
      <c r="H318" s="92"/>
    </row>
    <row r="319" ht="15.75" customHeight="1">
      <c r="A319" s="92"/>
      <c r="B319" s="92"/>
      <c r="C319" s="92"/>
      <c r="D319" s="92"/>
      <c r="E319" s="92"/>
      <c r="F319" s="92"/>
      <c r="H319" s="92"/>
    </row>
    <row r="320" ht="15.75" customHeight="1">
      <c r="A320" s="92"/>
      <c r="B320" s="92"/>
      <c r="C320" s="92"/>
      <c r="D320" s="92"/>
      <c r="E320" s="92"/>
      <c r="F320" s="92"/>
      <c r="H320" s="92"/>
    </row>
    <row r="321" ht="15.75" customHeight="1">
      <c r="A321" s="92"/>
      <c r="B321" s="92"/>
      <c r="C321" s="92"/>
      <c r="D321" s="92"/>
      <c r="E321" s="92"/>
      <c r="F321" s="92"/>
      <c r="H321" s="92"/>
    </row>
    <row r="322" ht="15.75" customHeight="1">
      <c r="A322" s="92"/>
      <c r="B322" s="92"/>
      <c r="C322" s="92"/>
      <c r="D322" s="92"/>
      <c r="E322" s="92"/>
      <c r="F322" s="92"/>
      <c r="H322" s="92"/>
    </row>
    <row r="323" ht="15.75" customHeight="1">
      <c r="A323" s="92"/>
      <c r="B323" s="92"/>
      <c r="C323" s="92"/>
      <c r="D323" s="92"/>
      <c r="E323" s="92"/>
      <c r="F323" s="92"/>
      <c r="H323" s="92"/>
    </row>
    <row r="324" ht="15.75" customHeight="1">
      <c r="A324" s="92"/>
      <c r="B324" s="92"/>
      <c r="C324" s="92"/>
      <c r="D324" s="92"/>
      <c r="E324" s="92"/>
      <c r="F324" s="92"/>
      <c r="H324" s="92"/>
    </row>
    <row r="325" ht="15.75" customHeight="1">
      <c r="A325" s="92"/>
      <c r="B325" s="92"/>
      <c r="C325" s="92"/>
      <c r="D325" s="92"/>
      <c r="E325" s="92"/>
      <c r="F325" s="92"/>
      <c r="H325" s="92"/>
    </row>
    <row r="326" ht="15.75" customHeight="1">
      <c r="A326" s="92"/>
      <c r="B326" s="92"/>
      <c r="C326" s="92"/>
      <c r="D326" s="92"/>
      <c r="E326" s="92"/>
      <c r="F326" s="92"/>
      <c r="H326" s="92"/>
    </row>
    <row r="327" ht="15.75" customHeight="1">
      <c r="A327" s="92"/>
      <c r="B327" s="92"/>
      <c r="C327" s="92"/>
      <c r="D327" s="92"/>
      <c r="E327" s="92"/>
      <c r="F327" s="92"/>
      <c r="H327" s="92"/>
    </row>
    <row r="328" ht="15.75" customHeight="1">
      <c r="A328" s="92"/>
      <c r="B328" s="92"/>
      <c r="C328" s="92"/>
      <c r="D328" s="92"/>
      <c r="E328" s="92"/>
      <c r="F328" s="92"/>
      <c r="H328" s="92"/>
    </row>
    <row r="329" ht="15.75" customHeight="1">
      <c r="A329" s="92"/>
      <c r="B329" s="92"/>
      <c r="C329" s="92"/>
      <c r="D329" s="92"/>
      <c r="E329" s="92"/>
      <c r="F329" s="92"/>
      <c r="H329" s="92"/>
    </row>
    <row r="330" ht="15.75" customHeight="1">
      <c r="A330" s="92"/>
      <c r="B330" s="92"/>
      <c r="C330" s="92"/>
      <c r="D330" s="92"/>
      <c r="E330" s="92"/>
      <c r="F330" s="92"/>
      <c r="H330" s="92"/>
    </row>
    <row r="331" ht="15.75" customHeight="1">
      <c r="A331" s="92"/>
      <c r="B331" s="92"/>
      <c r="C331" s="92"/>
      <c r="D331" s="92"/>
      <c r="E331" s="92"/>
      <c r="F331" s="92"/>
      <c r="H331" s="92"/>
    </row>
    <row r="332" ht="15.75" customHeight="1">
      <c r="A332" s="92"/>
      <c r="B332" s="92"/>
      <c r="C332" s="92"/>
      <c r="D332" s="92"/>
      <c r="E332" s="92"/>
      <c r="F332" s="92"/>
      <c r="H332" s="92"/>
    </row>
    <row r="333" ht="15.75" customHeight="1">
      <c r="A333" s="92"/>
      <c r="B333" s="92"/>
      <c r="C333" s="92"/>
      <c r="D333" s="92"/>
      <c r="E333" s="92"/>
      <c r="F333" s="92"/>
      <c r="H333" s="92"/>
    </row>
    <row r="334" ht="15.75" customHeight="1">
      <c r="A334" s="92"/>
      <c r="B334" s="92"/>
      <c r="C334" s="92"/>
      <c r="D334" s="92"/>
      <c r="E334" s="92"/>
      <c r="F334" s="92"/>
      <c r="H334" s="92"/>
    </row>
    <row r="335" ht="15.75" customHeight="1">
      <c r="A335" s="92"/>
      <c r="B335" s="92"/>
      <c r="C335" s="92"/>
      <c r="D335" s="92"/>
      <c r="E335" s="92"/>
      <c r="F335" s="92"/>
      <c r="H335" s="92"/>
    </row>
    <row r="336" ht="15.75" customHeight="1">
      <c r="A336" s="92"/>
      <c r="B336" s="92"/>
      <c r="C336" s="92"/>
      <c r="D336" s="92"/>
      <c r="E336" s="92"/>
      <c r="F336" s="92"/>
      <c r="H336" s="92"/>
    </row>
    <row r="337" ht="15.75" customHeight="1">
      <c r="A337" s="92"/>
      <c r="B337" s="92"/>
      <c r="C337" s="92"/>
      <c r="D337" s="92"/>
      <c r="E337" s="92"/>
      <c r="F337" s="92"/>
      <c r="H337" s="92"/>
    </row>
    <row r="338" ht="15.75" customHeight="1">
      <c r="A338" s="92"/>
      <c r="B338" s="92"/>
      <c r="C338" s="92"/>
      <c r="D338" s="92"/>
      <c r="E338" s="92"/>
      <c r="F338" s="92"/>
      <c r="H338" s="92"/>
    </row>
    <row r="339" ht="15.75" customHeight="1">
      <c r="A339" s="92"/>
      <c r="B339" s="92"/>
      <c r="C339" s="92"/>
      <c r="D339" s="92"/>
      <c r="E339" s="92"/>
      <c r="F339" s="92"/>
      <c r="H339" s="92"/>
    </row>
    <row r="340" ht="15.75" customHeight="1">
      <c r="A340" s="92"/>
      <c r="B340" s="92"/>
      <c r="C340" s="92"/>
      <c r="D340" s="92"/>
      <c r="E340" s="92"/>
      <c r="F340" s="92"/>
      <c r="H340" s="92"/>
    </row>
    <row r="341" ht="15.75" customHeight="1">
      <c r="A341" s="92"/>
      <c r="B341" s="92"/>
      <c r="C341" s="92"/>
      <c r="D341" s="92"/>
      <c r="E341" s="92"/>
      <c r="F341" s="92"/>
      <c r="H341" s="92"/>
    </row>
    <row r="342" ht="15.75" customHeight="1">
      <c r="A342" s="92"/>
      <c r="B342" s="92"/>
      <c r="C342" s="92"/>
      <c r="D342" s="92"/>
      <c r="E342" s="92"/>
      <c r="F342" s="92"/>
      <c r="H342" s="92"/>
    </row>
    <row r="343" ht="15.75" customHeight="1">
      <c r="A343" s="92"/>
      <c r="B343" s="92"/>
      <c r="C343" s="92"/>
      <c r="D343" s="92"/>
      <c r="E343" s="92"/>
      <c r="F343" s="92"/>
      <c r="H343" s="92"/>
    </row>
    <row r="344" ht="15.75" customHeight="1">
      <c r="A344" s="92"/>
      <c r="B344" s="92"/>
      <c r="C344" s="92"/>
      <c r="D344" s="92"/>
      <c r="E344" s="92"/>
      <c r="F344" s="92"/>
      <c r="H344" s="92"/>
    </row>
    <row r="345" ht="15.75" customHeight="1">
      <c r="A345" s="92"/>
      <c r="B345" s="92"/>
      <c r="C345" s="92"/>
      <c r="D345" s="92"/>
      <c r="E345" s="92"/>
      <c r="F345" s="92"/>
      <c r="H345" s="92"/>
    </row>
    <row r="346" ht="15.75" customHeight="1">
      <c r="A346" s="92"/>
      <c r="B346" s="92"/>
      <c r="C346" s="92"/>
      <c r="D346" s="92"/>
      <c r="E346" s="92"/>
      <c r="F346" s="92"/>
      <c r="H346" s="92"/>
    </row>
    <row r="347" ht="15.75" customHeight="1">
      <c r="A347" s="92"/>
      <c r="B347" s="92"/>
      <c r="C347" s="92"/>
      <c r="D347" s="92"/>
      <c r="E347" s="92"/>
      <c r="F347" s="92"/>
      <c r="H347" s="92"/>
    </row>
    <row r="348" ht="15.75" customHeight="1">
      <c r="A348" s="92"/>
      <c r="B348" s="92"/>
      <c r="C348" s="92"/>
      <c r="D348" s="92"/>
      <c r="E348" s="92"/>
      <c r="F348" s="92"/>
      <c r="H348" s="92"/>
    </row>
    <row r="349" ht="15.75" customHeight="1">
      <c r="A349" s="92"/>
      <c r="B349" s="92"/>
      <c r="C349" s="92"/>
      <c r="D349" s="92"/>
      <c r="E349" s="92"/>
      <c r="F349" s="92"/>
      <c r="H349" s="92"/>
    </row>
    <row r="350" ht="15.75" customHeight="1">
      <c r="A350" s="92"/>
      <c r="B350" s="92"/>
      <c r="C350" s="92"/>
      <c r="D350" s="92"/>
      <c r="E350" s="92"/>
      <c r="F350" s="92"/>
      <c r="H350" s="92"/>
    </row>
    <row r="351" ht="15.75" customHeight="1">
      <c r="A351" s="92"/>
      <c r="B351" s="92"/>
      <c r="C351" s="92"/>
      <c r="D351" s="92"/>
      <c r="E351" s="92"/>
      <c r="F351" s="92"/>
      <c r="H351" s="92"/>
    </row>
    <row r="352" ht="15.75" customHeight="1">
      <c r="A352" s="92"/>
      <c r="B352" s="92"/>
      <c r="C352" s="92"/>
      <c r="D352" s="92"/>
      <c r="E352" s="92"/>
      <c r="F352" s="92"/>
      <c r="H352" s="92"/>
    </row>
    <row r="353" ht="15.75" customHeight="1">
      <c r="A353" s="92"/>
      <c r="B353" s="92"/>
      <c r="C353" s="92"/>
      <c r="D353" s="92"/>
      <c r="E353" s="92"/>
      <c r="F353" s="92"/>
      <c r="H353" s="92"/>
    </row>
    <row r="354" ht="15.75" customHeight="1">
      <c r="A354" s="92"/>
      <c r="B354" s="92"/>
      <c r="C354" s="92"/>
      <c r="D354" s="92"/>
      <c r="E354" s="92"/>
      <c r="F354" s="92"/>
      <c r="H354" s="92"/>
    </row>
    <row r="355" ht="15.75" customHeight="1">
      <c r="A355" s="92"/>
      <c r="B355" s="92"/>
      <c r="C355" s="92"/>
      <c r="D355" s="92"/>
      <c r="E355" s="92"/>
      <c r="F355" s="92"/>
      <c r="H355" s="92"/>
    </row>
    <row r="356" ht="15.75" customHeight="1">
      <c r="A356" s="92"/>
      <c r="B356" s="92"/>
      <c r="C356" s="92"/>
      <c r="D356" s="92"/>
      <c r="E356" s="92"/>
      <c r="F356" s="92"/>
      <c r="H356" s="92"/>
    </row>
    <row r="357" ht="15.75" customHeight="1">
      <c r="A357" s="92"/>
      <c r="B357" s="92"/>
      <c r="C357" s="92"/>
      <c r="D357" s="92"/>
      <c r="E357" s="92"/>
      <c r="F357" s="92"/>
      <c r="H357" s="92"/>
    </row>
    <row r="358" ht="15.75" customHeight="1">
      <c r="A358" s="92"/>
      <c r="B358" s="92"/>
      <c r="C358" s="92"/>
      <c r="D358" s="92"/>
      <c r="E358" s="92"/>
      <c r="F358" s="92"/>
      <c r="H358" s="92"/>
    </row>
    <row r="359" ht="15.75" customHeight="1">
      <c r="A359" s="92"/>
      <c r="B359" s="92"/>
      <c r="C359" s="92"/>
      <c r="D359" s="92"/>
      <c r="E359" s="92"/>
      <c r="F359" s="92"/>
      <c r="H359" s="92"/>
    </row>
    <row r="360" ht="15.75" customHeight="1">
      <c r="A360" s="92"/>
      <c r="B360" s="92"/>
      <c r="C360" s="92"/>
      <c r="D360" s="92"/>
      <c r="E360" s="92"/>
      <c r="F360" s="92"/>
      <c r="H360" s="92"/>
    </row>
    <row r="361" ht="15.75" customHeight="1">
      <c r="A361" s="92"/>
      <c r="B361" s="92"/>
      <c r="C361" s="92"/>
      <c r="D361" s="92"/>
      <c r="E361" s="92"/>
      <c r="F361" s="92"/>
      <c r="H361" s="92"/>
    </row>
    <row r="362" ht="15.75" customHeight="1">
      <c r="A362" s="92"/>
      <c r="B362" s="92"/>
      <c r="C362" s="92"/>
      <c r="D362" s="92"/>
      <c r="E362" s="92"/>
      <c r="F362" s="92"/>
      <c r="H362" s="92"/>
    </row>
    <row r="363" ht="15.75" customHeight="1">
      <c r="A363" s="92"/>
      <c r="B363" s="92"/>
      <c r="C363" s="92"/>
      <c r="D363" s="92"/>
      <c r="E363" s="92"/>
      <c r="F363" s="92"/>
      <c r="H363" s="92"/>
    </row>
    <row r="364" ht="15.75" customHeight="1">
      <c r="A364" s="92"/>
      <c r="B364" s="92"/>
      <c r="C364" s="92"/>
      <c r="D364" s="92"/>
      <c r="E364" s="92"/>
      <c r="F364" s="92"/>
      <c r="H364" s="92"/>
    </row>
    <row r="365" ht="15.75" customHeight="1">
      <c r="A365" s="92"/>
      <c r="B365" s="92"/>
      <c r="C365" s="92"/>
      <c r="D365" s="92"/>
      <c r="E365" s="92"/>
      <c r="F365" s="92"/>
      <c r="H365" s="92"/>
    </row>
    <row r="366" ht="15.75" customHeight="1">
      <c r="A366" s="92"/>
      <c r="B366" s="92"/>
      <c r="C366" s="92"/>
      <c r="D366" s="92"/>
      <c r="E366" s="92"/>
      <c r="F366" s="92"/>
      <c r="H366" s="92"/>
    </row>
    <row r="367" ht="15.75" customHeight="1">
      <c r="A367" s="92"/>
      <c r="B367" s="92"/>
      <c r="C367" s="92"/>
      <c r="D367" s="92"/>
      <c r="E367" s="92"/>
      <c r="F367" s="92"/>
      <c r="H367" s="92"/>
    </row>
    <row r="368" ht="15.75" customHeight="1">
      <c r="A368" s="92"/>
      <c r="B368" s="92"/>
      <c r="C368" s="92"/>
      <c r="D368" s="92"/>
      <c r="E368" s="92"/>
      <c r="F368" s="92"/>
      <c r="H368" s="92"/>
    </row>
    <row r="369" ht="15.75" customHeight="1">
      <c r="A369" s="92"/>
      <c r="B369" s="92"/>
      <c r="C369" s="92"/>
      <c r="D369" s="92"/>
      <c r="E369" s="92"/>
      <c r="F369" s="92"/>
      <c r="H369" s="92"/>
    </row>
    <row r="370" ht="15.75" customHeight="1">
      <c r="A370" s="92"/>
      <c r="B370" s="92"/>
      <c r="C370" s="92"/>
      <c r="D370" s="92"/>
      <c r="E370" s="92"/>
      <c r="F370" s="92"/>
      <c r="H370" s="92"/>
    </row>
    <row r="371" ht="15.75" customHeight="1">
      <c r="A371" s="92"/>
      <c r="B371" s="92"/>
      <c r="C371" s="92"/>
      <c r="D371" s="92"/>
      <c r="E371" s="92"/>
      <c r="F371" s="92"/>
      <c r="H371" s="92"/>
    </row>
    <row r="372" ht="15.75" customHeight="1">
      <c r="A372" s="92"/>
      <c r="B372" s="92"/>
      <c r="C372" s="92"/>
      <c r="D372" s="92"/>
      <c r="E372" s="92"/>
      <c r="F372" s="92"/>
      <c r="H372" s="92"/>
    </row>
    <row r="373" ht="15.75" customHeight="1">
      <c r="A373" s="92"/>
      <c r="B373" s="92"/>
      <c r="C373" s="92"/>
      <c r="D373" s="92"/>
      <c r="E373" s="92"/>
      <c r="F373" s="92"/>
      <c r="H373" s="92"/>
    </row>
    <row r="374" ht="15.75" customHeight="1">
      <c r="A374" s="92"/>
      <c r="B374" s="92"/>
      <c r="C374" s="92"/>
      <c r="D374" s="92"/>
      <c r="E374" s="92"/>
      <c r="F374" s="92"/>
      <c r="H374" s="92"/>
    </row>
    <row r="375" ht="15.75" customHeight="1">
      <c r="A375" s="92"/>
      <c r="B375" s="92"/>
      <c r="C375" s="92"/>
      <c r="D375" s="92"/>
      <c r="E375" s="92"/>
      <c r="F375" s="92"/>
      <c r="H375" s="92"/>
    </row>
    <row r="376" ht="15.75" customHeight="1">
      <c r="A376" s="92"/>
      <c r="B376" s="92"/>
      <c r="C376" s="92"/>
      <c r="D376" s="92"/>
      <c r="E376" s="92"/>
      <c r="F376" s="92"/>
      <c r="H376" s="92"/>
    </row>
    <row r="377" ht="15.75" customHeight="1">
      <c r="A377" s="92"/>
      <c r="B377" s="92"/>
      <c r="C377" s="92"/>
      <c r="D377" s="92"/>
      <c r="E377" s="92"/>
      <c r="F377" s="92"/>
      <c r="H377" s="92"/>
    </row>
    <row r="378" ht="15.75" customHeight="1">
      <c r="A378" s="92"/>
      <c r="B378" s="92"/>
      <c r="C378" s="92"/>
      <c r="D378" s="92"/>
      <c r="E378" s="92"/>
      <c r="F378" s="92"/>
      <c r="H378" s="92"/>
    </row>
    <row r="379" ht="15.75" customHeight="1">
      <c r="A379" s="92"/>
      <c r="B379" s="92"/>
      <c r="C379" s="92"/>
      <c r="D379" s="92"/>
      <c r="E379" s="92"/>
      <c r="F379" s="92"/>
      <c r="H379" s="92"/>
    </row>
    <row r="380" ht="15.75" customHeight="1">
      <c r="A380" s="92"/>
      <c r="B380" s="92"/>
      <c r="C380" s="92"/>
      <c r="D380" s="92"/>
      <c r="E380" s="92"/>
      <c r="F380" s="92"/>
      <c r="H380" s="92"/>
    </row>
    <row r="381" ht="15.75" customHeight="1">
      <c r="A381" s="92"/>
      <c r="B381" s="92"/>
      <c r="C381" s="92"/>
      <c r="D381" s="92"/>
      <c r="E381" s="92"/>
      <c r="F381" s="92"/>
      <c r="H381" s="92"/>
    </row>
    <row r="382" ht="15.75" customHeight="1">
      <c r="A382" s="92"/>
      <c r="B382" s="92"/>
      <c r="C382" s="92"/>
      <c r="D382" s="92"/>
      <c r="E382" s="92"/>
      <c r="F382" s="92"/>
      <c r="H382" s="92"/>
    </row>
    <row r="383" ht="15.75" customHeight="1">
      <c r="A383" s="92"/>
      <c r="B383" s="92"/>
      <c r="C383" s="92"/>
      <c r="D383" s="92"/>
      <c r="E383" s="92"/>
      <c r="F383" s="92"/>
      <c r="H383" s="92"/>
    </row>
    <row r="384" ht="15.75" customHeight="1">
      <c r="A384" s="92"/>
      <c r="B384" s="92"/>
      <c r="C384" s="92"/>
      <c r="D384" s="92"/>
      <c r="E384" s="92"/>
      <c r="F384" s="92"/>
      <c r="H384" s="92"/>
    </row>
    <row r="385" ht="15.75" customHeight="1">
      <c r="A385" s="92"/>
      <c r="B385" s="92"/>
      <c r="C385" s="92"/>
      <c r="D385" s="92"/>
      <c r="E385" s="92"/>
      <c r="F385" s="92"/>
      <c r="H385" s="92"/>
    </row>
    <row r="386" ht="15.75" customHeight="1">
      <c r="A386" s="92"/>
      <c r="B386" s="92"/>
      <c r="C386" s="92"/>
      <c r="D386" s="92"/>
      <c r="E386" s="92"/>
      <c r="F386" s="92"/>
      <c r="H386" s="92"/>
    </row>
    <row r="387" ht="15.75" customHeight="1">
      <c r="A387" s="92"/>
      <c r="B387" s="92"/>
      <c r="C387" s="92"/>
      <c r="D387" s="92"/>
      <c r="E387" s="92"/>
      <c r="F387" s="92"/>
      <c r="H387" s="92"/>
    </row>
    <row r="388" ht="15.75" customHeight="1">
      <c r="A388" s="92"/>
      <c r="B388" s="92"/>
      <c r="C388" s="92"/>
      <c r="D388" s="92"/>
      <c r="E388" s="92"/>
      <c r="F388" s="92"/>
      <c r="H388" s="92"/>
    </row>
    <row r="389" ht="15.75" customHeight="1">
      <c r="A389" s="92"/>
      <c r="B389" s="92"/>
      <c r="C389" s="92"/>
      <c r="D389" s="92"/>
      <c r="E389" s="92"/>
      <c r="F389" s="92"/>
      <c r="H389" s="92"/>
    </row>
    <row r="390" ht="15.75" customHeight="1">
      <c r="A390" s="92"/>
      <c r="B390" s="92"/>
      <c r="C390" s="92"/>
      <c r="D390" s="92"/>
      <c r="E390" s="92"/>
      <c r="F390" s="92"/>
      <c r="H390" s="92"/>
    </row>
    <row r="391" ht="15.75" customHeight="1">
      <c r="A391" s="92"/>
      <c r="B391" s="92"/>
      <c r="C391" s="92"/>
      <c r="D391" s="92"/>
      <c r="E391" s="92"/>
      <c r="F391" s="92"/>
      <c r="H391" s="92"/>
    </row>
    <row r="392" ht="15.75" customHeight="1">
      <c r="A392" s="92"/>
      <c r="B392" s="92"/>
      <c r="C392" s="92"/>
      <c r="D392" s="92"/>
      <c r="E392" s="92"/>
      <c r="F392" s="92"/>
      <c r="H392" s="92"/>
    </row>
    <row r="393" ht="15.75" customHeight="1">
      <c r="A393" s="92"/>
      <c r="B393" s="92"/>
      <c r="C393" s="92"/>
      <c r="D393" s="92"/>
      <c r="E393" s="92"/>
      <c r="F393" s="92"/>
      <c r="H393" s="92"/>
    </row>
    <row r="394" ht="15.75" customHeight="1">
      <c r="A394" s="92"/>
      <c r="B394" s="92"/>
      <c r="C394" s="92"/>
      <c r="D394" s="92"/>
      <c r="E394" s="92"/>
      <c r="F394" s="92"/>
      <c r="H394" s="92"/>
    </row>
    <row r="395" ht="15.75" customHeight="1">
      <c r="A395" s="92"/>
      <c r="B395" s="92"/>
      <c r="C395" s="92"/>
      <c r="D395" s="92"/>
      <c r="E395" s="92"/>
      <c r="F395" s="92"/>
      <c r="H395" s="92"/>
    </row>
    <row r="396" ht="15.75" customHeight="1">
      <c r="A396" s="92"/>
      <c r="B396" s="92"/>
      <c r="C396" s="92"/>
      <c r="D396" s="92"/>
      <c r="E396" s="92"/>
      <c r="F396" s="92"/>
      <c r="H396" s="92"/>
    </row>
    <row r="397" ht="15.75" customHeight="1">
      <c r="A397" s="92"/>
      <c r="B397" s="92"/>
      <c r="C397" s="92"/>
      <c r="D397" s="92"/>
      <c r="E397" s="92"/>
      <c r="F397" s="92"/>
      <c r="H397" s="92"/>
    </row>
    <row r="398" ht="15.75" customHeight="1">
      <c r="A398" s="92"/>
      <c r="B398" s="92"/>
      <c r="C398" s="92"/>
      <c r="D398" s="92"/>
      <c r="E398" s="92"/>
      <c r="F398" s="92"/>
      <c r="H398" s="92"/>
    </row>
    <row r="399" ht="15.75" customHeight="1">
      <c r="A399" s="92"/>
      <c r="B399" s="92"/>
      <c r="C399" s="92"/>
      <c r="D399" s="92"/>
      <c r="E399" s="92"/>
      <c r="F399" s="92"/>
      <c r="H399" s="92"/>
    </row>
    <row r="400" ht="15.75" customHeight="1">
      <c r="A400" s="92"/>
      <c r="B400" s="92"/>
      <c r="C400" s="92"/>
      <c r="D400" s="92"/>
      <c r="E400" s="92"/>
      <c r="F400" s="92"/>
      <c r="H400" s="92"/>
    </row>
    <row r="401" ht="15.75" customHeight="1">
      <c r="A401" s="92"/>
      <c r="B401" s="92"/>
      <c r="C401" s="92"/>
      <c r="D401" s="92"/>
      <c r="E401" s="92"/>
      <c r="F401" s="92"/>
      <c r="H401" s="92"/>
    </row>
    <row r="402" ht="15.75" customHeight="1">
      <c r="A402" s="92"/>
      <c r="B402" s="92"/>
      <c r="C402" s="92"/>
      <c r="D402" s="92"/>
      <c r="E402" s="92"/>
      <c r="F402" s="92"/>
      <c r="H402" s="92"/>
    </row>
    <row r="403" ht="15.75" customHeight="1">
      <c r="A403" s="92"/>
      <c r="B403" s="92"/>
      <c r="C403" s="92"/>
      <c r="D403" s="92"/>
      <c r="E403" s="92"/>
      <c r="F403" s="92"/>
      <c r="H403" s="92"/>
    </row>
    <row r="404" ht="15.75" customHeight="1">
      <c r="A404" s="92"/>
      <c r="B404" s="92"/>
      <c r="C404" s="92"/>
      <c r="D404" s="92"/>
      <c r="E404" s="92"/>
      <c r="F404" s="92"/>
      <c r="H404" s="92"/>
    </row>
    <row r="405" ht="15.75" customHeight="1">
      <c r="A405" s="92"/>
      <c r="B405" s="92"/>
      <c r="C405" s="92"/>
      <c r="D405" s="92"/>
      <c r="E405" s="92"/>
      <c r="F405" s="92"/>
      <c r="H405" s="92"/>
    </row>
    <row r="406" ht="15.75" customHeight="1">
      <c r="A406" s="92"/>
      <c r="B406" s="92"/>
      <c r="C406" s="92"/>
      <c r="D406" s="92"/>
      <c r="E406" s="92"/>
      <c r="F406" s="92"/>
      <c r="H406" s="92"/>
    </row>
    <row r="407" ht="15.75" customHeight="1">
      <c r="A407" s="92"/>
      <c r="B407" s="92"/>
      <c r="C407" s="92"/>
      <c r="D407" s="92"/>
      <c r="E407" s="92"/>
      <c r="F407" s="92"/>
      <c r="H407" s="92"/>
    </row>
    <row r="408" ht="15.75" customHeight="1">
      <c r="A408" s="92"/>
      <c r="B408" s="92"/>
      <c r="C408" s="92"/>
      <c r="D408" s="92"/>
      <c r="E408" s="92"/>
      <c r="F408" s="92"/>
      <c r="H408" s="92"/>
    </row>
    <row r="409" ht="15.75" customHeight="1">
      <c r="A409" s="92"/>
      <c r="B409" s="92"/>
      <c r="C409" s="92"/>
      <c r="D409" s="92"/>
      <c r="E409" s="92"/>
      <c r="F409" s="92"/>
      <c r="H409" s="92"/>
    </row>
    <row r="410" ht="15.75" customHeight="1">
      <c r="A410" s="92"/>
      <c r="B410" s="92"/>
      <c r="C410" s="92"/>
      <c r="D410" s="92"/>
      <c r="E410" s="92"/>
      <c r="F410" s="92"/>
      <c r="H410" s="92"/>
    </row>
    <row r="411" ht="15.75" customHeight="1">
      <c r="A411" s="92"/>
      <c r="B411" s="92"/>
      <c r="C411" s="92"/>
      <c r="D411" s="92"/>
      <c r="E411" s="92"/>
      <c r="F411" s="92"/>
      <c r="H411" s="92"/>
    </row>
    <row r="412" ht="15.75" customHeight="1">
      <c r="A412" s="92"/>
      <c r="B412" s="92"/>
      <c r="C412" s="92"/>
      <c r="D412" s="92"/>
      <c r="E412" s="92"/>
      <c r="F412" s="92"/>
      <c r="H412" s="92"/>
    </row>
    <row r="413" ht="15.75" customHeight="1">
      <c r="A413" s="92"/>
      <c r="B413" s="92"/>
      <c r="C413" s="92"/>
      <c r="D413" s="92"/>
      <c r="E413" s="92"/>
      <c r="F413" s="92"/>
      <c r="H413" s="92"/>
    </row>
    <row r="414" ht="15.75" customHeight="1">
      <c r="A414" s="92"/>
      <c r="B414" s="92"/>
      <c r="C414" s="92"/>
      <c r="D414" s="92"/>
      <c r="E414" s="92"/>
      <c r="F414" s="92"/>
      <c r="H414" s="92"/>
    </row>
    <row r="415" ht="15.75" customHeight="1">
      <c r="A415" s="92"/>
      <c r="B415" s="92"/>
      <c r="C415" s="92"/>
      <c r="D415" s="92"/>
      <c r="E415" s="92"/>
      <c r="F415" s="92"/>
      <c r="H415" s="92"/>
    </row>
    <row r="416" ht="15.75" customHeight="1">
      <c r="A416" s="92"/>
      <c r="B416" s="92"/>
      <c r="C416" s="92"/>
      <c r="D416" s="92"/>
      <c r="E416" s="92"/>
      <c r="F416" s="92"/>
      <c r="H416" s="92"/>
    </row>
    <row r="417" ht="15.75" customHeight="1">
      <c r="A417" s="92"/>
      <c r="B417" s="92"/>
      <c r="C417" s="92"/>
      <c r="D417" s="92"/>
      <c r="E417" s="92"/>
      <c r="F417" s="92"/>
      <c r="H417" s="92"/>
    </row>
    <row r="418" ht="15.75" customHeight="1">
      <c r="A418" s="92"/>
      <c r="B418" s="92"/>
      <c r="C418" s="92"/>
      <c r="D418" s="92"/>
      <c r="E418" s="92"/>
      <c r="F418" s="92"/>
      <c r="H418" s="92"/>
    </row>
    <row r="419" ht="15.75" customHeight="1">
      <c r="A419" s="92"/>
      <c r="B419" s="92"/>
      <c r="C419" s="92"/>
      <c r="D419" s="92"/>
      <c r="E419" s="92"/>
      <c r="F419" s="92"/>
      <c r="H419" s="92"/>
    </row>
    <row r="420" ht="15.75" customHeight="1">
      <c r="A420" s="92"/>
      <c r="B420" s="92"/>
      <c r="C420" s="92"/>
      <c r="D420" s="92"/>
      <c r="E420" s="92"/>
      <c r="F420" s="92"/>
      <c r="H420" s="92"/>
    </row>
    <row r="421" ht="15.75" customHeight="1">
      <c r="A421" s="92"/>
      <c r="B421" s="92"/>
      <c r="C421" s="92"/>
      <c r="D421" s="92"/>
      <c r="E421" s="92"/>
      <c r="F421" s="92"/>
      <c r="H421" s="92"/>
    </row>
    <row r="422" ht="15.75" customHeight="1">
      <c r="A422" s="92"/>
      <c r="B422" s="92"/>
      <c r="C422" s="92"/>
      <c r="D422" s="92"/>
      <c r="E422" s="92"/>
      <c r="F422" s="92"/>
      <c r="H422" s="92"/>
    </row>
    <row r="423" ht="15.75" customHeight="1">
      <c r="A423" s="92"/>
      <c r="B423" s="92"/>
      <c r="C423" s="92"/>
      <c r="D423" s="92"/>
      <c r="E423" s="92"/>
      <c r="F423" s="92"/>
      <c r="H423" s="92"/>
    </row>
    <row r="424" ht="15.75" customHeight="1">
      <c r="A424" s="92"/>
      <c r="B424" s="92"/>
      <c r="C424" s="92"/>
      <c r="D424" s="92"/>
      <c r="E424" s="92"/>
      <c r="F424" s="92"/>
      <c r="H424" s="92"/>
    </row>
    <row r="425" ht="15.75" customHeight="1">
      <c r="A425" s="92"/>
      <c r="B425" s="92"/>
      <c r="C425" s="92"/>
      <c r="D425" s="92"/>
      <c r="E425" s="92"/>
      <c r="F425" s="92"/>
      <c r="H425" s="92"/>
    </row>
    <row r="426" ht="15.75" customHeight="1">
      <c r="A426" s="92"/>
      <c r="B426" s="92"/>
      <c r="C426" s="92"/>
      <c r="D426" s="92"/>
      <c r="E426" s="92"/>
      <c r="F426" s="92"/>
      <c r="H426" s="92"/>
    </row>
    <row r="427" ht="15.75" customHeight="1">
      <c r="A427" s="92"/>
      <c r="B427" s="92"/>
      <c r="C427" s="92"/>
      <c r="D427" s="92"/>
      <c r="E427" s="92"/>
      <c r="F427" s="92"/>
      <c r="H427" s="92"/>
    </row>
    <row r="428" ht="15.75" customHeight="1">
      <c r="A428" s="92"/>
      <c r="B428" s="92"/>
      <c r="C428" s="92"/>
      <c r="D428" s="92"/>
      <c r="E428" s="92"/>
      <c r="F428" s="92"/>
      <c r="H428" s="92"/>
    </row>
    <row r="429" ht="15.75" customHeight="1">
      <c r="A429" s="92"/>
      <c r="B429" s="92"/>
      <c r="C429" s="92"/>
      <c r="D429" s="92"/>
      <c r="E429" s="92"/>
      <c r="F429" s="92"/>
      <c r="H429" s="92"/>
    </row>
    <row r="430" ht="15.75" customHeight="1">
      <c r="A430" s="92"/>
      <c r="B430" s="92"/>
      <c r="C430" s="92"/>
      <c r="D430" s="92"/>
      <c r="E430" s="92"/>
      <c r="F430" s="92"/>
      <c r="H430" s="92"/>
    </row>
    <row r="431" ht="15.75" customHeight="1">
      <c r="A431" s="92"/>
      <c r="B431" s="92"/>
      <c r="C431" s="92"/>
      <c r="D431" s="92"/>
      <c r="E431" s="92"/>
      <c r="F431" s="92"/>
      <c r="H431" s="92"/>
    </row>
    <row r="432" ht="15.75" customHeight="1">
      <c r="A432" s="92"/>
      <c r="B432" s="92"/>
      <c r="C432" s="92"/>
      <c r="D432" s="92"/>
      <c r="E432" s="92"/>
      <c r="F432" s="92"/>
      <c r="H432" s="92"/>
    </row>
    <row r="433" ht="15.75" customHeight="1">
      <c r="A433" s="92"/>
      <c r="B433" s="92"/>
      <c r="C433" s="92"/>
      <c r="D433" s="92"/>
      <c r="E433" s="92"/>
      <c r="F433" s="92"/>
      <c r="H433" s="92"/>
    </row>
    <row r="434" ht="15.75" customHeight="1">
      <c r="A434" s="92"/>
      <c r="B434" s="92"/>
      <c r="C434" s="92"/>
      <c r="D434" s="92"/>
      <c r="E434" s="92"/>
      <c r="F434" s="92"/>
      <c r="H434" s="92"/>
    </row>
    <row r="435" ht="15.75" customHeight="1">
      <c r="A435" s="92"/>
      <c r="B435" s="92"/>
      <c r="C435" s="92"/>
      <c r="D435" s="92"/>
      <c r="E435" s="92"/>
      <c r="F435" s="92"/>
      <c r="H435" s="92"/>
    </row>
    <row r="436" ht="15.75" customHeight="1">
      <c r="A436" s="92"/>
      <c r="B436" s="92"/>
      <c r="C436" s="92"/>
      <c r="D436" s="92"/>
      <c r="E436" s="92"/>
      <c r="F436" s="92"/>
      <c r="H436" s="92"/>
    </row>
    <row r="437" ht="15.75" customHeight="1">
      <c r="A437" s="92"/>
      <c r="B437" s="92"/>
      <c r="C437" s="92"/>
      <c r="D437" s="92"/>
      <c r="E437" s="92"/>
      <c r="F437" s="92"/>
      <c r="H437" s="92"/>
    </row>
    <row r="438" ht="15.75" customHeight="1">
      <c r="A438" s="92"/>
      <c r="B438" s="92"/>
      <c r="C438" s="92"/>
      <c r="D438" s="92"/>
      <c r="E438" s="92"/>
      <c r="F438" s="92"/>
      <c r="H438" s="92"/>
    </row>
    <row r="439" ht="15.75" customHeight="1">
      <c r="A439" s="92"/>
      <c r="B439" s="92"/>
      <c r="C439" s="92"/>
      <c r="D439" s="92"/>
      <c r="E439" s="92"/>
      <c r="F439" s="92"/>
      <c r="H439" s="92"/>
    </row>
    <row r="440" ht="15.75" customHeight="1">
      <c r="A440" s="92"/>
      <c r="B440" s="92"/>
      <c r="C440" s="92"/>
      <c r="D440" s="92"/>
      <c r="E440" s="92"/>
      <c r="F440" s="92"/>
      <c r="H440" s="92"/>
    </row>
    <row r="441" ht="15.75" customHeight="1">
      <c r="A441" s="92"/>
      <c r="B441" s="92"/>
      <c r="C441" s="92"/>
      <c r="D441" s="92"/>
      <c r="E441" s="92"/>
      <c r="F441" s="92"/>
      <c r="H441" s="92"/>
    </row>
    <row r="442" ht="15.75" customHeight="1">
      <c r="A442" s="92"/>
      <c r="B442" s="92"/>
      <c r="C442" s="92"/>
      <c r="D442" s="92"/>
      <c r="E442" s="92"/>
      <c r="F442" s="92"/>
      <c r="H442" s="92"/>
    </row>
    <row r="443" ht="15.75" customHeight="1">
      <c r="A443" s="92"/>
      <c r="B443" s="92"/>
      <c r="C443" s="92"/>
      <c r="D443" s="92"/>
      <c r="E443" s="92"/>
      <c r="F443" s="92"/>
      <c r="H443" s="92"/>
    </row>
    <row r="444" ht="15.75" customHeight="1">
      <c r="A444" s="92"/>
      <c r="B444" s="92"/>
      <c r="C444" s="92"/>
      <c r="D444" s="92"/>
      <c r="E444" s="92"/>
      <c r="F444" s="92"/>
      <c r="H444" s="92"/>
    </row>
    <row r="445" ht="15.75" customHeight="1">
      <c r="A445" s="92"/>
      <c r="B445" s="92"/>
      <c r="C445" s="92"/>
      <c r="D445" s="92"/>
      <c r="E445" s="92"/>
      <c r="F445" s="92"/>
      <c r="H445" s="92"/>
    </row>
    <row r="446" ht="15.75" customHeight="1">
      <c r="A446" s="92"/>
      <c r="B446" s="92"/>
      <c r="C446" s="92"/>
      <c r="D446" s="92"/>
      <c r="E446" s="92"/>
      <c r="F446" s="92"/>
      <c r="H446" s="92"/>
    </row>
    <row r="447" ht="15.75" customHeight="1">
      <c r="A447" s="92"/>
      <c r="B447" s="92"/>
      <c r="C447" s="92"/>
      <c r="D447" s="92"/>
      <c r="E447" s="92"/>
      <c r="F447" s="92"/>
      <c r="H447" s="92"/>
    </row>
    <row r="448" ht="15.75" customHeight="1">
      <c r="A448" s="92"/>
      <c r="B448" s="92"/>
      <c r="C448" s="92"/>
      <c r="D448" s="92"/>
      <c r="E448" s="92"/>
      <c r="F448" s="92"/>
      <c r="H448" s="92"/>
    </row>
    <row r="449" ht="15.75" customHeight="1">
      <c r="A449" s="92"/>
      <c r="B449" s="92"/>
      <c r="C449" s="92"/>
      <c r="D449" s="92"/>
      <c r="E449" s="92"/>
      <c r="F449" s="92"/>
      <c r="H449" s="92"/>
    </row>
    <row r="450" ht="15.75" customHeight="1">
      <c r="A450" s="92"/>
      <c r="B450" s="92"/>
      <c r="C450" s="92"/>
      <c r="D450" s="92"/>
      <c r="E450" s="92"/>
      <c r="F450" s="92"/>
      <c r="H450" s="92"/>
    </row>
    <row r="451" ht="15.75" customHeight="1">
      <c r="A451" s="92"/>
      <c r="B451" s="92"/>
      <c r="C451" s="92"/>
      <c r="D451" s="92"/>
      <c r="E451" s="92"/>
      <c r="F451" s="92"/>
      <c r="H451" s="92"/>
    </row>
    <row r="452" ht="15.75" customHeight="1">
      <c r="A452" s="92"/>
      <c r="B452" s="92"/>
      <c r="C452" s="92"/>
      <c r="D452" s="92"/>
      <c r="E452" s="92"/>
      <c r="F452" s="92"/>
      <c r="H452" s="92"/>
    </row>
    <row r="453" ht="15.75" customHeight="1">
      <c r="A453" s="92"/>
      <c r="B453" s="92"/>
      <c r="C453" s="92"/>
      <c r="D453" s="92"/>
      <c r="E453" s="92"/>
      <c r="F453" s="92"/>
      <c r="H453" s="92"/>
    </row>
    <row r="454" ht="15.75" customHeight="1">
      <c r="A454" s="92"/>
      <c r="B454" s="92"/>
      <c r="C454" s="92"/>
      <c r="D454" s="92"/>
      <c r="E454" s="92"/>
      <c r="F454" s="92"/>
      <c r="H454" s="92"/>
    </row>
    <row r="455" ht="15.75" customHeight="1">
      <c r="A455" s="92"/>
      <c r="B455" s="92"/>
      <c r="C455" s="92"/>
      <c r="D455" s="92"/>
      <c r="E455" s="92"/>
      <c r="F455" s="92"/>
      <c r="H455" s="92"/>
    </row>
    <row r="456" ht="15.75" customHeight="1">
      <c r="A456" s="92"/>
      <c r="B456" s="92"/>
      <c r="C456" s="92"/>
      <c r="D456" s="92"/>
      <c r="E456" s="92"/>
      <c r="F456" s="92"/>
      <c r="H456" s="92"/>
    </row>
    <row r="457" ht="15.75" customHeight="1">
      <c r="A457" s="92"/>
      <c r="B457" s="92"/>
      <c r="C457" s="92"/>
      <c r="D457" s="92"/>
      <c r="E457" s="92"/>
      <c r="F457" s="92"/>
      <c r="H457" s="92"/>
    </row>
    <row r="458" ht="15.75" customHeight="1">
      <c r="A458" s="92"/>
      <c r="B458" s="92"/>
      <c r="C458" s="92"/>
      <c r="D458" s="92"/>
      <c r="E458" s="92"/>
      <c r="F458" s="92"/>
      <c r="H458" s="92"/>
    </row>
    <row r="459" ht="15.75" customHeight="1">
      <c r="A459" s="92"/>
      <c r="B459" s="92"/>
      <c r="C459" s="92"/>
      <c r="D459" s="92"/>
      <c r="E459" s="92"/>
      <c r="F459" s="92"/>
      <c r="H459" s="92"/>
    </row>
    <row r="460" ht="15.75" customHeight="1">
      <c r="A460" s="92"/>
      <c r="B460" s="92"/>
      <c r="C460" s="92"/>
      <c r="D460" s="92"/>
      <c r="E460" s="92"/>
      <c r="F460" s="92"/>
      <c r="H460" s="92"/>
    </row>
    <row r="461" ht="15.75" customHeight="1">
      <c r="A461" s="92"/>
      <c r="B461" s="92"/>
      <c r="C461" s="92"/>
      <c r="D461" s="92"/>
      <c r="E461" s="92"/>
      <c r="F461" s="92"/>
      <c r="H461" s="92"/>
    </row>
    <row r="462" ht="15.75" customHeight="1">
      <c r="A462" s="92"/>
      <c r="B462" s="92"/>
      <c r="C462" s="92"/>
      <c r="D462" s="92"/>
      <c r="E462" s="92"/>
      <c r="F462" s="92"/>
      <c r="H462" s="92"/>
    </row>
    <row r="463" ht="15.75" customHeight="1">
      <c r="A463" s="92"/>
      <c r="B463" s="92"/>
      <c r="C463" s="92"/>
      <c r="D463" s="92"/>
      <c r="E463" s="92"/>
      <c r="F463" s="92"/>
      <c r="H463" s="92"/>
    </row>
    <row r="464" ht="15.75" customHeight="1">
      <c r="A464" s="92"/>
      <c r="B464" s="92"/>
      <c r="C464" s="92"/>
      <c r="D464" s="92"/>
      <c r="E464" s="92"/>
      <c r="F464" s="92"/>
      <c r="H464" s="92"/>
    </row>
    <row r="465" ht="15.75" customHeight="1">
      <c r="A465" s="92"/>
      <c r="B465" s="92"/>
      <c r="C465" s="92"/>
      <c r="D465" s="92"/>
      <c r="E465" s="92"/>
      <c r="F465" s="92"/>
      <c r="H465" s="92"/>
    </row>
    <row r="466" ht="15.75" customHeight="1">
      <c r="A466" s="92"/>
      <c r="B466" s="92"/>
      <c r="C466" s="92"/>
      <c r="D466" s="92"/>
      <c r="E466" s="92"/>
      <c r="F466" s="92"/>
      <c r="H466" s="92"/>
    </row>
    <row r="467" ht="15.75" customHeight="1">
      <c r="A467" s="92"/>
      <c r="B467" s="92"/>
      <c r="C467" s="92"/>
      <c r="D467" s="92"/>
      <c r="E467" s="92"/>
      <c r="F467" s="92"/>
      <c r="H467" s="92"/>
    </row>
    <row r="468" ht="15.75" customHeight="1">
      <c r="A468" s="92"/>
      <c r="B468" s="92"/>
      <c r="C468" s="92"/>
      <c r="D468" s="92"/>
      <c r="E468" s="92"/>
      <c r="F468" s="92"/>
      <c r="H468" s="92"/>
    </row>
    <row r="469" ht="15.75" customHeight="1">
      <c r="A469" s="92"/>
      <c r="B469" s="92"/>
      <c r="C469" s="92"/>
      <c r="D469" s="92"/>
      <c r="E469" s="92"/>
      <c r="F469" s="92"/>
      <c r="H469" s="92"/>
    </row>
    <row r="470" ht="15.75" customHeight="1">
      <c r="A470" s="92"/>
      <c r="B470" s="92"/>
      <c r="C470" s="92"/>
      <c r="D470" s="92"/>
      <c r="E470" s="92"/>
      <c r="F470" s="92"/>
      <c r="H470" s="92"/>
    </row>
    <row r="471" ht="15.75" customHeight="1">
      <c r="A471" s="92"/>
      <c r="B471" s="92"/>
      <c r="C471" s="92"/>
      <c r="D471" s="92"/>
      <c r="E471" s="92"/>
      <c r="F471" s="92"/>
      <c r="H471" s="92"/>
    </row>
    <row r="472" ht="15.75" customHeight="1">
      <c r="A472" s="92"/>
      <c r="B472" s="92"/>
      <c r="C472" s="92"/>
      <c r="D472" s="92"/>
      <c r="E472" s="92"/>
      <c r="F472" s="92"/>
      <c r="H472" s="92"/>
    </row>
    <row r="473" ht="15.75" customHeight="1">
      <c r="A473" s="92"/>
      <c r="B473" s="92"/>
      <c r="C473" s="92"/>
      <c r="D473" s="92"/>
      <c r="E473" s="92"/>
      <c r="F473" s="92"/>
      <c r="H473" s="92"/>
    </row>
    <row r="474" ht="15.75" customHeight="1">
      <c r="A474" s="92"/>
      <c r="B474" s="92"/>
      <c r="C474" s="92"/>
      <c r="D474" s="92"/>
      <c r="E474" s="92"/>
      <c r="F474" s="92"/>
      <c r="H474" s="92"/>
    </row>
    <row r="475" ht="15.75" customHeight="1">
      <c r="A475" s="92"/>
      <c r="B475" s="92"/>
      <c r="C475" s="92"/>
      <c r="D475" s="92"/>
      <c r="E475" s="92"/>
      <c r="F475" s="92"/>
      <c r="H475" s="92"/>
    </row>
    <row r="476" ht="15.75" customHeight="1">
      <c r="A476" s="92"/>
      <c r="B476" s="92"/>
      <c r="C476" s="92"/>
      <c r="D476" s="92"/>
      <c r="E476" s="92"/>
      <c r="F476" s="92"/>
      <c r="H476" s="92"/>
    </row>
    <row r="477" ht="15.75" customHeight="1">
      <c r="A477" s="92"/>
      <c r="B477" s="92"/>
      <c r="C477" s="92"/>
      <c r="D477" s="92"/>
      <c r="E477" s="92"/>
      <c r="F477" s="92"/>
      <c r="H477" s="92"/>
    </row>
    <row r="478" ht="15.75" customHeight="1">
      <c r="A478" s="92"/>
      <c r="B478" s="92"/>
      <c r="C478" s="92"/>
      <c r="D478" s="92"/>
      <c r="E478" s="92"/>
      <c r="F478" s="92"/>
      <c r="H478" s="92"/>
    </row>
    <row r="479" ht="15.75" customHeight="1">
      <c r="A479" s="92"/>
      <c r="B479" s="92"/>
      <c r="C479" s="92"/>
      <c r="D479" s="92"/>
      <c r="E479" s="92"/>
      <c r="F479" s="92"/>
      <c r="H479" s="92"/>
    </row>
    <row r="480" ht="15.75" customHeight="1">
      <c r="A480" s="92"/>
      <c r="B480" s="92"/>
      <c r="C480" s="92"/>
      <c r="D480" s="92"/>
      <c r="E480" s="92"/>
      <c r="F480" s="92"/>
      <c r="H480" s="92"/>
    </row>
    <row r="481" ht="15.75" customHeight="1">
      <c r="A481" s="92"/>
      <c r="B481" s="92"/>
      <c r="C481" s="92"/>
      <c r="D481" s="92"/>
      <c r="E481" s="92"/>
      <c r="F481" s="92"/>
      <c r="H481" s="92"/>
    </row>
    <row r="482" ht="15.75" customHeight="1">
      <c r="A482" s="92"/>
      <c r="B482" s="92"/>
      <c r="C482" s="92"/>
      <c r="D482" s="92"/>
      <c r="E482" s="92"/>
      <c r="F482" s="92"/>
      <c r="H482" s="92"/>
    </row>
    <row r="483" ht="15.75" customHeight="1">
      <c r="A483" s="92"/>
      <c r="B483" s="92"/>
      <c r="C483" s="92"/>
      <c r="D483" s="92"/>
      <c r="E483" s="92"/>
      <c r="F483" s="92"/>
      <c r="H483" s="92"/>
    </row>
    <row r="484" ht="15.75" customHeight="1">
      <c r="A484" s="92"/>
      <c r="B484" s="92"/>
      <c r="C484" s="92"/>
      <c r="D484" s="92"/>
      <c r="E484" s="92"/>
      <c r="F484" s="92"/>
      <c r="H484" s="92"/>
    </row>
    <row r="485" ht="15.75" customHeight="1">
      <c r="A485" s="92"/>
      <c r="B485" s="92"/>
      <c r="C485" s="92"/>
      <c r="D485" s="92"/>
      <c r="E485" s="92"/>
      <c r="F485" s="92"/>
      <c r="H485" s="92"/>
    </row>
    <row r="486" ht="15.75" customHeight="1">
      <c r="A486" s="92"/>
      <c r="B486" s="92"/>
      <c r="C486" s="92"/>
      <c r="D486" s="92"/>
      <c r="E486" s="92"/>
      <c r="F486" s="92"/>
      <c r="H486" s="92"/>
    </row>
    <row r="487" ht="15.75" customHeight="1">
      <c r="A487" s="92"/>
      <c r="B487" s="92"/>
      <c r="C487" s="92"/>
      <c r="D487" s="92"/>
      <c r="E487" s="92"/>
      <c r="F487" s="92"/>
      <c r="H487" s="92"/>
    </row>
    <row r="488" ht="15.75" customHeight="1">
      <c r="A488" s="92"/>
      <c r="B488" s="92"/>
      <c r="C488" s="92"/>
      <c r="D488" s="92"/>
      <c r="E488" s="92"/>
      <c r="F488" s="92"/>
      <c r="H488" s="92"/>
    </row>
    <row r="489" ht="15.75" customHeight="1">
      <c r="A489" s="92"/>
      <c r="B489" s="92"/>
      <c r="C489" s="92"/>
      <c r="D489" s="92"/>
      <c r="E489" s="92"/>
      <c r="F489" s="92"/>
      <c r="H489" s="92"/>
    </row>
    <row r="490" ht="15.75" customHeight="1">
      <c r="A490" s="92"/>
      <c r="B490" s="92"/>
      <c r="C490" s="92"/>
      <c r="D490" s="92"/>
      <c r="E490" s="92"/>
      <c r="F490" s="92"/>
      <c r="H490" s="92"/>
    </row>
    <row r="491" ht="15.75" customHeight="1">
      <c r="A491" s="92"/>
      <c r="B491" s="92"/>
      <c r="C491" s="92"/>
      <c r="D491" s="92"/>
      <c r="E491" s="92"/>
      <c r="F491" s="92"/>
      <c r="H491" s="92"/>
    </row>
    <row r="492" ht="15.75" customHeight="1">
      <c r="A492" s="92"/>
      <c r="B492" s="92"/>
      <c r="C492" s="92"/>
      <c r="D492" s="92"/>
      <c r="E492" s="92"/>
      <c r="F492" s="92"/>
      <c r="H492" s="92"/>
    </row>
    <row r="493" ht="15.75" customHeight="1">
      <c r="A493" s="92"/>
      <c r="B493" s="92"/>
      <c r="C493" s="92"/>
      <c r="D493" s="92"/>
      <c r="E493" s="92"/>
      <c r="F493" s="92"/>
      <c r="H493" s="92"/>
    </row>
    <row r="494" ht="15.75" customHeight="1">
      <c r="A494" s="92"/>
      <c r="B494" s="92"/>
      <c r="C494" s="92"/>
      <c r="D494" s="92"/>
      <c r="E494" s="92"/>
      <c r="F494" s="92"/>
      <c r="H494" s="92"/>
    </row>
    <row r="495" ht="15.75" customHeight="1">
      <c r="A495" s="92"/>
      <c r="B495" s="92"/>
      <c r="C495" s="92"/>
      <c r="D495" s="92"/>
      <c r="E495" s="92"/>
      <c r="F495" s="92"/>
      <c r="H495" s="92"/>
    </row>
    <row r="496" ht="15.75" customHeight="1">
      <c r="A496" s="92"/>
      <c r="B496" s="92"/>
      <c r="C496" s="92"/>
      <c r="D496" s="92"/>
      <c r="E496" s="92"/>
      <c r="F496" s="92"/>
      <c r="H496" s="92"/>
    </row>
    <row r="497" ht="15.75" customHeight="1">
      <c r="A497" s="92"/>
      <c r="B497" s="92"/>
      <c r="C497" s="92"/>
      <c r="D497" s="92"/>
      <c r="E497" s="92"/>
      <c r="F497" s="92"/>
      <c r="H497" s="92"/>
    </row>
    <row r="498" ht="15.75" customHeight="1">
      <c r="A498" s="92"/>
      <c r="B498" s="92"/>
      <c r="C498" s="92"/>
      <c r="D498" s="92"/>
      <c r="E498" s="92"/>
      <c r="F498" s="92"/>
      <c r="H498" s="92"/>
    </row>
    <row r="499" ht="15.75" customHeight="1">
      <c r="A499" s="92"/>
      <c r="B499" s="92"/>
      <c r="C499" s="92"/>
      <c r="D499" s="92"/>
      <c r="E499" s="92"/>
      <c r="F499" s="92"/>
      <c r="H499" s="92"/>
    </row>
    <row r="500" ht="15.75" customHeight="1">
      <c r="A500" s="92"/>
      <c r="B500" s="92"/>
      <c r="C500" s="92"/>
      <c r="D500" s="92"/>
      <c r="E500" s="92"/>
      <c r="F500" s="92"/>
      <c r="H500" s="92"/>
    </row>
    <row r="501" ht="15.75" customHeight="1">
      <c r="A501" s="92"/>
      <c r="B501" s="92"/>
      <c r="C501" s="92"/>
      <c r="D501" s="92"/>
      <c r="E501" s="92"/>
      <c r="F501" s="92"/>
      <c r="H501" s="92"/>
    </row>
    <row r="502" ht="15.75" customHeight="1">
      <c r="A502" s="92"/>
      <c r="B502" s="92"/>
      <c r="C502" s="92"/>
      <c r="D502" s="92"/>
      <c r="E502" s="92"/>
      <c r="F502" s="92"/>
      <c r="H502" s="92"/>
    </row>
    <row r="503" ht="15.75" customHeight="1">
      <c r="A503" s="92"/>
      <c r="B503" s="92"/>
      <c r="C503" s="92"/>
      <c r="D503" s="92"/>
      <c r="E503" s="92"/>
      <c r="F503" s="92"/>
      <c r="H503" s="92"/>
    </row>
    <row r="504" ht="15.75" customHeight="1">
      <c r="A504" s="92"/>
      <c r="B504" s="92"/>
      <c r="C504" s="92"/>
      <c r="D504" s="92"/>
      <c r="E504" s="92"/>
      <c r="F504" s="92"/>
      <c r="H504" s="92"/>
    </row>
    <row r="505" ht="15.75" customHeight="1">
      <c r="A505" s="92"/>
      <c r="B505" s="92"/>
      <c r="C505" s="92"/>
      <c r="D505" s="92"/>
      <c r="E505" s="92"/>
      <c r="F505" s="92"/>
      <c r="H505" s="92"/>
    </row>
    <row r="506" ht="15.75" customHeight="1">
      <c r="A506" s="92"/>
      <c r="B506" s="92"/>
      <c r="C506" s="92"/>
      <c r="D506" s="92"/>
      <c r="E506" s="92"/>
      <c r="F506" s="92"/>
      <c r="H506" s="92"/>
    </row>
    <row r="507" ht="15.75" customHeight="1">
      <c r="A507" s="92"/>
      <c r="B507" s="92"/>
      <c r="C507" s="92"/>
      <c r="D507" s="92"/>
      <c r="E507" s="92"/>
      <c r="F507" s="92"/>
      <c r="H507" s="92"/>
    </row>
    <row r="508" ht="15.75" customHeight="1">
      <c r="A508" s="92"/>
      <c r="B508" s="92"/>
      <c r="C508" s="92"/>
      <c r="D508" s="92"/>
      <c r="E508" s="92"/>
      <c r="F508" s="92"/>
      <c r="H508" s="92"/>
    </row>
    <row r="509" ht="15.75" customHeight="1">
      <c r="A509" s="92"/>
      <c r="B509" s="92"/>
      <c r="C509" s="92"/>
      <c r="D509" s="92"/>
      <c r="E509" s="92"/>
      <c r="F509" s="92"/>
      <c r="H509" s="92"/>
    </row>
    <row r="510" ht="15.75" customHeight="1">
      <c r="A510" s="92"/>
      <c r="B510" s="92"/>
      <c r="C510" s="92"/>
      <c r="D510" s="92"/>
      <c r="E510" s="92"/>
      <c r="F510" s="92"/>
      <c r="H510" s="92"/>
    </row>
    <row r="511" ht="15.75" customHeight="1">
      <c r="A511" s="92"/>
      <c r="B511" s="92"/>
      <c r="C511" s="92"/>
      <c r="D511" s="92"/>
      <c r="E511" s="92"/>
      <c r="F511" s="92"/>
      <c r="H511" s="92"/>
    </row>
    <row r="512" ht="15.75" customHeight="1">
      <c r="A512" s="92"/>
      <c r="B512" s="92"/>
      <c r="C512" s="92"/>
      <c r="D512" s="92"/>
      <c r="E512" s="92"/>
      <c r="F512" s="92"/>
      <c r="H512" s="92"/>
    </row>
    <row r="513" ht="15.75" customHeight="1">
      <c r="A513" s="92"/>
      <c r="B513" s="92"/>
      <c r="C513" s="92"/>
      <c r="D513" s="92"/>
      <c r="E513" s="92"/>
      <c r="F513" s="92"/>
      <c r="H513" s="92"/>
    </row>
    <row r="514" ht="15.75" customHeight="1">
      <c r="A514" s="92"/>
      <c r="B514" s="92"/>
      <c r="C514" s="92"/>
      <c r="D514" s="92"/>
      <c r="E514" s="92"/>
      <c r="F514" s="92"/>
      <c r="H514" s="92"/>
    </row>
    <row r="515" ht="15.75" customHeight="1">
      <c r="A515" s="92"/>
      <c r="B515" s="92"/>
      <c r="C515" s="92"/>
      <c r="D515" s="92"/>
      <c r="E515" s="92"/>
      <c r="F515" s="92"/>
      <c r="H515" s="92"/>
    </row>
    <row r="516" ht="15.75" customHeight="1">
      <c r="A516" s="92"/>
      <c r="B516" s="92"/>
      <c r="C516" s="92"/>
      <c r="D516" s="92"/>
      <c r="E516" s="92"/>
      <c r="F516" s="92"/>
      <c r="H516" s="92"/>
    </row>
    <row r="517" ht="15.75" customHeight="1">
      <c r="A517" s="92"/>
      <c r="B517" s="92"/>
      <c r="C517" s="92"/>
      <c r="D517" s="92"/>
      <c r="E517" s="92"/>
      <c r="F517" s="92"/>
      <c r="H517" s="92"/>
    </row>
    <row r="518" ht="15.75" customHeight="1">
      <c r="A518" s="92"/>
      <c r="B518" s="92"/>
      <c r="C518" s="92"/>
      <c r="D518" s="92"/>
      <c r="E518" s="92"/>
      <c r="F518" s="92"/>
      <c r="H518" s="92"/>
    </row>
    <row r="519" ht="15.75" customHeight="1">
      <c r="A519" s="92"/>
      <c r="B519" s="92"/>
      <c r="C519" s="92"/>
      <c r="D519" s="92"/>
      <c r="E519" s="92"/>
      <c r="F519" s="92"/>
      <c r="H519" s="92"/>
    </row>
    <row r="520" ht="15.75" customHeight="1">
      <c r="A520" s="92"/>
      <c r="B520" s="92"/>
      <c r="C520" s="92"/>
      <c r="D520" s="92"/>
      <c r="E520" s="92"/>
      <c r="F520" s="92"/>
      <c r="H520" s="92"/>
    </row>
    <row r="521" ht="15.75" customHeight="1">
      <c r="A521" s="92"/>
      <c r="B521" s="92"/>
      <c r="C521" s="92"/>
      <c r="D521" s="92"/>
      <c r="E521" s="92"/>
      <c r="F521" s="92"/>
      <c r="H521" s="92"/>
    </row>
    <row r="522" ht="15.75" customHeight="1">
      <c r="A522" s="92"/>
      <c r="B522" s="92"/>
      <c r="C522" s="92"/>
      <c r="D522" s="92"/>
      <c r="E522" s="92"/>
      <c r="F522" s="92"/>
      <c r="H522" s="92"/>
    </row>
    <row r="523" ht="15.75" customHeight="1">
      <c r="A523" s="92"/>
      <c r="B523" s="92"/>
      <c r="C523" s="92"/>
      <c r="D523" s="92"/>
      <c r="E523" s="92"/>
      <c r="F523" s="92"/>
      <c r="H523" s="92"/>
    </row>
    <row r="524" ht="15.75" customHeight="1">
      <c r="A524" s="92"/>
      <c r="B524" s="92"/>
      <c r="C524" s="92"/>
      <c r="D524" s="92"/>
      <c r="E524" s="92"/>
      <c r="F524" s="92"/>
      <c r="H524" s="92"/>
    </row>
    <row r="525" ht="15.75" customHeight="1">
      <c r="A525" s="92"/>
      <c r="B525" s="92"/>
      <c r="C525" s="92"/>
      <c r="D525" s="92"/>
      <c r="E525" s="92"/>
      <c r="F525" s="92"/>
      <c r="H525" s="92"/>
    </row>
    <row r="526" ht="15.75" customHeight="1">
      <c r="A526" s="92"/>
      <c r="B526" s="92"/>
      <c r="C526" s="92"/>
      <c r="D526" s="92"/>
      <c r="E526" s="92"/>
      <c r="F526" s="92"/>
      <c r="H526" s="92"/>
    </row>
    <row r="527" ht="15.75" customHeight="1">
      <c r="A527" s="92"/>
      <c r="B527" s="92"/>
      <c r="C527" s="92"/>
      <c r="D527" s="92"/>
      <c r="E527" s="92"/>
      <c r="F527" s="92"/>
      <c r="H527" s="92"/>
    </row>
    <row r="528" ht="15.75" customHeight="1">
      <c r="A528" s="92"/>
      <c r="B528" s="92"/>
      <c r="C528" s="92"/>
      <c r="D528" s="92"/>
      <c r="E528" s="92"/>
      <c r="F528" s="92"/>
      <c r="H528" s="92"/>
    </row>
    <row r="529" ht="15.75" customHeight="1">
      <c r="A529" s="92"/>
      <c r="B529" s="92"/>
      <c r="C529" s="92"/>
      <c r="D529" s="92"/>
      <c r="E529" s="92"/>
      <c r="F529" s="92"/>
      <c r="H529" s="92"/>
    </row>
    <row r="530" ht="15.75" customHeight="1">
      <c r="A530" s="92"/>
      <c r="B530" s="92"/>
      <c r="C530" s="92"/>
      <c r="D530" s="92"/>
      <c r="E530" s="92"/>
      <c r="F530" s="92"/>
      <c r="H530" s="92"/>
    </row>
    <row r="531" ht="15.75" customHeight="1">
      <c r="A531" s="92"/>
      <c r="B531" s="92"/>
      <c r="C531" s="92"/>
      <c r="D531" s="92"/>
      <c r="E531" s="92"/>
      <c r="F531" s="92"/>
      <c r="H531" s="92"/>
    </row>
    <row r="532" ht="15.75" customHeight="1">
      <c r="A532" s="92"/>
      <c r="B532" s="92"/>
      <c r="C532" s="92"/>
      <c r="D532" s="92"/>
      <c r="E532" s="92"/>
      <c r="F532" s="92"/>
      <c r="H532" s="92"/>
    </row>
    <row r="533" ht="15.75" customHeight="1">
      <c r="A533" s="92"/>
      <c r="B533" s="92"/>
      <c r="C533" s="92"/>
      <c r="D533" s="92"/>
      <c r="E533" s="92"/>
      <c r="F533" s="92"/>
      <c r="H533" s="92"/>
    </row>
    <row r="534" ht="15.75" customHeight="1">
      <c r="A534" s="92"/>
      <c r="B534" s="92"/>
      <c r="C534" s="92"/>
      <c r="D534" s="92"/>
      <c r="E534" s="92"/>
      <c r="F534" s="92"/>
      <c r="H534" s="92"/>
    </row>
    <row r="535" ht="15.75" customHeight="1">
      <c r="A535" s="92"/>
      <c r="B535" s="92"/>
      <c r="C535" s="92"/>
      <c r="D535" s="92"/>
      <c r="E535" s="92"/>
      <c r="F535" s="92"/>
      <c r="H535" s="92"/>
    </row>
    <row r="536" ht="15.75" customHeight="1">
      <c r="A536" s="92"/>
      <c r="B536" s="92"/>
      <c r="C536" s="92"/>
      <c r="D536" s="92"/>
      <c r="E536" s="92"/>
      <c r="F536" s="92"/>
      <c r="H536" s="92"/>
    </row>
    <row r="537" ht="15.75" customHeight="1">
      <c r="A537" s="92"/>
      <c r="B537" s="92"/>
      <c r="C537" s="92"/>
      <c r="D537" s="92"/>
      <c r="E537" s="92"/>
      <c r="F537" s="92"/>
      <c r="H537" s="92"/>
    </row>
    <row r="538" ht="15.75" customHeight="1">
      <c r="A538" s="92"/>
      <c r="B538" s="92"/>
      <c r="C538" s="92"/>
      <c r="D538" s="92"/>
      <c r="E538" s="92"/>
      <c r="F538" s="92"/>
      <c r="H538" s="92"/>
    </row>
    <row r="539" ht="15.75" customHeight="1">
      <c r="A539" s="92"/>
      <c r="B539" s="92"/>
      <c r="C539" s="92"/>
      <c r="D539" s="92"/>
      <c r="E539" s="92"/>
      <c r="F539" s="92"/>
      <c r="H539" s="92"/>
    </row>
    <row r="540" ht="15.75" customHeight="1">
      <c r="A540" s="92"/>
      <c r="B540" s="92"/>
      <c r="C540" s="92"/>
      <c r="D540" s="92"/>
      <c r="E540" s="92"/>
      <c r="F540" s="92"/>
      <c r="H540" s="92"/>
    </row>
    <row r="541" ht="15.75" customHeight="1">
      <c r="A541" s="92"/>
      <c r="B541" s="92"/>
      <c r="C541" s="92"/>
      <c r="D541" s="92"/>
      <c r="E541" s="92"/>
      <c r="F541" s="92"/>
      <c r="H541" s="92"/>
    </row>
    <row r="542" ht="15.75" customHeight="1">
      <c r="A542" s="92"/>
      <c r="B542" s="92"/>
      <c r="C542" s="92"/>
      <c r="D542" s="92"/>
      <c r="E542" s="92"/>
      <c r="F542" s="92"/>
      <c r="H542" s="92"/>
    </row>
    <row r="543" ht="15.75" customHeight="1">
      <c r="A543" s="92"/>
      <c r="B543" s="92"/>
      <c r="C543" s="92"/>
      <c r="D543" s="92"/>
      <c r="E543" s="92"/>
      <c r="F543" s="92"/>
      <c r="H543" s="92"/>
    </row>
    <row r="544" ht="15.75" customHeight="1">
      <c r="A544" s="92"/>
      <c r="B544" s="92"/>
      <c r="C544" s="92"/>
      <c r="D544" s="92"/>
      <c r="E544" s="92"/>
      <c r="F544" s="92"/>
      <c r="H544" s="92"/>
    </row>
    <row r="545" ht="15.75" customHeight="1">
      <c r="A545" s="92"/>
      <c r="B545" s="92"/>
      <c r="C545" s="92"/>
      <c r="D545" s="92"/>
      <c r="E545" s="92"/>
      <c r="F545" s="92"/>
      <c r="H545" s="92"/>
    </row>
    <row r="546" ht="15.75" customHeight="1">
      <c r="A546" s="92"/>
      <c r="B546" s="92"/>
      <c r="C546" s="92"/>
      <c r="D546" s="92"/>
      <c r="E546" s="92"/>
      <c r="F546" s="92"/>
      <c r="H546" s="92"/>
    </row>
    <row r="547" ht="15.75" customHeight="1">
      <c r="A547" s="92"/>
      <c r="B547" s="92"/>
      <c r="C547" s="92"/>
      <c r="D547" s="92"/>
      <c r="E547" s="92"/>
      <c r="F547" s="92"/>
      <c r="H547" s="92"/>
    </row>
    <row r="548" ht="15.75" customHeight="1">
      <c r="A548" s="92"/>
      <c r="B548" s="92"/>
      <c r="C548" s="92"/>
      <c r="D548" s="92"/>
      <c r="E548" s="92"/>
      <c r="F548" s="92"/>
      <c r="H548" s="92"/>
    </row>
    <row r="549" ht="15.75" customHeight="1">
      <c r="A549" s="92"/>
      <c r="B549" s="92"/>
      <c r="C549" s="92"/>
      <c r="D549" s="92"/>
      <c r="E549" s="92"/>
      <c r="F549" s="92"/>
      <c r="H549" s="92"/>
    </row>
    <row r="550" ht="15.75" customHeight="1">
      <c r="A550" s="92"/>
      <c r="B550" s="92"/>
      <c r="C550" s="92"/>
      <c r="D550" s="92"/>
      <c r="E550" s="92"/>
      <c r="F550" s="92"/>
      <c r="H550" s="92"/>
    </row>
    <row r="551" ht="15.75" customHeight="1">
      <c r="A551" s="92"/>
      <c r="B551" s="92"/>
      <c r="C551" s="92"/>
      <c r="D551" s="92"/>
      <c r="E551" s="92"/>
      <c r="F551" s="92"/>
      <c r="H551" s="92"/>
    </row>
    <row r="552" ht="15.75" customHeight="1">
      <c r="A552" s="92"/>
      <c r="B552" s="92"/>
      <c r="C552" s="92"/>
      <c r="D552" s="92"/>
      <c r="E552" s="92"/>
      <c r="F552" s="92"/>
      <c r="H552" s="92"/>
    </row>
    <row r="553" ht="15.75" customHeight="1">
      <c r="A553" s="92"/>
      <c r="B553" s="92"/>
      <c r="C553" s="92"/>
      <c r="D553" s="92"/>
      <c r="E553" s="92"/>
      <c r="F553" s="92"/>
      <c r="H553" s="92"/>
    </row>
    <row r="554" ht="15.75" customHeight="1">
      <c r="A554" s="92"/>
      <c r="B554" s="92"/>
      <c r="C554" s="92"/>
      <c r="D554" s="92"/>
      <c r="E554" s="92"/>
      <c r="F554" s="92"/>
      <c r="H554" s="92"/>
    </row>
    <row r="555" ht="15.75" customHeight="1">
      <c r="A555" s="92"/>
      <c r="B555" s="92"/>
      <c r="C555" s="92"/>
      <c r="D555" s="92"/>
      <c r="E555" s="92"/>
      <c r="F555" s="92"/>
      <c r="H555" s="92"/>
    </row>
    <row r="556" ht="15.75" customHeight="1">
      <c r="A556" s="92"/>
      <c r="B556" s="92"/>
      <c r="C556" s="92"/>
      <c r="D556" s="92"/>
      <c r="E556" s="92"/>
      <c r="F556" s="92"/>
      <c r="H556" s="92"/>
    </row>
    <row r="557" ht="15.75" customHeight="1">
      <c r="A557" s="92"/>
      <c r="B557" s="92"/>
      <c r="C557" s="92"/>
      <c r="D557" s="92"/>
      <c r="E557" s="92"/>
      <c r="F557" s="92"/>
      <c r="H557" s="92"/>
    </row>
    <row r="558" ht="15.75" customHeight="1">
      <c r="A558" s="92"/>
      <c r="B558" s="92"/>
      <c r="C558" s="92"/>
      <c r="D558" s="92"/>
      <c r="E558" s="92"/>
      <c r="F558" s="92"/>
      <c r="H558" s="92"/>
    </row>
    <row r="559" ht="15.75" customHeight="1">
      <c r="A559" s="92"/>
      <c r="B559" s="92"/>
      <c r="C559" s="92"/>
      <c r="D559" s="92"/>
      <c r="E559" s="92"/>
      <c r="F559" s="92"/>
      <c r="H559" s="92"/>
    </row>
    <row r="560" ht="15.75" customHeight="1">
      <c r="A560" s="92"/>
      <c r="B560" s="92"/>
      <c r="C560" s="92"/>
      <c r="D560" s="92"/>
      <c r="E560" s="92"/>
      <c r="F560" s="92"/>
      <c r="H560" s="92"/>
    </row>
    <row r="561" ht="15.75" customHeight="1">
      <c r="A561" s="92"/>
      <c r="B561" s="92"/>
      <c r="C561" s="92"/>
      <c r="D561" s="92"/>
      <c r="E561" s="92"/>
      <c r="F561" s="92"/>
      <c r="H561" s="92"/>
    </row>
    <row r="562" ht="15.75" customHeight="1">
      <c r="A562" s="92"/>
      <c r="B562" s="92"/>
      <c r="C562" s="92"/>
      <c r="D562" s="92"/>
      <c r="E562" s="92"/>
      <c r="F562" s="92"/>
      <c r="H562" s="92"/>
    </row>
    <row r="563" ht="15.75" customHeight="1">
      <c r="A563" s="92"/>
      <c r="B563" s="92"/>
      <c r="C563" s="92"/>
      <c r="D563" s="92"/>
      <c r="E563" s="92"/>
      <c r="F563" s="92"/>
      <c r="H563" s="92"/>
    </row>
    <row r="564" ht="15.75" customHeight="1">
      <c r="A564" s="92"/>
      <c r="B564" s="92"/>
      <c r="C564" s="92"/>
      <c r="D564" s="92"/>
      <c r="E564" s="92"/>
      <c r="F564" s="92"/>
      <c r="H564" s="92"/>
    </row>
    <row r="565" ht="15.75" customHeight="1">
      <c r="A565" s="92"/>
      <c r="B565" s="92"/>
      <c r="C565" s="92"/>
      <c r="D565" s="92"/>
      <c r="E565" s="92"/>
      <c r="F565" s="92"/>
      <c r="H565" s="92"/>
    </row>
    <row r="566" ht="15.75" customHeight="1">
      <c r="A566" s="92"/>
      <c r="B566" s="92"/>
      <c r="C566" s="92"/>
      <c r="D566" s="92"/>
      <c r="E566" s="92"/>
      <c r="F566" s="92"/>
      <c r="H566" s="92"/>
    </row>
    <row r="567" ht="15.75" customHeight="1">
      <c r="A567" s="92"/>
      <c r="B567" s="92"/>
      <c r="C567" s="92"/>
      <c r="D567" s="92"/>
      <c r="E567" s="92"/>
      <c r="F567" s="92"/>
      <c r="H567" s="92"/>
    </row>
    <row r="568" ht="15.75" customHeight="1">
      <c r="A568" s="92"/>
      <c r="B568" s="92"/>
      <c r="C568" s="92"/>
      <c r="D568" s="92"/>
      <c r="E568" s="92"/>
      <c r="F568" s="92"/>
      <c r="H568" s="92"/>
    </row>
    <row r="569" ht="15.75" customHeight="1">
      <c r="A569" s="92"/>
      <c r="B569" s="92"/>
      <c r="C569" s="92"/>
      <c r="D569" s="92"/>
      <c r="E569" s="92"/>
      <c r="F569" s="92"/>
      <c r="H569" s="92"/>
    </row>
    <row r="570" ht="15.75" customHeight="1">
      <c r="A570" s="92"/>
      <c r="B570" s="92"/>
      <c r="C570" s="92"/>
      <c r="D570" s="92"/>
      <c r="E570" s="92"/>
      <c r="F570" s="92"/>
      <c r="H570" s="92"/>
    </row>
    <row r="571" ht="15.75" customHeight="1">
      <c r="A571" s="92"/>
      <c r="B571" s="92"/>
      <c r="C571" s="92"/>
      <c r="D571" s="92"/>
      <c r="E571" s="92"/>
      <c r="F571" s="92"/>
      <c r="H571" s="92"/>
    </row>
    <row r="572" ht="15.75" customHeight="1">
      <c r="A572" s="92"/>
      <c r="B572" s="92"/>
      <c r="C572" s="92"/>
      <c r="D572" s="92"/>
      <c r="E572" s="92"/>
      <c r="F572" s="92"/>
      <c r="H572" s="92"/>
    </row>
    <row r="573" ht="15.75" customHeight="1">
      <c r="A573" s="92"/>
      <c r="B573" s="92"/>
      <c r="C573" s="92"/>
      <c r="D573" s="92"/>
      <c r="E573" s="92"/>
      <c r="F573" s="92"/>
      <c r="H573" s="92"/>
    </row>
    <row r="574" ht="15.75" customHeight="1">
      <c r="A574" s="92"/>
      <c r="B574" s="92"/>
      <c r="C574" s="92"/>
      <c r="D574" s="92"/>
      <c r="E574" s="92"/>
      <c r="F574" s="92"/>
      <c r="H574" s="92"/>
    </row>
    <row r="575" ht="15.75" customHeight="1">
      <c r="A575" s="92"/>
      <c r="B575" s="92"/>
      <c r="C575" s="92"/>
      <c r="D575" s="92"/>
      <c r="E575" s="92"/>
      <c r="F575" s="92"/>
      <c r="H575" s="92"/>
    </row>
    <row r="576" ht="15.75" customHeight="1">
      <c r="A576" s="92"/>
      <c r="B576" s="92"/>
      <c r="C576" s="92"/>
      <c r="D576" s="92"/>
      <c r="E576" s="92"/>
      <c r="F576" s="92"/>
      <c r="H576" s="92"/>
    </row>
    <row r="577" ht="15.75" customHeight="1">
      <c r="A577" s="92"/>
      <c r="B577" s="92"/>
      <c r="C577" s="92"/>
      <c r="D577" s="92"/>
      <c r="E577" s="92"/>
      <c r="F577" s="92"/>
      <c r="H577" s="92"/>
    </row>
    <row r="578" ht="15.75" customHeight="1">
      <c r="A578" s="92"/>
      <c r="B578" s="92"/>
      <c r="C578" s="92"/>
      <c r="D578" s="92"/>
      <c r="E578" s="92"/>
      <c r="F578" s="92"/>
      <c r="H578" s="92"/>
    </row>
    <row r="579" ht="15.75" customHeight="1">
      <c r="A579" s="92"/>
      <c r="B579" s="92"/>
      <c r="C579" s="92"/>
      <c r="D579" s="92"/>
      <c r="E579" s="92"/>
      <c r="F579" s="92"/>
      <c r="H579" s="92"/>
    </row>
    <row r="580" ht="15.75" customHeight="1">
      <c r="A580" s="92"/>
      <c r="B580" s="92"/>
      <c r="C580" s="92"/>
      <c r="D580" s="92"/>
      <c r="E580" s="92"/>
      <c r="F580" s="92"/>
      <c r="H580" s="92"/>
    </row>
    <row r="581" ht="15.75" customHeight="1">
      <c r="A581" s="92"/>
      <c r="B581" s="92"/>
      <c r="C581" s="92"/>
      <c r="D581" s="92"/>
      <c r="E581" s="92"/>
      <c r="F581" s="92"/>
      <c r="H581" s="92"/>
    </row>
    <row r="582" ht="15.75" customHeight="1">
      <c r="A582" s="92"/>
      <c r="B582" s="92"/>
      <c r="C582" s="92"/>
      <c r="D582" s="92"/>
      <c r="E582" s="92"/>
      <c r="F582" s="92"/>
      <c r="H582" s="92"/>
    </row>
    <row r="583" ht="15.75" customHeight="1">
      <c r="A583" s="92"/>
      <c r="B583" s="92"/>
      <c r="C583" s="92"/>
      <c r="D583" s="92"/>
      <c r="E583" s="92"/>
      <c r="F583" s="92"/>
      <c r="H583" s="92"/>
    </row>
    <row r="584" ht="15.75" customHeight="1">
      <c r="A584" s="92"/>
      <c r="B584" s="92"/>
      <c r="C584" s="92"/>
      <c r="D584" s="92"/>
      <c r="E584" s="92"/>
      <c r="F584" s="92"/>
      <c r="H584" s="92"/>
    </row>
    <row r="585" ht="15.75" customHeight="1">
      <c r="A585" s="92"/>
      <c r="B585" s="92"/>
      <c r="C585" s="92"/>
      <c r="D585" s="92"/>
      <c r="E585" s="92"/>
      <c r="F585" s="92"/>
      <c r="H585" s="92"/>
    </row>
    <row r="586" ht="15.75" customHeight="1">
      <c r="A586" s="92"/>
      <c r="B586" s="92"/>
      <c r="C586" s="92"/>
      <c r="D586" s="92"/>
      <c r="E586" s="92"/>
      <c r="F586" s="92"/>
      <c r="H586" s="92"/>
    </row>
    <row r="587" ht="15.75" customHeight="1">
      <c r="A587" s="92"/>
      <c r="B587" s="92"/>
      <c r="C587" s="92"/>
      <c r="D587" s="92"/>
      <c r="E587" s="92"/>
      <c r="F587" s="92"/>
      <c r="H587" s="92"/>
    </row>
    <row r="588" ht="15.75" customHeight="1">
      <c r="A588" s="92"/>
      <c r="B588" s="92"/>
      <c r="C588" s="92"/>
      <c r="D588" s="92"/>
      <c r="E588" s="92"/>
      <c r="F588" s="92"/>
      <c r="H588" s="92"/>
    </row>
    <row r="589" ht="15.75" customHeight="1">
      <c r="A589" s="92"/>
      <c r="B589" s="92"/>
      <c r="C589" s="92"/>
      <c r="D589" s="92"/>
      <c r="E589" s="92"/>
      <c r="F589" s="92"/>
      <c r="H589" s="92"/>
    </row>
    <row r="590" ht="15.75" customHeight="1">
      <c r="A590" s="92"/>
      <c r="B590" s="92"/>
      <c r="C590" s="92"/>
      <c r="D590" s="92"/>
      <c r="E590" s="92"/>
      <c r="F590" s="92"/>
      <c r="H590" s="92"/>
    </row>
    <row r="591" ht="15.75" customHeight="1">
      <c r="A591" s="92"/>
      <c r="B591" s="92"/>
      <c r="C591" s="92"/>
      <c r="D591" s="92"/>
      <c r="E591" s="92"/>
      <c r="F591" s="92"/>
      <c r="H591" s="92"/>
    </row>
    <row r="592" ht="15.75" customHeight="1">
      <c r="A592" s="92"/>
      <c r="B592" s="92"/>
      <c r="C592" s="92"/>
      <c r="D592" s="92"/>
      <c r="E592" s="92"/>
      <c r="F592" s="92"/>
      <c r="H592" s="92"/>
    </row>
    <row r="593" ht="15.75" customHeight="1">
      <c r="A593" s="92"/>
      <c r="B593" s="92"/>
      <c r="C593" s="92"/>
      <c r="D593" s="92"/>
      <c r="E593" s="92"/>
      <c r="F593" s="92"/>
      <c r="H593" s="92"/>
    </row>
    <row r="594" ht="15.75" customHeight="1">
      <c r="A594" s="92"/>
      <c r="B594" s="92"/>
      <c r="C594" s="92"/>
      <c r="D594" s="92"/>
      <c r="E594" s="92"/>
      <c r="F594" s="92"/>
      <c r="H594" s="92"/>
    </row>
    <row r="595" ht="15.75" customHeight="1">
      <c r="A595" s="92"/>
      <c r="B595" s="92"/>
      <c r="C595" s="92"/>
      <c r="D595" s="92"/>
      <c r="E595" s="92"/>
      <c r="F595" s="92"/>
      <c r="H595" s="92"/>
    </row>
    <row r="596" ht="15.75" customHeight="1">
      <c r="A596" s="92"/>
      <c r="B596" s="92"/>
      <c r="C596" s="92"/>
      <c r="D596" s="92"/>
      <c r="E596" s="92"/>
      <c r="F596" s="92"/>
      <c r="H596" s="92"/>
    </row>
    <row r="597" ht="15.75" customHeight="1">
      <c r="A597" s="92"/>
      <c r="B597" s="92"/>
      <c r="C597" s="92"/>
      <c r="D597" s="92"/>
      <c r="E597" s="92"/>
      <c r="F597" s="92"/>
      <c r="H597" s="92"/>
    </row>
    <row r="598" ht="15.75" customHeight="1">
      <c r="A598" s="92"/>
      <c r="B598" s="92"/>
      <c r="C598" s="92"/>
      <c r="D598" s="92"/>
      <c r="E598" s="92"/>
      <c r="F598" s="92"/>
      <c r="H598" s="92"/>
    </row>
    <row r="599" ht="15.75" customHeight="1">
      <c r="A599" s="92"/>
      <c r="B599" s="92"/>
      <c r="C599" s="92"/>
      <c r="D599" s="92"/>
      <c r="E599" s="92"/>
      <c r="F599" s="92"/>
      <c r="H599" s="92"/>
    </row>
    <row r="600" ht="15.75" customHeight="1">
      <c r="A600" s="92"/>
      <c r="B600" s="92"/>
      <c r="C600" s="92"/>
      <c r="D600" s="92"/>
      <c r="E600" s="92"/>
      <c r="F600" s="92"/>
      <c r="H600" s="92"/>
    </row>
    <row r="601" ht="15.75" customHeight="1">
      <c r="A601" s="92"/>
      <c r="B601" s="92"/>
      <c r="C601" s="92"/>
      <c r="D601" s="92"/>
      <c r="E601" s="92"/>
      <c r="F601" s="92"/>
      <c r="H601" s="92"/>
    </row>
    <row r="602" ht="15.75" customHeight="1">
      <c r="A602" s="92"/>
      <c r="B602" s="92"/>
      <c r="C602" s="92"/>
      <c r="D602" s="92"/>
      <c r="E602" s="92"/>
      <c r="F602" s="92"/>
      <c r="H602" s="92"/>
    </row>
    <row r="603" ht="15.75" customHeight="1">
      <c r="A603" s="92"/>
      <c r="B603" s="92"/>
      <c r="C603" s="92"/>
      <c r="D603" s="92"/>
      <c r="E603" s="92"/>
      <c r="F603" s="92"/>
      <c r="H603" s="92"/>
    </row>
    <row r="604" ht="15.75" customHeight="1">
      <c r="A604" s="92"/>
      <c r="B604" s="92"/>
      <c r="C604" s="92"/>
      <c r="D604" s="92"/>
      <c r="E604" s="92"/>
      <c r="F604" s="92"/>
      <c r="H604" s="92"/>
    </row>
    <row r="605" ht="15.75" customHeight="1">
      <c r="A605" s="92"/>
      <c r="B605" s="92"/>
      <c r="C605" s="92"/>
      <c r="D605" s="92"/>
      <c r="E605" s="92"/>
      <c r="F605" s="92"/>
      <c r="H605" s="92"/>
    </row>
    <row r="606" ht="15.75" customHeight="1">
      <c r="A606" s="92"/>
      <c r="B606" s="92"/>
      <c r="C606" s="92"/>
      <c r="D606" s="92"/>
      <c r="E606" s="92"/>
      <c r="F606" s="92"/>
      <c r="H606" s="92"/>
    </row>
    <row r="607" ht="15.75" customHeight="1">
      <c r="A607" s="92"/>
      <c r="B607" s="92"/>
      <c r="C607" s="92"/>
      <c r="D607" s="92"/>
      <c r="E607" s="92"/>
      <c r="F607" s="92"/>
      <c r="H607" s="92"/>
    </row>
    <row r="608" ht="15.75" customHeight="1">
      <c r="A608" s="92"/>
      <c r="B608" s="92"/>
      <c r="C608" s="92"/>
      <c r="D608" s="92"/>
      <c r="E608" s="92"/>
      <c r="F608" s="92"/>
      <c r="H608" s="92"/>
    </row>
    <row r="609" ht="15.75" customHeight="1">
      <c r="A609" s="92"/>
      <c r="B609" s="92"/>
      <c r="C609" s="92"/>
      <c r="D609" s="92"/>
      <c r="E609" s="92"/>
      <c r="F609" s="92"/>
      <c r="H609" s="92"/>
    </row>
    <row r="610" ht="15.75" customHeight="1">
      <c r="A610" s="92"/>
      <c r="B610" s="92"/>
      <c r="C610" s="92"/>
      <c r="D610" s="92"/>
      <c r="E610" s="92"/>
      <c r="F610" s="92"/>
      <c r="H610" s="92"/>
    </row>
    <row r="611" ht="15.75" customHeight="1">
      <c r="A611" s="92"/>
      <c r="B611" s="92"/>
      <c r="C611" s="92"/>
      <c r="D611" s="92"/>
      <c r="E611" s="92"/>
      <c r="F611" s="92"/>
      <c r="H611" s="92"/>
    </row>
    <row r="612" ht="15.75" customHeight="1">
      <c r="A612" s="92"/>
      <c r="B612" s="92"/>
      <c r="C612" s="92"/>
      <c r="D612" s="92"/>
      <c r="E612" s="92"/>
      <c r="F612" s="92"/>
      <c r="H612" s="92"/>
    </row>
    <row r="613" ht="15.75" customHeight="1">
      <c r="A613" s="92"/>
      <c r="B613" s="92"/>
      <c r="C613" s="92"/>
      <c r="D613" s="92"/>
      <c r="E613" s="92"/>
      <c r="F613" s="92"/>
      <c r="H613" s="92"/>
    </row>
    <row r="614" ht="15.75" customHeight="1">
      <c r="A614" s="92"/>
      <c r="B614" s="92"/>
      <c r="C614" s="92"/>
      <c r="D614" s="92"/>
      <c r="E614" s="92"/>
      <c r="F614" s="92"/>
      <c r="H614" s="92"/>
    </row>
    <row r="615" ht="15.75" customHeight="1">
      <c r="A615" s="92"/>
      <c r="B615" s="92"/>
      <c r="C615" s="92"/>
      <c r="D615" s="92"/>
      <c r="E615" s="92"/>
      <c r="F615" s="92"/>
      <c r="H615" s="92"/>
    </row>
    <row r="616" ht="15.75" customHeight="1">
      <c r="A616" s="92"/>
      <c r="B616" s="92"/>
      <c r="C616" s="92"/>
      <c r="D616" s="92"/>
      <c r="E616" s="92"/>
      <c r="F616" s="92"/>
      <c r="H616" s="92"/>
    </row>
    <row r="617" ht="15.75" customHeight="1">
      <c r="A617" s="92"/>
      <c r="B617" s="92"/>
      <c r="C617" s="92"/>
      <c r="D617" s="92"/>
      <c r="E617" s="92"/>
      <c r="F617" s="92"/>
      <c r="H617" s="92"/>
    </row>
    <row r="618" ht="15.75" customHeight="1">
      <c r="A618" s="92"/>
      <c r="B618" s="92"/>
      <c r="C618" s="92"/>
      <c r="D618" s="92"/>
      <c r="E618" s="92"/>
      <c r="F618" s="92"/>
      <c r="H618" s="92"/>
    </row>
    <row r="619" ht="15.75" customHeight="1">
      <c r="A619" s="92"/>
      <c r="B619" s="92"/>
      <c r="C619" s="92"/>
      <c r="D619" s="92"/>
      <c r="E619" s="92"/>
      <c r="F619" s="92"/>
      <c r="H619" s="92"/>
    </row>
    <row r="620" ht="15.75" customHeight="1">
      <c r="A620" s="92"/>
      <c r="B620" s="92"/>
      <c r="C620" s="92"/>
      <c r="D620" s="92"/>
      <c r="E620" s="92"/>
      <c r="F620" s="92"/>
      <c r="H620" s="92"/>
    </row>
    <row r="621" ht="15.75" customHeight="1">
      <c r="A621" s="92"/>
      <c r="B621" s="92"/>
      <c r="C621" s="92"/>
      <c r="D621" s="92"/>
      <c r="E621" s="92"/>
      <c r="F621" s="92"/>
      <c r="H621" s="92"/>
    </row>
    <row r="622" ht="15.75" customHeight="1">
      <c r="A622" s="92"/>
      <c r="B622" s="92"/>
      <c r="C622" s="92"/>
      <c r="D622" s="92"/>
      <c r="E622" s="92"/>
      <c r="F622" s="92"/>
      <c r="H622" s="92"/>
    </row>
    <row r="623" ht="15.75" customHeight="1">
      <c r="A623" s="92"/>
      <c r="B623" s="92"/>
      <c r="C623" s="92"/>
      <c r="D623" s="92"/>
      <c r="E623" s="92"/>
      <c r="F623" s="92"/>
      <c r="H623" s="92"/>
    </row>
    <row r="624" ht="15.75" customHeight="1">
      <c r="A624" s="92"/>
      <c r="B624" s="92"/>
      <c r="C624" s="92"/>
      <c r="D624" s="92"/>
      <c r="E624" s="92"/>
      <c r="F624" s="92"/>
      <c r="H624" s="92"/>
    </row>
    <row r="625" ht="15.75" customHeight="1">
      <c r="A625" s="92"/>
      <c r="B625" s="92"/>
      <c r="C625" s="92"/>
      <c r="D625" s="92"/>
      <c r="E625" s="92"/>
      <c r="F625" s="92"/>
      <c r="H625" s="92"/>
    </row>
    <row r="626" ht="15.75" customHeight="1">
      <c r="A626" s="92"/>
      <c r="B626" s="92"/>
      <c r="C626" s="92"/>
      <c r="D626" s="92"/>
      <c r="E626" s="92"/>
      <c r="F626" s="92"/>
      <c r="H626" s="92"/>
    </row>
    <row r="627" ht="15.75" customHeight="1">
      <c r="A627" s="92"/>
      <c r="B627" s="92"/>
      <c r="C627" s="92"/>
      <c r="D627" s="92"/>
      <c r="E627" s="92"/>
      <c r="F627" s="92"/>
      <c r="H627" s="92"/>
    </row>
    <row r="628" ht="15.75" customHeight="1">
      <c r="A628" s="92"/>
      <c r="B628" s="92"/>
      <c r="C628" s="92"/>
      <c r="D628" s="92"/>
      <c r="E628" s="92"/>
      <c r="F628" s="92"/>
      <c r="H628" s="92"/>
    </row>
    <row r="629" ht="15.75" customHeight="1">
      <c r="A629" s="92"/>
      <c r="B629" s="92"/>
      <c r="C629" s="92"/>
      <c r="D629" s="92"/>
      <c r="E629" s="92"/>
      <c r="F629" s="92"/>
      <c r="H629" s="92"/>
    </row>
    <row r="630" ht="15.75" customHeight="1">
      <c r="A630" s="92"/>
      <c r="B630" s="92"/>
      <c r="C630" s="92"/>
      <c r="D630" s="92"/>
      <c r="E630" s="92"/>
      <c r="F630" s="92"/>
      <c r="H630" s="92"/>
    </row>
    <row r="631" ht="15.75" customHeight="1">
      <c r="A631" s="92"/>
      <c r="B631" s="92"/>
      <c r="C631" s="92"/>
      <c r="D631" s="92"/>
      <c r="E631" s="92"/>
      <c r="F631" s="92"/>
      <c r="H631" s="92"/>
    </row>
    <row r="632" ht="15.75" customHeight="1">
      <c r="A632" s="92"/>
      <c r="B632" s="92"/>
      <c r="C632" s="92"/>
      <c r="D632" s="92"/>
      <c r="E632" s="92"/>
      <c r="F632" s="92"/>
      <c r="H632" s="92"/>
    </row>
    <row r="633" ht="15.75" customHeight="1">
      <c r="A633" s="92"/>
      <c r="B633" s="92"/>
      <c r="C633" s="92"/>
      <c r="D633" s="92"/>
      <c r="E633" s="92"/>
      <c r="F633" s="92"/>
      <c r="H633" s="92"/>
    </row>
    <row r="634" ht="15.75" customHeight="1">
      <c r="A634" s="92"/>
      <c r="B634" s="92"/>
      <c r="C634" s="92"/>
      <c r="D634" s="92"/>
      <c r="E634" s="92"/>
      <c r="F634" s="92"/>
      <c r="H634" s="92"/>
    </row>
    <row r="635" ht="15.75" customHeight="1">
      <c r="A635" s="92"/>
      <c r="B635" s="92"/>
      <c r="C635" s="92"/>
      <c r="D635" s="92"/>
      <c r="E635" s="92"/>
      <c r="F635" s="92"/>
      <c r="H635" s="92"/>
    </row>
    <row r="636" ht="15.75" customHeight="1">
      <c r="A636" s="92"/>
      <c r="B636" s="92"/>
      <c r="C636" s="92"/>
      <c r="D636" s="92"/>
      <c r="E636" s="92"/>
      <c r="F636" s="92"/>
      <c r="H636" s="92"/>
    </row>
    <row r="637" ht="15.75" customHeight="1">
      <c r="A637" s="92"/>
      <c r="B637" s="92"/>
      <c r="C637" s="92"/>
      <c r="D637" s="92"/>
      <c r="E637" s="92"/>
      <c r="F637" s="92"/>
      <c r="H637" s="92"/>
    </row>
    <row r="638" ht="15.75" customHeight="1">
      <c r="A638" s="92"/>
      <c r="B638" s="92"/>
      <c r="C638" s="92"/>
      <c r="D638" s="92"/>
      <c r="E638" s="92"/>
      <c r="F638" s="92"/>
      <c r="H638" s="92"/>
    </row>
    <row r="639" ht="15.75" customHeight="1">
      <c r="A639" s="92"/>
      <c r="B639" s="92"/>
      <c r="C639" s="92"/>
      <c r="D639" s="92"/>
      <c r="E639" s="92"/>
      <c r="F639" s="92"/>
      <c r="H639" s="92"/>
    </row>
    <row r="640" ht="15.75" customHeight="1">
      <c r="A640" s="92"/>
      <c r="B640" s="92"/>
      <c r="C640" s="92"/>
      <c r="D640" s="92"/>
      <c r="E640" s="92"/>
      <c r="F640" s="92"/>
      <c r="H640" s="92"/>
    </row>
    <row r="641" ht="15.75" customHeight="1">
      <c r="A641" s="92"/>
      <c r="B641" s="92"/>
      <c r="C641" s="92"/>
      <c r="D641" s="92"/>
      <c r="E641" s="92"/>
      <c r="F641" s="92"/>
      <c r="H641" s="92"/>
    </row>
    <row r="642" ht="15.75" customHeight="1">
      <c r="A642" s="92"/>
      <c r="B642" s="92"/>
      <c r="C642" s="92"/>
      <c r="D642" s="92"/>
      <c r="E642" s="92"/>
      <c r="F642" s="92"/>
      <c r="H642" s="92"/>
    </row>
    <row r="643" ht="15.75" customHeight="1">
      <c r="A643" s="92"/>
      <c r="B643" s="92"/>
      <c r="C643" s="92"/>
      <c r="D643" s="92"/>
      <c r="E643" s="92"/>
      <c r="F643" s="92"/>
      <c r="H643" s="92"/>
    </row>
    <row r="644" ht="15.75" customHeight="1">
      <c r="A644" s="92"/>
      <c r="B644" s="92"/>
      <c r="C644" s="92"/>
      <c r="D644" s="92"/>
      <c r="E644" s="92"/>
      <c r="F644" s="92"/>
      <c r="H644" s="92"/>
    </row>
    <row r="645" ht="15.75" customHeight="1">
      <c r="A645" s="92"/>
      <c r="B645" s="92"/>
      <c r="C645" s="92"/>
      <c r="D645" s="92"/>
      <c r="E645" s="92"/>
      <c r="F645" s="92"/>
      <c r="H645" s="92"/>
    </row>
    <row r="646" ht="15.75" customHeight="1">
      <c r="A646" s="92"/>
      <c r="B646" s="92"/>
      <c r="C646" s="92"/>
      <c r="D646" s="92"/>
      <c r="E646" s="92"/>
      <c r="F646" s="92"/>
      <c r="H646" s="92"/>
    </row>
    <row r="647" ht="15.75" customHeight="1">
      <c r="A647" s="92"/>
      <c r="B647" s="92"/>
      <c r="C647" s="92"/>
      <c r="D647" s="92"/>
      <c r="E647" s="92"/>
      <c r="F647" s="92"/>
      <c r="H647" s="92"/>
    </row>
    <row r="648" ht="15.75" customHeight="1">
      <c r="A648" s="92"/>
      <c r="B648" s="92"/>
      <c r="C648" s="92"/>
      <c r="D648" s="92"/>
      <c r="E648" s="92"/>
      <c r="F648" s="92"/>
      <c r="H648" s="92"/>
    </row>
    <row r="649" ht="15.75" customHeight="1">
      <c r="A649" s="92"/>
      <c r="B649" s="92"/>
      <c r="C649" s="92"/>
      <c r="D649" s="92"/>
      <c r="E649" s="92"/>
      <c r="F649" s="92"/>
      <c r="H649" s="92"/>
    </row>
    <row r="650" ht="15.75" customHeight="1">
      <c r="A650" s="92"/>
      <c r="B650" s="92"/>
      <c r="C650" s="92"/>
      <c r="D650" s="92"/>
      <c r="E650" s="92"/>
      <c r="F650" s="92"/>
      <c r="H650" s="92"/>
    </row>
    <row r="651" ht="15.75" customHeight="1">
      <c r="A651" s="92"/>
      <c r="B651" s="92"/>
      <c r="C651" s="92"/>
      <c r="D651" s="92"/>
      <c r="E651" s="92"/>
      <c r="F651" s="92"/>
      <c r="H651" s="92"/>
    </row>
    <row r="652" ht="15.75" customHeight="1">
      <c r="A652" s="92"/>
      <c r="B652" s="92"/>
      <c r="C652" s="92"/>
      <c r="D652" s="92"/>
      <c r="E652" s="92"/>
      <c r="F652" s="92"/>
      <c r="H652" s="92"/>
    </row>
    <row r="653" ht="15.75" customHeight="1">
      <c r="A653" s="92"/>
      <c r="B653" s="92"/>
      <c r="C653" s="92"/>
      <c r="D653" s="92"/>
      <c r="E653" s="92"/>
      <c r="F653" s="92"/>
      <c r="H653" s="92"/>
    </row>
    <row r="654" ht="15.75" customHeight="1">
      <c r="A654" s="92"/>
      <c r="B654" s="92"/>
      <c r="C654" s="92"/>
      <c r="D654" s="92"/>
      <c r="E654" s="92"/>
      <c r="F654" s="92"/>
      <c r="H654" s="92"/>
    </row>
    <row r="655" ht="15.75" customHeight="1">
      <c r="A655" s="92"/>
      <c r="B655" s="92"/>
      <c r="C655" s="92"/>
      <c r="D655" s="92"/>
      <c r="E655" s="92"/>
      <c r="F655" s="92"/>
      <c r="H655" s="92"/>
    </row>
    <row r="656" ht="15.75" customHeight="1">
      <c r="A656" s="92"/>
      <c r="B656" s="92"/>
      <c r="C656" s="92"/>
      <c r="D656" s="92"/>
      <c r="E656" s="92"/>
      <c r="F656" s="92"/>
      <c r="H656" s="92"/>
    </row>
    <row r="657" ht="15.75" customHeight="1">
      <c r="A657" s="92"/>
      <c r="B657" s="92"/>
      <c r="C657" s="92"/>
      <c r="D657" s="92"/>
      <c r="E657" s="92"/>
      <c r="F657" s="92"/>
      <c r="H657" s="92"/>
    </row>
    <row r="658" ht="15.75" customHeight="1">
      <c r="A658" s="92"/>
      <c r="B658" s="92"/>
      <c r="C658" s="92"/>
      <c r="D658" s="92"/>
      <c r="E658" s="92"/>
      <c r="F658" s="92"/>
      <c r="H658" s="92"/>
    </row>
    <row r="659" ht="15.75" customHeight="1">
      <c r="A659" s="92"/>
      <c r="B659" s="92"/>
      <c r="C659" s="92"/>
      <c r="D659" s="92"/>
      <c r="E659" s="92"/>
      <c r="F659" s="92"/>
      <c r="H659" s="92"/>
    </row>
    <row r="660" ht="15.75" customHeight="1">
      <c r="A660" s="92"/>
      <c r="B660" s="92"/>
      <c r="C660" s="92"/>
      <c r="D660" s="92"/>
      <c r="E660" s="92"/>
      <c r="F660" s="92"/>
      <c r="H660" s="92"/>
    </row>
    <row r="661" ht="15.75" customHeight="1">
      <c r="A661" s="92"/>
      <c r="B661" s="92"/>
      <c r="C661" s="92"/>
      <c r="D661" s="92"/>
      <c r="E661" s="92"/>
      <c r="F661" s="92"/>
      <c r="H661" s="92"/>
    </row>
    <row r="662" ht="15.75" customHeight="1">
      <c r="A662" s="92"/>
      <c r="B662" s="92"/>
      <c r="C662" s="92"/>
      <c r="D662" s="92"/>
      <c r="E662" s="92"/>
      <c r="F662" s="92"/>
      <c r="H662" s="92"/>
    </row>
    <row r="663" ht="15.75" customHeight="1">
      <c r="A663" s="92"/>
      <c r="B663" s="92"/>
      <c r="C663" s="92"/>
      <c r="D663" s="92"/>
      <c r="E663" s="92"/>
      <c r="F663" s="92"/>
      <c r="H663" s="92"/>
    </row>
    <row r="664" ht="15.75" customHeight="1">
      <c r="A664" s="92"/>
      <c r="B664" s="92"/>
      <c r="C664" s="92"/>
      <c r="D664" s="92"/>
      <c r="E664" s="92"/>
      <c r="F664" s="92"/>
      <c r="H664" s="92"/>
    </row>
    <row r="665" ht="15.75" customHeight="1">
      <c r="A665" s="92"/>
      <c r="B665" s="92"/>
      <c r="C665" s="92"/>
      <c r="D665" s="92"/>
      <c r="E665" s="92"/>
      <c r="F665" s="92"/>
      <c r="H665" s="92"/>
    </row>
    <row r="666" ht="15.75" customHeight="1">
      <c r="A666" s="92"/>
      <c r="B666" s="92"/>
      <c r="C666" s="92"/>
      <c r="D666" s="92"/>
      <c r="E666" s="92"/>
      <c r="F666" s="92"/>
      <c r="H666" s="92"/>
    </row>
    <row r="667" ht="15.75" customHeight="1">
      <c r="A667" s="92"/>
      <c r="B667" s="92"/>
      <c r="C667" s="92"/>
      <c r="D667" s="92"/>
      <c r="E667" s="92"/>
      <c r="F667" s="92"/>
      <c r="H667" s="92"/>
    </row>
    <row r="668" ht="15.75" customHeight="1">
      <c r="A668" s="92"/>
      <c r="B668" s="92"/>
      <c r="C668" s="92"/>
      <c r="D668" s="92"/>
      <c r="E668" s="92"/>
      <c r="F668" s="92"/>
      <c r="H668" s="92"/>
    </row>
    <row r="669" ht="15.75" customHeight="1">
      <c r="A669" s="92"/>
      <c r="B669" s="92"/>
      <c r="C669" s="92"/>
      <c r="D669" s="92"/>
      <c r="E669" s="92"/>
      <c r="F669" s="92"/>
      <c r="H669" s="92"/>
    </row>
    <row r="670" ht="15.75" customHeight="1">
      <c r="A670" s="92"/>
      <c r="B670" s="92"/>
      <c r="C670" s="92"/>
      <c r="D670" s="92"/>
      <c r="E670" s="92"/>
      <c r="F670" s="92"/>
      <c r="H670" s="92"/>
    </row>
    <row r="671" ht="15.75" customHeight="1">
      <c r="A671" s="92"/>
      <c r="B671" s="92"/>
      <c r="C671" s="92"/>
      <c r="D671" s="92"/>
      <c r="E671" s="92"/>
      <c r="F671" s="92"/>
      <c r="H671" s="92"/>
    </row>
    <row r="672" ht="15.75" customHeight="1">
      <c r="A672" s="92"/>
      <c r="B672" s="92"/>
      <c r="C672" s="92"/>
      <c r="D672" s="92"/>
      <c r="E672" s="92"/>
      <c r="F672" s="92"/>
      <c r="H672" s="92"/>
    </row>
    <row r="673" ht="15.75" customHeight="1">
      <c r="A673" s="92"/>
      <c r="B673" s="92"/>
      <c r="C673" s="92"/>
      <c r="D673" s="92"/>
      <c r="E673" s="92"/>
      <c r="F673" s="92"/>
      <c r="H673" s="92"/>
    </row>
    <row r="674" ht="15.75" customHeight="1">
      <c r="A674" s="92"/>
      <c r="B674" s="92"/>
      <c r="C674" s="92"/>
      <c r="D674" s="92"/>
      <c r="E674" s="92"/>
      <c r="F674" s="92"/>
      <c r="H674" s="92"/>
    </row>
    <row r="675" ht="15.75" customHeight="1">
      <c r="A675" s="92"/>
      <c r="B675" s="92"/>
      <c r="C675" s="92"/>
      <c r="D675" s="92"/>
      <c r="E675" s="92"/>
      <c r="F675" s="92"/>
      <c r="H675" s="92"/>
    </row>
    <row r="676" ht="15.75" customHeight="1">
      <c r="A676" s="92"/>
      <c r="B676" s="92"/>
      <c r="C676" s="92"/>
      <c r="D676" s="92"/>
      <c r="E676" s="92"/>
      <c r="F676" s="92"/>
      <c r="H676" s="92"/>
    </row>
    <row r="677" ht="15.75" customHeight="1">
      <c r="A677" s="92"/>
      <c r="B677" s="92"/>
      <c r="C677" s="92"/>
      <c r="D677" s="92"/>
      <c r="E677" s="92"/>
      <c r="F677" s="92"/>
      <c r="H677" s="92"/>
    </row>
    <row r="678" ht="15.75" customHeight="1">
      <c r="A678" s="92"/>
      <c r="B678" s="92"/>
      <c r="C678" s="92"/>
      <c r="D678" s="92"/>
      <c r="E678" s="92"/>
      <c r="F678" s="92"/>
      <c r="H678" s="92"/>
    </row>
    <row r="679" ht="15.75" customHeight="1">
      <c r="A679" s="92"/>
      <c r="B679" s="92"/>
      <c r="C679" s="92"/>
      <c r="D679" s="92"/>
      <c r="E679" s="92"/>
      <c r="F679" s="92"/>
      <c r="H679" s="92"/>
    </row>
    <row r="680" ht="15.75" customHeight="1">
      <c r="A680" s="92"/>
      <c r="B680" s="92"/>
      <c r="C680" s="92"/>
      <c r="D680" s="92"/>
      <c r="E680" s="92"/>
      <c r="F680" s="92"/>
      <c r="H680" s="92"/>
    </row>
    <row r="681" ht="15.75" customHeight="1">
      <c r="A681" s="92"/>
      <c r="B681" s="92"/>
      <c r="C681" s="92"/>
      <c r="D681" s="92"/>
      <c r="E681" s="92"/>
      <c r="F681" s="92"/>
      <c r="H681" s="92"/>
    </row>
    <row r="682" ht="15.75" customHeight="1">
      <c r="A682" s="92"/>
      <c r="B682" s="92"/>
      <c r="C682" s="92"/>
      <c r="D682" s="92"/>
      <c r="E682" s="92"/>
      <c r="F682" s="92"/>
      <c r="H682" s="92"/>
    </row>
    <row r="683" ht="15.75" customHeight="1">
      <c r="A683" s="92"/>
      <c r="B683" s="92"/>
      <c r="C683" s="92"/>
      <c r="D683" s="92"/>
      <c r="E683" s="92"/>
      <c r="F683" s="92"/>
      <c r="H683" s="92"/>
    </row>
    <row r="684" ht="15.75" customHeight="1">
      <c r="A684" s="92"/>
      <c r="B684" s="92"/>
      <c r="C684" s="92"/>
      <c r="D684" s="92"/>
      <c r="E684" s="92"/>
      <c r="F684" s="92"/>
      <c r="H684" s="92"/>
    </row>
    <row r="685" ht="15.75" customHeight="1">
      <c r="A685" s="92"/>
      <c r="B685" s="92"/>
      <c r="C685" s="92"/>
      <c r="D685" s="92"/>
      <c r="E685" s="92"/>
      <c r="F685" s="92"/>
      <c r="H685" s="92"/>
    </row>
    <row r="686" ht="15.75" customHeight="1">
      <c r="A686" s="92"/>
      <c r="B686" s="92"/>
      <c r="C686" s="92"/>
      <c r="D686" s="92"/>
      <c r="E686" s="92"/>
      <c r="F686" s="92"/>
      <c r="H686" s="92"/>
    </row>
    <row r="687" ht="15.75" customHeight="1">
      <c r="A687" s="92"/>
      <c r="B687" s="92"/>
      <c r="C687" s="92"/>
      <c r="D687" s="92"/>
      <c r="E687" s="92"/>
      <c r="F687" s="92"/>
      <c r="H687" s="92"/>
    </row>
    <row r="688" ht="15.75" customHeight="1">
      <c r="A688" s="92"/>
      <c r="B688" s="92"/>
      <c r="C688" s="92"/>
      <c r="D688" s="92"/>
      <c r="E688" s="92"/>
      <c r="F688" s="92"/>
      <c r="H688" s="92"/>
    </row>
    <row r="689" ht="15.75" customHeight="1">
      <c r="A689" s="92"/>
      <c r="B689" s="92"/>
      <c r="C689" s="92"/>
      <c r="D689" s="92"/>
      <c r="E689" s="92"/>
      <c r="F689" s="92"/>
      <c r="H689" s="92"/>
    </row>
    <row r="690" ht="15.75" customHeight="1">
      <c r="A690" s="92"/>
      <c r="B690" s="92"/>
      <c r="C690" s="92"/>
      <c r="D690" s="92"/>
      <c r="E690" s="92"/>
      <c r="F690" s="92"/>
      <c r="H690" s="92"/>
    </row>
    <row r="691" ht="15.75" customHeight="1">
      <c r="A691" s="92"/>
      <c r="B691" s="92"/>
      <c r="C691" s="92"/>
      <c r="D691" s="92"/>
      <c r="E691" s="92"/>
      <c r="F691" s="92"/>
      <c r="H691" s="92"/>
    </row>
    <row r="692" ht="15.75" customHeight="1">
      <c r="A692" s="92"/>
      <c r="B692" s="92"/>
      <c r="C692" s="92"/>
      <c r="D692" s="92"/>
      <c r="E692" s="92"/>
      <c r="F692" s="92"/>
      <c r="H692" s="92"/>
    </row>
    <row r="693" ht="15.75" customHeight="1">
      <c r="A693" s="92"/>
      <c r="B693" s="92"/>
      <c r="C693" s="92"/>
      <c r="D693" s="92"/>
      <c r="E693" s="92"/>
      <c r="F693" s="92"/>
      <c r="H693" s="92"/>
    </row>
    <row r="694" ht="15.75" customHeight="1">
      <c r="A694" s="92"/>
      <c r="B694" s="92"/>
      <c r="C694" s="92"/>
      <c r="D694" s="92"/>
      <c r="E694" s="92"/>
      <c r="F694" s="92"/>
      <c r="H694" s="92"/>
    </row>
    <row r="695" ht="15.75" customHeight="1">
      <c r="A695" s="92"/>
      <c r="B695" s="92"/>
      <c r="C695" s="92"/>
      <c r="D695" s="92"/>
      <c r="E695" s="92"/>
      <c r="F695" s="92"/>
      <c r="H695" s="92"/>
    </row>
    <row r="696" ht="15.75" customHeight="1">
      <c r="A696" s="92"/>
      <c r="B696" s="92"/>
      <c r="C696" s="92"/>
      <c r="D696" s="92"/>
      <c r="E696" s="92"/>
      <c r="F696" s="92"/>
      <c r="H696" s="92"/>
    </row>
    <row r="697" ht="15.75" customHeight="1">
      <c r="A697" s="92"/>
      <c r="B697" s="92"/>
      <c r="C697" s="92"/>
      <c r="D697" s="92"/>
      <c r="E697" s="92"/>
      <c r="F697" s="92"/>
      <c r="H697" s="92"/>
    </row>
    <row r="698" ht="15.75" customHeight="1">
      <c r="A698" s="92"/>
      <c r="B698" s="92"/>
      <c r="C698" s="92"/>
      <c r="D698" s="92"/>
      <c r="E698" s="92"/>
      <c r="F698" s="92"/>
      <c r="H698" s="92"/>
    </row>
    <row r="699" ht="15.75" customHeight="1">
      <c r="A699" s="92"/>
      <c r="B699" s="92"/>
      <c r="C699" s="92"/>
      <c r="D699" s="92"/>
      <c r="E699" s="92"/>
      <c r="F699" s="92"/>
      <c r="H699" s="92"/>
    </row>
    <row r="700" ht="15.75" customHeight="1">
      <c r="A700" s="92"/>
      <c r="B700" s="92"/>
      <c r="C700" s="92"/>
      <c r="D700" s="92"/>
      <c r="E700" s="92"/>
      <c r="F700" s="92"/>
      <c r="H700" s="92"/>
    </row>
    <row r="701" ht="15.75" customHeight="1">
      <c r="A701" s="92"/>
      <c r="B701" s="92"/>
      <c r="C701" s="92"/>
      <c r="D701" s="92"/>
      <c r="E701" s="92"/>
      <c r="F701" s="92"/>
      <c r="H701" s="92"/>
    </row>
    <row r="702" ht="15.75" customHeight="1">
      <c r="A702" s="92"/>
      <c r="B702" s="92"/>
      <c r="C702" s="92"/>
      <c r="D702" s="92"/>
      <c r="E702" s="92"/>
      <c r="F702" s="92"/>
      <c r="H702" s="92"/>
    </row>
    <row r="703" ht="15.75" customHeight="1">
      <c r="A703" s="92"/>
      <c r="B703" s="92"/>
      <c r="C703" s="92"/>
      <c r="D703" s="92"/>
      <c r="E703" s="92"/>
      <c r="F703" s="92"/>
      <c r="H703" s="92"/>
    </row>
    <row r="704" ht="15.75" customHeight="1">
      <c r="A704" s="92"/>
      <c r="B704" s="92"/>
      <c r="C704" s="92"/>
      <c r="D704" s="92"/>
      <c r="E704" s="92"/>
      <c r="F704" s="92"/>
      <c r="H704" s="92"/>
    </row>
    <row r="705" ht="15.75" customHeight="1">
      <c r="A705" s="92"/>
      <c r="B705" s="92"/>
      <c r="C705" s="92"/>
      <c r="D705" s="92"/>
      <c r="E705" s="92"/>
      <c r="F705" s="92"/>
      <c r="H705" s="92"/>
    </row>
    <row r="706" ht="15.75" customHeight="1">
      <c r="A706" s="92"/>
      <c r="B706" s="92"/>
      <c r="C706" s="92"/>
      <c r="D706" s="92"/>
      <c r="E706" s="92"/>
      <c r="F706" s="92"/>
      <c r="H706" s="92"/>
    </row>
    <row r="707" ht="15.75" customHeight="1">
      <c r="A707" s="92"/>
      <c r="B707" s="92"/>
      <c r="C707" s="92"/>
      <c r="D707" s="92"/>
      <c r="E707" s="92"/>
      <c r="F707" s="92"/>
      <c r="H707" s="92"/>
    </row>
    <row r="708" ht="15.75" customHeight="1">
      <c r="A708" s="92"/>
      <c r="B708" s="92"/>
      <c r="C708" s="92"/>
      <c r="D708" s="92"/>
      <c r="E708" s="92"/>
      <c r="F708" s="92"/>
      <c r="H708" s="92"/>
    </row>
    <row r="709" ht="15.75" customHeight="1">
      <c r="A709" s="92"/>
      <c r="B709" s="92"/>
      <c r="C709" s="92"/>
      <c r="D709" s="92"/>
      <c r="E709" s="92"/>
      <c r="F709" s="92"/>
      <c r="H709" s="92"/>
    </row>
    <row r="710" ht="15.75" customHeight="1">
      <c r="A710" s="92"/>
      <c r="B710" s="92"/>
      <c r="C710" s="92"/>
      <c r="D710" s="92"/>
      <c r="E710" s="92"/>
      <c r="F710" s="92"/>
      <c r="H710" s="92"/>
    </row>
    <row r="711" ht="15.75" customHeight="1">
      <c r="A711" s="92"/>
      <c r="B711" s="92"/>
      <c r="C711" s="92"/>
      <c r="D711" s="92"/>
      <c r="E711" s="92"/>
      <c r="F711" s="92"/>
      <c r="H711" s="92"/>
    </row>
    <row r="712" ht="15.75" customHeight="1">
      <c r="A712" s="92"/>
      <c r="B712" s="92"/>
      <c r="C712" s="92"/>
      <c r="D712" s="92"/>
      <c r="E712" s="92"/>
      <c r="F712" s="92"/>
      <c r="H712" s="92"/>
    </row>
    <row r="713" ht="15.75" customHeight="1">
      <c r="A713" s="92"/>
      <c r="B713" s="92"/>
      <c r="C713" s="92"/>
      <c r="D713" s="92"/>
      <c r="E713" s="92"/>
      <c r="F713" s="92"/>
      <c r="H713" s="92"/>
    </row>
    <row r="714" ht="15.75" customHeight="1">
      <c r="A714" s="92"/>
      <c r="B714" s="92"/>
      <c r="C714" s="92"/>
      <c r="D714" s="92"/>
      <c r="E714" s="92"/>
      <c r="F714" s="92"/>
      <c r="H714" s="92"/>
    </row>
    <row r="715" ht="15.75" customHeight="1">
      <c r="A715" s="92"/>
      <c r="B715" s="92"/>
      <c r="C715" s="92"/>
      <c r="D715" s="92"/>
      <c r="E715" s="92"/>
      <c r="F715" s="92"/>
      <c r="H715" s="92"/>
    </row>
    <row r="716" ht="15.75" customHeight="1">
      <c r="A716" s="92"/>
      <c r="B716" s="92"/>
      <c r="C716" s="92"/>
      <c r="D716" s="92"/>
      <c r="E716" s="92"/>
      <c r="F716" s="92"/>
      <c r="H716" s="92"/>
    </row>
    <row r="717" ht="15.75" customHeight="1">
      <c r="A717" s="92"/>
      <c r="B717" s="92"/>
      <c r="C717" s="92"/>
      <c r="D717" s="92"/>
      <c r="E717" s="92"/>
      <c r="F717" s="92"/>
      <c r="H717" s="92"/>
    </row>
    <row r="718" ht="15.75" customHeight="1">
      <c r="A718" s="92"/>
      <c r="B718" s="92"/>
      <c r="C718" s="92"/>
      <c r="D718" s="92"/>
      <c r="E718" s="92"/>
      <c r="F718" s="92"/>
      <c r="H718" s="92"/>
    </row>
    <row r="719" ht="15.75" customHeight="1">
      <c r="A719" s="92"/>
      <c r="B719" s="92"/>
      <c r="C719" s="92"/>
      <c r="D719" s="92"/>
      <c r="E719" s="92"/>
      <c r="F719" s="92"/>
      <c r="H719" s="92"/>
    </row>
    <row r="720" ht="15.75" customHeight="1">
      <c r="A720" s="92"/>
      <c r="B720" s="92"/>
      <c r="C720" s="92"/>
      <c r="D720" s="92"/>
      <c r="E720" s="92"/>
      <c r="F720" s="92"/>
      <c r="H720" s="92"/>
    </row>
    <row r="721" ht="15.75" customHeight="1">
      <c r="A721" s="92"/>
      <c r="B721" s="92"/>
      <c r="C721" s="92"/>
      <c r="D721" s="92"/>
      <c r="E721" s="92"/>
      <c r="F721" s="92"/>
      <c r="H721" s="92"/>
    </row>
    <row r="722" ht="15.75" customHeight="1">
      <c r="A722" s="92"/>
      <c r="B722" s="92"/>
      <c r="C722" s="92"/>
      <c r="D722" s="92"/>
      <c r="E722" s="92"/>
      <c r="F722" s="92"/>
      <c r="H722" s="92"/>
    </row>
    <row r="723" ht="15.75" customHeight="1">
      <c r="A723" s="92"/>
      <c r="B723" s="92"/>
      <c r="C723" s="92"/>
      <c r="D723" s="92"/>
      <c r="E723" s="92"/>
      <c r="F723" s="92"/>
      <c r="H723" s="92"/>
    </row>
    <row r="724" ht="15.75" customHeight="1">
      <c r="A724" s="92"/>
      <c r="B724" s="92"/>
      <c r="C724" s="92"/>
      <c r="D724" s="92"/>
      <c r="E724" s="92"/>
      <c r="F724" s="92"/>
      <c r="H724" s="92"/>
    </row>
    <row r="725" ht="15.75" customHeight="1">
      <c r="A725" s="92"/>
      <c r="B725" s="92"/>
      <c r="C725" s="92"/>
      <c r="D725" s="92"/>
      <c r="E725" s="92"/>
      <c r="F725" s="92"/>
      <c r="H725" s="92"/>
    </row>
    <row r="726" ht="15.75" customHeight="1">
      <c r="A726" s="92"/>
      <c r="B726" s="92"/>
      <c r="C726" s="92"/>
      <c r="D726" s="92"/>
      <c r="E726" s="92"/>
      <c r="F726" s="92"/>
      <c r="H726" s="92"/>
    </row>
    <row r="727" ht="15.75" customHeight="1">
      <c r="A727" s="92"/>
      <c r="B727" s="92"/>
      <c r="C727" s="92"/>
      <c r="D727" s="92"/>
      <c r="E727" s="92"/>
      <c r="F727" s="92"/>
      <c r="H727" s="92"/>
    </row>
    <row r="728" ht="15.75" customHeight="1">
      <c r="A728" s="92"/>
      <c r="B728" s="92"/>
      <c r="C728" s="92"/>
      <c r="D728" s="92"/>
      <c r="E728" s="92"/>
      <c r="F728" s="92"/>
      <c r="H728" s="92"/>
    </row>
    <row r="729" ht="15.75" customHeight="1">
      <c r="A729" s="92"/>
      <c r="B729" s="92"/>
      <c r="C729" s="92"/>
      <c r="D729" s="92"/>
      <c r="E729" s="92"/>
      <c r="F729" s="92"/>
      <c r="H729" s="92"/>
    </row>
    <row r="730" ht="15.75" customHeight="1">
      <c r="A730" s="92"/>
      <c r="B730" s="92"/>
      <c r="C730" s="92"/>
      <c r="D730" s="92"/>
      <c r="E730" s="92"/>
      <c r="F730" s="92"/>
      <c r="H730" s="92"/>
    </row>
    <row r="731" ht="15.75" customHeight="1">
      <c r="A731" s="92"/>
      <c r="B731" s="92"/>
      <c r="C731" s="92"/>
      <c r="D731" s="92"/>
      <c r="E731" s="92"/>
      <c r="F731" s="92"/>
      <c r="H731" s="92"/>
    </row>
    <row r="732" ht="15.75" customHeight="1">
      <c r="A732" s="92"/>
      <c r="B732" s="92"/>
      <c r="C732" s="92"/>
      <c r="D732" s="92"/>
      <c r="E732" s="92"/>
      <c r="F732" s="92"/>
      <c r="H732" s="92"/>
    </row>
    <row r="733" ht="15.75" customHeight="1">
      <c r="A733" s="92"/>
      <c r="B733" s="92"/>
      <c r="C733" s="92"/>
      <c r="D733" s="92"/>
      <c r="E733" s="92"/>
      <c r="F733" s="92"/>
      <c r="H733" s="92"/>
    </row>
    <row r="734" ht="15.75" customHeight="1">
      <c r="A734" s="92"/>
      <c r="B734" s="92"/>
      <c r="C734" s="92"/>
      <c r="D734" s="92"/>
      <c r="E734" s="92"/>
      <c r="F734" s="92"/>
      <c r="H734" s="92"/>
    </row>
    <row r="735" ht="15.75" customHeight="1">
      <c r="A735" s="92"/>
      <c r="B735" s="92"/>
      <c r="C735" s="92"/>
      <c r="D735" s="92"/>
      <c r="E735" s="92"/>
      <c r="F735" s="92"/>
      <c r="H735" s="92"/>
    </row>
    <row r="736" ht="15.75" customHeight="1">
      <c r="A736" s="92"/>
      <c r="B736" s="92"/>
      <c r="C736" s="92"/>
      <c r="D736" s="92"/>
      <c r="E736" s="92"/>
      <c r="F736" s="92"/>
      <c r="H736" s="92"/>
    </row>
    <row r="737" ht="15.75" customHeight="1">
      <c r="A737" s="92"/>
      <c r="B737" s="92"/>
      <c r="C737" s="92"/>
      <c r="D737" s="92"/>
      <c r="E737" s="92"/>
      <c r="F737" s="92"/>
      <c r="H737" s="92"/>
    </row>
    <row r="738" ht="15.75" customHeight="1">
      <c r="A738" s="92"/>
      <c r="B738" s="92"/>
      <c r="C738" s="92"/>
      <c r="D738" s="92"/>
      <c r="E738" s="92"/>
      <c r="F738" s="92"/>
      <c r="H738" s="92"/>
    </row>
    <row r="739" ht="15.75" customHeight="1">
      <c r="A739" s="92"/>
      <c r="B739" s="92"/>
      <c r="C739" s="92"/>
      <c r="D739" s="92"/>
      <c r="E739" s="92"/>
      <c r="F739" s="92"/>
      <c r="H739" s="92"/>
    </row>
    <row r="740" ht="15.75" customHeight="1">
      <c r="A740" s="92"/>
      <c r="B740" s="92"/>
      <c r="C740" s="92"/>
      <c r="D740" s="92"/>
      <c r="E740" s="92"/>
      <c r="F740" s="92"/>
      <c r="H740" s="92"/>
    </row>
    <row r="741" ht="15.75" customHeight="1">
      <c r="A741" s="92"/>
      <c r="B741" s="92"/>
      <c r="C741" s="92"/>
      <c r="D741" s="92"/>
      <c r="E741" s="92"/>
      <c r="F741" s="92"/>
      <c r="H741" s="92"/>
    </row>
    <row r="742" ht="15.75" customHeight="1">
      <c r="A742" s="92"/>
      <c r="B742" s="92"/>
      <c r="C742" s="92"/>
      <c r="D742" s="92"/>
      <c r="E742" s="92"/>
      <c r="F742" s="92"/>
      <c r="H742" s="92"/>
    </row>
    <row r="743" ht="15.75" customHeight="1">
      <c r="A743" s="92"/>
      <c r="B743" s="92"/>
      <c r="C743" s="92"/>
      <c r="D743" s="92"/>
      <c r="E743" s="92"/>
      <c r="F743" s="92"/>
      <c r="H743" s="92"/>
    </row>
    <row r="744" ht="15.75" customHeight="1">
      <c r="A744" s="92"/>
      <c r="B744" s="92"/>
      <c r="C744" s="92"/>
      <c r="D744" s="92"/>
      <c r="E744" s="92"/>
      <c r="F744" s="92"/>
      <c r="H744" s="92"/>
    </row>
    <row r="745" ht="15.75" customHeight="1">
      <c r="A745" s="92"/>
      <c r="B745" s="92"/>
      <c r="C745" s="92"/>
      <c r="D745" s="92"/>
      <c r="E745" s="92"/>
      <c r="F745" s="92"/>
      <c r="H745" s="92"/>
    </row>
    <row r="746" ht="15.75" customHeight="1">
      <c r="A746" s="92"/>
      <c r="B746" s="92"/>
      <c r="C746" s="92"/>
      <c r="D746" s="92"/>
      <c r="E746" s="92"/>
      <c r="F746" s="92"/>
      <c r="H746" s="92"/>
    </row>
    <row r="747" ht="15.75" customHeight="1">
      <c r="A747" s="92"/>
      <c r="B747" s="92"/>
      <c r="C747" s="92"/>
      <c r="D747" s="92"/>
      <c r="E747" s="92"/>
      <c r="F747" s="92"/>
      <c r="H747" s="92"/>
    </row>
    <row r="748" ht="15.75" customHeight="1">
      <c r="A748" s="92"/>
      <c r="B748" s="92"/>
      <c r="C748" s="92"/>
      <c r="D748" s="92"/>
      <c r="E748" s="92"/>
      <c r="F748" s="92"/>
      <c r="H748" s="92"/>
    </row>
    <row r="749" ht="15.75" customHeight="1">
      <c r="A749" s="92"/>
      <c r="B749" s="92"/>
      <c r="C749" s="92"/>
      <c r="D749" s="92"/>
      <c r="E749" s="92"/>
      <c r="F749" s="92"/>
      <c r="H749" s="92"/>
    </row>
    <row r="750" ht="15.75" customHeight="1">
      <c r="A750" s="92"/>
      <c r="B750" s="92"/>
      <c r="C750" s="92"/>
      <c r="D750" s="92"/>
      <c r="E750" s="92"/>
      <c r="F750" s="92"/>
      <c r="H750" s="92"/>
    </row>
    <row r="751" ht="15.75" customHeight="1">
      <c r="A751" s="92"/>
      <c r="B751" s="92"/>
      <c r="C751" s="92"/>
      <c r="D751" s="92"/>
      <c r="E751" s="92"/>
      <c r="F751" s="92"/>
      <c r="H751" s="92"/>
    </row>
    <row r="752" ht="15.75" customHeight="1">
      <c r="A752" s="92"/>
      <c r="B752" s="92"/>
      <c r="C752" s="92"/>
      <c r="D752" s="92"/>
      <c r="E752" s="92"/>
      <c r="F752" s="92"/>
      <c r="H752" s="92"/>
    </row>
    <row r="753" ht="15.75" customHeight="1">
      <c r="A753" s="92"/>
      <c r="B753" s="92"/>
      <c r="C753" s="92"/>
      <c r="D753" s="92"/>
      <c r="E753" s="92"/>
      <c r="F753" s="92"/>
      <c r="H753" s="92"/>
    </row>
    <row r="754" ht="15.75" customHeight="1">
      <c r="A754" s="92"/>
      <c r="B754" s="92"/>
      <c r="C754" s="92"/>
      <c r="D754" s="92"/>
      <c r="E754" s="92"/>
      <c r="F754" s="92"/>
      <c r="H754" s="92"/>
    </row>
    <row r="755" ht="15.75" customHeight="1">
      <c r="A755" s="92"/>
      <c r="B755" s="92"/>
      <c r="C755" s="92"/>
      <c r="D755" s="92"/>
      <c r="E755" s="92"/>
      <c r="F755" s="92"/>
      <c r="H755" s="92"/>
    </row>
    <row r="756" ht="15.75" customHeight="1">
      <c r="A756" s="92"/>
      <c r="B756" s="92"/>
      <c r="C756" s="92"/>
      <c r="D756" s="92"/>
      <c r="E756" s="92"/>
      <c r="F756" s="92"/>
      <c r="H756" s="92"/>
    </row>
    <row r="757" ht="15.75" customHeight="1">
      <c r="A757" s="92"/>
      <c r="B757" s="92"/>
      <c r="C757" s="92"/>
      <c r="D757" s="92"/>
      <c r="E757" s="92"/>
      <c r="F757" s="92"/>
      <c r="H757" s="92"/>
    </row>
    <row r="758" ht="15.75" customHeight="1">
      <c r="A758" s="92"/>
      <c r="B758" s="92"/>
      <c r="C758" s="92"/>
      <c r="D758" s="92"/>
      <c r="E758" s="92"/>
      <c r="F758" s="92"/>
      <c r="H758" s="92"/>
    </row>
    <row r="759" ht="15.75" customHeight="1">
      <c r="A759" s="92"/>
      <c r="B759" s="92"/>
      <c r="C759" s="92"/>
      <c r="D759" s="92"/>
      <c r="E759" s="92"/>
      <c r="F759" s="92"/>
      <c r="H759" s="92"/>
    </row>
    <row r="760" ht="15.75" customHeight="1">
      <c r="A760" s="92"/>
      <c r="B760" s="92"/>
      <c r="C760" s="92"/>
      <c r="D760" s="92"/>
      <c r="E760" s="92"/>
      <c r="F760" s="92"/>
      <c r="H760" s="92"/>
    </row>
    <row r="761" ht="15.75" customHeight="1">
      <c r="A761" s="92"/>
      <c r="B761" s="92"/>
      <c r="C761" s="92"/>
      <c r="D761" s="92"/>
      <c r="E761" s="92"/>
      <c r="F761" s="92"/>
      <c r="H761" s="92"/>
    </row>
    <row r="762" ht="15.75" customHeight="1">
      <c r="A762" s="92"/>
      <c r="B762" s="92"/>
      <c r="C762" s="92"/>
      <c r="D762" s="92"/>
      <c r="E762" s="92"/>
      <c r="F762" s="92"/>
      <c r="H762" s="92"/>
    </row>
    <row r="763" ht="15.75" customHeight="1">
      <c r="A763" s="92"/>
      <c r="B763" s="92"/>
      <c r="C763" s="92"/>
      <c r="D763" s="92"/>
      <c r="E763" s="92"/>
      <c r="F763" s="92"/>
      <c r="H763" s="92"/>
    </row>
    <row r="764" ht="15.75" customHeight="1">
      <c r="A764" s="92"/>
      <c r="B764" s="92"/>
      <c r="C764" s="92"/>
      <c r="D764" s="92"/>
      <c r="E764" s="92"/>
      <c r="F764" s="92"/>
      <c r="H764" s="92"/>
    </row>
    <row r="765" ht="15.75" customHeight="1">
      <c r="A765" s="92"/>
      <c r="B765" s="92"/>
      <c r="C765" s="92"/>
      <c r="D765" s="92"/>
      <c r="E765" s="92"/>
      <c r="F765" s="92"/>
      <c r="H765" s="92"/>
    </row>
    <row r="766" ht="15.75" customHeight="1">
      <c r="A766" s="92"/>
      <c r="B766" s="92"/>
      <c r="C766" s="92"/>
      <c r="D766" s="92"/>
      <c r="E766" s="92"/>
      <c r="F766" s="92"/>
      <c r="H766" s="92"/>
    </row>
    <row r="767" ht="15.75" customHeight="1">
      <c r="A767" s="92"/>
      <c r="B767" s="92"/>
      <c r="C767" s="92"/>
      <c r="D767" s="92"/>
      <c r="E767" s="92"/>
      <c r="F767" s="92"/>
      <c r="H767" s="92"/>
    </row>
    <row r="768" ht="15.75" customHeight="1">
      <c r="A768" s="92"/>
      <c r="B768" s="92"/>
      <c r="C768" s="92"/>
      <c r="D768" s="92"/>
      <c r="E768" s="92"/>
      <c r="F768" s="92"/>
      <c r="H768" s="92"/>
    </row>
    <row r="769" ht="15.75" customHeight="1">
      <c r="A769" s="92"/>
      <c r="B769" s="92"/>
      <c r="C769" s="92"/>
      <c r="D769" s="92"/>
      <c r="E769" s="92"/>
      <c r="F769" s="92"/>
      <c r="H769" s="92"/>
    </row>
    <row r="770" ht="15.75" customHeight="1">
      <c r="A770" s="92"/>
      <c r="B770" s="92"/>
      <c r="C770" s="92"/>
      <c r="D770" s="92"/>
      <c r="E770" s="92"/>
      <c r="F770" s="92"/>
      <c r="H770" s="92"/>
    </row>
    <row r="771" ht="15.75" customHeight="1">
      <c r="A771" s="92"/>
      <c r="B771" s="92"/>
      <c r="C771" s="92"/>
      <c r="D771" s="92"/>
      <c r="E771" s="92"/>
      <c r="F771" s="92"/>
      <c r="H771" s="92"/>
    </row>
    <row r="772" ht="15.75" customHeight="1">
      <c r="A772" s="92"/>
      <c r="B772" s="92"/>
      <c r="C772" s="92"/>
      <c r="D772" s="92"/>
      <c r="E772" s="92"/>
      <c r="F772" s="92"/>
      <c r="H772" s="92"/>
    </row>
    <row r="773" ht="15.75" customHeight="1">
      <c r="A773" s="92"/>
      <c r="B773" s="92"/>
      <c r="C773" s="92"/>
      <c r="D773" s="92"/>
      <c r="E773" s="92"/>
      <c r="F773" s="92"/>
      <c r="H773" s="92"/>
    </row>
    <row r="774" ht="15.75" customHeight="1">
      <c r="A774" s="92"/>
      <c r="B774" s="92"/>
      <c r="C774" s="92"/>
      <c r="D774" s="92"/>
      <c r="E774" s="92"/>
      <c r="F774" s="92"/>
      <c r="H774" s="92"/>
    </row>
    <row r="775" ht="15.75" customHeight="1">
      <c r="A775" s="92"/>
      <c r="B775" s="92"/>
      <c r="C775" s="92"/>
      <c r="D775" s="92"/>
      <c r="E775" s="92"/>
      <c r="F775" s="92"/>
      <c r="H775" s="92"/>
    </row>
    <row r="776" ht="15.75" customHeight="1">
      <c r="A776" s="92"/>
      <c r="B776" s="92"/>
      <c r="C776" s="92"/>
      <c r="D776" s="92"/>
      <c r="E776" s="92"/>
      <c r="F776" s="92"/>
      <c r="H776" s="92"/>
    </row>
    <row r="777" ht="15.75" customHeight="1">
      <c r="A777" s="92"/>
      <c r="B777" s="92"/>
      <c r="C777" s="92"/>
      <c r="D777" s="92"/>
      <c r="E777" s="92"/>
      <c r="F777" s="92"/>
      <c r="H777" s="92"/>
    </row>
    <row r="778" ht="15.75" customHeight="1">
      <c r="A778" s="92"/>
      <c r="B778" s="92"/>
      <c r="C778" s="92"/>
      <c r="D778" s="92"/>
      <c r="E778" s="92"/>
      <c r="F778" s="92"/>
      <c r="H778" s="92"/>
    </row>
    <row r="779" ht="15.75" customHeight="1">
      <c r="A779" s="92"/>
      <c r="B779" s="92"/>
      <c r="C779" s="92"/>
      <c r="D779" s="92"/>
      <c r="E779" s="92"/>
      <c r="F779" s="92"/>
      <c r="H779" s="92"/>
    </row>
    <row r="780" ht="15.75" customHeight="1">
      <c r="A780" s="92"/>
      <c r="B780" s="92"/>
      <c r="C780" s="92"/>
      <c r="D780" s="92"/>
      <c r="E780" s="92"/>
      <c r="F780" s="92"/>
      <c r="H780" s="92"/>
    </row>
    <row r="781" ht="15.75" customHeight="1">
      <c r="A781" s="92"/>
      <c r="B781" s="92"/>
      <c r="C781" s="92"/>
      <c r="D781" s="92"/>
      <c r="E781" s="92"/>
      <c r="F781" s="92"/>
      <c r="H781" s="92"/>
    </row>
    <row r="782" ht="15.75" customHeight="1">
      <c r="A782" s="92"/>
      <c r="B782" s="92"/>
      <c r="C782" s="92"/>
      <c r="D782" s="92"/>
      <c r="E782" s="92"/>
      <c r="F782" s="92"/>
      <c r="H782" s="92"/>
    </row>
    <row r="783" ht="15.75" customHeight="1">
      <c r="A783" s="92"/>
      <c r="B783" s="92"/>
      <c r="C783" s="92"/>
      <c r="D783" s="92"/>
      <c r="E783" s="92"/>
      <c r="F783" s="92"/>
      <c r="H783" s="92"/>
    </row>
    <row r="784" ht="15.75" customHeight="1">
      <c r="A784" s="92"/>
      <c r="B784" s="92"/>
      <c r="C784" s="92"/>
      <c r="D784" s="92"/>
      <c r="E784" s="92"/>
      <c r="F784" s="92"/>
      <c r="H784" s="92"/>
    </row>
    <row r="785" ht="15.75" customHeight="1">
      <c r="A785" s="92"/>
      <c r="B785" s="92"/>
      <c r="C785" s="92"/>
      <c r="D785" s="92"/>
      <c r="E785" s="92"/>
      <c r="F785" s="92"/>
      <c r="H785" s="92"/>
    </row>
    <row r="786" ht="15.75" customHeight="1">
      <c r="A786" s="92"/>
      <c r="B786" s="92"/>
      <c r="C786" s="92"/>
      <c r="D786" s="92"/>
      <c r="E786" s="92"/>
      <c r="F786" s="92"/>
      <c r="H786" s="92"/>
    </row>
    <row r="787" ht="15.75" customHeight="1">
      <c r="A787" s="92"/>
      <c r="B787" s="92"/>
      <c r="C787" s="92"/>
      <c r="D787" s="92"/>
      <c r="E787" s="92"/>
      <c r="F787" s="92"/>
      <c r="H787" s="92"/>
    </row>
    <row r="788" ht="15.75" customHeight="1">
      <c r="A788" s="92"/>
      <c r="B788" s="92"/>
      <c r="C788" s="92"/>
      <c r="D788" s="92"/>
      <c r="E788" s="92"/>
      <c r="F788" s="92"/>
      <c r="H788" s="92"/>
    </row>
    <row r="789" ht="15.75" customHeight="1">
      <c r="A789" s="92"/>
      <c r="B789" s="92"/>
      <c r="C789" s="92"/>
      <c r="D789" s="92"/>
      <c r="E789" s="92"/>
      <c r="F789" s="92"/>
      <c r="H789" s="92"/>
    </row>
    <row r="790" ht="15.75" customHeight="1">
      <c r="A790" s="92"/>
      <c r="B790" s="92"/>
      <c r="C790" s="92"/>
      <c r="D790" s="92"/>
      <c r="E790" s="92"/>
      <c r="F790" s="92"/>
      <c r="H790" s="92"/>
    </row>
    <row r="791" ht="15.75" customHeight="1">
      <c r="A791" s="92"/>
      <c r="B791" s="92"/>
      <c r="C791" s="92"/>
      <c r="D791" s="92"/>
      <c r="E791" s="92"/>
      <c r="F791" s="92"/>
      <c r="H791" s="92"/>
    </row>
    <row r="792" ht="15.75" customHeight="1">
      <c r="A792" s="92"/>
      <c r="B792" s="92"/>
      <c r="C792" s="92"/>
      <c r="D792" s="92"/>
      <c r="E792" s="92"/>
      <c r="F792" s="92"/>
      <c r="H792" s="92"/>
    </row>
    <row r="793" ht="15.75" customHeight="1">
      <c r="A793" s="92"/>
      <c r="B793" s="92"/>
      <c r="C793" s="92"/>
      <c r="D793" s="92"/>
      <c r="E793" s="92"/>
      <c r="F793" s="92"/>
      <c r="H793" s="92"/>
    </row>
    <row r="794" ht="15.75" customHeight="1">
      <c r="A794" s="92"/>
      <c r="B794" s="92"/>
      <c r="C794" s="92"/>
      <c r="D794" s="92"/>
      <c r="E794" s="92"/>
      <c r="F794" s="92"/>
      <c r="H794" s="92"/>
    </row>
    <row r="795" ht="15.75" customHeight="1">
      <c r="A795" s="92"/>
      <c r="B795" s="92"/>
      <c r="C795" s="92"/>
      <c r="D795" s="92"/>
      <c r="E795" s="92"/>
      <c r="F795" s="92"/>
      <c r="H795" s="92"/>
    </row>
    <row r="796" ht="15.75" customHeight="1">
      <c r="A796" s="92"/>
      <c r="B796" s="92"/>
      <c r="C796" s="92"/>
      <c r="D796" s="92"/>
      <c r="E796" s="92"/>
      <c r="F796" s="92"/>
      <c r="H796" s="92"/>
    </row>
    <row r="797" ht="15.75" customHeight="1">
      <c r="A797" s="92"/>
      <c r="B797" s="92"/>
      <c r="C797" s="92"/>
      <c r="D797" s="92"/>
      <c r="E797" s="92"/>
      <c r="F797" s="92"/>
      <c r="H797" s="92"/>
    </row>
    <row r="798" ht="15.75" customHeight="1">
      <c r="A798" s="92"/>
      <c r="B798" s="92"/>
      <c r="C798" s="92"/>
      <c r="D798" s="92"/>
      <c r="E798" s="92"/>
      <c r="F798" s="92"/>
      <c r="H798" s="92"/>
    </row>
    <row r="799" ht="15.75" customHeight="1">
      <c r="A799" s="92"/>
      <c r="B799" s="92"/>
      <c r="C799" s="92"/>
      <c r="D799" s="92"/>
      <c r="E799" s="92"/>
      <c r="F799" s="92"/>
      <c r="H799" s="92"/>
    </row>
    <row r="800" ht="15.75" customHeight="1">
      <c r="A800" s="92"/>
      <c r="B800" s="92"/>
      <c r="C800" s="92"/>
      <c r="D800" s="92"/>
      <c r="E800" s="92"/>
      <c r="F800" s="92"/>
      <c r="H800" s="92"/>
    </row>
    <row r="801" ht="15.75" customHeight="1">
      <c r="A801" s="92"/>
      <c r="B801" s="92"/>
      <c r="C801" s="92"/>
      <c r="D801" s="92"/>
      <c r="E801" s="92"/>
      <c r="F801" s="92"/>
      <c r="H801" s="92"/>
    </row>
    <row r="802" ht="15.75" customHeight="1">
      <c r="A802" s="92"/>
      <c r="B802" s="92"/>
      <c r="C802" s="92"/>
      <c r="D802" s="92"/>
      <c r="E802" s="92"/>
      <c r="F802" s="92"/>
      <c r="H802" s="92"/>
    </row>
    <row r="803" ht="15.75" customHeight="1">
      <c r="A803" s="92"/>
      <c r="B803" s="92"/>
      <c r="C803" s="92"/>
      <c r="D803" s="92"/>
      <c r="E803" s="92"/>
      <c r="F803" s="92"/>
      <c r="H803" s="92"/>
    </row>
    <row r="804" ht="15.75" customHeight="1">
      <c r="A804" s="92"/>
      <c r="B804" s="92"/>
      <c r="C804" s="92"/>
      <c r="D804" s="92"/>
      <c r="E804" s="92"/>
      <c r="F804" s="92"/>
      <c r="H804" s="92"/>
    </row>
    <row r="805" ht="15.75" customHeight="1">
      <c r="A805" s="92"/>
      <c r="B805" s="92"/>
      <c r="C805" s="92"/>
      <c r="D805" s="92"/>
      <c r="E805" s="92"/>
      <c r="F805" s="92"/>
      <c r="H805" s="92"/>
    </row>
    <row r="806" ht="15.75" customHeight="1">
      <c r="A806" s="92"/>
      <c r="B806" s="92"/>
      <c r="C806" s="92"/>
      <c r="D806" s="92"/>
      <c r="E806" s="92"/>
      <c r="F806" s="92"/>
      <c r="H806" s="92"/>
    </row>
    <row r="807" ht="15.75" customHeight="1">
      <c r="A807" s="92"/>
      <c r="B807" s="92"/>
      <c r="C807" s="92"/>
      <c r="D807" s="92"/>
      <c r="E807" s="92"/>
      <c r="F807" s="92"/>
      <c r="H807" s="92"/>
    </row>
    <row r="808" ht="15.75" customHeight="1">
      <c r="A808" s="92"/>
      <c r="B808" s="92"/>
      <c r="C808" s="92"/>
      <c r="D808" s="92"/>
      <c r="E808" s="92"/>
      <c r="F808" s="92"/>
      <c r="H808" s="92"/>
    </row>
    <row r="809" ht="15.75" customHeight="1">
      <c r="A809" s="92"/>
      <c r="B809" s="92"/>
      <c r="C809" s="92"/>
      <c r="D809" s="92"/>
      <c r="E809" s="92"/>
      <c r="F809" s="92"/>
      <c r="H809" s="92"/>
    </row>
    <row r="810" ht="15.75" customHeight="1">
      <c r="A810" s="92"/>
      <c r="B810" s="92"/>
      <c r="C810" s="92"/>
      <c r="D810" s="92"/>
      <c r="E810" s="92"/>
      <c r="F810" s="92"/>
      <c r="H810" s="92"/>
    </row>
    <row r="811" ht="15.75" customHeight="1">
      <c r="A811" s="92"/>
      <c r="B811" s="92"/>
      <c r="C811" s="92"/>
      <c r="D811" s="92"/>
      <c r="E811" s="92"/>
      <c r="F811" s="92"/>
      <c r="H811" s="92"/>
    </row>
    <row r="812" ht="15.75" customHeight="1">
      <c r="A812" s="92"/>
      <c r="B812" s="92"/>
      <c r="C812" s="92"/>
      <c r="D812" s="92"/>
      <c r="E812" s="92"/>
      <c r="F812" s="92"/>
      <c r="H812" s="92"/>
    </row>
    <row r="813" ht="15.75" customHeight="1">
      <c r="A813" s="92"/>
      <c r="B813" s="92"/>
      <c r="C813" s="92"/>
      <c r="D813" s="92"/>
      <c r="E813" s="92"/>
      <c r="F813" s="92"/>
      <c r="H813" s="92"/>
    </row>
    <row r="814" ht="15.75" customHeight="1">
      <c r="A814" s="92"/>
      <c r="B814" s="92"/>
      <c r="C814" s="92"/>
      <c r="D814" s="92"/>
      <c r="E814" s="92"/>
      <c r="F814" s="92"/>
      <c r="H814" s="92"/>
    </row>
    <row r="815" ht="15.75" customHeight="1">
      <c r="A815" s="92"/>
      <c r="B815" s="92"/>
      <c r="C815" s="92"/>
      <c r="D815" s="92"/>
      <c r="E815" s="92"/>
      <c r="F815" s="92"/>
      <c r="H815" s="92"/>
    </row>
    <row r="816" ht="15.75" customHeight="1">
      <c r="A816" s="92"/>
      <c r="B816" s="92"/>
      <c r="C816" s="92"/>
      <c r="D816" s="92"/>
      <c r="E816" s="92"/>
      <c r="F816" s="92"/>
      <c r="H816" s="92"/>
    </row>
    <row r="817" ht="15.75" customHeight="1">
      <c r="A817" s="92"/>
      <c r="B817" s="92"/>
      <c r="C817" s="92"/>
      <c r="D817" s="92"/>
      <c r="E817" s="92"/>
      <c r="F817" s="92"/>
      <c r="H817" s="92"/>
    </row>
    <row r="818" ht="15.75" customHeight="1">
      <c r="A818" s="92"/>
      <c r="B818" s="92"/>
      <c r="C818" s="92"/>
      <c r="D818" s="92"/>
      <c r="E818" s="92"/>
      <c r="F818" s="92"/>
      <c r="H818" s="92"/>
    </row>
    <row r="819" ht="15.75" customHeight="1">
      <c r="A819" s="92"/>
      <c r="B819" s="92"/>
      <c r="C819" s="92"/>
      <c r="D819" s="92"/>
      <c r="E819" s="92"/>
      <c r="F819" s="92"/>
      <c r="H819" s="92"/>
    </row>
    <row r="820" ht="15.75" customHeight="1">
      <c r="A820" s="92"/>
      <c r="B820" s="92"/>
      <c r="C820" s="92"/>
      <c r="D820" s="92"/>
      <c r="E820" s="92"/>
      <c r="F820" s="92"/>
      <c r="H820" s="92"/>
    </row>
    <row r="821" ht="15.75" customHeight="1">
      <c r="A821" s="92"/>
      <c r="B821" s="92"/>
      <c r="C821" s="92"/>
      <c r="D821" s="92"/>
      <c r="E821" s="92"/>
      <c r="F821" s="92"/>
      <c r="H821" s="92"/>
    </row>
    <row r="822" ht="15.75" customHeight="1">
      <c r="A822" s="92"/>
      <c r="B822" s="92"/>
      <c r="C822" s="92"/>
      <c r="D822" s="92"/>
      <c r="E822" s="92"/>
      <c r="F822" s="92"/>
      <c r="H822" s="92"/>
    </row>
    <row r="823" ht="15.75" customHeight="1">
      <c r="A823" s="92"/>
      <c r="B823" s="92"/>
      <c r="C823" s="92"/>
      <c r="D823" s="92"/>
      <c r="E823" s="92"/>
      <c r="F823" s="92"/>
      <c r="H823" s="92"/>
    </row>
    <row r="824" ht="15.75" customHeight="1">
      <c r="A824" s="92"/>
      <c r="B824" s="92"/>
      <c r="C824" s="92"/>
      <c r="D824" s="92"/>
      <c r="E824" s="92"/>
      <c r="F824" s="92"/>
      <c r="H824" s="92"/>
    </row>
    <row r="825" ht="15.75" customHeight="1">
      <c r="A825" s="92"/>
      <c r="B825" s="92"/>
      <c r="C825" s="92"/>
      <c r="D825" s="92"/>
      <c r="E825" s="92"/>
      <c r="F825" s="92"/>
      <c r="H825" s="92"/>
    </row>
    <row r="826" ht="15.75" customHeight="1">
      <c r="A826" s="92"/>
      <c r="B826" s="92"/>
      <c r="C826" s="92"/>
      <c r="D826" s="92"/>
      <c r="E826" s="92"/>
      <c r="F826" s="92"/>
      <c r="H826" s="92"/>
    </row>
    <row r="827" ht="15.75" customHeight="1">
      <c r="A827" s="92"/>
      <c r="B827" s="92"/>
      <c r="C827" s="92"/>
      <c r="D827" s="92"/>
      <c r="E827" s="92"/>
      <c r="F827" s="92"/>
      <c r="H827" s="92"/>
    </row>
    <row r="828" ht="15.75" customHeight="1">
      <c r="A828" s="92"/>
      <c r="B828" s="92"/>
      <c r="C828" s="92"/>
      <c r="D828" s="92"/>
      <c r="E828" s="92"/>
      <c r="F828" s="92"/>
      <c r="H828" s="92"/>
    </row>
    <row r="829" ht="15.75" customHeight="1">
      <c r="A829" s="92"/>
      <c r="B829" s="92"/>
      <c r="C829" s="92"/>
      <c r="D829" s="92"/>
      <c r="E829" s="92"/>
      <c r="F829" s="92"/>
      <c r="H829" s="92"/>
    </row>
    <row r="830" ht="15.75" customHeight="1">
      <c r="A830" s="92"/>
      <c r="B830" s="92"/>
      <c r="C830" s="92"/>
      <c r="D830" s="92"/>
      <c r="E830" s="92"/>
      <c r="F830" s="92"/>
      <c r="H830" s="92"/>
    </row>
    <row r="831" ht="15.75" customHeight="1">
      <c r="A831" s="92"/>
      <c r="B831" s="92"/>
      <c r="C831" s="92"/>
      <c r="D831" s="92"/>
      <c r="E831" s="92"/>
      <c r="F831" s="92"/>
      <c r="H831" s="92"/>
    </row>
    <row r="832" ht="15.75" customHeight="1">
      <c r="A832" s="92"/>
      <c r="B832" s="92"/>
      <c r="C832" s="92"/>
      <c r="D832" s="92"/>
      <c r="E832" s="92"/>
      <c r="F832" s="92"/>
      <c r="H832" s="92"/>
    </row>
    <row r="833" ht="15.75" customHeight="1">
      <c r="A833" s="92"/>
      <c r="B833" s="92"/>
      <c r="C833" s="92"/>
      <c r="D833" s="92"/>
      <c r="E833" s="92"/>
      <c r="F833" s="92"/>
      <c r="H833" s="92"/>
    </row>
    <row r="834" ht="15.75" customHeight="1">
      <c r="A834" s="92"/>
      <c r="B834" s="92"/>
      <c r="C834" s="92"/>
      <c r="D834" s="92"/>
      <c r="E834" s="92"/>
      <c r="F834" s="92"/>
      <c r="H834" s="92"/>
    </row>
    <row r="835" ht="15.75" customHeight="1">
      <c r="A835" s="92"/>
      <c r="B835" s="92"/>
      <c r="C835" s="92"/>
      <c r="D835" s="92"/>
      <c r="E835" s="92"/>
      <c r="F835" s="92"/>
      <c r="H835" s="92"/>
    </row>
    <row r="836" ht="15.75" customHeight="1">
      <c r="A836" s="92"/>
      <c r="B836" s="92"/>
      <c r="C836" s="92"/>
      <c r="D836" s="92"/>
      <c r="E836" s="92"/>
      <c r="F836" s="92"/>
      <c r="H836" s="92"/>
    </row>
    <row r="837" ht="15.75" customHeight="1">
      <c r="A837" s="92"/>
      <c r="B837" s="92"/>
      <c r="C837" s="92"/>
      <c r="D837" s="92"/>
      <c r="E837" s="92"/>
      <c r="F837" s="92"/>
      <c r="H837" s="92"/>
    </row>
    <row r="838" ht="15.75" customHeight="1">
      <c r="A838" s="92"/>
      <c r="B838" s="92"/>
      <c r="C838" s="92"/>
      <c r="D838" s="92"/>
      <c r="E838" s="92"/>
      <c r="F838" s="92"/>
      <c r="H838" s="92"/>
    </row>
    <row r="839" ht="15.75" customHeight="1">
      <c r="A839" s="92"/>
      <c r="B839" s="92"/>
      <c r="C839" s="92"/>
      <c r="D839" s="92"/>
      <c r="E839" s="92"/>
      <c r="F839" s="92"/>
      <c r="H839" s="92"/>
    </row>
    <row r="840" ht="15.75" customHeight="1">
      <c r="A840" s="92"/>
      <c r="B840" s="92"/>
      <c r="C840" s="92"/>
      <c r="D840" s="92"/>
      <c r="E840" s="92"/>
      <c r="F840" s="92"/>
      <c r="H840" s="92"/>
    </row>
    <row r="841" ht="15.75" customHeight="1">
      <c r="A841" s="92"/>
      <c r="B841" s="92"/>
      <c r="C841" s="92"/>
      <c r="D841" s="92"/>
      <c r="E841" s="92"/>
      <c r="F841" s="92"/>
      <c r="H841" s="92"/>
    </row>
    <row r="842" ht="15.75" customHeight="1">
      <c r="A842" s="92"/>
      <c r="B842" s="92"/>
      <c r="C842" s="92"/>
      <c r="D842" s="92"/>
      <c r="E842" s="92"/>
      <c r="F842" s="92"/>
      <c r="H842" s="92"/>
    </row>
    <row r="843" ht="15.75" customHeight="1">
      <c r="A843" s="92"/>
      <c r="B843" s="92"/>
      <c r="C843" s="92"/>
      <c r="D843" s="92"/>
      <c r="E843" s="92"/>
      <c r="F843" s="92"/>
      <c r="H843" s="92"/>
    </row>
    <row r="844" ht="15.75" customHeight="1">
      <c r="A844" s="92"/>
      <c r="B844" s="92"/>
      <c r="C844" s="92"/>
      <c r="D844" s="92"/>
      <c r="E844" s="92"/>
      <c r="F844" s="92"/>
      <c r="H844" s="92"/>
    </row>
    <row r="845" ht="15.75" customHeight="1">
      <c r="A845" s="92"/>
      <c r="B845" s="92"/>
      <c r="C845" s="92"/>
      <c r="D845" s="92"/>
      <c r="E845" s="92"/>
      <c r="F845" s="92"/>
      <c r="H845" s="92"/>
    </row>
    <row r="846" ht="15.75" customHeight="1">
      <c r="A846" s="92"/>
      <c r="B846" s="92"/>
      <c r="C846" s="92"/>
      <c r="D846" s="92"/>
      <c r="E846" s="92"/>
      <c r="F846" s="92"/>
      <c r="H846" s="92"/>
    </row>
    <row r="847" ht="15.75" customHeight="1">
      <c r="A847" s="92"/>
      <c r="B847" s="92"/>
      <c r="C847" s="92"/>
      <c r="D847" s="92"/>
      <c r="E847" s="92"/>
      <c r="F847" s="92"/>
      <c r="H847" s="92"/>
    </row>
    <row r="848" ht="15.75" customHeight="1">
      <c r="A848" s="92"/>
      <c r="B848" s="92"/>
      <c r="C848" s="92"/>
      <c r="D848" s="92"/>
      <c r="E848" s="92"/>
      <c r="F848" s="92"/>
      <c r="H848" s="92"/>
    </row>
    <row r="849" ht="15.75" customHeight="1">
      <c r="A849" s="92"/>
      <c r="B849" s="92"/>
      <c r="C849" s="92"/>
      <c r="D849" s="92"/>
      <c r="E849" s="92"/>
      <c r="F849" s="92"/>
      <c r="H849" s="92"/>
    </row>
    <row r="850" ht="15.75" customHeight="1">
      <c r="A850" s="92"/>
      <c r="B850" s="92"/>
      <c r="C850" s="92"/>
      <c r="D850" s="92"/>
      <c r="E850" s="92"/>
      <c r="F850" s="92"/>
      <c r="H850" s="92"/>
    </row>
    <row r="851" ht="15.75" customHeight="1">
      <c r="A851" s="92"/>
      <c r="B851" s="92"/>
      <c r="C851" s="92"/>
      <c r="D851" s="92"/>
      <c r="E851" s="92"/>
      <c r="F851" s="92"/>
      <c r="H851" s="92"/>
    </row>
    <row r="852" ht="15.75" customHeight="1">
      <c r="A852" s="92"/>
      <c r="B852" s="92"/>
      <c r="C852" s="92"/>
      <c r="D852" s="92"/>
      <c r="E852" s="92"/>
      <c r="F852" s="92"/>
      <c r="H852" s="92"/>
    </row>
    <row r="853" ht="15.75" customHeight="1">
      <c r="A853" s="92"/>
      <c r="B853" s="92"/>
      <c r="C853" s="92"/>
      <c r="D853" s="92"/>
      <c r="E853" s="92"/>
      <c r="F853" s="92"/>
      <c r="H853" s="92"/>
    </row>
    <row r="854" ht="15.75" customHeight="1">
      <c r="A854" s="92"/>
      <c r="B854" s="92"/>
      <c r="C854" s="92"/>
      <c r="D854" s="92"/>
      <c r="E854" s="92"/>
      <c r="F854" s="92"/>
      <c r="H854" s="92"/>
    </row>
    <row r="855" ht="15.75" customHeight="1">
      <c r="A855" s="92"/>
      <c r="B855" s="92"/>
      <c r="C855" s="92"/>
      <c r="D855" s="92"/>
      <c r="E855" s="92"/>
      <c r="F855" s="92"/>
      <c r="H855" s="92"/>
    </row>
    <row r="856" ht="15.75" customHeight="1">
      <c r="A856" s="92"/>
      <c r="B856" s="92"/>
      <c r="C856" s="92"/>
      <c r="D856" s="92"/>
      <c r="E856" s="92"/>
      <c r="F856" s="92"/>
      <c r="H856" s="92"/>
    </row>
    <row r="857" ht="15.75" customHeight="1">
      <c r="A857" s="92"/>
      <c r="B857" s="92"/>
      <c r="C857" s="92"/>
      <c r="D857" s="92"/>
      <c r="E857" s="92"/>
      <c r="F857" s="92"/>
      <c r="H857" s="92"/>
    </row>
    <row r="858" ht="15.75" customHeight="1">
      <c r="A858" s="92"/>
      <c r="B858" s="92"/>
      <c r="C858" s="92"/>
      <c r="D858" s="92"/>
      <c r="E858" s="92"/>
      <c r="F858" s="92"/>
      <c r="H858" s="92"/>
    </row>
    <row r="859" ht="15.75" customHeight="1">
      <c r="A859" s="92"/>
      <c r="B859" s="92"/>
      <c r="C859" s="92"/>
      <c r="D859" s="92"/>
      <c r="E859" s="92"/>
      <c r="F859" s="92"/>
      <c r="H859" s="92"/>
    </row>
    <row r="860" ht="15.75" customHeight="1">
      <c r="A860" s="92"/>
      <c r="B860" s="92"/>
      <c r="C860" s="92"/>
      <c r="D860" s="92"/>
      <c r="E860" s="92"/>
      <c r="F860" s="92"/>
      <c r="H860" s="92"/>
    </row>
    <row r="861" ht="15.75" customHeight="1">
      <c r="A861" s="92"/>
      <c r="B861" s="92"/>
      <c r="C861" s="92"/>
      <c r="D861" s="92"/>
      <c r="E861" s="92"/>
      <c r="F861" s="92"/>
      <c r="H861" s="92"/>
    </row>
    <row r="862" ht="15.75" customHeight="1">
      <c r="A862" s="92"/>
      <c r="B862" s="92"/>
      <c r="C862" s="92"/>
      <c r="D862" s="92"/>
      <c r="E862" s="92"/>
      <c r="F862" s="92"/>
      <c r="H862" s="92"/>
    </row>
    <row r="863" ht="15.75" customHeight="1">
      <c r="A863" s="92"/>
      <c r="B863" s="92"/>
      <c r="C863" s="92"/>
      <c r="D863" s="92"/>
      <c r="E863" s="92"/>
      <c r="F863" s="92"/>
      <c r="H863" s="92"/>
    </row>
    <row r="864" ht="15.75" customHeight="1">
      <c r="A864" s="92"/>
      <c r="B864" s="92"/>
      <c r="C864" s="92"/>
      <c r="D864" s="92"/>
      <c r="E864" s="92"/>
      <c r="F864" s="92"/>
      <c r="H864" s="92"/>
    </row>
    <row r="865" ht="15.75" customHeight="1">
      <c r="A865" s="92"/>
      <c r="B865" s="92"/>
      <c r="C865" s="92"/>
      <c r="D865" s="92"/>
      <c r="E865" s="92"/>
      <c r="F865" s="92"/>
      <c r="H865" s="92"/>
    </row>
    <row r="866" ht="15.75" customHeight="1">
      <c r="A866" s="92"/>
      <c r="B866" s="92"/>
      <c r="C866" s="92"/>
      <c r="D866" s="92"/>
      <c r="E866" s="92"/>
      <c r="F866" s="92"/>
      <c r="H866" s="92"/>
    </row>
    <row r="867" ht="15.75" customHeight="1">
      <c r="A867" s="92"/>
      <c r="B867" s="92"/>
      <c r="C867" s="92"/>
      <c r="D867" s="92"/>
      <c r="E867" s="92"/>
      <c r="F867" s="92"/>
      <c r="H867" s="92"/>
    </row>
    <row r="868" ht="15.75" customHeight="1">
      <c r="A868" s="92"/>
      <c r="B868" s="92"/>
      <c r="C868" s="92"/>
      <c r="D868" s="92"/>
      <c r="E868" s="92"/>
      <c r="F868" s="92"/>
      <c r="H868" s="92"/>
    </row>
    <row r="869" ht="15.75" customHeight="1">
      <c r="A869" s="92"/>
      <c r="B869" s="92"/>
      <c r="C869" s="92"/>
      <c r="D869" s="92"/>
      <c r="E869" s="92"/>
      <c r="F869" s="92"/>
      <c r="H869" s="92"/>
    </row>
    <row r="870" ht="15.75" customHeight="1">
      <c r="A870" s="92"/>
      <c r="B870" s="92"/>
      <c r="C870" s="92"/>
      <c r="D870" s="92"/>
      <c r="E870" s="92"/>
      <c r="F870" s="92"/>
      <c r="H870" s="92"/>
    </row>
    <row r="871" ht="15.75" customHeight="1">
      <c r="A871" s="92"/>
      <c r="B871" s="92"/>
      <c r="C871" s="92"/>
      <c r="D871" s="92"/>
      <c r="E871" s="92"/>
      <c r="F871" s="92"/>
      <c r="H871" s="92"/>
    </row>
    <row r="872" ht="15.75" customHeight="1">
      <c r="A872" s="92"/>
      <c r="B872" s="92"/>
      <c r="C872" s="92"/>
      <c r="D872" s="92"/>
      <c r="E872" s="92"/>
      <c r="F872" s="92"/>
      <c r="H872" s="92"/>
    </row>
    <row r="873" ht="15.75" customHeight="1">
      <c r="A873" s="92"/>
      <c r="B873" s="92"/>
      <c r="C873" s="92"/>
      <c r="D873" s="92"/>
      <c r="E873" s="92"/>
      <c r="F873" s="92"/>
      <c r="H873" s="92"/>
    </row>
    <row r="874" ht="15.75" customHeight="1">
      <c r="A874" s="92"/>
      <c r="B874" s="92"/>
      <c r="C874" s="92"/>
      <c r="D874" s="92"/>
      <c r="E874" s="92"/>
      <c r="F874" s="92"/>
      <c r="H874" s="92"/>
    </row>
    <row r="875" ht="15.75" customHeight="1">
      <c r="A875" s="92"/>
      <c r="B875" s="92"/>
      <c r="C875" s="92"/>
      <c r="D875" s="92"/>
      <c r="E875" s="92"/>
      <c r="F875" s="92"/>
      <c r="H875" s="92"/>
    </row>
    <row r="876" ht="15.75" customHeight="1">
      <c r="A876" s="92"/>
      <c r="B876" s="92"/>
      <c r="C876" s="92"/>
      <c r="D876" s="92"/>
      <c r="E876" s="92"/>
      <c r="F876" s="92"/>
      <c r="H876" s="92"/>
    </row>
    <row r="877" ht="15.75" customHeight="1">
      <c r="A877" s="92"/>
      <c r="B877" s="92"/>
      <c r="C877" s="92"/>
      <c r="D877" s="92"/>
      <c r="E877" s="92"/>
      <c r="F877" s="92"/>
      <c r="H877" s="92"/>
    </row>
    <row r="878" ht="15.75" customHeight="1">
      <c r="A878" s="92"/>
      <c r="B878" s="92"/>
      <c r="C878" s="92"/>
      <c r="D878" s="92"/>
      <c r="E878" s="92"/>
      <c r="F878" s="92"/>
      <c r="H878" s="92"/>
    </row>
    <row r="879" ht="15.75" customHeight="1">
      <c r="A879" s="92"/>
      <c r="B879" s="92"/>
      <c r="C879" s="92"/>
      <c r="D879" s="92"/>
      <c r="E879" s="92"/>
      <c r="F879" s="92"/>
      <c r="H879" s="92"/>
    </row>
    <row r="880" ht="15.75" customHeight="1">
      <c r="A880" s="92"/>
      <c r="B880" s="92"/>
      <c r="C880" s="92"/>
      <c r="D880" s="92"/>
      <c r="E880" s="92"/>
      <c r="F880" s="92"/>
      <c r="H880" s="92"/>
    </row>
    <row r="881" ht="15.75" customHeight="1">
      <c r="A881" s="92"/>
      <c r="B881" s="92"/>
      <c r="C881" s="92"/>
      <c r="D881" s="92"/>
      <c r="E881" s="92"/>
      <c r="F881" s="92"/>
      <c r="H881" s="92"/>
    </row>
    <row r="882" ht="15.75" customHeight="1">
      <c r="A882" s="92"/>
      <c r="B882" s="92"/>
      <c r="C882" s="92"/>
      <c r="D882" s="92"/>
      <c r="E882" s="92"/>
      <c r="F882" s="92"/>
      <c r="H882" s="92"/>
    </row>
    <row r="883" ht="15.75" customHeight="1">
      <c r="A883" s="92"/>
      <c r="B883" s="92"/>
      <c r="C883" s="92"/>
      <c r="D883" s="92"/>
      <c r="E883" s="92"/>
      <c r="F883" s="92"/>
      <c r="H883" s="92"/>
    </row>
    <row r="884" ht="15.75" customHeight="1">
      <c r="A884" s="92"/>
      <c r="B884" s="92"/>
      <c r="C884" s="92"/>
      <c r="D884" s="92"/>
      <c r="E884" s="92"/>
      <c r="F884" s="92"/>
      <c r="H884" s="92"/>
    </row>
    <row r="885" ht="15.75" customHeight="1">
      <c r="A885" s="92"/>
      <c r="B885" s="92"/>
      <c r="C885" s="92"/>
      <c r="D885" s="92"/>
      <c r="E885" s="92"/>
      <c r="F885" s="92"/>
      <c r="H885" s="92"/>
    </row>
    <row r="886" ht="15.75" customHeight="1">
      <c r="A886" s="92"/>
      <c r="B886" s="92"/>
      <c r="C886" s="92"/>
      <c r="D886" s="92"/>
      <c r="E886" s="92"/>
      <c r="F886" s="92"/>
      <c r="H886" s="92"/>
    </row>
    <row r="887" ht="15.75" customHeight="1">
      <c r="A887" s="92"/>
      <c r="B887" s="92"/>
      <c r="C887" s="92"/>
      <c r="D887" s="92"/>
      <c r="E887" s="92"/>
      <c r="F887" s="92"/>
      <c r="H887" s="92"/>
    </row>
    <row r="888" ht="15.75" customHeight="1">
      <c r="A888" s="92"/>
      <c r="B888" s="92"/>
      <c r="C888" s="92"/>
      <c r="D888" s="92"/>
      <c r="E888" s="92"/>
      <c r="F888" s="92"/>
      <c r="H888" s="92"/>
    </row>
    <row r="889" ht="15.75" customHeight="1">
      <c r="A889" s="92"/>
      <c r="B889" s="92"/>
      <c r="C889" s="92"/>
      <c r="D889" s="92"/>
      <c r="E889" s="92"/>
      <c r="F889" s="92"/>
      <c r="H889" s="92"/>
    </row>
    <row r="890" ht="15.75" customHeight="1">
      <c r="A890" s="92"/>
      <c r="B890" s="92"/>
      <c r="C890" s="92"/>
      <c r="D890" s="92"/>
      <c r="E890" s="92"/>
      <c r="F890" s="92"/>
      <c r="H890" s="92"/>
    </row>
    <row r="891" ht="15.75" customHeight="1">
      <c r="A891" s="92"/>
      <c r="B891" s="92"/>
      <c r="C891" s="92"/>
      <c r="D891" s="92"/>
      <c r="E891" s="92"/>
      <c r="F891" s="92"/>
      <c r="H891" s="92"/>
    </row>
    <row r="892" ht="15.75" customHeight="1">
      <c r="A892" s="92"/>
      <c r="B892" s="92"/>
      <c r="C892" s="92"/>
      <c r="D892" s="92"/>
      <c r="E892" s="92"/>
      <c r="F892" s="92"/>
      <c r="H892" s="92"/>
    </row>
    <row r="893" ht="15.75" customHeight="1">
      <c r="A893" s="92"/>
      <c r="B893" s="92"/>
      <c r="C893" s="92"/>
      <c r="D893" s="92"/>
      <c r="E893" s="92"/>
      <c r="F893" s="92"/>
      <c r="H893" s="92"/>
    </row>
    <row r="894" ht="15.75" customHeight="1">
      <c r="A894" s="92"/>
      <c r="B894" s="92"/>
      <c r="C894" s="92"/>
      <c r="D894" s="92"/>
      <c r="E894" s="92"/>
      <c r="F894" s="92"/>
      <c r="H894" s="92"/>
    </row>
    <row r="895" ht="15.75" customHeight="1">
      <c r="A895" s="92"/>
      <c r="B895" s="92"/>
      <c r="C895" s="92"/>
      <c r="D895" s="92"/>
      <c r="E895" s="92"/>
      <c r="F895" s="92"/>
      <c r="H895" s="92"/>
    </row>
    <row r="896" ht="15.75" customHeight="1">
      <c r="A896" s="92"/>
      <c r="B896" s="92"/>
      <c r="C896" s="92"/>
      <c r="D896" s="92"/>
      <c r="E896" s="92"/>
      <c r="F896" s="92"/>
      <c r="H896" s="92"/>
    </row>
    <row r="897" ht="15.75" customHeight="1">
      <c r="A897" s="92"/>
      <c r="B897" s="92"/>
      <c r="C897" s="92"/>
      <c r="D897" s="92"/>
      <c r="E897" s="92"/>
      <c r="F897" s="92"/>
      <c r="H897" s="92"/>
    </row>
    <row r="898" ht="15.75" customHeight="1">
      <c r="A898" s="92"/>
      <c r="B898" s="92"/>
      <c r="C898" s="92"/>
      <c r="D898" s="92"/>
      <c r="E898" s="92"/>
      <c r="F898" s="92"/>
      <c r="H898" s="92"/>
    </row>
    <row r="899" ht="15.75" customHeight="1">
      <c r="A899" s="92"/>
      <c r="B899" s="92"/>
      <c r="C899" s="92"/>
      <c r="D899" s="92"/>
      <c r="E899" s="92"/>
      <c r="F899" s="92"/>
      <c r="H899" s="92"/>
    </row>
    <row r="900" ht="15.75" customHeight="1">
      <c r="A900" s="92"/>
      <c r="B900" s="92"/>
      <c r="C900" s="92"/>
      <c r="D900" s="92"/>
      <c r="E900" s="92"/>
      <c r="F900" s="92"/>
      <c r="H900" s="92"/>
    </row>
    <row r="901" ht="15.75" customHeight="1">
      <c r="A901" s="92"/>
      <c r="B901" s="92"/>
      <c r="C901" s="92"/>
      <c r="D901" s="92"/>
      <c r="E901" s="92"/>
      <c r="F901" s="92"/>
      <c r="H901" s="92"/>
    </row>
    <row r="902" ht="15.75" customHeight="1">
      <c r="A902" s="92"/>
      <c r="B902" s="92"/>
      <c r="C902" s="92"/>
      <c r="D902" s="92"/>
      <c r="E902" s="92"/>
      <c r="F902" s="92"/>
      <c r="H902" s="92"/>
    </row>
    <row r="903" ht="15.75" customHeight="1">
      <c r="A903" s="92"/>
      <c r="B903" s="92"/>
      <c r="C903" s="92"/>
      <c r="D903" s="92"/>
      <c r="E903" s="92"/>
      <c r="F903" s="92"/>
      <c r="H903" s="92"/>
    </row>
    <row r="904" ht="15.75" customHeight="1">
      <c r="A904" s="92"/>
      <c r="B904" s="92"/>
      <c r="C904" s="92"/>
      <c r="D904" s="92"/>
      <c r="E904" s="92"/>
      <c r="F904" s="92"/>
      <c r="H904" s="92"/>
    </row>
    <row r="905" ht="15.75" customHeight="1">
      <c r="A905" s="92"/>
      <c r="B905" s="92"/>
      <c r="C905" s="92"/>
      <c r="D905" s="92"/>
      <c r="E905" s="92"/>
      <c r="F905" s="92"/>
      <c r="H905" s="92"/>
    </row>
    <row r="906" ht="15.75" customHeight="1">
      <c r="A906" s="92"/>
      <c r="B906" s="92"/>
      <c r="C906" s="92"/>
      <c r="D906" s="92"/>
      <c r="E906" s="92"/>
      <c r="F906" s="92"/>
      <c r="H906" s="92"/>
    </row>
    <row r="907" ht="15.75" customHeight="1">
      <c r="A907" s="92"/>
      <c r="B907" s="92"/>
      <c r="C907" s="92"/>
      <c r="D907" s="92"/>
      <c r="E907" s="92"/>
      <c r="F907" s="92"/>
      <c r="H907" s="92"/>
    </row>
    <row r="908" ht="15.75" customHeight="1">
      <c r="A908" s="92"/>
      <c r="B908" s="92"/>
      <c r="C908" s="92"/>
      <c r="D908" s="92"/>
      <c r="E908" s="92"/>
      <c r="F908" s="92"/>
      <c r="H908" s="92"/>
    </row>
    <row r="909" ht="15.75" customHeight="1">
      <c r="A909" s="92"/>
      <c r="B909" s="92"/>
      <c r="C909" s="92"/>
      <c r="D909" s="92"/>
      <c r="E909" s="92"/>
      <c r="F909" s="92"/>
      <c r="H909" s="92"/>
    </row>
    <row r="910" ht="15.75" customHeight="1">
      <c r="A910" s="92"/>
      <c r="B910" s="92"/>
      <c r="C910" s="92"/>
      <c r="D910" s="92"/>
      <c r="E910" s="92"/>
      <c r="F910" s="92"/>
      <c r="H910" s="92"/>
    </row>
    <row r="911" ht="15.75" customHeight="1">
      <c r="A911" s="92"/>
      <c r="B911" s="92"/>
      <c r="C911" s="92"/>
      <c r="D911" s="92"/>
      <c r="E911" s="92"/>
      <c r="F911" s="92"/>
      <c r="H911" s="92"/>
    </row>
    <row r="912" ht="15.75" customHeight="1">
      <c r="A912" s="92"/>
      <c r="B912" s="92"/>
      <c r="C912" s="92"/>
      <c r="D912" s="92"/>
      <c r="E912" s="92"/>
      <c r="F912" s="92"/>
      <c r="H912" s="92"/>
    </row>
    <row r="913" ht="15.75" customHeight="1">
      <c r="A913" s="92"/>
      <c r="B913" s="92"/>
      <c r="C913" s="92"/>
      <c r="D913" s="92"/>
      <c r="E913" s="92"/>
      <c r="F913" s="92"/>
      <c r="H913" s="92"/>
    </row>
    <row r="914" ht="15.75" customHeight="1">
      <c r="A914" s="92"/>
      <c r="B914" s="92"/>
      <c r="C914" s="92"/>
      <c r="D914" s="92"/>
      <c r="E914" s="92"/>
      <c r="F914" s="92"/>
      <c r="H914" s="92"/>
    </row>
    <row r="915" ht="15.75" customHeight="1">
      <c r="A915" s="92"/>
      <c r="B915" s="92"/>
      <c r="C915" s="92"/>
      <c r="D915" s="92"/>
      <c r="E915" s="92"/>
      <c r="F915" s="92"/>
      <c r="H915" s="92"/>
    </row>
    <row r="916" ht="15.75" customHeight="1">
      <c r="A916" s="92"/>
      <c r="B916" s="92"/>
      <c r="C916" s="92"/>
      <c r="D916" s="92"/>
      <c r="E916" s="92"/>
      <c r="F916" s="92"/>
      <c r="H916" s="92"/>
    </row>
    <row r="917" ht="15.75" customHeight="1">
      <c r="A917" s="92"/>
      <c r="B917" s="92"/>
      <c r="C917" s="92"/>
      <c r="D917" s="92"/>
      <c r="E917" s="92"/>
      <c r="F917" s="92"/>
      <c r="H917" s="92"/>
    </row>
    <row r="918" ht="15.75" customHeight="1">
      <c r="A918" s="92"/>
      <c r="B918" s="92"/>
      <c r="C918" s="92"/>
      <c r="D918" s="92"/>
      <c r="E918" s="92"/>
      <c r="F918" s="92"/>
      <c r="H918" s="92"/>
    </row>
    <row r="919" ht="15.75" customHeight="1">
      <c r="A919" s="92"/>
      <c r="B919" s="92"/>
      <c r="C919" s="92"/>
      <c r="D919" s="92"/>
      <c r="E919" s="92"/>
      <c r="F919" s="92"/>
      <c r="H919" s="92"/>
    </row>
    <row r="920" ht="15.75" customHeight="1">
      <c r="A920" s="92"/>
      <c r="B920" s="92"/>
      <c r="C920" s="92"/>
      <c r="D920" s="92"/>
      <c r="E920" s="92"/>
      <c r="F920" s="92"/>
      <c r="H920" s="92"/>
    </row>
    <row r="921" ht="15.75" customHeight="1">
      <c r="A921" s="92"/>
      <c r="B921" s="92"/>
      <c r="C921" s="92"/>
      <c r="D921" s="92"/>
      <c r="E921" s="92"/>
      <c r="F921" s="92"/>
      <c r="H921" s="92"/>
    </row>
    <row r="922" ht="15.75" customHeight="1">
      <c r="A922" s="92"/>
      <c r="B922" s="92"/>
      <c r="C922" s="92"/>
      <c r="D922" s="92"/>
      <c r="E922" s="92"/>
      <c r="F922" s="92"/>
      <c r="H922" s="92"/>
    </row>
    <row r="923" ht="15.75" customHeight="1">
      <c r="A923" s="92"/>
      <c r="B923" s="92"/>
      <c r="C923" s="92"/>
      <c r="D923" s="92"/>
      <c r="E923" s="92"/>
      <c r="F923" s="92"/>
      <c r="H923" s="92"/>
    </row>
    <row r="924" ht="15.75" customHeight="1">
      <c r="A924" s="92"/>
      <c r="B924" s="92"/>
      <c r="C924" s="92"/>
      <c r="D924" s="92"/>
      <c r="E924" s="92"/>
      <c r="F924" s="92"/>
      <c r="H924" s="92"/>
    </row>
    <row r="925" ht="15.75" customHeight="1">
      <c r="A925" s="92"/>
      <c r="B925" s="92"/>
      <c r="C925" s="92"/>
      <c r="D925" s="92"/>
      <c r="E925" s="92"/>
      <c r="F925" s="92"/>
      <c r="H925" s="92"/>
    </row>
    <row r="926" ht="15.75" customHeight="1">
      <c r="A926" s="92"/>
      <c r="B926" s="92"/>
      <c r="C926" s="92"/>
      <c r="D926" s="92"/>
      <c r="E926" s="92"/>
      <c r="F926" s="92"/>
      <c r="H926" s="92"/>
    </row>
    <row r="927" ht="15.75" customHeight="1">
      <c r="A927" s="92"/>
      <c r="B927" s="92"/>
      <c r="C927" s="92"/>
      <c r="D927" s="92"/>
      <c r="E927" s="92"/>
      <c r="F927" s="92"/>
      <c r="H927" s="92"/>
    </row>
    <row r="928" ht="15.75" customHeight="1">
      <c r="A928" s="92"/>
      <c r="B928" s="92"/>
      <c r="C928" s="92"/>
      <c r="D928" s="92"/>
      <c r="E928" s="92"/>
      <c r="F928" s="92"/>
      <c r="H928" s="92"/>
    </row>
    <row r="929" ht="15.75" customHeight="1">
      <c r="A929" s="92"/>
      <c r="B929" s="92"/>
      <c r="C929" s="92"/>
      <c r="D929" s="92"/>
      <c r="E929" s="92"/>
      <c r="F929" s="92"/>
      <c r="H929" s="92"/>
    </row>
    <row r="930" ht="15.75" customHeight="1">
      <c r="A930" s="92"/>
      <c r="B930" s="92"/>
      <c r="C930" s="92"/>
      <c r="D930" s="92"/>
      <c r="E930" s="92"/>
      <c r="F930" s="92"/>
      <c r="H930" s="92"/>
    </row>
    <row r="931" ht="15.75" customHeight="1">
      <c r="A931" s="92"/>
      <c r="B931" s="92"/>
      <c r="C931" s="92"/>
      <c r="D931" s="92"/>
      <c r="E931" s="92"/>
      <c r="F931" s="92"/>
      <c r="H931" s="92"/>
    </row>
    <row r="932" ht="15.75" customHeight="1">
      <c r="A932" s="92"/>
      <c r="B932" s="92"/>
      <c r="C932" s="92"/>
      <c r="D932" s="92"/>
      <c r="E932" s="92"/>
      <c r="F932" s="92"/>
      <c r="H932" s="92"/>
    </row>
    <row r="933" ht="15.75" customHeight="1">
      <c r="A933" s="92"/>
      <c r="B933" s="92"/>
      <c r="C933" s="92"/>
      <c r="D933" s="92"/>
      <c r="E933" s="92"/>
      <c r="F933" s="92"/>
      <c r="H933" s="92"/>
    </row>
    <row r="934" ht="15.75" customHeight="1">
      <c r="A934" s="92"/>
      <c r="B934" s="92"/>
      <c r="C934" s="92"/>
      <c r="D934" s="92"/>
      <c r="E934" s="92"/>
      <c r="F934" s="92"/>
      <c r="H934" s="92"/>
    </row>
    <row r="935" ht="15.75" customHeight="1">
      <c r="A935" s="92"/>
      <c r="B935" s="92"/>
      <c r="C935" s="92"/>
      <c r="D935" s="92"/>
      <c r="E935" s="92"/>
      <c r="F935" s="92"/>
      <c r="H935" s="92"/>
    </row>
    <row r="936" ht="15.75" customHeight="1">
      <c r="A936" s="92"/>
      <c r="B936" s="92"/>
      <c r="C936" s="92"/>
      <c r="D936" s="92"/>
      <c r="E936" s="92"/>
      <c r="F936" s="92"/>
      <c r="H936" s="92"/>
    </row>
    <row r="937" ht="15.75" customHeight="1">
      <c r="A937" s="92"/>
      <c r="B937" s="92"/>
      <c r="C937" s="92"/>
      <c r="D937" s="92"/>
      <c r="E937" s="92"/>
      <c r="F937" s="92"/>
      <c r="H937" s="92"/>
    </row>
    <row r="938" ht="15.75" customHeight="1">
      <c r="A938" s="92"/>
      <c r="B938" s="92"/>
      <c r="C938" s="92"/>
      <c r="D938" s="92"/>
      <c r="E938" s="92"/>
      <c r="F938" s="92"/>
      <c r="H938" s="92"/>
    </row>
    <row r="939" ht="15.75" customHeight="1">
      <c r="A939" s="92"/>
      <c r="B939" s="92"/>
      <c r="C939" s="92"/>
      <c r="D939" s="92"/>
      <c r="E939" s="92"/>
      <c r="F939" s="92"/>
      <c r="H939" s="92"/>
    </row>
    <row r="940" ht="15.75" customHeight="1">
      <c r="A940" s="92"/>
      <c r="B940" s="92"/>
      <c r="C940" s="92"/>
      <c r="D940" s="92"/>
      <c r="E940" s="92"/>
      <c r="F940" s="92"/>
      <c r="H940" s="92"/>
    </row>
    <row r="941" ht="15.75" customHeight="1">
      <c r="A941" s="92"/>
      <c r="B941" s="92"/>
      <c r="C941" s="92"/>
      <c r="D941" s="92"/>
      <c r="E941" s="92"/>
      <c r="F941" s="92"/>
      <c r="H941" s="92"/>
    </row>
    <row r="942" ht="15.75" customHeight="1">
      <c r="A942" s="92"/>
      <c r="B942" s="92"/>
      <c r="C942" s="92"/>
      <c r="D942" s="92"/>
      <c r="E942" s="92"/>
      <c r="F942" s="92"/>
      <c r="H942" s="92"/>
    </row>
    <row r="943" ht="15.75" customHeight="1">
      <c r="A943" s="92"/>
      <c r="B943" s="92"/>
      <c r="C943" s="92"/>
      <c r="D943" s="92"/>
      <c r="E943" s="92"/>
      <c r="F943" s="92"/>
      <c r="H943" s="92"/>
    </row>
    <row r="944" ht="15.75" customHeight="1">
      <c r="A944" s="92"/>
      <c r="B944" s="92"/>
      <c r="C944" s="92"/>
      <c r="D944" s="92"/>
      <c r="E944" s="92"/>
      <c r="F944" s="92"/>
      <c r="H944" s="92"/>
    </row>
    <row r="945" ht="15.75" customHeight="1">
      <c r="A945" s="92"/>
      <c r="B945" s="92"/>
      <c r="C945" s="92"/>
      <c r="D945" s="92"/>
      <c r="E945" s="92"/>
      <c r="F945" s="92"/>
      <c r="H945" s="92"/>
    </row>
    <row r="946" ht="15.75" customHeight="1">
      <c r="A946" s="92"/>
      <c r="B946" s="92"/>
      <c r="C946" s="92"/>
      <c r="D946" s="92"/>
      <c r="E946" s="92"/>
      <c r="F946" s="92"/>
      <c r="H946" s="92"/>
    </row>
    <row r="947" ht="15.75" customHeight="1">
      <c r="A947" s="92"/>
      <c r="B947" s="92"/>
      <c r="C947" s="92"/>
      <c r="D947" s="92"/>
      <c r="E947" s="92"/>
      <c r="F947" s="92"/>
      <c r="H947" s="92"/>
    </row>
    <row r="948" ht="15.75" customHeight="1">
      <c r="A948" s="92"/>
      <c r="B948" s="92"/>
      <c r="C948" s="92"/>
      <c r="D948" s="92"/>
      <c r="E948" s="92"/>
      <c r="F948" s="92"/>
      <c r="H948" s="92"/>
    </row>
    <row r="949" ht="15.75" customHeight="1">
      <c r="A949" s="92"/>
      <c r="B949" s="92"/>
      <c r="C949" s="92"/>
      <c r="D949" s="92"/>
      <c r="E949" s="92"/>
      <c r="F949" s="92"/>
      <c r="H949" s="92"/>
    </row>
    <row r="950" ht="15.75" customHeight="1">
      <c r="A950" s="92"/>
      <c r="B950" s="92"/>
      <c r="C950" s="92"/>
      <c r="D950" s="92"/>
      <c r="E950" s="92"/>
      <c r="F950" s="92"/>
      <c r="H950" s="92"/>
    </row>
    <row r="951" ht="15.75" customHeight="1">
      <c r="A951" s="92"/>
      <c r="B951" s="92"/>
      <c r="C951" s="92"/>
      <c r="D951" s="92"/>
      <c r="E951" s="92"/>
      <c r="F951" s="92"/>
      <c r="H951" s="92"/>
    </row>
    <row r="952" ht="15.75" customHeight="1">
      <c r="A952" s="92"/>
      <c r="B952" s="92"/>
      <c r="C952" s="92"/>
      <c r="D952" s="92"/>
      <c r="E952" s="92"/>
      <c r="F952" s="92"/>
      <c r="H952" s="92"/>
    </row>
    <row r="953" ht="15.75" customHeight="1">
      <c r="A953" s="92"/>
      <c r="B953" s="92"/>
      <c r="C953" s="92"/>
      <c r="D953" s="92"/>
      <c r="E953" s="92"/>
      <c r="F953" s="92"/>
      <c r="H953" s="92"/>
    </row>
    <row r="954" ht="15.75" customHeight="1">
      <c r="A954" s="92"/>
      <c r="B954" s="92"/>
      <c r="C954" s="92"/>
      <c r="D954" s="92"/>
      <c r="E954" s="92"/>
      <c r="F954" s="92"/>
      <c r="H954" s="92"/>
    </row>
    <row r="955" ht="15.75" customHeight="1">
      <c r="A955" s="92"/>
      <c r="B955" s="92"/>
      <c r="C955" s="92"/>
      <c r="D955" s="92"/>
      <c r="E955" s="92"/>
      <c r="F955" s="92"/>
      <c r="H955" s="92"/>
    </row>
    <row r="956" ht="15.75" customHeight="1">
      <c r="A956" s="92"/>
      <c r="B956" s="92"/>
      <c r="C956" s="92"/>
      <c r="D956" s="92"/>
      <c r="E956" s="92"/>
      <c r="F956" s="92"/>
      <c r="H956" s="92"/>
    </row>
    <row r="957" ht="15.75" customHeight="1">
      <c r="A957" s="92"/>
      <c r="B957" s="92"/>
      <c r="C957" s="92"/>
      <c r="D957" s="92"/>
      <c r="E957" s="92"/>
      <c r="F957" s="92"/>
      <c r="H957" s="92"/>
    </row>
    <row r="958" ht="15.75" customHeight="1">
      <c r="A958" s="92"/>
      <c r="B958" s="92"/>
      <c r="C958" s="92"/>
      <c r="D958" s="92"/>
      <c r="E958" s="92"/>
      <c r="F958" s="92"/>
      <c r="H958" s="92"/>
    </row>
    <row r="959" ht="15.75" customHeight="1">
      <c r="A959" s="92"/>
      <c r="B959" s="92"/>
      <c r="C959" s="92"/>
      <c r="D959" s="92"/>
      <c r="E959" s="92"/>
      <c r="F959" s="92"/>
      <c r="H959" s="92"/>
    </row>
    <row r="960" ht="15.75" customHeight="1">
      <c r="A960" s="92"/>
      <c r="B960" s="92"/>
      <c r="C960" s="92"/>
      <c r="D960" s="92"/>
      <c r="E960" s="92"/>
      <c r="F960" s="92"/>
      <c r="H960" s="92"/>
    </row>
    <row r="961" ht="15.75" customHeight="1">
      <c r="A961" s="92"/>
      <c r="B961" s="92"/>
      <c r="C961" s="92"/>
      <c r="D961" s="92"/>
      <c r="E961" s="92"/>
      <c r="F961" s="92"/>
      <c r="H961" s="92"/>
    </row>
    <row r="962" ht="15.75" customHeight="1">
      <c r="A962" s="92"/>
      <c r="B962" s="92"/>
      <c r="C962" s="92"/>
      <c r="D962" s="92"/>
      <c r="E962" s="92"/>
      <c r="F962" s="92"/>
      <c r="H962" s="92"/>
    </row>
    <row r="963" ht="15.75" customHeight="1">
      <c r="A963" s="92"/>
      <c r="B963" s="92"/>
      <c r="C963" s="92"/>
      <c r="D963" s="92"/>
      <c r="E963" s="92"/>
      <c r="F963" s="92"/>
      <c r="H963" s="92"/>
    </row>
    <row r="964" ht="15.75" customHeight="1">
      <c r="A964" s="92"/>
      <c r="B964" s="92"/>
      <c r="C964" s="92"/>
      <c r="D964" s="92"/>
      <c r="E964" s="92"/>
      <c r="F964" s="92"/>
      <c r="H964" s="92"/>
    </row>
    <row r="965" ht="15.75" customHeight="1">
      <c r="A965" s="92"/>
      <c r="B965" s="92"/>
      <c r="C965" s="92"/>
      <c r="D965" s="92"/>
      <c r="E965" s="92"/>
      <c r="F965" s="92"/>
      <c r="H965" s="92"/>
    </row>
    <row r="966" ht="15.75" customHeight="1">
      <c r="A966" s="92"/>
      <c r="B966" s="92"/>
      <c r="C966" s="92"/>
      <c r="D966" s="92"/>
      <c r="E966" s="92"/>
      <c r="F966" s="92"/>
      <c r="H966" s="92"/>
    </row>
    <row r="967" ht="15.75" customHeight="1">
      <c r="A967" s="92"/>
      <c r="B967" s="92"/>
      <c r="C967" s="92"/>
      <c r="D967" s="92"/>
      <c r="E967" s="92"/>
      <c r="F967" s="92"/>
      <c r="H967" s="92"/>
    </row>
    <row r="968" ht="15.75" customHeight="1">
      <c r="A968" s="92"/>
      <c r="B968" s="92"/>
      <c r="C968" s="92"/>
      <c r="D968" s="92"/>
      <c r="E968" s="92"/>
      <c r="F968" s="92"/>
      <c r="H968" s="92"/>
    </row>
    <row r="969" ht="15.75" customHeight="1">
      <c r="A969" s="92"/>
      <c r="B969" s="92"/>
      <c r="C969" s="92"/>
      <c r="D969" s="92"/>
      <c r="E969" s="92"/>
      <c r="F969" s="92"/>
      <c r="H969" s="92"/>
    </row>
    <row r="970" ht="15.75" customHeight="1">
      <c r="A970" s="92"/>
      <c r="B970" s="92"/>
      <c r="C970" s="92"/>
      <c r="D970" s="92"/>
      <c r="E970" s="92"/>
      <c r="F970" s="92"/>
      <c r="H970" s="92"/>
    </row>
    <row r="971" ht="15.75" customHeight="1">
      <c r="A971" s="92"/>
      <c r="B971" s="92"/>
      <c r="C971" s="92"/>
      <c r="D971" s="92"/>
      <c r="E971" s="92"/>
      <c r="F971" s="92"/>
      <c r="H971" s="92"/>
    </row>
    <row r="972" ht="15.75" customHeight="1">
      <c r="A972" s="92"/>
      <c r="B972" s="92"/>
      <c r="C972" s="92"/>
      <c r="D972" s="92"/>
      <c r="E972" s="92"/>
      <c r="F972" s="92"/>
      <c r="H972" s="92"/>
    </row>
    <row r="973" ht="15.75" customHeight="1">
      <c r="A973" s="92"/>
      <c r="B973" s="92"/>
      <c r="C973" s="92"/>
      <c r="D973" s="92"/>
      <c r="E973" s="92"/>
      <c r="F973" s="92"/>
      <c r="H973" s="92"/>
    </row>
    <row r="974" ht="15.75" customHeight="1">
      <c r="A974" s="92"/>
      <c r="B974" s="92"/>
      <c r="C974" s="92"/>
      <c r="D974" s="92"/>
      <c r="E974" s="92"/>
      <c r="F974" s="92"/>
      <c r="H974" s="92"/>
    </row>
    <row r="975" ht="15.75" customHeight="1">
      <c r="A975" s="92"/>
      <c r="B975" s="92"/>
      <c r="C975" s="92"/>
      <c r="D975" s="92"/>
      <c r="E975" s="92"/>
      <c r="F975" s="92"/>
      <c r="H975" s="92"/>
    </row>
    <row r="976" ht="15.75" customHeight="1">
      <c r="A976" s="92"/>
      <c r="B976" s="92"/>
      <c r="C976" s="92"/>
      <c r="D976" s="92"/>
      <c r="E976" s="92"/>
      <c r="F976" s="92"/>
      <c r="H976" s="92"/>
    </row>
    <row r="977" ht="15.75" customHeight="1">
      <c r="A977" s="92"/>
      <c r="B977" s="92"/>
      <c r="C977" s="92"/>
      <c r="D977" s="92"/>
      <c r="E977" s="92"/>
      <c r="F977" s="92"/>
      <c r="H977" s="92"/>
    </row>
    <row r="978" ht="15.75" customHeight="1">
      <c r="A978" s="92"/>
      <c r="B978" s="92"/>
      <c r="C978" s="92"/>
      <c r="D978" s="92"/>
      <c r="E978" s="92"/>
      <c r="F978" s="92"/>
      <c r="H978" s="92"/>
    </row>
    <row r="979" ht="15.75" customHeight="1">
      <c r="A979" s="92"/>
      <c r="B979" s="92"/>
      <c r="C979" s="92"/>
      <c r="D979" s="92"/>
      <c r="E979" s="92"/>
      <c r="F979" s="92"/>
      <c r="H979" s="92"/>
    </row>
    <row r="980" ht="15.75" customHeight="1">
      <c r="A980" s="92"/>
      <c r="B980" s="92"/>
      <c r="C980" s="92"/>
      <c r="D980" s="92"/>
      <c r="E980" s="92"/>
      <c r="F980" s="92"/>
      <c r="H980" s="92"/>
    </row>
    <row r="981" ht="15.75" customHeight="1">
      <c r="A981" s="92"/>
      <c r="B981" s="92"/>
      <c r="C981" s="92"/>
      <c r="D981" s="92"/>
      <c r="E981" s="92"/>
      <c r="F981" s="92"/>
      <c r="H981" s="92"/>
    </row>
    <row r="982" ht="15.75" customHeight="1">
      <c r="A982" s="92"/>
      <c r="B982" s="92"/>
      <c r="C982" s="92"/>
      <c r="D982" s="92"/>
      <c r="E982" s="92"/>
      <c r="F982" s="92"/>
      <c r="H982" s="92"/>
    </row>
    <row r="983" ht="15.75" customHeight="1">
      <c r="A983" s="92"/>
      <c r="B983" s="92"/>
      <c r="C983" s="92"/>
      <c r="D983" s="92"/>
      <c r="E983" s="92"/>
      <c r="F983" s="92"/>
      <c r="H983" s="92"/>
    </row>
    <row r="984" ht="15.75" customHeight="1">
      <c r="A984" s="92"/>
      <c r="B984" s="92"/>
      <c r="C984" s="92"/>
      <c r="D984" s="92"/>
      <c r="E984" s="92"/>
      <c r="F984" s="92"/>
      <c r="H984" s="92"/>
    </row>
    <row r="985" ht="15.75" customHeight="1">
      <c r="A985" s="92"/>
      <c r="B985" s="92"/>
      <c r="C985" s="92"/>
      <c r="D985" s="92"/>
      <c r="E985" s="92"/>
      <c r="F985" s="92"/>
      <c r="H985" s="92"/>
    </row>
    <row r="986" ht="15.75" customHeight="1">
      <c r="A986" s="92"/>
      <c r="B986" s="92"/>
      <c r="C986" s="92"/>
      <c r="D986" s="92"/>
      <c r="E986" s="92"/>
      <c r="F986" s="92"/>
      <c r="H986" s="92"/>
    </row>
    <row r="987" ht="15.75" customHeight="1">
      <c r="A987" s="92"/>
      <c r="B987" s="92"/>
      <c r="C987" s="92"/>
      <c r="D987" s="92"/>
      <c r="E987" s="92"/>
      <c r="F987" s="92"/>
      <c r="H987" s="92"/>
    </row>
  </sheetData>
  <mergeCells count="21">
    <mergeCell ref="G3:G4"/>
    <mergeCell ref="H3:H4"/>
    <mergeCell ref="G9:G13"/>
    <mergeCell ref="G14:G16"/>
    <mergeCell ref="G17:G21"/>
    <mergeCell ref="G22:G24"/>
    <mergeCell ref="H22:H24"/>
    <mergeCell ref="D3:D4"/>
    <mergeCell ref="G5:G8"/>
    <mergeCell ref="A11:A13"/>
    <mergeCell ref="A14:A16"/>
    <mergeCell ref="A17:A21"/>
    <mergeCell ref="A22:A24"/>
    <mergeCell ref="A25:H29"/>
    <mergeCell ref="A1:B2"/>
    <mergeCell ref="C1:C2"/>
    <mergeCell ref="D1:D2"/>
    <mergeCell ref="E1:H2"/>
    <mergeCell ref="A3:B3"/>
    <mergeCell ref="C3:C4"/>
    <mergeCell ref="A5:A10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132.29"/>
    <col customWidth="1" min="3" max="3" width="21.0"/>
    <col customWidth="1" min="4" max="4" width="21.71"/>
    <col customWidth="1" min="5" max="5" width="19.29"/>
    <col customWidth="1" min="6" max="6" width="21.14"/>
    <col customWidth="1" min="7" max="7" width="21.57"/>
    <col customWidth="1" min="9" max="9" width="49.71"/>
  </cols>
  <sheetData>
    <row r="1" ht="16.5" customHeight="1">
      <c r="A1" s="1" t="s">
        <v>65</v>
      </c>
      <c r="B1" s="2"/>
      <c r="C1" s="3" t="s">
        <v>66</v>
      </c>
      <c r="D1" s="90" t="s">
        <v>67</v>
      </c>
      <c r="E1" s="91" t="s">
        <v>68</v>
      </c>
      <c r="F1" s="6"/>
      <c r="G1" s="2"/>
      <c r="H1" s="2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2"/>
    </row>
    <row r="2" ht="16.5" customHeight="1">
      <c r="A2" s="10"/>
      <c r="C2" s="11"/>
      <c r="D2" s="36"/>
      <c r="E2" s="11"/>
      <c r="F2" s="13"/>
      <c r="I2" s="1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2"/>
    </row>
    <row r="3" ht="16.5" customHeight="1">
      <c r="A3" s="15"/>
      <c r="B3" s="16"/>
      <c r="C3" s="124"/>
      <c r="D3" s="93"/>
      <c r="E3" s="18"/>
      <c r="F3" s="19" t="s">
        <v>4</v>
      </c>
      <c r="G3" s="20" t="s">
        <v>5</v>
      </c>
      <c r="H3" s="21" t="s">
        <v>6</v>
      </c>
      <c r="I3" s="22" t="s">
        <v>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2"/>
    </row>
    <row r="4" ht="16.5" customHeight="1">
      <c r="A4" s="23" t="s">
        <v>8</v>
      </c>
      <c r="B4" s="24" t="s">
        <v>9</v>
      </c>
      <c r="C4" s="28"/>
      <c r="D4" s="25"/>
      <c r="E4" s="26"/>
      <c r="F4" s="27" t="s">
        <v>10</v>
      </c>
      <c r="G4" s="27" t="s">
        <v>11</v>
      </c>
      <c r="H4" s="28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2"/>
    </row>
    <row r="5" ht="16.5" customHeight="1">
      <c r="A5" s="29" t="s">
        <v>69</v>
      </c>
      <c r="B5" s="61" t="s">
        <v>70</v>
      </c>
      <c r="C5" s="112">
        <v>84000.0</v>
      </c>
      <c r="D5" s="125">
        <v>117000.0</v>
      </c>
      <c r="E5" s="95">
        <v>59000.0</v>
      </c>
      <c r="F5" s="96"/>
      <c r="G5" s="96"/>
      <c r="H5" s="65"/>
      <c r="I5" s="3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2"/>
    </row>
    <row r="6" ht="16.5" customHeight="1">
      <c r="A6" s="36"/>
      <c r="B6" s="66" t="s">
        <v>71</v>
      </c>
      <c r="C6" s="114">
        <v>188000.0</v>
      </c>
      <c r="D6" s="99">
        <v>217000.0</v>
      </c>
      <c r="E6" s="98">
        <v>109000.0</v>
      </c>
      <c r="F6" s="96"/>
      <c r="G6" s="96"/>
      <c r="H6" s="26"/>
      <c r="I6" s="4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2"/>
    </row>
    <row r="7" ht="16.5" customHeight="1">
      <c r="A7" s="36"/>
      <c r="B7" s="66" t="s">
        <v>72</v>
      </c>
      <c r="C7" s="114">
        <v>250000.0</v>
      </c>
      <c r="D7" s="99">
        <v>397000.0</v>
      </c>
      <c r="E7" s="98">
        <v>199000.0</v>
      </c>
      <c r="F7" s="46"/>
      <c r="G7" s="80"/>
      <c r="H7" s="26"/>
      <c r="I7" s="4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2"/>
    </row>
    <row r="8" ht="16.5" customHeight="1">
      <c r="A8" s="36"/>
      <c r="B8" s="66" t="s">
        <v>73</v>
      </c>
      <c r="C8" s="114">
        <v>259000.0</v>
      </c>
      <c r="D8" s="99">
        <v>417000.0</v>
      </c>
      <c r="E8" s="98">
        <v>209000.0</v>
      </c>
      <c r="F8" s="80"/>
      <c r="G8" s="80"/>
      <c r="H8" s="12"/>
      <c r="I8" s="4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2"/>
    </row>
    <row r="9" ht="16.5" customHeight="1">
      <c r="A9" s="36"/>
      <c r="B9" s="109" t="s">
        <v>74</v>
      </c>
      <c r="C9" s="88">
        <v>416000.0</v>
      </c>
      <c r="D9" s="99">
        <v>677000.0</v>
      </c>
      <c r="E9" s="98">
        <v>339000.0</v>
      </c>
      <c r="F9" s="80"/>
      <c r="G9" s="46"/>
      <c r="H9" s="47"/>
      <c r="I9" s="4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2"/>
    </row>
    <row r="10" ht="16.5" customHeight="1">
      <c r="A10" s="48"/>
      <c r="B10" s="109" t="s">
        <v>75</v>
      </c>
      <c r="C10" s="126">
        <v>990000.0</v>
      </c>
      <c r="D10" s="102">
        <v>1299000.0</v>
      </c>
      <c r="E10" s="103">
        <v>650000.0</v>
      </c>
      <c r="F10" s="46"/>
      <c r="G10" s="80"/>
      <c r="H10" s="26"/>
      <c r="I10" s="4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2"/>
    </row>
    <row r="11" ht="16.5" customHeight="1">
      <c r="A11" s="52" t="s">
        <v>76</v>
      </c>
      <c r="B11" s="107" t="s">
        <v>77</v>
      </c>
      <c r="C11" s="88">
        <v>119000.0</v>
      </c>
      <c r="D11" s="125">
        <f t="shared" ref="D11:D49" si="1">E11*2-1000</f>
        <v>197000</v>
      </c>
      <c r="E11" s="88">
        <v>99000.0</v>
      </c>
      <c r="F11" s="104"/>
      <c r="G11" s="80"/>
      <c r="H11" s="26"/>
      <c r="I11" s="4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2"/>
    </row>
    <row r="12" ht="16.5" customHeight="1">
      <c r="A12" s="10"/>
      <c r="B12" s="66" t="s">
        <v>78</v>
      </c>
      <c r="C12" s="88">
        <v>240000.0</v>
      </c>
      <c r="D12" s="99">
        <f t="shared" si="1"/>
        <v>397000</v>
      </c>
      <c r="E12" s="88">
        <v>199000.0</v>
      </c>
      <c r="F12" s="105"/>
      <c r="G12" s="80"/>
      <c r="H12" s="26"/>
      <c r="I12" s="4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2"/>
    </row>
    <row r="13" ht="16.5" customHeight="1">
      <c r="A13" s="10"/>
      <c r="B13" s="66" t="s">
        <v>79</v>
      </c>
      <c r="C13" s="88">
        <v>890000.0</v>
      </c>
      <c r="D13" s="99">
        <f t="shared" si="1"/>
        <v>1599000</v>
      </c>
      <c r="E13" s="88">
        <v>800000.0</v>
      </c>
      <c r="F13" s="106"/>
      <c r="G13" s="80"/>
      <c r="H13" s="26"/>
      <c r="I13" s="4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2"/>
    </row>
    <row r="14" ht="16.5" customHeight="1">
      <c r="A14" s="10"/>
      <c r="B14" s="109" t="s">
        <v>80</v>
      </c>
      <c r="C14" s="88">
        <v>1789000.0</v>
      </c>
      <c r="D14" s="99">
        <f t="shared" si="1"/>
        <v>3199000</v>
      </c>
      <c r="E14" s="88">
        <v>1600000.0</v>
      </c>
      <c r="F14" s="106"/>
      <c r="G14" s="80"/>
      <c r="H14" s="26"/>
      <c r="I14" s="4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2"/>
    </row>
    <row r="15" ht="16.5" customHeight="1">
      <c r="A15" s="10"/>
      <c r="B15" s="49" t="s">
        <v>81</v>
      </c>
      <c r="C15" s="88">
        <v>2400000.0</v>
      </c>
      <c r="D15" s="102">
        <f t="shared" si="1"/>
        <v>4399000</v>
      </c>
      <c r="E15" s="88">
        <v>2200000.0</v>
      </c>
      <c r="F15" s="127"/>
      <c r="G15" s="46"/>
      <c r="H15" s="12"/>
      <c r="I15" s="4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2"/>
    </row>
    <row r="16" ht="16.5" customHeight="1">
      <c r="A16" s="117" t="s">
        <v>82</v>
      </c>
      <c r="B16" s="35" t="s">
        <v>83</v>
      </c>
      <c r="C16" s="108"/>
      <c r="D16" s="125">
        <f t="shared" si="1"/>
        <v>1157000</v>
      </c>
      <c r="E16" s="108">
        <v>579000.0</v>
      </c>
      <c r="F16" s="105"/>
      <c r="G16" s="80"/>
      <c r="H16" s="47"/>
      <c r="I16" s="4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2"/>
    </row>
    <row r="17" ht="16.5" customHeight="1">
      <c r="A17" s="25"/>
      <c r="B17" s="109" t="s">
        <v>84</v>
      </c>
      <c r="C17" s="88">
        <v>750000.0</v>
      </c>
      <c r="D17" s="99">
        <f t="shared" si="1"/>
        <v>1299000</v>
      </c>
      <c r="E17" s="88">
        <v>650000.0</v>
      </c>
      <c r="F17" s="105"/>
      <c r="G17" s="46"/>
      <c r="H17" s="26"/>
      <c r="I17" s="4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2"/>
    </row>
    <row r="18" ht="16.5" customHeight="1">
      <c r="A18" s="11"/>
      <c r="B18" s="35" t="s">
        <v>85</v>
      </c>
      <c r="C18" s="88">
        <v>799000.0</v>
      </c>
      <c r="D18" s="102">
        <f t="shared" si="1"/>
        <v>1357000</v>
      </c>
      <c r="E18" s="88">
        <v>679000.0</v>
      </c>
      <c r="F18" s="105"/>
      <c r="G18" s="80"/>
      <c r="H18" s="26"/>
      <c r="I18" s="4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2"/>
    </row>
    <row r="19" ht="16.5" customHeight="1">
      <c r="A19" s="60" t="s">
        <v>28</v>
      </c>
      <c r="B19" s="61" t="s">
        <v>86</v>
      </c>
      <c r="C19" s="112">
        <v>129000.0</v>
      </c>
      <c r="D19" s="125">
        <f t="shared" si="1"/>
        <v>157000</v>
      </c>
      <c r="E19" s="112">
        <v>79000.0</v>
      </c>
      <c r="F19" s="113"/>
      <c r="G19" s="64"/>
      <c r="H19" s="65"/>
      <c r="I19" s="4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2"/>
    </row>
    <row r="20" ht="16.5" customHeight="1">
      <c r="A20" s="10"/>
      <c r="B20" s="66" t="s">
        <v>87</v>
      </c>
      <c r="C20" s="114">
        <v>129000.0</v>
      </c>
      <c r="D20" s="99">
        <f t="shared" si="1"/>
        <v>197000</v>
      </c>
      <c r="E20" s="114">
        <v>99000.0</v>
      </c>
      <c r="F20" s="113"/>
      <c r="G20" s="64"/>
      <c r="H20" s="26"/>
      <c r="I20" s="4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2"/>
    </row>
    <row r="21" ht="16.5" customHeight="1">
      <c r="A21" s="10"/>
      <c r="B21" s="66" t="s">
        <v>88</v>
      </c>
      <c r="C21" s="114">
        <v>359000.0</v>
      </c>
      <c r="D21" s="99">
        <f t="shared" si="1"/>
        <v>597000</v>
      </c>
      <c r="E21" s="114">
        <v>299000.0</v>
      </c>
      <c r="F21" s="113"/>
      <c r="G21" s="64"/>
      <c r="H21" s="26"/>
      <c r="I21" s="4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2"/>
    </row>
    <row r="22" ht="16.5" customHeight="1">
      <c r="A22" s="10"/>
      <c r="B22" s="66" t="s">
        <v>89</v>
      </c>
      <c r="C22" s="114">
        <v>398000.0</v>
      </c>
      <c r="D22" s="99">
        <f t="shared" si="1"/>
        <v>597000</v>
      </c>
      <c r="E22" s="114">
        <v>299000.0</v>
      </c>
      <c r="F22" s="113"/>
      <c r="G22" s="64"/>
      <c r="H22" s="26"/>
      <c r="I22" s="4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2"/>
    </row>
    <row r="23" ht="16.5" customHeight="1">
      <c r="A23" s="10"/>
      <c r="B23" s="59" t="s">
        <v>90</v>
      </c>
      <c r="C23" s="114">
        <v>400000.0</v>
      </c>
      <c r="D23" s="102">
        <f t="shared" si="1"/>
        <v>677000</v>
      </c>
      <c r="E23" s="114">
        <v>339000.0</v>
      </c>
      <c r="F23" s="113"/>
      <c r="G23" s="72"/>
      <c r="H23" s="26"/>
      <c r="I23" s="4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2"/>
    </row>
    <row r="24" ht="16.5" customHeight="1">
      <c r="A24" s="117" t="s">
        <v>91</v>
      </c>
      <c r="B24" s="61" t="s">
        <v>35</v>
      </c>
      <c r="C24" s="128">
        <v>109000.0</v>
      </c>
      <c r="D24" s="125">
        <f t="shared" si="1"/>
        <v>157000</v>
      </c>
      <c r="E24" s="120">
        <v>79000.0</v>
      </c>
      <c r="F24" s="121"/>
      <c r="G24" s="75"/>
      <c r="H24" s="76"/>
      <c r="I24" s="4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2"/>
    </row>
    <row r="25" ht="16.5" customHeight="1">
      <c r="A25" s="25"/>
      <c r="B25" s="66" t="s">
        <v>37</v>
      </c>
      <c r="C25" s="74">
        <v>149000.0</v>
      </c>
      <c r="D25" s="99">
        <f t="shared" si="1"/>
        <v>237000</v>
      </c>
      <c r="E25" s="122">
        <v>119000.0</v>
      </c>
      <c r="F25" s="121"/>
      <c r="G25" s="75"/>
      <c r="H25" s="26"/>
      <c r="I25" s="4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2"/>
    </row>
    <row r="26" ht="16.5" customHeight="1">
      <c r="A26" s="11"/>
      <c r="B26" s="59" t="s">
        <v>36</v>
      </c>
      <c r="C26" s="129">
        <v>159000.0</v>
      </c>
      <c r="D26" s="102">
        <f t="shared" si="1"/>
        <v>217000</v>
      </c>
      <c r="E26" s="123">
        <v>109000.0</v>
      </c>
      <c r="F26" s="105"/>
      <c r="G26" s="80"/>
      <c r="H26" s="12"/>
      <c r="I26" s="4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2"/>
    </row>
    <row r="27" ht="16.5" customHeight="1">
      <c r="A27" s="52" t="s">
        <v>92</v>
      </c>
      <c r="B27" s="130" t="s">
        <v>93</v>
      </c>
      <c r="C27" s="88">
        <v>200000.0</v>
      </c>
      <c r="D27" s="125">
        <f t="shared" si="1"/>
        <v>299000</v>
      </c>
      <c r="E27" s="131">
        <v>150000.0</v>
      </c>
      <c r="F27" s="105"/>
      <c r="G27" s="80"/>
      <c r="H27" s="100"/>
      <c r="I27" s="132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2"/>
    </row>
    <row r="28" ht="16.5" customHeight="1">
      <c r="A28" s="58"/>
      <c r="B28" s="130" t="s">
        <v>94</v>
      </c>
      <c r="C28" s="88">
        <v>550000.0</v>
      </c>
      <c r="D28" s="102">
        <f t="shared" si="1"/>
        <v>799000</v>
      </c>
      <c r="E28" s="131">
        <v>400000.0</v>
      </c>
      <c r="F28" s="105"/>
      <c r="G28" s="80"/>
      <c r="H28" s="12"/>
      <c r="I28" s="132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2"/>
    </row>
    <row r="29" ht="16.5" customHeight="1">
      <c r="A29" s="52" t="s">
        <v>95</v>
      </c>
      <c r="B29" s="133" t="s">
        <v>96</v>
      </c>
      <c r="C29" s="108">
        <v>600000.0</v>
      </c>
      <c r="D29" s="125">
        <f t="shared" si="1"/>
        <v>1099000</v>
      </c>
      <c r="E29" s="134">
        <v>550000.0</v>
      </c>
      <c r="F29" s="105"/>
      <c r="G29" s="80"/>
      <c r="H29" s="100"/>
      <c r="I29" s="13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2"/>
    </row>
    <row r="30" ht="16.5" customHeight="1">
      <c r="A30" s="58"/>
      <c r="B30" s="130" t="s">
        <v>97</v>
      </c>
      <c r="C30" s="88">
        <v>1700000.0</v>
      </c>
      <c r="D30" s="102">
        <f t="shared" si="1"/>
        <v>2999000</v>
      </c>
      <c r="E30" s="131">
        <v>1500000.0</v>
      </c>
      <c r="F30" s="105"/>
      <c r="G30" s="80"/>
      <c r="H30" s="12"/>
      <c r="I30" s="13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2"/>
    </row>
    <row r="31" ht="16.5" customHeight="1">
      <c r="A31" s="52" t="s">
        <v>98</v>
      </c>
      <c r="B31" s="135" t="s">
        <v>99</v>
      </c>
      <c r="C31" s="136"/>
      <c r="D31" s="125">
        <f t="shared" si="1"/>
        <v>1199000</v>
      </c>
      <c r="E31" s="134">
        <v>600000.0</v>
      </c>
      <c r="F31" s="105"/>
      <c r="G31" s="46"/>
      <c r="H31" s="100"/>
      <c r="I31" s="132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2"/>
    </row>
    <row r="32" ht="16.5" customHeight="1">
      <c r="A32" s="10"/>
      <c r="B32" s="137" t="s">
        <v>100</v>
      </c>
      <c r="C32" s="138"/>
      <c r="D32" s="99">
        <f t="shared" si="1"/>
        <v>1799000</v>
      </c>
      <c r="E32" s="131">
        <v>900000.0</v>
      </c>
      <c r="F32" s="105"/>
      <c r="G32" s="80"/>
      <c r="H32" s="26"/>
      <c r="I32" s="132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2"/>
    </row>
    <row r="33" ht="16.5" customHeight="1">
      <c r="A33" s="10"/>
      <c r="B33" s="137" t="s">
        <v>101</v>
      </c>
      <c r="C33" s="138"/>
      <c r="D33" s="99">
        <f t="shared" si="1"/>
        <v>2199000</v>
      </c>
      <c r="E33" s="131">
        <v>1100000.0</v>
      </c>
      <c r="F33" s="105"/>
      <c r="G33" s="80"/>
      <c r="H33" s="26"/>
      <c r="I33" s="13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2"/>
    </row>
    <row r="34" ht="16.5" customHeight="1">
      <c r="A34" s="10"/>
      <c r="B34" s="137" t="s">
        <v>102</v>
      </c>
      <c r="C34" s="138"/>
      <c r="D34" s="99">
        <f t="shared" si="1"/>
        <v>899000</v>
      </c>
      <c r="E34" s="131">
        <v>450000.0</v>
      </c>
      <c r="F34" s="105"/>
      <c r="G34" s="80"/>
      <c r="H34" s="26"/>
      <c r="I34" s="13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2"/>
    </row>
    <row r="35" ht="16.5" customHeight="1">
      <c r="A35" s="10"/>
      <c r="B35" s="137" t="s">
        <v>103</v>
      </c>
      <c r="C35" s="138"/>
      <c r="D35" s="99">
        <f t="shared" si="1"/>
        <v>1599000</v>
      </c>
      <c r="E35" s="131">
        <v>800000.0</v>
      </c>
      <c r="F35" s="105"/>
      <c r="G35" s="80"/>
      <c r="H35" s="26"/>
      <c r="I35" s="13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2"/>
    </row>
    <row r="36" ht="16.5" customHeight="1">
      <c r="A36" s="10"/>
      <c r="B36" s="137" t="s">
        <v>104</v>
      </c>
      <c r="C36" s="138"/>
      <c r="D36" s="99">
        <f t="shared" si="1"/>
        <v>2199000</v>
      </c>
      <c r="E36" s="131">
        <v>1100000.0</v>
      </c>
      <c r="F36" s="113"/>
      <c r="G36" s="64"/>
      <c r="H36" s="26"/>
      <c r="I36" s="13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2"/>
    </row>
    <row r="37" ht="16.5" customHeight="1">
      <c r="A37" s="10"/>
      <c r="B37" s="137" t="s">
        <v>105</v>
      </c>
      <c r="C37" s="138"/>
      <c r="D37" s="99">
        <f t="shared" si="1"/>
        <v>1799000</v>
      </c>
      <c r="E37" s="131">
        <v>900000.0</v>
      </c>
      <c r="F37" s="113"/>
      <c r="G37" s="64"/>
      <c r="H37" s="26"/>
      <c r="I37" s="13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2"/>
    </row>
    <row r="38" ht="16.5" customHeight="1">
      <c r="A38" s="10"/>
      <c r="B38" s="111" t="s">
        <v>106</v>
      </c>
      <c r="C38" s="138"/>
      <c r="D38" s="99">
        <f t="shared" si="1"/>
        <v>3399000</v>
      </c>
      <c r="E38" s="131">
        <v>1700000.0</v>
      </c>
      <c r="F38" s="113"/>
      <c r="G38" s="64"/>
      <c r="H38" s="26"/>
      <c r="I38" s="13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2"/>
    </row>
    <row r="39" ht="16.5" customHeight="1">
      <c r="A39" s="10"/>
      <c r="B39" s="111" t="s">
        <v>107</v>
      </c>
      <c r="C39" s="138"/>
      <c r="D39" s="99">
        <f t="shared" si="1"/>
        <v>1599000</v>
      </c>
      <c r="E39" s="131">
        <v>800000.0</v>
      </c>
      <c r="F39" s="113"/>
      <c r="G39" s="64"/>
      <c r="H39" s="26"/>
      <c r="I39" s="132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2"/>
    </row>
    <row r="40" ht="16.5" customHeight="1">
      <c r="A40" s="10"/>
      <c r="B40" s="111" t="s">
        <v>108</v>
      </c>
      <c r="C40" s="138"/>
      <c r="D40" s="99">
        <f t="shared" si="1"/>
        <v>2999000</v>
      </c>
      <c r="E40" s="131">
        <v>1500000.0</v>
      </c>
      <c r="F40" s="113"/>
      <c r="G40" s="64"/>
      <c r="H40" s="26"/>
      <c r="I40" s="13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2"/>
    </row>
    <row r="41" ht="16.5" customHeight="1">
      <c r="A41" s="10"/>
      <c r="B41" s="111" t="s">
        <v>109</v>
      </c>
      <c r="C41" s="138"/>
      <c r="D41" s="99">
        <f t="shared" si="1"/>
        <v>1399000</v>
      </c>
      <c r="E41" s="131">
        <v>700000.0</v>
      </c>
      <c r="F41" s="113"/>
      <c r="G41" s="64"/>
      <c r="H41" s="26"/>
      <c r="I41" s="13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2"/>
    </row>
    <row r="42" ht="16.5" customHeight="1">
      <c r="A42" s="10"/>
      <c r="B42" s="111" t="s">
        <v>110</v>
      </c>
      <c r="C42" s="138"/>
      <c r="D42" s="99">
        <f t="shared" si="1"/>
        <v>1799000</v>
      </c>
      <c r="E42" s="131">
        <v>900000.0</v>
      </c>
      <c r="F42" s="113"/>
      <c r="G42" s="64"/>
      <c r="H42" s="26"/>
      <c r="I42" s="13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2"/>
    </row>
    <row r="43" ht="16.5" customHeight="1">
      <c r="A43" s="10"/>
      <c r="B43" s="111" t="s">
        <v>111</v>
      </c>
      <c r="C43" s="138"/>
      <c r="D43" s="99">
        <f t="shared" si="1"/>
        <v>499000</v>
      </c>
      <c r="E43" s="131">
        <v>250000.0</v>
      </c>
      <c r="F43" s="121"/>
      <c r="G43" s="75"/>
      <c r="H43" s="26"/>
      <c r="I43" s="13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2"/>
    </row>
    <row r="44" ht="16.5" customHeight="1">
      <c r="A44" s="10"/>
      <c r="B44" s="111" t="s">
        <v>112</v>
      </c>
      <c r="C44" s="138"/>
      <c r="D44" s="99">
        <f t="shared" si="1"/>
        <v>399000</v>
      </c>
      <c r="E44" s="131">
        <v>200000.0</v>
      </c>
      <c r="F44" s="121"/>
      <c r="G44" s="75"/>
      <c r="H44" s="26"/>
      <c r="I44" s="4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2"/>
    </row>
    <row r="45" ht="16.5" customHeight="1">
      <c r="A45" s="10"/>
      <c r="B45" s="111" t="s">
        <v>113</v>
      </c>
      <c r="C45" s="138"/>
      <c r="D45" s="99">
        <f t="shared" si="1"/>
        <v>299000</v>
      </c>
      <c r="E45" s="131">
        <v>150000.0</v>
      </c>
      <c r="F45" s="105"/>
      <c r="G45" s="80"/>
      <c r="H45" s="26"/>
      <c r="I45" s="4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2"/>
    </row>
    <row r="46" ht="16.5" customHeight="1">
      <c r="A46" s="10"/>
      <c r="B46" s="111" t="s">
        <v>114</v>
      </c>
      <c r="C46" s="138"/>
      <c r="D46" s="99">
        <f t="shared" si="1"/>
        <v>199000</v>
      </c>
      <c r="E46" s="131">
        <v>100000.0</v>
      </c>
      <c r="F46" s="113"/>
      <c r="G46" s="64"/>
      <c r="H46" s="26"/>
      <c r="I46" s="4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2"/>
    </row>
    <row r="47" ht="16.5" customHeight="1">
      <c r="A47" s="10"/>
      <c r="B47" s="111" t="s">
        <v>115</v>
      </c>
      <c r="C47" s="138"/>
      <c r="D47" s="99">
        <f t="shared" si="1"/>
        <v>319000</v>
      </c>
      <c r="E47" s="131">
        <v>160000.0</v>
      </c>
      <c r="F47" s="113"/>
      <c r="G47" s="64"/>
      <c r="H47" s="26"/>
      <c r="I47" s="4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2"/>
    </row>
    <row r="48" ht="16.5" customHeight="1">
      <c r="A48" s="10"/>
      <c r="B48" s="111" t="s">
        <v>116</v>
      </c>
      <c r="C48" s="138"/>
      <c r="D48" s="99">
        <f t="shared" si="1"/>
        <v>359000</v>
      </c>
      <c r="E48" s="131">
        <v>180000.0</v>
      </c>
      <c r="F48" s="121"/>
      <c r="G48" s="75"/>
      <c r="H48" s="26"/>
      <c r="I48" s="4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2"/>
    </row>
    <row r="49" ht="15.75" customHeight="1">
      <c r="A49" s="58"/>
      <c r="B49" s="115" t="s">
        <v>117</v>
      </c>
      <c r="C49" s="139"/>
      <c r="D49" s="102">
        <f t="shared" si="1"/>
        <v>799000</v>
      </c>
      <c r="E49" s="140">
        <v>400000.0</v>
      </c>
      <c r="F49" s="121"/>
      <c r="G49" s="75"/>
      <c r="H49" s="26"/>
      <c r="I49" s="14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2"/>
    </row>
    <row r="50" ht="16.5" customHeight="1">
      <c r="A50" s="142" t="s">
        <v>118</v>
      </c>
      <c r="B50" s="2"/>
      <c r="C50" s="2"/>
      <c r="D50" s="2"/>
      <c r="E50" s="2"/>
      <c r="F50" s="2"/>
      <c r="G50" s="2"/>
      <c r="H50" s="2"/>
      <c r="I50" s="7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2"/>
    </row>
    <row r="51" ht="16.5" customHeight="1">
      <c r="A51" s="10"/>
      <c r="I51" s="14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2"/>
    </row>
    <row r="52" ht="16.5" customHeight="1">
      <c r="A52" s="10"/>
      <c r="I52" s="14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2"/>
    </row>
    <row r="53" ht="16.5" customHeight="1">
      <c r="A53" s="10"/>
      <c r="I53" s="14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2"/>
    </row>
    <row r="54" ht="16.5" customHeight="1">
      <c r="A54" s="58"/>
      <c r="B54" s="82"/>
      <c r="C54" s="82"/>
      <c r="D54" s="82"/>
      <c r="E54" s="82"/>
      <c r="F54" s="82"/>
      <c r="G54" s="82"/>
      <c r="H54" s="82"/>
      <c r="I54" s="8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2"/>
    </row>
    <row r="55" ht="16.5" customHeight="1">
      <c r="A55" s="8"/>
      <c r="B55" s="8"/>
      <c r="C55" s="84"/>
      <c r="D55" s="84"/>
      <c r="E55" s="84"/>
      <c r="F55" s="85"/>
      <c r="G55" s="86"/>
      <c r="H55" s="86"/>
      <c r="I55" s="86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2"/>
    </row>
    <row r="56" ht="16.5" customHeight="1">
      <c r="A56" s="8"/>
      <c r="B56" s="8"/>
      <c r="C56" s="87"/>
      <c r="D56" s="87"/>
      <c r="E56" s="8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2"/>
    </row>
    <row r="57" ht="16.5" customHeight="1">
      <c r="A57" s="8"/>
      <c r="B57" s="8"/>
      <c r="C57" s="87"/>
      <c r="D57" s="87"/>
      <c r="E57" s="8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2"/>
    </row>
    <row r="58" ht="16.5" customHeight="1">
      <c r="A58" s="8"/>
      <c r="B58" s="8"/>
      <c r="C58" s="84"/>
      <c r="D58" s="84"/>
      <c r="E58" s="84"/>
      <c r="F58" s="85"/>
      <c r="G58" s="86"/>
      <c r="H58" s="86"/>
      <c r="I58" s="86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2"/>
    </row>
    <row r="59" ht="16.5" customHeight="1">
      <c r="A59" s="8"/>
      <c r="B59" s="8"/>
      <c r="C59" s="84"/>
      <c r="D59" s="84"/>
      <c r="E59" s="84"/>
      <c r="F59" s="85"/>
      <c r="G59" s="86"/>
      <c r="H59" s="86"/>
      <c r="I59" s="86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2"/>
    </row>
    <row r="60" ht="16.5" customHeight="1">
      <c r="A60" s="8"/>
      <c r="B60" s="8"/>
      <c r="C60" s="84"/>
      <c r="D60" s="84"/>
      <c r="E60" s="84"/>
      <c r="F60" s="85"/>
      <c r="G60" s="86"/>
      <c r="H60" s="86"/>
      <c r="I60" s="86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2"/>
    </row>
    <row r="61" ht="16.5" customHeight="1">
      <c r="A61" s="8"/>
      <c r="B61" s="8"/>
      <c r="C61" s="84"/>
      <c r="D61" s="84"/>
      <c r="E61" s="84"/>
      <c r="F61" s="85"/>
      <c r="G61" s="86"/>
      <c r="H61" s="86"/>
      <c r="I61" s="86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2"/>
    </row>
    <row r="62" ht="16.5" customHeight="1">
      <c r="A62" s="8"/>
      <c r="B62" s="8"/>
      <c r="C62" s="84"/>
      <c r="D62" s="84"/>
      <c r="E62" s="84"/>
      <c r="F62" s="85"/>
      <c r="G62" s="86"/>
      <c r="H62" s="86"/>
      <c r="I62" s="86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2"/>
    </row>
    <row r="63" ht="16.5" customHeight="1">
      <c r="A63" s="8"/>
      <c r="B63" s="8"/>
      <c r="C63" s="84"/>
      <c r="D63" s="84"/>
      <c r="E63" s="84"/>
      <c r="F63" s="85"/>
      <c r="G63" s="86"/>
      <c r="H63" s="86"/>
      <c r="I63" s="86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2"/>
    </row>
    <row r="64" ht="16.5" customHeight="1">
      <c r="A64" s="8"/>
      <c r="B64" s="8"/>
      <c r="C64" s="84"/>
      <c r="D64" s="84"/>
      <c r="E64" s="84"/>
      <c r="F64" s="85"/>
      <c r="G64" s="86"/>
      <c r="H64" s="86"/>
      <c r="I64" s="86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2"/>
    </row>
    <row r="65" ht="16.5" customHeight="1">
      <c r="A65" s="8"/>
      <c r="B65" s="8"/>
      <c r="C65" s="84"/>
      <c r="D65" s="84"/>
      <c r="E65" s="84"/>
      <c r="F65" s="85"/>
      <c r="G65" s="86"/>
      <c r="H65" s="86"/>
      <c r="I65" s="86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2"/>
    </row>
    <row r="66" ht="16.5" customHeight="1">
      <c r="A66" s="8"/>
      <c r="B66" s="8"/>
      <c r="C66" s="84"/>
      <c r="D66" s="84"/>
      <c r="E66" s="84"/>
      <c r="F66" s="85"/>
      <c r="G66" s="86"/>
      <c r="H66" s="86"/>
      <c r="I66" s="86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2"/>
    </row>
    <row r="67" ht="16.5" customHeight="1">
      <c r="A67" s="8"/>
      <c r="B67" s="8"/>
      <c r="C67" s="84"/>
      <c r="D67" s="84"/>
      <c r="E67" s="84"/>
      <c r="F67" s="85"/>
      <c r="G67" s="86"/>
      <c r="H67" s="86"/>
      <c r="I67" s="86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2"/>
    </row>
    <row r="68" ht="16.5" customHeight="1">
      <c r="A68" s="8"/>
      <c r="B68" s="8"/>
      <c r="C68" s="84"/>
      <c r="D68" s="84"/>
      <c r="E68" s="84"/>
      <c r="F68" s="85"/>
      <c r="G68" s="86"/>
      <c r="H68" s="86"/>
      <c r="I68" s="86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2"/>
    </row>
    <row r="69" ht="16.5" customHeight="1">
      <c r="A69" s="8"/>
      <c r="B69" s="8"/>
      <c r="C69" s="84"/>
      <c r="D69" s="84"/>
      <c r="E69" s="84"/>
      <c r="F69" s="85"/>
      <c r="G69" s="86"/>
      <c r="H69" s="86"/>
      <c r="I69" s="86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2"/>
    </row>
    <row r="70" ht="16.5" customHeight="1">
      <c r="A70" s="8"/>
      <c r="B70" s="8"/>
      <c r="C70" s="84"/>
      <c r="D70" s="84"/>
      <c r="E70" s="84"/>
      <c r="F70" s="85"/>
      <c r="G70" s="86"/>
      <c r="H70" s="86"/>
      <c r="I70" s="86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2"/>
    </row>
    <row r="71" ht="16.5" customHeight="1">
      <c r="A71" s="8"/>
      <c r="B71" s="8"/>
      <c r="C71" s="84"/>
      <c r="D71" s="84"/>
      <c r="E71" s="84"/>
      <c r="F71" s="85"/>
      <c r="G71" s="86"/>
      <c r="H71" s="86"/>
      <c r="I71" s="86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2"/>
    </row>
    <row r="72" ht="16.5" customHeight="1">
      <c r="A72" s="8"/>
      <c r="B72" s="8"/>
      <c r="C72" s="84"/>
      <c r="D72" s="84"/>
      <c r="E72" s="84"/>
      <c r="F72" s="85"/>
      <c r="G72" s="86"/>
      <c r="H72" s="86"/>
      <c r="I72" s="86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2"/>
    </row>
    <row r="73" ht="16.5" customHeight="1">
      <c r="A73" s="8"/>
      <c r="B73" s="8"/>
      <c r="C73" s="84"/>
      <c r="D73" s="84"/>
      <c r="E73" s="84"/>
      <c r="F73" s="85"/>
      <c r="G73" s="86"/>
      <c r="H73" s="86"/>
      <c r="I73" s="86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2"/>
    </row>
    <row r="74" ht="16.5" customHeight="1">
      <c r="A74" s="8"/>
      <c r="B74" s="8"/>
      <c r="C74" s="84"/>
      <c r="D74" s="84"/>
      <c r="E74" s="84"/>
      <c r="F74" s="85"/>
      <c r="G74" s="86"/>
      <c r="H74" s="86"/>
      <c r="I74" s="86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2"/>
    </row>
    <row r="75" ht="16.5" customHeight="1">
      <c r="A75" s="8"/>
      <c r="B75" s="8"/>
      <c r="C75" s="84"/>
      <c r="D75" s="84"/>
      <c r="E75" s="84"/>
      <c r="F75" s="85"/>
      <c r="G75" s="86"/>
      <c r="H75" s="86"/>
      <c r="I75" s="86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2"/>
    </row>
    <row r="76" ht="16.5" customHeight="1">
      <c r="A76" s="8"/>
      <c r="B76" s="8"/>
      <c r="C76" s="84"/>
      <c r="D76" s="84"/>
      <c r="E76" s="84"/>
      <c r="F76" s="85"/>
      <c r="G76" s="86"/>
      <c r="H76" s="86"/>
      <c r="I76" s="86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2"/>
    </row>
    <row r="77" ht="16.5" customHeight="1">
      <c r="A77" s="8"/>
      <c r="B77" s="8"/>
      <c r="C77" s="84"/>
      <c r="D77" s="84"/>
      <c r="E77" s="84"/>
      <c r="F77" s="85"/>
      <c r="G77" s="86"/>
      <c r="H77" s="86"/>
      <c r="I77" s="86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2"/>
    </row>
    <row r="78" ht="16.5" customHeight="1">
      <c r="A78" s="8"/>
      <c r="B78" s="8"/>
      <c r="C78" s="84"/>
      <c r="D78" s="84"/>
      <c r="E78" s="84"/>
      <c r="F78" s="85"/>
      <c r="G78" s="86"/>
      <c r="H78" s="86"/>
      <c r="I78" s="86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2"/>
    </row>
    <row r="79" ht="16.5" customHeight="1">
      <c r="A79" s="8"/>
      <c r="B79" s="8"/>
      <c r="C79" s="84"/>
      <c r="D79" s="84"/>
      <c r="E79" s="84"/>
      <c r="F79" s="85"/>
      <c r="G79" s="86"/>
      <c r="H79" s="86"/>
      <c r="I79" s="86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2"/>
    </row>
    <row r="80" ht="16.5" customHeight="1">
      <c r="A80" s="8"/>
      <c r="B80" s="8"/>
      <c r="C80" s="84"/>
      <c r="D80" s="84"/>
      <c r="E80" s="84"/>
      <c r="F80" s="85"/>
      <c r="G80" s="86"/>
      <c r="H80" s="86"/>
      <c r="I80" s="86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2"/>
    </row>
    <row r="81" ht="16.5" customHeight="1">
      <c r="A81" s="8"/>
      <c r="B81" s="8"/>
      <c r="C81" s="84"/>
      <c r="D81" s="84"/>
      <c r="E81" s="84"/>
      <c r="F81" s="85"/>
      <c r="G81" s="86"/>
      <c r="H81" s="86"/>
      <c r="I81" s="86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2"/>
    </row>
    <row r="82" ht="16.5" customHeight="1">
      <c r="A82" s="8"/>
      <c r="B82" s="8"/>
      <c r="C82" s="84"/>
      <c r="D82" s="84"/>
      <c r="E82" s="84"/>
      <c r="F82" s="85"/>
      <c r="G82" s="86"/>
      <c r="H82" s="86"/>
      <c r="I82" s="86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2"/>
    </row>
    <row r="83" ht="16.5" customHeight="1">
      <c r="A83" s="8"/>
      <c r="B83" s="8"/>
      <c r="C83" s="84"/>
      <c r="D83" s="84"/>
      <c r="E83" s="84"/>
      <c r="F83" s="85"/>
      <c r="G83" s="86"/>
      <c r="H83" s="86"/>
      <c r="I83" s="86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2"/>
    </row>
    <row r="84" ht="16.5" customHeight="1">
      <c r="A84" s="8"/>
      <c r="B84" s="8"/>
      <c r="C84" s="84"/>
      <c r="D84" s="84"/>
      <c r="E84" s="84"/>
      <c r="F84" s="85"/>
      <c r="G84" s="86"/>
      <c r="H84" s="86"/>
      <c r="I84" s="86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2"/>
    </row>
    <row r="85" ht="16.5" customHeight="1">
      <c r="A85" s="8"/>
      <c r="B85" s="8"/>
      <c r="C85" s="84"/>
      <c r="D85" s="84"/>
      <c r="E85" s="84"/>
      <c r="F85" s="85"/>
      <c r="G85" s="86"/>
      <c r="H85" s="86"/>
      <c r="I85" s="86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2"/>
    </row>
    <row r="86" ht="16.5" customHeight="1">
      <c r="A86" s="8"/>
      <c r="B86" s="8"/>
      <c r="C86" s="84"/>
      <c r="D86" s="84"/>
      <c r="E86" s="84"/>
      <c r="F86" s="85"/>
      <c r="G86" s="86"/>
      <c r="H86" s="86"/>
      <c r="I86" s="86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2"/>
    </row>
    <row r="87" ht="16.5" customHeight="1">
      <c r="A87" s="8"/>
      <c r="B87" s="8"/>
      <c r="C87" s="84"/>
      <c r="D87" s="84"/>
      <c r="E87" s="84"/>
      <c r="F87" s="85"/>
      <c r="G87" s="86"/>
      <c r="H87" s="86"/>
      <c r="I87" s="86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2"/>
    </row>
    <row r="88" ht="16.5" customHeight="1">
      <c r="A88" s="8"/>
      <c r="B88" s="8"/>
      <c r="C88" s="84"/>
      <c r="D88" s="84"/>
      <c r="E88" s="84"/>
      <c r="F88" s="85"/>
      <c r="G88" s="86"/>
      <c r="H88" s="86"/>
      <c r="I88" s="86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2"/>
    </row>
    <row r="89" ht="16.5" customHeight="1">
      <c r="A89" s="8"/>
      <c r="B89" s="8"/>
      <c r="C89" s="84"/>
      <c r="D89" s="84"/>
      <c r="E89" s="84"/>
      <c r="F89" s="85"/>
      <c r="G89" s="86"/>
      <c r="H89" s="86"/>
      <c r="I89" s="86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2"/>
    </row>
    <row r="90" ht="16.5" customHeight="1">
      <c r="A90" s="8"/>
      <c r="B90" s="8"/>
      <c r="C90" s="84"/>
      <c r="D90" s="84"/>
      <c r="E90" s="84"/>
      <c r="F90" s="85"/>
      <c r="G90" s="86"/>
      <c r="H90" s="86"/>
      <c r="I90" s="86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2"/>
    </row>
    <row r="91" ht="16.5" customHeight="1">
      <c r="A91" s="8"/>
      <c r="B91" s="8"/>
      <c r="C91" s="84"/>
      <c r="D91" s="84"/>
      <c r="E91" s="84"/>
      <c r="F91" s="85"/>
      <c r="G91" s="86"/>
      <c r="H91" s="86"/>
      <c r="I91" s="86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2"/>
    </row>
    <row r="92" ht="16.5" customHeight="1">
      <c r="A92" s="8"/>
      <c r="B92" s="8"/>
      <c r="C92" s="84"/>
      <c r="D92" s="84"/>
      <c r="E92" s="84"/>
      <c r="F92" s="85"/>
      <c r="G92" s="86"/>
      <c r="H92" s="86"/>
      <c r="I92" s="86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2"/>
    </row>
    <row r="93" ht="16.5" customHeight="1">
      <c r="A93" s="8"/>
      <c r="B93" s="8"/>
      <c r="C93" s="84"/>
      <c r="D93" s="84"/>
      <c r="E93" s="84"/>
      <c r="F93" s="85"/>
      <c r="G93" s="86"/>
      <c r="H93" s="86"/>
      <c r="I93" s="86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2"/>
    </row>
    <row r="94" ht="16.5" customHeight="1">
      <c r="A94" s="8"/>
      <c r="B94" s="8"/>
      <c r="C94" s="84"/>
      <c r="D94" s="84"/>
      <c r="E94" s="84"/>
      <c r="F94" s="85"/>
      <c r="G94" s="86"/>
      <c r="H94" s="86"/>
      <c r="I94" s="86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2"/>
    </row>
    <row r="95" ht="16.5" customHeight="1">
      <c r="A95" s="8"/>
      <c r="B95" s="8"/>
      <c r="C95" s="84"/>
      <c r="D95" s="84"/>
      <c r="E95" s="84"/>
      <c r="F95" s="85"/>
      <c r="G95" s="86"/>
      <c r="H95" s="86"/>
      <c r="I95" s="86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2"/>
    </row>
    <row r="96" ht="16.5" customHeight="1">
      <c r="A96" s="8"/>
      <c r="B96" s="8"/>
      <c r="C96" s="84"/>
      <c r="D96" s="84"/>
      <c r="E96" s="84"/>
      <c r="F96" s="85"/>
      <c r="G96" s="86"/>
      <c r="H96" s="86"/>
      <c r="I96" s="86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2"/>
    </row>
    <row r="97" ht="16.5" customHeight="1">
      <c r="A97" s="8"/>
      <c r="B97" s="8"/>
      <c r="C97" s="84"/>
      <c r="D97" s="84"/>
      <c r="E97" s="84"/>
      <c r="F97" s="85"/>
      <c r="G97" s="86"/>
      <c r="H97" s="86"/>
      <c r="I97" s="86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2"/>
    </row>
    <row r="98" ht="16.5" customHeight="1">
      <c r="A98" s="8"/>
      <c r="B98" s="8"/>
      <c r="C98" s="84"/>
      <c r="D98" s="84"/>
      <c r="E98" s="84"/>
      <c r="F98" s="85"/>
      <c r="G98" s="86"/>
      <c r="H98" s="86"/>
      <c r="I98" s="8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2"/>
    </row>
    <row r="99" ht="16.5" customHeight="1">
      <c r="A99" s="8"/>
      <c r="B99" s="8"/>
      <c r="C99" s="84"/>
      <c r="D99" s="84"/>
      <c r="E99" s="84"/>
      <c r="F99" s="85"/>
      <c r="G99" s="86"/>
      <c r="H99" s="86"/>
      <c r="I99" s="86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2"/>
    </row>
    <row r="100" ht="16.5" customHeight="1">
      <c r="A100" s="8"/>
      <c r="B100" s="8"/>
      <c r="C100" s="84"/>
      <c r="D100" s="84"/>
      <c r="E100" s="84"/>
      <c r="F100" s="85"/>
      <c r="G100" s="86"/>
      <c r="H100" s="86"/>
      <c r="I100" s="86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2"/>
    </row>
    <row r="101" ht="16.5" customHeight="1">
      <c r="A101" s="8"/>
      <c r="B101" s="8"/>
      <c r="C101" s="84"/>
      <c r="D101" s="84"/>
      <c r="E101" s="84"/>
      <c r="F101" s="85"/>
      <c r="G101" s="86"/>
      <c r="H101" s="86"/>
      <c r="I101" s="86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2"/>
    </row>
    <row r="102" ht="16.5" customHeight="1">
      <c r="A102" s="8"/>
      <c r="B102" s="8"/>
      <c r="C102" s="84"/>
      <c r="D102" s="84"/>
      <c r="E102" s="84"/>
      <c r="F102" s="85"/>
      <c r="G102" s="86"/>
      <c r="H102" s="86"/>
      <c r="I102" s="86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2"/>
    </row>
    <row r="103" ht="16.5" customHeight="1">
      <c r="A103" s="8"/>
      <c r="B103" s="8"/>
      <c r="C103" s="84"/>
      <c r="D103" s="84"/>
      <c r="E103" s="84"/>
      <c r="F103" s="85"/>
      <c r="G103" s="86"/>
      <c r="H103" s="86"/>
      <c r="I103" s="86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2"/>
    </row>
    <row r="104" ht="16.5" customHeight="1">
      <c r="A104" s="8"/>
      <c r="B104" s="8"/>
      <c r="C104" s="84"/>
      <c r="D104" s="84"/>
      <c r="E104" s="84"/>
      <c r="F104" s="85"/>
      <c r="G104" s="86"/>
      <c r="H104" s="86"/>
      <c r="I104" s="8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2"/>
    </row>
    <row r="105" ht="16.5" customHeight="1">
      <c r="A105" s="8"/>
      <c r="B105" s="8"/>
      <c r="C105" s="84"/>
      <c r="D105" s="84"/>
      <c r="E105" s="84"/>
      <c r="F105" s="85"/>
      <c r="G105" s="86"/>
      <c r="H105" s="86"/>
      <c r="I105" s="86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2"/>
    </row>
    <row r="106" ht="16.5" customHeight="1">
      <c r="A106" s="8"/>
      <c r="B106" s="8"/>
      <c r="C106" s="84"/>
      <c r="D106" s="84"/>
      <c r="E106" s="84"/>
      <c r="F106" s="85"/>
      <c r="G106" s="86"/>
      <c r="H106" s="86"/>
      <c r="I106" s="86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2"/>
    </row>
    <row r="107" ht="16.5" customHeight="1">
      <c r="A107" s="8"/>
      <c r="B107" s="8"/>
      <c r="C107" s="84"/>
      <c r="D107" s="84"/>
      <c r="E107" s="84"/>
      <c r="F107" s="85"/>
      <c r="G107" s="86"/>
      <c r="H107" s="86"/>
      <c r="I107" s="8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2"/>
    </row>
    <row r="108" ht="16.5" customHeight="1">
      <c r="A108" s="8"/>
      <c r="B108" s="8"/>
      <c r="C108" s="84"/>
      <c r="D108" s="84"/>
      <c r="E108" s="84"/>
      <c r="F108" s="85"/>
      <c r="G108" s="86"/>
      <c r="H108" s="86"/>
      <c r="I108" s="86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2"/>
    </row>
    <row r="109" ht="16.5" customHeight="1">
      <c r="A109" s="8"/>
      <c r="B109" s="8"/>
      <c r="C109" s="84"/>
      <c r="D109" s="84"/>
      <c r="E109" s="84"/>
      <c r="F109" s="85"/>
      <c r="G109" s="86"/>
      <c r="H109" s="86"/>
      <c r="I109" s="86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2"/>
    </row>
    <row r="110" ht="16.5" customHeight="1">
      <c r="A110" s="8"/>
      <c r="B110" s="8"/>
      <c r="C110" s="84"/>
      <c r="D110" s="84"/>
      <c r="E110" s="84"/>
      <c r="F110" s="85"/>
      <c r="G110" s="86"/>
      <c r="H110" s="86"/>
      <c r="I110" s="8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2"/>
    </row>
    <row r="111" ht="16.5" customHeight="1">
      <c r="A111" s="8"/>
      <c r="B111" s="8"/>
      <c r="C111" s="84"/>
      <c r="D111" s="84"/>
      <c r="E111" s="84"/>
      <c r="F111" s="85"/>
      <c r="G111" s="86"/>
      <c r="H111" s="86"/>
      <c r="I111" s="86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2"/>
    </row>
    <row r="112" ht="16.5" customHeight="1">
      <c r="A112" s="8"/>
      <c r="B112" s="8"/>
      <c r="C112" s="84"/>
      <c r="D112" s="84"/>
      <c r="E112" s="84"/>
      <c r="F112" s="85"/>
      <c r="G112" s="86"/>
      <c r="H112" s="86"/>
      <c r="I112" s="86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2"/>
    </row>
    <row r="113" ht="16.5" customHeight="1">
      <c r="A113" s="8"/>
      <c r="B113" s="8"/>
      <c r="C113" s="84"/>
      <c r="D113" s="84"/>
      <c r="E113" s="84"/>
      <c r="F113" s="85"/>
      <c r="G113" s="86"/>
      <c r="H113" s="86"/>
      <c r="I113" s="8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2"/>
    </row>
    <row r="114" ht="16.5" customHeight="1">
      <c r="A114" s="8"/>
      <c r="B114" s="8"/>
      <c r="C114" s="84"/>
      <c r="D114" s="84"/>
      <c r="E114" s="84"/>
      <c r="F114" s="85"/>
      <c r="G114" s="86"/>
      <c r="H114" s="86"/>
      <c r="I114" s="86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2"/>
    </row>
    <row r="115" ht="16.5" customHeight="1">
      <c r="A115" s="8"/>
      <c r="B115" s="8"/>
      <c r="C115" s="84"/>
      <c r="D115" s="84"/>
      <c r="E115" s="84"/>
      <c r="F115" s="85"/>
      <c r="G115" s="86"/>
      <c r="H115" s="86"/>
      <c r="I115" s="86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2"/>
    </row>
    <row r="116" ht="16.5" customHeight="1">
      <c r="A116" s="8"/>
      <c r="B116" s="8"/>
      <c r="C116" s="84"/>
      <c r="D116" s="84"/>
      <c r="E116" s="84"/>
      <c r="F116" s="85"/>
      <c r="G116" s="86"/>
      <c r="H116" s="86"/>
      <c r="I116" s="8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2"/>
    </row>
    <row r="117" ht="16.5" customHeight="1">
      <c r="A117" s="8"/>
      <c r="B117" s="8"/>
      <c r="C117" s="84"/>
      <c r="D117" s="84"/>
      <c r="E117" s="84"/>
      <c r="F117" s="85"/>
      <c r="G117" s="86"/>
      <c r="H117" s="86"/>
      <c r="I117" s="86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2"/>
    </row>
    <row r="118" ht="16.5" customHeight="1">
      <c r="A118" s="8"/>
      <c r="B118" s="8"/>
      <c r="C118" s="84"/>
      <c r="D118" s="84"/>
      <c r="E118" s="84"/>
      <c r="F118" s="85"/>
      <c r="G118" s="86"/>
      <c r="H118" s="86"/>
      <c r="I118" s="86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2"/>
    </row>
    <row r="119" ht="16.5" customHeight="1">
      <c r="A119" s="8"/>
      <c r="B119" s="8"/>
      <c r="C119" s="84"/>
      <c r="D119" s="84"/>
      <c r="E119" s="84"/>
      <c r="F119" s="85"/>
      <c r="G119" s="86"/>
      <c r="H119" s="86"/>
      <c r="I119" s="86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2"/>
    </row>
    <row r="120" ht="16.5" customHeight="1">
      <c r="A120" s="8"/>
      <c r="B120" s="8"/>
      <c r="C120" s="84"/>
      <c r="D120" s="84"/>
      <c r="E120" s="84"/>
      <c r="F120" s="85"/>
      <c r="G120" s="86"/>
      <c r="H120" s="86"/>
      <c r="I120" s="86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2"/>
    </row>
    <row r="121" ht="16.5" customHeight="1">
      <c r="A121" s="8"/>
      <c r="B121" s="8"/>
      <c r="C121" s="84"/>
      <c r="D121" s="84"/>
      <c r="E121" s="84"/>
      <c r="F121" s="85"/>
      <c r="G121" s="86"/>
      <c r="H121" s="86"/>
      <c r="I121" s="86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2"/>
    </row>
    <row r="122" ht="15.75" customHeight="1">
      <c r="A122" s="8"/>
      <c r="B122" s="8"/>
      <c r="C122" s="84"/>
      <c r="D122" s="84"/>
      <c r="E122" s="84"/>
      <c r="F122" s="85"/>
      <c r="G122" s="86"/>
      <c r="H122" s="86"/>
      <c r="I122" s="86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2"/>
    </row>
    <row r="123" ht="15.75" customHeight="1">
      <c r="A123" s="8"/>
      <c r="B123" s="8"/>
      <c r="C123" s="84"/>
      <c r="D123" s="84"/>
      <c r="E123" s="84"/>
      <c r="F123" s="85"/>
      <c r="G123" s="86"/>
      <c r="H123" s="86"/>
      <c r="I123" s="86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2"/>
    </row>
    <row r="124" ht="15.75" customHeight="1">
      <c r="A124" s="8"/>
      <c r="B124" s="8"/>
      <c r="C124" s="84"/>
      <c r="D124" s="84"/>
      <c r="E124" s="84"/>
      <c r="F124" s="85"/>
      <c r="G124" s="86"/>
      <c r="H124" s="86"/>
      <c r="I124" s="86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2"/>
    </row>
    <row r="125" ht="15.75" customHeight="1">
      <c r="A125" s="8"/>
      <c r="B125" s="8"/>
      <c r="C125" s="84"/>
      <c r="D125" s="84"/>
      <c r="E125" s="84"/>
      <c r="F125" s="85"/>
      <c r="G125" s="86"/>
      <c r="H125" s="86"/>
      <c r="I125" s="86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2"/>
    </row>
    <row r="126" ht="15.75" customHeight="1">
      <c r="A126" s="8"/>
      <c r="B126" s="8"/>
      <c r="C126" s="84"/>
      <c r="D126" s="84"/>
      <c r="E126" s="84"/>
      <c r="F126" s="85"/>
      <c r="G126" s="86"/>
      <c r="H126" s="86"/>
      <c r="I126" s="86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2"/>
    </row>
    <row r="127" ht="15.75" customHeight="1">
      <c r="A127" s="8"/>
      <c r="B127" s="8"/>
      <c r="C127" s="88"/>
      <c r="D127" s="88"/>
      <c r="E127" s="88"/>
      <c r="F127" s="86"/>
      <c r="G127" s="86"/>
      <c r="H127" s="86"/>
      <c r="I127" s="86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2"/>
    </row>
    <row r="128" ht="15.75" customHeight="1">
      <c r="A128" s="8"/>
      <c r="B128" s="8"/>
      <c r="C128" s="88"/>
      <c r="D128" s="88"/>
      <c r="E128" s="88"/>
      <c r="F128" s="86"/>
      <c r="G128" s="86"/>
      <c r="H128" s="86"/>
      <c r="I128" s="86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2"/>
    </row>
    <row r="129" ht="15.75" customHeight="1">
      <c r="A129" s="8"/>
      <c r="B129" s="8"/>
      <c r="C129" s="88"/>
      <c r="D129" s="88"/>
      <c r="E129" s="88"/>
      <c r="F129" s="86"/>
      <c r="G129" s="86"/>
      <c r="H129" s="86"/>
      <c r="I129" s="8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2"/>
    </row>
    <row r="130" ht="15.75" customHeight="1">
      <c r="A130" s="8"/>
      <c r="B130" s="8"/>
      <c r="C130" s="88"/>
      <c r="D130" s="88"/>
      <c r="E130" s="88"/>
      <c r="F130" s="86"/>
      <c r="G130" s="86"/>
      <c r="H130" s="86"/>
      <c r="I130" s="8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2"/>
    </row>
    <row r="131" ht="15.75" customHeight="1">
      <c r="A131" s="8"/>
      <c r="B131" s="8"/>
      <c r="C131" s="88"/>
      <c r="D131" s="88"/>
      <c r="E131" s="88"/>
      <c r="F131" s="86"/>
      <c r="G131" s="86"/>
      <c r="H131" s="86"/>
      <c r="I131" s="86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2"/>
    </row>
    <row r="132" ht="15.75" customHeight="1">
      <c r="A132" s="8"/>
      <c r="B132" s="8"/>
      <c r="C132" s="88"/>
      <c r="D132" s="88"/>
      <c r="E132" s="88"/>
      <c r="F132" s="86"/>
      <c r="G132" s="86"/>
      <c r="H132" s="86"/>
      <c r="I132" s="86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2"/>
    </row>
    <row r="133" ht="15.75" customHeight="1">
      <c r="A133" s="8"/>
      <c r="B133" s="8"/>
      <c r="C133" s="88"/>
      <c r="D133" s="88"/>
      <c r="E133" s="88"/>
      <c r="F133" s="86"/>
      <c r="G133" s="86"/>
      <c r="H133" s="86"/>
      <c r="I133" s="8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2"/>
    </row>
    <row r="134" ht="15.75" customHeight="1">
      <c r="A134" s="8"/>
      <c r="B134" s="8"/>
      <c r="C134" s="88"/>
      <c r="D134" s="88"/>
      <c r="E134" s="88"/>
      <c r="F134" s="86"/>
      <c r="G134" s="86"/>
      <c r="H134" s="86"/>
      <c r="I134" s="86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2"/>
    </row>
    <row r="135" ht="15.75" customHeight="1">
      <c r="A135" s="8"/>
      <c r="B135" s="8"/>
      <c r="C135" s="88"/>
      <c r="D135" s="88"/>
      <c r="E135" s="88"/>
      <c r="F135" s="86"/>
      <c r="G135" s="86"/>
      <c r="H135" s="86"/>
      <c r="I135" s="86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2"/>
    </row>
    <row r="136" ht="15.75" customHeight="1">
      <c r="A136" s="8"/>
      <c r="B136" s="8"/>
      <c r="C136" s="88"/>
      <c r="D136" s="88"/>
      <c r="E136" s="88"/>
      <c r="F136" s="86"/>
      <c r="G136" s="86"/>
      <c r="H136" s="86"/>
      <c r="I136" s="8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2"/>
    </row>
    <row r="137" ht="15.75" customHeight="1">
      <c r="A137" s="8"/>
      <c r="B137" s="8"/>
      <c r="C137" s="88"/>
      <c r="D137" s="88"/>
      <c r="E137" s="88"/>
      <c r="F137" s="86"/>
      <c r="G137" s="86"/>
      <c r="H137" s="86"/>
      <c r="I137" s="86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2"/>
    </row>
    <row r="138" ht="15.75" customHeight="1">
      <c r="A138" s="8"/>
      <c r="B138" s="8"/>
      <c r="C138" s="88"/>
      <c r="D138" s="88"/>
      <c r="E138" s="88"/>
      <c r="F138" s="86"/>
      <c r="G138" s="86"/>
      <c r="H138" s="86"/>
      <c r="I138" s="8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2"/>
    </row>
    <row r="139" ht="15.75" customHeight="1">
      <c r="A139" s="8"/>
      <c r="B139" s="8"/>
      <c r="C139" s="88"/>
      <c r="D139" s="88"/>
      <c r="E139" s="88"/>
      <c r="F139" s="86"/>
      <c r="G139" s="86"/>
      <c r="H139" s="86"/>
      <c r="I139" s="8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2"/>
    </row>
    <row r="140" ht="15.75" customHeight="1">
      <c r="A140" s="8"/>
      <c r="B140" s="8"/>
      <c r="C140" s="88"/>
      <c r="D140" s="88"/>
      <c r="E140" s="88"/>
      <c r="F140" s="86"/>
      <c r="G140" s="86"/>
      <c r="H140" s="86"/>
      <c r="I140" s="86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2"/>
    </row>
    <row r="141" ht="15.75" customHeight="1">
      <c r="A141" s="8"/>
      <c r="B141" s="8"/>
      <c r="C141" s="88"/>
      <c r="D141" s="88"/>
      <c r="E141" s="88"/>
      <c r="F141" s="86"/>
      <c r="G141" s="86"/>
      <c r="H141" s="86"/>
      <c r="I141" s="86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2"/>
    </row>
    <row r="142" ht="15.75" customHeight="1">
      <c r="A142" s="8"/>
      <c r="B142" s="8"/>
      <c r="C142" s="88"/>
      <c r="D142" s="88"/>
      <c r="E142" s="88"/>
      <c r="F142" s="86"/>
      <c r="G142" s="86"/>
      <c r="H142" s="86"/>
      <c r="I142" s="86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2"/>
    </row>
    <row r="143" ht="15.75" customHeight="1">
      <c r="A143" s="8"/>
      <c r="B143" s="8"/>
      <c r="C143" s="88"/>
      <c r="D143" s="88"/>
      <c r="E143" s="88"/>
      <c r="F143" s="86"/>
      <c r="G143" s="86"/>
      <c r="H143" s="86"/>
      <c r="I143" s="86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2"/>
    </row>
    <row r="144" ht="15.75" customHeight="1">
      <c r="A144" s="8"/>
      <c r="B144" s="8"/>
      <c r="C144" s="88"/>
      <c r="D144" s="88"/>
      <c r="E144" s="88"/>
      <c r="F144" s="86"/>
      <c r="G144" s="86"/>
      <c r="H144" s="86"/>
      <c r="I144" s="86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2"/>
    </row>
    <row r="145" ht="15.75" customHeight="1">
      <c r="A145" s="8"/>
      <c r="B145" s="8"/>
      <c r="C145" s="88"/>
      <c r="D145" s="88"/>
      <c r="E145" s="88"/>
      <c r="F145" s="86"/>
      <c r="G145" s="86"/>
      <c r="H145" s="86"/>
      <c r="I145" s="86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2"/>
    </row>
    <row r="146" ht="15.75" customHeight="1">
      <c r="A146" s="8"/>
      <c r="B146" s="8"/>
      <c r="C146" s="88"/>
      <c r="D146" s="88"/>
      <c r="E146" s="88"/>
      <c r="F146" s="86"/>
      <c r="G146" s="86"/>
      <c r="H146" s="86"/>
      <c r="I146" s="8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2"/>
    </row>
    <row r="147" ht="15.75" customHeight="1">
      <c r="A147" s="8"/>
      <c r="B147" s="8"/>
      <c r="C147" s="88"/>
      <c r="D147" s="88"/>
      <c r="E147" s="88"/>
      <c r="F147" s="86"/>
      <c r="G147" s="86"/>
      <c r="H147" s="86"/>
      <c r="I147" s="86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2"/>
    </row>
    <row r="148" ht="15.75" customHeight="1">
      <c r="A148" s="8"/>
      <c r="B148" s="8"/>
      <c r="C148" s="88"/>
      <c r="D148" s="88"/>
      <c r="E148" s="88"/>
      <c r="F148" s="86"/>
      <c r="G148" s="86"/>
      <c r="H148" s="86"/>
      <c r="I148" s="8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2"/>
    </row>
    <row r="149" ht="15.75" customHeight="1">
      <c r="A149" s="8"/>
      <c r="B149" s="8"/>
      <c r="C149" s="88"/>
      <c r="D149" s="88"/>
      <c r="E149" s="88"/>
      <c r="F149" s="86"/>
      <c r="G149" s="86"/>
      <c r="H149" s="86"/>
      <c r="I149" s="86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2"/>
    </row>
    <row r="150" ht="15.75" customHeight="1">
      <c r="A150" s="8"/>
      <c r="B150" s="8"/>
      <c r="C150" s="88"/>
      <c r="D150" s="88"/>
      <c r="E150" s="88"/>
      <c r="F150" s="86"/>
      <c r="G150" s="86"/>
      <c r="H150" s="86"/>
      <c r="I150" s="86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2"/>
    </row>
    <row r="151" ht="15.75" customHeight="1">
      <c r="A151" s="8"/>
      <c r="B151" s="8"/>
      <c r="C151" s="88"/>
      <c r="D151" s="88"/>
      <c r="E151" s="88"/>
      <c r="F151" s="86"/>
      <c r="G151" s="86"/>
      <c r="H151" s="86"/>
      <c r="I151" s="86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2"/>
    </row>
    <row r="152" ht="15.75" customHeight="1">
      <c r="A152" s="8"/>
      <c r="B152" s="8"/>
      <c r="C152" s="88"/>
      <c r="D152" s="88"/>
      <c r="E152" s="88"/>
      <c r="F152" s="86"/>
      <c r="G152" s="86"/>
      <c r="H152" s="86"/>
      <c r="I152" s="86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2"/>
    </row>
    <row r="153" ht="15.75" customHeight="1">
      <c r="A153" s="8"/>
      <c r="B153" s="8"/>
      <c r="C153" s="88"/>
      <c r="D153" s="88"/>
      <c r="E153" s="88"/>
      <c r="F153" s="86"/>
      <c r="G153" s="86"/>
      <c r="H153" s="86"/>
      <c r="I153" s="86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2"/>
    </row>
    <row r="154" ht="15.75" customHeight="1">
      <c r="A154" s="8"/>
      <c r="B154" s="8"/>
      <c r="C154" s="88"/>
      <c r="D154" s="88"/>
      <c r="E154" s="88"/>
      <c r="F154" s="86"/>
      <c r="G154" s="86"/>
      <c r="H154" s="86"/>
      <c r="I154" s="86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2"/>
    </row>
    <row r="155" ht="15.75" customHeight="1">
      <c r="A155" s="8"/>
      <c r="B155" s="8"/>
      <c r="C155" s="88"/>
      <c r="D155" s="88"/>
      <c r="E155" s="88"/>
      <c r="F155" s="86"/>
      <c r="G155" s="86"/>
      <c r="H155" s="86"/>
      <c r="I155" s="86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2"/>
    </row>
    <row r="156" ht="15.75" customHeight="1">
      <c r="A156" s="8"/>
      <c r="B156" s="8"/>
      <c r="C156" s="88"/>
      <c r="D156" s="88"/>
      <c r="E156" s="88"/>
      <c r="F156" s="86"/>
      <c r="G156" s="86"/>
      <c r="H156" s="86"/>
      <c r="I156" s="8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2"/>
    </row>
    <row r="157" ht="15.75" customHeight="1">
      <c r="A157" s="8"/>
      <c r="B157" s="8"/>
      <c r="C157" s="88"/>
      <c r="D157" s="88"/>
      <c r="E157" s="88"/>
      <c r="F157" s="86"/>
      <c r="G157" s="86"/>
      <c r="H157" s="86"/>
      <c r="I157" s="86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2"/>
    </row>
    <row r="158" ht="15.75" customHeight="1">
      <c r="A158" s="8"/>
      <c r="B158" s="8"/>
      <c r="C158" s="88"/>
      <c r="D158" s="88"/>
      <c r="E158" s="88"/>
      <c r="F158" s="86"/>
      <c r="G158" s="86"/>
      <c r="H158" s="86"/>
      <c r="I158" s="8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2"/>
    </row>
    <row r="159" ht="15.75" customHeight="1">
      <c r="A159" s="8"/>
      <c r="B159" s="8"/>
      <c r="C159" s="88"/>
      <c r="D159" s="88"/>
      <c r="E159" s="88"/>
      <c r="F159" s="86"/>
      <c r="G159" s="86"/>
      <c r="H159" s="86"/>
      <c r="I159" s="86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2"/>
    </row>
    <row r="160" ht="15.75" customHeight="1">
      <c r="A160" s="8"/>
      <c r="B160" s="8"/>
      <c r="C160" s="88"/>
      <c r="D160" s="88"/>
      <c r="E160" s="88"/>
      <c r="F160" s="86"/>
      <c r="G160" s="86"/>
      <c r="H160" s="86"/>
      <c r="I160" s="8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2"/>
    </row>
    <row r="161" ht="15.75" customHeight="1">
      <c r="A161" s="8"/>
      <c r="B161" s="8"/>
      <c r="C161" s="88"/>
      <c r="D161" s="88"/>
      <c r="E161" s="88"/>
      <c r="F161" s="86"/>
      <c r="G161" s="86"/>
      <c r="H161" s="86"/>
      <c r="I161" s="86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2"/>
    </row>
    <row r="162" ht="15.75" customHeight="1">
      <c r="A162" s="8"/>
      <c r="B162" s="8"/>
      <c r="C162" s="88"/>
      <c r="D162" s="88"/>
      <c r="E162" s="88"/>
      <c r="F162" s="86"/>
      <c r="G162" s="86"/>
      <c r="H162" s="86"/>
      <c r="I162" s="86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2"/>
    </row>
    <row r="163" ht="15.75" customHeight="1">
      <c r="A163" s="8"/>
      <c r="B163" s="8"/>
      <c r="C163" s="88"/>
      <c r="D163" s="88"/>
      <c r="E163" s="88"/>
      <c r="F163" s="86"/>
      <c r="G163" s="86"/>
      <c r="H163" s="86"/>
      <c r="I163" s="8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2"/>
    </row>
    <row r="164" ht="15.75" customHeight="1">
      <c r="A164" s="8"/>
      <c r="B164" s="8"/>
      <c r="C164" s="88"/>
      <c r="D164" s="88"/>
      <c r="E164" s="88"/>
      <c r="F164" s="86"/>
      <c r="G164" s="86"/>
      <c r="H164" s="86"/>
      <c r="I164" s="8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2"/>
    </row>
    <row r="165" ht="15.75" customHeight="1">
      <c r="A165" s="8"/>
      <c r="B165" s="8"/>
      <c r="C165" s="88"/>
      <c r="D165" s="88"/>
      <c r="E165" s="88"/>
      <c r="F165" s="86"/>
      <c r="G165" s="86"/>
      <c r="H165" s="86"/>
      <c r="I165" s="8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2"/>
    </row>
    <row r="166" ht="15.75" customHeight="1">
      <c r="A166" s="8"/>
      <c r="B166" s="8"/>
      <c r="C166" s="88"/>
      <c r="D166" s="88"/>
      <c r="E166" s="88"/>
      <c r="F166" s="86"/>
      <c r="G166" s="86"/>
      <c r="H166" s="86"/>
      <c r="I166" s="86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2"/>
    </row>
    <row r="167" ht="15.75" customHeight="1">
      <c r="A167" s="8"/>
      <c r="B167" s="8"/>
      <c r="C167" s="88"/>
      <c r="D167" s="88"/>
      <c r="E167" s="88"/>
      <c r="F167" s="86"/>
      <c r="G167" s="86"/>
      <c r="H167" s="86"/>
      <c r="I167" s="86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2"/>
    </row>
    <row r="168" ht="15.75" customHeight="1">
      <c r="A168" s="8"/>
      <c r="B168" s="8"/>
      <c r="C168" s="88"/>
      <c r="D168" s="88"/>
      <c r="E168" s="88"/>
      <c r="F168" s="86"/>
      <c r="G168" s="86"/>
      <c r="H168" s="86"/>
      <c r="I168" s="86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2"/>
    </row>
    <row r="169" ht="15.75" customHeight="1">
      <c r="A169" s="8"/>
      <c r="B169" s="8"/>
      <c r="C169" s="88"/>
      <c r="D169" s="88"/>
      <c r="E169" s="88"/>
      <c r="F169" s="86"/>
      <c r="G169" s="86"/>
      <c r="H169" s="86"/>
      <c r="I169" s="8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2"/>
    </row>
    <row r="170" ht="15.75" customHeight="1">
      <c r="A170" s="8"/>
      <c r="B170" s="8"/>
      <c r="C170" s="88"/>
      <c r="D170" s="88"/>
      <c r="E170" s="88"/>
      <c r="F170" s="86"/>
      <c r="G170" s="86"/>
      <c r="H170" s="86"/>
      <c r="I170" s="8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2"/>
    </row>
    <row r="171" ht="15.75" customHeight="1">
      <c r="A171" s="8"/>
      <c r="B171" s="8"/>
      <c r="C171" s="88"/>
      <c r="D171" s="88"/>
      <c r="E171" s="88"/>
      <c r="F171" s="86"/>
      <c r="G171" s="86"/>
      <c r="H171" s="86"/>
      <c r="I171" s="86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2"/>
    </row>
    <row r="172" ht="15.75" customHeight="1">
      <c r="A172" s="8"/>
      <c r="B172" s="8"/>
      <c r="C172" s="88"/>
      <c r="D172" s="88"/>
      <c r="E172" s="88"/>
      <c r="F172" s="86"/>
      <c r="G172" s="86"/>
      <c r="H172" s="86"/>
      <c r="I172" s="86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2"/>
    </row>
    <row r="173" ht="15.75" customHeight="1">
      <c r="A173" s="8"/>
      <c r="B173" s="8"/>
      <c r="C173" s="88"/>
      <c r="D173" s="88"/>
      <c r="E173" s="88"/>
      <c r="F173" s="86"/>
      <c r="G173" s="86"/>
      <c r="H173" s="86"/>
      <c r="I173" s="86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2"/>
    </row>
    <row r="174" ht="15.75" customHeight="1">
      <c r="A174" s="8"/>
      <c r="B174" s="8"/>
      <c r="C174" s="88"/>
      <c r="D174" s="88"/>
      <c r="E174" s="88"/>
      <c r="F174" s="86"/>
      <c r="G174" s="86"/>
      <c r="H174" s="86"/>
      <c r="I174" s="86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2"/>
    </row>
    <row r="175" ht="15.75" customHeight="1">
      <c r="A175" s="8"/>
      <c r="B175" s="8"/>
      <c r="C175" s="88"/>
      <c r="D175" s="88"/>
      <c r="E175" s="88"/>
      <c r="F175" s="86"/>
      <c r="G175" s="86"/>
      <c r="H175" s="86"/>
      <c r="I175" s="86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2"/>
    </row>
    <row r="176" ht="15.75" customHeight="1">
      <c r="A176" s="8"/>
      <c r="B176" s="8"/>
      <c r="C176" s="88"/>
      <c r="D176" s="88"/>
      <c r="E176" s="88"/>
      <c r="F176" s="86"/>
      <c r="G176" s="86"/>
      <c r="H176" s="86"/>
      <c r="I176" s="8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2"/>
    </row>
    <row r="177" ht="15.75" customHeight="1">
      <c r="A177" s="8"/>
      <c r="B177" s="8"/>
      <c r="C177" s="88"/>
      <c r="D177" s="88"/>
      <c r="E177" s="88"/>
      <c r="F177" s="86"/>
      <c r="G177" s="86"/>
      <c r="H177" s="86"/>
      <c r="I177" s="8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2"/>
    </row>
    <row r="178" ht="15.75" customHeight="1">
      <c r="A178" s="8"/>
      <c r="B178" s="8"/>
      <c r="C178" s="88"/>
      <c r="D178" s="88"/>
      <c r="E178" s="88"/>
      <c r="F178" s="86"/>
      <c r="G178" s="86"/>
      <c r="H178" s="86"/>
      <c r="I178" s="86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2"/>
    </row>
    <row r="179" ht="15.75" customHeight="1">
      <c r="A179" s="8"/>
      <c r="B179" s="8"/>
      <c r="C179" s="88"/>
      <c r="D179" s="88"/>
      <c r="E179" s="88"/>
      <c r="F179" s="86"/>
      <c r="G179" s="86"/>
      <c r="H179" s="86"/>
      <c r="I179" s="86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2"/>
    </row>
    <row r="180" ht="15.75" customHeight="1">
      <c r="A180" s="8"/>
      <c r="B180" s="8"/>
      <c r="C180" s="88"/>
      <c r="D180" s="88"/>
      <c r="E180" s="88"/>
      <c r="F180" s="86"/>
      <c r="G180" s="86"/>
      <c r="H180" s="86"/>
      <c r="I180" s="8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2"/>
    </row>
    <row r="181" ht="15.75" customHeight="1">
      <c r="A181" s="8"/>
      <c r="B181" s="8"/>
      <c r="C181" s="88"/>
      <c r="D181" s="88"/>
      <c r="E181" s="88"/>
      <c r="F181" s="86"/>
      <c r="G181" s="86"/>
      <c r="H181" s="86"/>
      <c r="I181" s="86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2"/>
    </row>
    <row r="182" ht="15.75" customHeight="1">
      <c r="A182" s="8"/>
      <c r="B182" s="8"/>
      <c r="C182" s="88"/>
      <c r="D182" s="88"/>
      <c r="E182" s="88"/>
      <c r="F182" s="86"/>
      <c r="G182" s="86"/>
      <c r="H182" s="86"/>
      <c r="I182" s="86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2"/>
    </row>
    <row r="183" ht="15.75" customHeight="1">
      <c r="A183" s="8"/>
      <c r="B183" s="8"/>
      <c r="C183" s="88"/>
      <c r="D183" s="88"/>
      <c r="E183" s="88"/>
      <c r="F183" s="86"/>
      <c r="G183" s="86"/>
      <c r="H183" s="86"/>
      <c r="I183" s="8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2"/>
    </row>
    <row r="184" ht="15.75" customHeight="1">
      <c r="A184" s="8"/>
      <c r="B184" s="8"/>
      <c r="C184" s="88"/>
      <c r="D184" s="88"/>
      <c r="E184" s="88"/>
      <c r="F184" s="86"/>
      <c r="G184" s="86"/>
      <c r="H184" s="86"/>
      <c r="I184" s="8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2"/>
    </row>
    <row r="185" ht="15.75" customHeight="1">
      <c r="A185" s="8"/>
      <c r="B185" s="8"/>
      <c r="C185" s="88"/>
      <c r="D185" s="88"/>
      <c r="E185" s="88"/>
      <c r="F185" s="86"/>
      <c r="G185" s="86"/>
      <c r="H185" s="86"/>
      <c r="I185" s="86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2"/>
    </row>
    <row r="186" ht="15.75" customHeight="1">
      <c r="A186" s="8"/>
      <c r="B186" s="8"/>
      <c r="C186" s="88"/>
      <c r="D186" s="88"/>
      <c r="E186" s="88"/>
      <c r="F186" s="86"/>
      <c r="G186" s="86"/>
      <c r="H186" s="86"/>
      <c r="I186" s="8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2"/>
    </row>
    <row r="187" ht="15.75" customHeight="1">
      <c r="A187" s="8"/>
      <c r="B187" s="8"/>
      <c r="C187" s="88"/>
      <c r="D187" s="88"/>
      <c r="E187" s="88"/>
      <c r="F187" s="86"/>
      <c r="G187" s="86"/>
      <c r="H187" s="86"/>
      <c r="I187" s="86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2"/>
    </row>
    <row r="188" ht="15.75" customHeight="1">
      <c r="A188" s="8"/>
      <c r="B188" s="8"/>
      <c r="C188" s="88"/>
      <c r="D188" s="88"/>
      <c r="E188" s="88"/>
      <c r="F188" s="86"/>
      <c r="G188" s="86"/>
      <c r="H188" s="86"/>
      <c r="I188" s="8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2"/>
    </row>
    <row r="189" ht="15.75" customHeight="1">
      <c r="A189" s="8"/>
      <c r="B189" s="8"/>
      <c r="C189" s="88"/>
      <c r="D189" s="88"/>
      <c r="E189" s="88"/>
      <c r="F189" s="86"/>
      <c r="G189" s="86"/>
      <c r="H189" s="86"/>
      <c r="I189" s="86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2"/>
    </row>
    <row r="190" ht="15.75" customHeight="1">
      <c r="A190" s="8"/>
      <c r="B190" s="8"/>
      <c r="C190" s="88"/>
      <c r="D190" s="88"/>
      <c r="E190" s="88"/>
      <c r="F190" s="86"/>
      <c r="G190" s="86"/>
      <c r="H190" s="86"/>
      <c r="I190" s="8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2"/>
    </row>
    <row r="191" ht="15.75" customHeight="1">
      <c r="A191" s="8"/>
      <c r="B191" s="8"/>
      <c r="C191" s="88"/>
      <c r="D191" s="88"/>
      <c r="E191" s="88"/>
      <c r="F191" s="86"/>
      <c r="G191" s="86"/>
      <c r="H191" s="86"/>
      <c r="I191" s="86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2"/>
    </row>
    <row r="192" ht="15.75" customHeight="1">
      <c r="A192" s="8"/>
      <c r="B192" s="8"/>
      <c r="C192" s="88"/>
      <c r="D192" s="88"/>
      <c r="E192" s="88"/>
      <c r="F192" s="86"/>
      <c r="G192" s="86"/>
      <c r="H192" s="86"/>
      <c r="I192" s="86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2"/>
    </row>
    <row r="193" ht="15.75" customHeight="1">
      <c r="A193" s="8"/>
      <c r="B193" s="8"/>
      <c r="C193" s="88"/>
      <c r="D193" s="88"/>
      <c r="E193" s="88"/>
      <c r="F193" s="86"/>
      <c r="G193" s="86"/>
      <c r="H193" s="86"/>
      <c r="I193" s="86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2"/>
    </row>
    <row r="194" ht="15.75" customHeight="1">
      <c r="A194" s="8"/>
      <c r="B194" s="8"/>
      <c r="C194" s="88"/>
      <c r="D194" s="88"/>
      <c r="E194" s="88"/>
      <c r="F194" s="86"/>
      <c r="G194" s="86"/>
      <c r="H194" s="86"/>
      <c r="I194" s="86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2"/>
    </row>
    <row r="195" ht="15.75" customHeight="1">
      <c r="A195" s="8"/>
      <c r="B195" s="8"/>
      <c r="C195" s="88"/>
      <c r="D195" s="88"/>
      <c r="E195" s="88"/>
      <c r="F195" s="86"/>
      <c r="G195" s="86"/>
      <c r="H195" s="86"/>
      <c r="I195" s="86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2"/>
    </row>
    <row r="196" ht="15.75" customHeight="1">
      <c r="A196" s="8"/>
      <c r="B196" s="8"/>
      <c r="C196" s="88"/>
      <c r="D196" s="88"/>
      <c r="E196" s="88"/>
      <c r="F196" s="86"/>
      <c r="G196" s="86"/>
      <c r="H196" s="86"/>
      <c r="I196" s="86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2"/>
    </row>
    <row r="197" ht="15.75" customHeight="1">
      <c r="A197" s="8"/>
      <c r="B197" s="8"/>
      <c r="C197" s="88"/>
      <c r="D197" s="88"/>
      <c r="E197" s="88"/>
      <c r="F197" s="86"/>
      <c r="G197" s="86"/>
      <c r="H197" s="86"/>
      <c r="I197" s="86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2"/>
    </row>
    <row r="198" ht="15.75" customHeight="1">
      <c r="A198" s="8"/>
      <c r="B198" s="8"/>
      <c r="C198" s="88"/>
      <c r="D198" s="88"/>
      <c r="E198" s="88"/>
      <c r="F198" s="86"/>
      <c r="G198" s="86"/>
      <c r="H198" s="86"/>
      <c r="I198" s="86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2"/>
    </row>
    <row r="199" ht="15.75" customHeight="1">
      <c r="A199" s="8"/>
      <c r="B199" s="8"/>
      <c r="C199" s="88"/>
      <c r="D199" s="88"/>
      <c r="E199" s="88"/>
      <c r="F199" s="86"/>
      <c r="G199" s="86"/>
      <c r="H199" s="86"/>
      <c r="I199" s="86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2"/>
    </row>
    <row r="200" ht="15.75" customHeight="1">
      <c r="A200" s="8"/>
      <c r="B200" s="8"/>
      <c r="C200" s="88"/>
      <c r="D200" s="88"/>
      <c r="E200" s="88"/>
      <c r="F200" s="86"/>
      <c r="G200" s="86"/>
      <c r="H200" s="86"/>
      <c r="I200" s="86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2"/>
    </row>
    <row r="201" ht="15.75" customHeight="1">
      <c r="A201" s="8"/>
      <c r="B201" s="8"/>
      <c r="C201" s="88"/>
      <c r="D201" s="88"/>
      <c r="E201" s="88"/>
      <c r="F201" s="86"/>
      <c r="G201" s="86"/>
      <c r="H201" s="86"/>
      <c r="I201" s="86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2"/>
    </row>
    <row r="202" ht="15.75" customHeight="1">
      <c r="A202" s="8"/>
      <c r="B202" s="8"/>
      <c r="C202" s="88"/>
      <c r="D202" s="88"/>
      <c r="E202" s="88"/>
      <c r="F202" s="86"/>
      <c r="G202" s="86"/>
      <c r="H202" s="86"/>
      <c r="I202" s="86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2"/>
    </row>
    <row r="203" ht="15.75" customHeight="1">
      <c r="A203" s="8"/>
      <c r="B203" s="8"/>
      <c r="C203" s="88"/>
      <c r="D203" s="88"/>
      <c r="E203" s="88"/>
      <c r="F203" s="86"/>
      <c r="G203" s="86"/>
      <c r="H203" s="86"/>
      <c r="I203" s="86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2"/>
    </row>
    <row r="204" ht="15.75" customHeight="1">
      <c r="A204" s="8"/>
      <c r="B204" s="8"/>
      <c r="C204" s="88"/>
      <c r="D204" s="88"/>
      <c r="E204" s="88"/>
      <c r="F204" s="86"/>
      <c r="G204" s="86"/>
      <c r="H204" s="86"/>
      <c r="I204" s="86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2"/>
    </row>
    <row r="205" ht="15.75" customHeight="1">
      <c r="A205" s="8"/>
      <c r="B205" s="8"/>
      <c r="C205" s="88"/>
      <c r="D205" s="88"/>
      <c r="E205" s="88"/>
      <c r="F205" s="86"/>
      <c r="G205" s="86"/>
      <c r="H205" s="86"/>
      <c r="I205" s="86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2"/>
    </row>
    <row r="206" ht="15.75" customHeight="1">
      <c r="A206" s="8"/>
      <c r="B206" s="8"/>
      <c r="C206" s="88"/>
      <c r="D206" s="88"/>
      <c r="E206" s="88"/>
      <c r="F206" s="86"/>
      <c r="G206" s="86"/>
      <c r="H206" s="86"/>
      <c r="I206" s="86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2"/>
    </row>
    <row r="207" ht="15.75" customHeight="1">
      <c r="A207" s="8"/>
      <c r="B207" s="8"/>
      <c r="C207" s="88"/>
      <c r="D207" s="88"/>
      <c r="E207" s="88"/>
      <c r="F207" s="86"/>
      <c r="G207" s="86"/>
      <c r="H207" s="86"/>
      <c r="I207" s="86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2"/>
    </row>
    <row r="208" ht="15.75" customHeight="1">
      <c r="A208" s="8"/>
      <c r="B208" s="8"/>
      <c r="C208" s="88"/>
      <c r="D208" s="88"/>
      <c r="E208" s="88"/>
      <c r="F208" s="86"/>
      <c r="G208" s="86"/>
      <c r="H208" s="86"/>
      <c r="I208" s="86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2"/>
    </row>
    <row r="209" ht="15.75" customHeight="1">
      <c r="A209" s="8"/>
      <c r="B209" s="8"/>
      <c r="C209" s="88"/>
      <c r="D209" s="88"/>
      <c r="E209" s="88"/>
      <c r="F209" s="86"/>
      <c r="G209" s="86"/>
      <c r="H209" s="86"/>
      <c r="I209" s="86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2"/>
    </row>
    <row r="210" ht="15.75" customHeight="1">
      <c r="A210" s="8"/>
      <c r="B210" s="8"/>
      <c r="C210" s="88"/>
      <c r="D210" s="88"/>
      <c r="E210" s="88"/>
      <c r="F210" s="86"/>
      <c r="G210" s="86"/>
      <c r="H210" s="86"/>
      <c r="I210" s="86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2"/>
    </row>
    <row r="211" ht="15.75" customHeight="1">
      <c r="A211" s="8"/>
      <c r="B211" s="8"/>
      <c r="C211" s="88"/>
      <c r="D211" s="88"/>
      <c r="E211" s="88"/>
      <c r="F211" s="86"/>
      <c r="G211" s="86"/>
      <c r="H211" s="86"/>
      <c r="I211" s="86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2"/>
    </row>
    <row r="212" ht="15.75" customHeight="1">
      <c r="A212" s="8"/>
      <c r="B212" s="8"/>
      <c r="C212" s="88"/>
      <c r="D212" s="88"/>
      <c r="E212" s="88"/>
      <c r="F212" s="86"/>
      <c r="G212" s="86"/>
      <c r="H212" s="86"/>
      <c r="I212" s="86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2"/>
    </row>
    <row r="213" ht="15.75" customHeight="1">
      <c r="A213" s="8"/>
      <c r="B213" s="8"/>
      <c r="C213" s="88"/>
      <c r="D213" s="88"/>
      <c r="E213" s="88"/>
      <c r="F213" s="86"/>
      <c r="G213" s="86"/>
      <c r="H213" s="86"/>
      <c r="I213" s="86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2"/>
    </row>
    <row r="214" ht="15.75" customHeight="1">
      <c r="A214" s="8"/>
      <c r="B214" s="8"/>
      <c r="C214" s="88"/>
      <c r="D214" s="88"/>
      <c r="E214" s="88"/>
      <c r="F214" s="86"/>
      <c r="G214" s="86"/>
      <c r="H214" s="86"/>
      <c r="I214" s="86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2"/>
    </row>
    <row r="215" ht="15.75" customHeight="1">
      <c r="A215" s="8"/>
      <c r="B215" s="8"/>
      <c r="C215" s="88"/>
      <c r="D215" s="88"/>
      <c r="E215" s="88"/>
      <c r="F215" s="86"/>
      <c r="G215" s="86"/>
      <c r="H215" s="86"/>
      <c r="I215" s="86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2"/>
    </row>
    <row r="216" ht="15.75" customHeight="1">
      <c r="A216" s="8"/>
      <c r="B216" s="8"/>
      <c r="C216" s="88"/>
      <c r="D216" s="88"/>
      <c r="E216" s="88"/>
      <c r="F216" s="86"/>
      <c r="G216" s="86"/>
      <c r="H216" s="86"/>
      <c r="I216" s="86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2"/>
    </row>
    <row r="217" ht="15.75" customHeight="1">
      <c r="A217" s="8"/>
      <c r="B217" s="8"/>
      <c r="C217" s="88"/>
      <c r="D217" s="88"/>
      <c r="E217" s="88"/>
      <c r="F217" s="86"/>
      <c r="G217" s="86"/>
      <c r="H217" s="86"/>
      <c r="I217" s="86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2"/>
    </row>
    <row r="218" ht="15.75" customHeight="1">
      <c r="A218" s="8"/>
      <c r="B218" s="8"/>
      <c r="C218" s="88"/>
      <c r="D218" s="88"/>
      <c r="E218" s="88"/>
      <c r="F218" s="86"/>
      <c r="G218" s="86"/>
      <c r="H218" s="86"/>
      <c r="I218" s="86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2"/>
    </row>
    <row r="219" ht="15.75" customHeight="1">
      <c r="A219" s="8"/>
      <c r="B219" s="8"/>
      <c r="C219" s="89"/>
      <c r="D219" s="89"/>
      <c r="E219" s="8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2"/>
    </row>
    <row r="220" ht="15.75" customHeight="1">
      <c r="A220" s="8"/>
      <c r="B220" s="8"/>
      <c r="C220" s="89"/>
      <c r="D220" s="89"/>
      <c r="E220" s="8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2"/>
    </row>
    <row r="221" ht="15.75" customHeight="1">
      <c r="A221" s="8"/>
      <c r="B221" s="8"/>
      <c r="C221" s="89"/>
      <c r="D221" s="89"/>
      <c r="E221" s="8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2"/>
    </row>
    <row r="222" ht="15.75" customHeight="1">
      <c r="A222" s="8"/>
      <c r="B222" s="8"/>
      <c r="C222" s="89"/>
      <c r="D222" s="89"/>
      <c r="E222" s="8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2"/>
    </row>
    <row r="223" ht="15.75" customHeight="1">
      <c r="A223" s="8"/>
      <c r="B223" s="8"/>
      <c r="C223" s="89"/>
      <c r="D223" s="89"/>
      <c r="E223" s="8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2"/>
    </row>
    <row r="224" ht="15.75" customHeight="1">
      <c r="A224" s="8"/>
      <c r="B224" s="8"/>
      <c r="C224" s="89"/>
      <c r="D224" s="89"/>
      <c r="E224" s="8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2"/>
    </row>
    <row r="225" ht="15.75" customHeight="1">
      <c r="A225" s="8"/>
      <c r="B225" s="8"/>
      <c r="C225" s="89"/>
      <c r="D225" s="89"/>
      <c r="E225" s="8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2"/>
    </row>
    <row r="226" ht="15.75" customHeight="1">
      <c r="A226" s="8"/>
      <c r="B226" s="8"/>
      <c r="C226" s="89"/>
      <c r="D226" s="89"/>
      <c r="E226" s="8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2"/>
    </row>
    <row r="227" ht="15.75" customHeight="1">
      <c r="A227" s="8"/>
      <c r="B227" s="8"/>
      <c r="C227" s="89"/>
      <c r="D227" s="89"/>
      <c r="E227" s="8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2"/>
    </row>
    <row r="228" ht="15.75" customHeight="1">
      <c r="A228" s="8"/>
      <c r="B228" s="8"/>
      <c r="C228" s="89"/>
      <c r="D228" s="89"/>
      <c r="E228" s="8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2"/>
    </row>
    <row r="229" ht="15.75" customHeight="1">
      <c r="A229" s="8"/>
      <c r="B229" s="8"/>
      <c r="C229" s="89"/>
      <c r="D229" s="89"/>
      <c r="E229" s="8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2"/>
    </row>
    <row r="230" ht="15.75" customHeight="1">
      <c r="A230" s="8"/>
      <c r="B230" s="8"/>
      <c r="C230" s="89"/>
      <c r="D230" s="89"/>
      <c r="E230" s="8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2"/>
    </row>
    <row r="231" ht="15.75" customHeight="1">
      <c r="A231" s="8"/>
      <c r="B231" s="8"/>
      <c r="C231" s="89"/>
      <c r="D231" s="89"/>
      <c r="E231" s="8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2"/>
    </row>
    <row r="232" ht="15.75" customHeight="1">
      <c r="A232" s="8"/>
      <c r="B232" s="8"/>
      <c r="C232" s="89"/>
      <c r="D232" s="89"/>
      <c r="E232" s="8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2"/>
    </row>
    <row r="233" ht="15.75" customHeight="1">
      <c r="A233" s="8"/>
      <c r="B233" s="8"/>
      <c r="C233" s="89"/>
      <c r="D233" s="89"/>
      <c r="E233" s="8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2"/>
    </row>
    <row r="234" ht="15.75" customHeight="1">
      <c r="A234" s="8"/>
      <c r="B234" s="8"/>
      <c r="C234" s="89"/>
      <c r="D234" s="89"/>
      <c r="E234" s="8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2"/>
    </row>
    <row r="235" ht="15.75" customHeight="1">
      <c r="A235" s="8"/>
      <c r="B235" s="8"/>
      <c r="C235" s="89"/>
      <c r="D235" s="89"/>
      <c r="E235" s="8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2"/>
    </row>
    <row r="236" ht="15.75" customHeight="1">
      <c r="A236" s="8"/>
      <c r="B236" s="8"/>
      <c r="C236" s="89"/>
      <c r="D236" s="89"/>
      <c r="E236" s="8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2"/>
    </row>
    <row r="237" ht="15.75" customHeight="1">
      <c r="A237" s="8"/>
      <c r="B237" s="8"/>
      <c r="C237" s="89"/>
      <c r="D237" s="89"/>
      <c r="E237" s="8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2"/>
    </row>
    <row r="238" ht="15.75" customHeight="1">
      <c r="A238" s="8"/>
      <c r="B238" s="8"/>
      <c r="C238" s="89"/>
      <c r="D238" s="89"/>
      <c r="E238" s="8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2"/>
    </row>
    <row r="239" ht="15.75" customHeight="1">
      <c r="A239" s="8"/>
      <c r="B239" s="8"/>
      <c r="C239" s="89"/>
      <c r="D239" s="89"/>
      <c r="E239" s="8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2"/>
    </row>
    <row r="240" ht="15.75" customHeight="1">
      <c r="A240" s="8"/>
      <c r="B240" s="8"/>
      <c r="C240" s="89"/>
      <c r="D240" s="89"/>
      <c r="E240" s="8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2"/>
    </row>
    <row r="241" ht="15.75" customHeight="1">
      <c r="A241" s="8"/>
      <c r="B241" s="8"/>
      <c r="C241" s="89"/>
      <c r="D241" s="89"/>
      <c r="E241" s="8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2"/>
    </row>
    <row r="242" ht="15.75" customHeight="1">
      <c r="A242" s="8"/>
      <c r="B242" s="8"/>
      <c r="C242" s="89"/>
      <c r="D242" s="89"/>
      <c r="E242" s="8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2"/>
    </row>
    <row r="243" ht="15.75" customHeight="1">
      <c r="A243" s="8"/>
      <c r="B243" s="8"/>
      <c r="C243" s="89"/>
      <c r="D243" s="89"/>
      <c r="E243" s="8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2"/>
    </row>
    <row r="244" ht="15.75" customHeight="1">
      <c r="A244" s="8"/>
      <c r="B244" s="8"/>
      <c r="C244" s="89"/>
      <c r="D244" s="89"/>
      <c r="E244" s="8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2"/>
    </row>
    <row r="245" ht="15.75" customHeight="1">
      <c r="A245" s="8"/>
      <c r="B245" s="8"/>
      <c r="C245" s="89"/>
      <c r="D245" s="89"/>
      <c r="E245" s="8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2"/>
    </row>
    <row r="246" ht="15.75" customHeight="1">
      <c r="A246" s="8"/>
      <c r="B246" s="8"/>
      <c r="C246" s="89"/>
      <c r="D246" s="89"/>
      <c r="E246" s="8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2"/>
    </row>
    <row r="247" ht="15.75" customHeight="1">
      <c r="A247" s="8"/>
      <c r="B247" s="8"/>
      <c r="C247" s="89"/>
      <c r="D247" s="89"/>
      <c r="E247" s="8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2"/>
    </row>
    <row r="248" ht="15.75" customHeight="1">
      <c r="A248" s="8"/>
      <c r="B248" s="8"/>
      <c r="C248" s="89"/>
      <c r="D248" s="89"/>
      <c r="E248" s="8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2"/>
    </row>
    <row r="249" ht="15.75" customHeight="1">
      <c r="A249" s="8"/>
      <c r="B249" s="8"/>
      <c r="C249" s="89"/>
      <c r="D249" s="89"/>
      <c r="E249" s="8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2"/>
    </row>
    <row r="250" ht="15.75" customHeight="1">
      <c r="A250" s="92"/>
      <c r="B250" s="92"/>
      <c r="C250" s="92"/>
      <c r="D250" s="92"/>
      <c r="E250" s="92"/>
      <c r="F250" s="92"/>
      <c r="G250" s="92"/>
      <c r="I250" s="92"/>
    </row>
    <row r="251" ht="15.75" customHeight="1">
      <c r="A251" s="92"/>
      <c r="B251" s="92"/>
      <c r="C251" s="92"/>
      <c r="D251" s="92"/>
      <c r="E251" s="92"/>
      <c r="F251" s="92"/>
      <c r="G251" s="92"/>
      <c r="I251" s="92"/>
    </row>
    <row r="252" ht="15.75" customHeight="1">
      <c r="A252" s="92"/>
      <c r="B252" s="92"/>
      <c r="C252" s="92"/>
      <c r="D252" s="92"/>
      <c r="E252" s="92"/>
      <c r="F252" s="92"/>
      <c r="G252" s="92"/>
      <c r="I252" s="92"/>
    </row>
    <row r="253" ht="15.75" customHeight="1">
      <c r="A253" s="92"/>
      <c r="B253" s="92"/>
      <c r="C253" s="92"/>
      <c r="D253" s="92"/>
      <c r="E253" s="92"/>
      <c r="F253" s="92"/>
      <c r="G253" s="92"/>
      <c r="I253" s="92"/>
    </row>
    <row r="254" ht="15.75" customHeight="1">
      <c r="A254" s="92"/>
      <c r="B254" s="92"/>
      <c r="C254" s="92"/>
      <c r="D254" s="92"/>
      <c r="E254" s="92"/>
      <c r="F254" s="92"/>
      <c r="G254" s="92"/>
      <c r="I254" s="92"/>
    </row>
    <row r="255" ht="15.75" customHeight="1">
      <c r="A255" s="92"/>
      <c r="B255" s="92"/>
      <c r="C255" s="92"/>
      <c r="D255" s="92"/>
      <c r="E255" s="92"/>
      <c r="F255" s="92"/>
      <c r="G255" s="92"/>
      <c r="I255" s="92"/>
    </row>
    <row r="256" ht="15.75" customHeight="1">
      <c r="A256" s="92"/>
      <c r="B256" s="92"/>
      <c r="C256" s="92"/>
      <c r="D256" s="92"/>
      <c r="E256" s="92"/>
      <c r="F256" s="92"/>
      <c r="G256" s="92"/>
      <c r="I256" s="92"/>
    </row>
    <row r="257" ht="15.75" customHeight="1">
      <c r="A257" s="92"/>
      <c r="B257" s="92"/>
      <c r="C257" s="92"/>
      <c r="D257" s="92"/>
      <c r="E257" s="92"/>
      <c r="F257" s="92"/>
      <c r="G257" s="92"/>
      <c r="I257" s="92"/>
    </row>
    <row r="258" ht="15.75" customHeight="1">
      <c r="A258" s="92"/>
      <c r="B258" s="92"/>
      <c r="C258" s="92"/>
      <c r="D258" s="92"/>
      <c r="E258" s="92"/>
      <c r="F258" s="92"/>
      <c r="G258" s="92"/>
      <c r="I258" s="92"/>
    </row>
    <row r="259" ht="15.75" customHeight="1">
      <c r="A259" s="92"/>
      <c r="B259" s="92"/>
      <c r="C259" s="92"/>
      <c r="D259" s="92"/>
      <c r="E259" s="92"/>
      <c r="F259" s="92"/>
      <c r="G259" s="92"/>
      <c r="I259" s="92"/>
    </row>
    <row r="260" ht="15.75" customHeight="1">
      <c r="A260" s="92"/>
      <c r="B260" s="92"/>
      <c r="C260" s="92"/>
      <c r="D260" s="92"/>
      <c r="E260" s="92"/>
      <c r="F260" s="92"/>
      <c r="G260" s="92"/>
      <c r="I260" s="92"/>
    </row>
    <row r="261" ht="15.75" customHeight="1">
      <c r="A261" s="92"/>
      <c r="B261" s="92"/>
      <c r="C261" s="92"/>
      <c r="D261" s="92"/>
      <c r="E261" s="92"/>
      <c r="F261" s="92"/>
      <c r="G261" s="92"/>
      <c r="I261" s="92"/>
    </row>
    <row r="262" ht="15.75" customHeight="1">
      <c r="A262" s="92"/>
      <c r="B262" s="92"/>
      <c r="C262" s="92"/>
      <c r="D262" s="92"/>
      <c r="E262" s="92"/>
      <c r="F262" s="92"/>
      <c r="G262" s="92"/>
      <c r="I262" s="92"/>
    </row>
    <row r="263" ht="15.75" customHeight="1">
      <c r="A263" s="92"/>
      <c r="B263" s="92"/>
      <c r="C263" s="92"/>
      <c r="D263" s="92"/>
      <c r="E263" s="92"/>
      <c r="F263" s="92"/>
      <c r="G263" s="92"/>
      <c r="I263" s="92"/>
    </row>
    <row r="264" ht="15.75" customHeight="1">
      <c r="A264" s="92"/>
      <c r="B264" s="92"/>
      <c r="C264" s="92"/>
      <c r="D264" s="92"/>
      <c r="E264" s="92"/>
      <c r="F264" s="92"/>
      <c r="G264" s="92"/>
      <c r="I264" s="92"/>
    </row>
    <row r="265" ht="15.75" customHeight="1">
      <c r="A265" s="92"/>
      <c r="B265" s="92"/>
      <c r="C265" s="92"/>
      <c r="D265" s="92"/>
      <c r="E265" s="92"/>
      <c r="F265" s="92"/>
      <c r="G265" s="92"/>
      <c r="I265" s="92"/>
    </row>
    <row r="266" ht="15.75" customHeight="1">
      <c r="A266" s="92"/>
      <c r="B266" s="92"/>
      <c r="C266" s="92"/>
      <c r="D266" s="92"/>
      <c r="E266" s="92"/>
      <c r="F266" s="92"/>
      <c r="G266" s="92"/>
      <c r="I266" s="92"/>
    </row>
    <row r="267" ht="15.75" customHeight="1">
      <c r="A267" s="92"/>
      <c r="B267" s="92"/>
      <c r="C267" s="92"/>
      <c r="D267" s="92"/>
      <c r="E267" s="92"/>
      <c r="F267" s="92"/>
      <c r="G267" s="92"/>
      <c r="I267" s="92"/>
    </row>
    <row r="268" ht="15.75" customHeight="1">
      <c r="A268" s="92"/>
      <c r="B268" s="92"/>
      <c r="C268" s="92"/>
      <c r="D268" s="92"/>
      <c r="E268" s="92"/>
      <c r="F268" s="92"/>
      <c r="G268" s="92"/>
      <c r="I268" s="92"/>
    </row>
    <row r="269" ht="15.75" customHeight="1">
      <c r="A269" s="92"/>
      <c r="B269" s="92"/>
      <c r="C269" s="92"/>
      <c r="D269" s="92"/>
      <c r="E269" s="92"/>
      <c r="F269" s="92"/>
      <c r="G269" s="92"/>
      <c r="I269" s="92"/>
    </row>
    <row r="270" ht="15.75" customHeight="1">
      <c r="A270" s="92"/>
      <c r="B270" s="92"/>
      <c r="C270" s="92"/>
      <c r="D270" s="92"/>
      <c r="E270" s="92"/>
      <c r="F270" s="92"/>
      <c r="G270" s="92"/>
      <c r="I270" s="92"/>
    </row>
    <row r="271" ht="15.75" customHeight="1">
      <c r="A271" s="92"/>
      <c r="B271" s="92"/>
      <c r="C271" s="92"/>
      <c r="D271" s="92"/>
      <c r="E271" s="92"/>
      <c r="F271" s="92"/>
      <c r="G271" s="92"/>
      <c r="I271" s="92"/>
    </row>
    <row r="272" ht="15.75" customHeight="1">
      <c r="A272" s="92"/>
      <c r="B272" s="92"/>
      <c r="C272" s="92"/>
      <c r="D272" s="92"/>
      <c r="E272" s="92"/>
      <c r="F272" s="92"/>
      <c r="G272" s="92"/>
      <c r="I272" s="92"/>
    </row>
    <row r="273" ht="15.75" customHeight="1">
      <c r="A273" s="92"/>
      <c r="B273" s="92"/>
      <c r="C273" s="92"/>
      <c r="D273" s="92"/>
      <c r="E273" s="92"/>
      <c r="F273" s="92"/>
      <c r="G273" s="92"/>
      <c r="I273" s="92"/>
    </row>
    <row r="274" ht="15.75" customHeight="1">
      <c r="A274" s="92"/>
      <c r="B274" s="92"/>
      <c r="C274" s="92"/>
      <c r="D274" s="92"/>
      <c r="E274" s="92"/>
      <c r="F274" s="92"/>
      <c r="G274" s="92"/>
      <c r="I274" s="92"/>
    </row>
    <row r="275" ht="15.75" customHeight="1">
      <c r="A275" s="92"/>
      <c r="B275" s="92"/>
      <c r="C275" s="92"/>
      <c r="D275" s="92"/>
      <c r="E275" s="92"/>
      <c r="F275" s="92"/>
      <c r="G275" s="92"/>
      <c r="I275" s="92"/>
    </row>
    <row r="276" ht="15.75" customHeight="1">
      <c r="A276" s="92"/>
      <c r="B276" s="92"/>
      <c r="C276" s="92"/>
      <c r="D276" s="92"/>
      <c r="E276" s="92"/>
      <c r="F276" s="92"/>
      <c r="G276" s="92"/>
      <c r="I276" s="92"/>
    </row>
    <row r="277" ht="15.75" customHeight="1">
      <c r="A277" s="92"/>
      <c r="B277" s="92"/>
      <c r="C277" s="92"/>
      <c r="D277" s="92"/>
      <c r="E277" s="92"/>
      <c r="F277" s="92"/>
      <c r="G277" s="92"/>
      <c r="I277" s="92"/>
    </row>
    <row r="278" ht="15.75" customHeight="1">
      <c r="A278" s="92"/>
      <c r="B278" s="92"/>
      <c r="C278" s="92"/>
      <c r="D278" s="92"/>
      <c r="E278" s="92"/>
      <c r="F278" s="92"/>
      <c r="G278" s="92"/>
      <c r="I278" s="92"/>
    </row>
    <row r="279" ht="15.75" customHeight="1">
      <c r="A279" s="92"/>
      <c r="B279" s="92"/>
      <c r="C279" s="92"/>
      <c r="D279" s="92"/>
      <c r="E279" s="92"/>
      <c r="F279" s="92"/>
      <c r="G279" s="92"/>
      <c r="I279" s="92"/>
    </row>
    <row r="280" ht="15.75" customHeight="1">
      <c r="A280" s="92"/>
      <c r="B280" s="92"/>
      <c r="C280" s="92"/>
      <c r="D280" s="92"/>
      <c r="E280" s="92"/>
      <c r="F280" s="92"/>
      <c r="G280" s="92"/>
      <c r="I280" s="92"/>
    </row>
    <row r="281" ht="15.75" customHeight="1">
      <c r="A281" s="92"/>
      <c r="B281" s="92"/>
      <c r="C281" s="92"/>
      <c r="D281" s="92"/>
      <c r="E281" s="92"/>
      <c r="F281" s="92"/>
      <c r="G281" s="92"/>
      <c r="I281" s="92"/>
    </row>
    <row r="282" ht="15.75" customHeight="1">
      <c r="A282" s="92"/>
      <c r="B282" s="92"/>
      <c r="C282" s="92"/>
      <c r="D282" s="92"/>
      <c r="E282" s="92"/>
      <c r="F282" s="92"/>
      <c r="G282" s="92"/>
      <c r="I282" s="92"/>
    </row>
    <row r="283" ht="15.75" customHeight="1">
      <c r="A283" s="92"/>
      <c r="B283" s="92"/>
      <c r="C283" s="92"/>
      <c r="D283" s="92"/>
      <c r="E283" s="92"/>
      <c r="F283" s="92"/>
      <c r="G283" s="92"/>
      <c r="I283" s="92"/>
    </row>
    <row r="284" ht="15.75" customHeight="1">
      <c r="A284" s="92"/>
      <c r="B284" s="92"/>
      <c r="C284" s="92"/>
      <c r="D284" s="92"/>
      <c r="E284" s="92"/>
      <c r="F284" s="92"/>
      <c r="G284" s="92"/>
      <c r="I284" s="92"/>
    </row>
    <row r="285" ht="15.75" customHeight="1">
      <c r="A285" s="92"/>
      <c r="B285" s="92"/>
      <c r="C285" s="92"/>
      <c r="D285" s="92"/>
      <c r="E285" s="92"/>
      <c r="F285" s="92"/>
      <c r="G285" s="92"/>
      <c r="I285" s="92"/>
    </row>
    <row r="286" ht="15.75" customHeight="1">
      <c r="A286" s="92"/>
      <c r="B286" s="92"/>
      <c r="C286" s="92"/>
      <c r="D286" s="92"/>
      <c r="E286" s="92"/>
      <c r="F286" s="92"/>
      <c r="G286" s="92"/>
      <c r="I286" s="92"/>
    </row>
    <row r="287" ht="15.75" customHeight="1">
      <c r="A287" s="92"/>
      <c r="B287" s="92"/>
      <c r="C287" s="92"/>
      <c r="D287" s="92"/>
      <c r="E287" s="92"/>
      <c r="F287" s="92"/>
      <c r="G287" s="92"/>
      <c r="I287" s="92"/>
    </row>
    <row r="288" ht="15.75" customHeight="1">
      <c r="A288" s="92"/>
      <c r="B288" s="92"/>
      <c r="C288" s="92"/>
      <c r="D288" s="92"/>
      <c r="E288" s="92"/>
      <c r="F288" s="92"/>
      <c r="G288" s="92"/>
      <c r="I288" s="92"/>
    </row>
    <row r="289" ht="15.75" customHeight="1">
      <c r="A289" s="92"/>
      <c r="B289" s="92"/>
      <c r="C289" s="92"/>
      <c r="D289" s="92"/>
      <c r="E289" s="92"/>
      <c r="F289" s="92"/>
      <c r="G289" s="92"/>
      <c r="I289" s="92"/>
    </row>
    <row r="290" ht="15.75" customHeight="1">
      <c r="A290" s="92"/>
      <c r="B290" s="92"/>
      <c r="C290" s="92"/>
      <c r="D290" s="92"/>
      <c r="E290" s="92"/>
      <c r="F290" s="92"/>
      <c r="G290" s="92"/>
      <c r="I290" s="92"/>
    </row>
    <row r="291" ht="15.75" customHeight="1">
      <c r="A291" s="92"/>
      <c r="B291" s="92"/>
      <c r="C291" s="92"/>
      <c r="D291" s="92"/>
      <c r="E291" s="92"/>
      <c r="F291" s="92"/>
      <c r="G291" s="92"/>
      <c r="I291" s="92"/>
    </row>
    <row r="292" ht="15.75" customHeight="1">
      <c r="A292" s="92"/>
      <c r="B292" s="92"/>
      <c r="C292" s="92"/>
      <c r="D292" s="92"/>
      <c r="E292" s="92"/>
      <c r="F292" s="92"/>
      <c r="G292" s="92"/>
      <c r="I292" s="92"/>
    </row>
    <row r="293" ht="15.75" customHeight="1">
      <c r="A293" s="92"/>
      <c r="B293" s="92"/>
      <c r="C293" s="92"/>
      <c r="D293" s="92"/>
      <c r="E293" s="92"/>
      <c r="F293" s="92"/>
      <c r="G293" s="92"/>
      <c r="I293" s="92"/>
    </row>
    <row r="294" ht="15.75" customHeight="1">
      <c r="A294" s="92"/>
      <c r="B294" s="92"/>
      <c r="C294" s="92"/>
      <c r="D294" s="92"/>
      <c r="E294" s="92"/>
      <c r="F294" s="92"/>
      <c r="G294" s="92"/>
      <c r="I294" s="92"/>
    </row>
    <row r="295" ht="15.75" customHeight="1">
      <c r="A295" s="92"/>
      <c r="B295" s="92"/>
      <c r="C295" s="92"/>
      <c r="D295" s="92"/>
      <c r="E295" s="92"/>
      <c r="F295" s="92"/>
      <c r="G295" s="92"/>
      <c r="I295" s="92"/>
    </row>
    <row r="296" ht="15.75" customHeight="1">
      <c r="A296" s="92"/>
      <c r="B296" s="92"/>
      <c r="C296" s="92"/>
      <c r="D296" s="92"/>
      <c r="E296" s="92"/>
      <c r="F296" s="92"/>
      <c r="G296" s="92"/>
      <c r="I296" s="92"/>
    </row>
    <row r="297" ht="15.75" customHeight="1">
      <c r="A297" s="92"/>
      <c r="B297" s="92"/>
      <c r="C297" s="92"/>
      <c r="D297" s="92"/>
      <c r="E297" s="92"/>
      <c r="F297" s="92"/>
      <c r="G297" s="92"/>
      <c r="I297" s="92"/>
    </row>
    <row r="298" ht="15.75" customHeight="1">
      <c r="A298" s="92"/>
      <c r="B298" s="92"/>
      <c r="C298" s="92"/>
      <c r="D298" s="92"/>
      <c r="E298" s="92"/>
      <c r="F298" s="92"/>
      <c r="G298" s="92"/>
      <c r="I298" s="92"/>
    </row>
    <row r="299" ht="15.75" customHeight="1">
      <c r="A299" s="92"/>
      <c r="B299" s="92"/>
      <c r="C299" s="92"/>
      <c r="D299" s="92"/>
      <c r="E299" s="92"/>
      <c r="F299" s="92"/>
      <c r="G299" s="92"/>
      <c r="I299" s="92"/>
    </row>
    <row r="300" ht="15.75" customHeight="1">
      <c r="A300" s="92"/>
      <c r="B300" s="92"/>
      <c r="C300" s="92"/>
      <c r="D300" s="92"/>
      <c r="E300" s="92"/>
      <c r="F300" s="92"/>
      <c r="G300" s="92"/>
      <c r="I300" s="92"/>
    </row>
    <row r="301" ht="15.75" customHeight="1">
      <c r="A301" s="92"/>
      <c r="B301" s="92"/>
      <c r="C301" s="92"/>
      <c r="D301" s="92"/>
      <c r="E301" s="92"/>
      <c r="F301" s="92"/>
      <c r="G301" s="92"/>
      <c r="I301" s="92"/>
    </row>
    <row r="302" ht="15.75" customHeight="1">
      <c r="A302" s="92"/>
      <c r="B302" s="92"/>
      <c r="C302" s="92"/>
      <c r="D302" s="92"/>
      <c r="E302" s="92"/>
      <c r="F302" s="92"/>
      <c r="G302" s="92"/>
      <c r="I302" s="92"/>
    </row>
    <row r="303" ht="15.75" customHeight="1">
      <c r="A303" s="92"/>
      <c r="B303" s="92"/>
      <c r="C303" s="92"/>
      <c r="D303" s="92"/>
      <c r="E303" s="92"/>
      <c r="F303" s="92"/>
      <c r="G303" s="92"/>
      <c r="I303" s="92"/>
    </row>
    <row r="304" ht="15.75" customHeight="1">
      <c r="A304" s="92"/>
      <c r="B304" s="92"/>
      <c r="C304" s="92"/>
      <c r="D304" s="92"/>
      <c r="E304" s="92"/>
      <c r="F304" s="92"/>
      <c r="G304" s="92"/>
      <c r="I304" s="92"/>
    </row>
    <row r="305" ht="15.75" customHeight="1">
      <c r="A305" s="92"/>
      <c r="B305" s="92"/>
      <c r="C305" s="92"/>
      <c r="D305" s="92"/>
      <c r="E305" s="92"/>
      <c r="F305" s="92"/>
      <c r="G305" s="92"/>
      <c r="I305" s="92"/>
    </row>
    <row r="306" ht="15.75" customHeight="1">
      <c r="A306" s="92"/>
      <c r="B306" s="92"/>
      <c r="C306" s="92"/>
      <c r="D306" s="92"/>
      <c r="E306" s="92"/>
      <c r="F306" s="92"/>
      <c r="G306" s="92"/>
      <c r="I306" s="92"/>
    </row>
    <row r="307" ht="15.75" customHeight="1">
      <c r="A307" s="92"/>
      <c r="B307" s="92"/>
      <c r="C307" s="92"/>
      <c r="D307" s="92"/>
      <c r="E307" s="92"/>
      <c r="F307" s="92"/>
      <c r="G307" s="92"/>
      <c r="I307" s="92"/>
    </row>
    <row r="308" ht="15.75" customHeight="1">
      <c r="A308" s="92"/>
      <c r="B308" s="92"/>
      <c r="C308" s="92"/>
      <c r="D308" s="92"/>
      <c r="E308" s="92"/>
      <c r="F308" s="92"/>
      <c r="G308" s="92"/>
      <c r="I308" s="92"/>
    </row>
    <row r="309" ht="15.75" customHeight="1">
      <c r="A309" s="92"/>
      <c r="B309" s="92"/>
      <c r="C309" s="92"/>
      <c r="D309" s="92"/>
      <c r="E309" s="92"/>
      <c r="F309" s="92"/>
      <c r="G309" s="92"/>
      <c r="I309" s="92"/>
    </row>
    <row r="310" ht="15.75" customHeight="1">
      <c r="A310" s="92"/>
      <c r="B310" s="92"/>
      <c r="C310" s="92"/>
      <c r="D310" s="92"/>
      <c r="E310" s="92"/>
      <c r="F310" s="92"/>
      <c r="G310" s="92"/>
      <c r="I310" s="92"/>
    </row>
    <row r="311" ht="15.75" customHeight="1">
      <c r="A311" s="92"/>
      <c r="B311" s="92"/>
      <c r="C311" s="92"/>
      <c r="D311" s="92"/>
      <c r="E311" s="92"/>
      <c r="F311" s="92"/>
      <c r="G311" s="92"/>
      <c r="I311" s="92"/>
    </row>
    <row r="312" ht="15.75" customHeight="1">
      <c r="A312" s="92"/>
      <c r="B312" s="92"/>
      <c r="C312" s="92"/>
      <c r="D312" s="92"/>
      <c r="E312" s="92"/>
      <c r="F312" s="92"/>
      <c r="G312" s="92"/>
      <c r="I312" s="92"/>
    </row>
    <row r="313" ht="15.75" customHeight="1">
      <c r="A313" s="92"/>
      <c r="B313" s="92"/>
      <c r="C313" s="92"/>
      <c r="D313" s="92"/>
      <c r="E313" s="92"/>
      <c r="F313" s="92"/>
      <c r="G313" s="92"/>
      <c r="I313" s="92"/>
    </row>
    <row r="314" ht="15.75" customHeight="1">
      <c r="A314" s="92"/>
      <c r="B314" s="92"/>
      <c r="C314" s="92"/>
      <c r="D314" s="92"/>
      <c r="E314" s="92"/>
      <c r="F314" s="92"/>
      <c r="G314" s="92"/>
      <c r="I314" s="92"/>
    </row>
    <row r="315" ht="15.75" customHeight="1">
      <c r="A315" s="92"/>
      <c r="B315" s="92"/>
      <c r="C315" s="92"/>
      <c r="D315" s="92"/>
      <c r="E315" s="92"/>
      <c r="F315" s="92"/>
      <c r="G315" s="92"/>
      <c r="I315" s="92"/>
    </row>
    <row r="316" ht="15.75" customHeight="1">
      <c r="A316" s="92"/>
      <c r="B316" s="92"/>
      <c r="C316" s="92"/>
      <c r="D316" s="92"/>
      <c r="E316" s="92"/>
      <c r="F316" s="92"/>
      <c r="G316" s="92"/>
      <c r="I316" s="92"/>
    </row>
    <row r="317" ht="15.75" customHeight="1">
      <c r="A317" s="92"/>
      <c r="B317" s="92"/>
      <c r="C317" s="92"/>
      <c r="D317" s="92"/>
      <c r="E317" s="92"/>
      <c r="F317" s="92"/>
      <c r="G317" s="92"/>
      <c r="I317" s="92"/>
    </row>
    <row r="318" ht="15.75" customHeight="1">
      <c r="A318" s="92"/>
      <c r="B318" s="92"/>
      <c r="C318" s="92"/>
      <c r="D318" s="92"/>
      <c r="E318" s="92"/>
      <c r="F318" s="92"/>
      <c r="G318" s="92"/>
      <c r="I318" s="92"/>
    </row>
    <row r="319" ht="15.75" customHeight="1">
      <c r="A319" s="92"/>
      <c r="B319" s="92"/>
      <c r="C319" s="92"/>
      <c r="D319" s="92"/>
      <c r="E319" s="92"/>
      <c r="F319" s="92"/>
      <c r="G319" s="92"/>
      <c r="I319" s="92"/>
    </row>
    <row r="320" ht="15.75" customHeight="1">
      <c r="A320" s="92"/>
      <c r="B320" s="92"/>
      <c r="C320" s="92"/>
      <c r="D320" s="92"/>
      <c r="E320" s="92"/>
      <c r="F320" s="92"/>
      <c r="G320" s="92"/>
      <c r="I320" s="92"/>
    </row>
    <row r="321" ht="15.75" customHeight="1">
      <c r="A321" s="92"/>
      <c r="B321" s="92"/>
      <c r="C321" s="92"/>
      <c r="D321" s="92"/>
      <c r="E321" s="92"/>
      <c r="F321" s="92"/>
      <c r="G321" s="92"/>
      <c r="I321" s="92"/>
    </row>
    <row r="322" ht="15.75" customHeight="1">
      <c r="A322" s="92"/>
      <c r="B322" s="92"/>
      <c r="C322" s="92"/>
      <c r="D322" s="92"/>
      <c r="E322" s="92"/>
      <c r="F322" s="92"/>
      <c r="G322" s="92"/>
      <c r="I322" s="92"/>
    </row>
    <row r="323" ht="15.75" customHeight="1">
      <c r="A323" s="92"/>
      <c r="B323" s="92"/>
      <c r="C323" s="92"/>
      <c r="D323" s="92"/>
      <c r="E323" s="92"/>
      <c r="F323" s="92"/>
      <c r="G323" s="92"/>
      <c r="I323" s="92"/>
    </row>
    <row r="324" ht="15.75" customHeight="1">
      <c r="A324" s="92"/>
      <c r="B324" s="92"/>
      <c r="C324" s="92"/>
      <c r="D324" s="92"/>
      <c r="E324" s="92"/>
      <c r="F324" s="92"/>
      <c r="G324" s="92"/>
      <c r="I324" s="92"/>
    </row>
    <row r="325" ht="15.75" customHeight="1">
      <c r="A325" s="92"/>
      <c r="B325" s="92"/>
      <c r="C325" s="92"/>
      <c r="D325" s="92"/>
      <c r="E325" s="92"/>
      <c r="F325" s="92"/>
      <c r="G325" s="92"/>
      <c r="I325" s="92"/>
    </row>
    <row r="326" ht="15.75" customHeight="1">
      <c r="A326" s="92"/>
      <c r="B326" s="92"/>
      <c r="C326" s="92"/>
      <c r="D326" s="92"/>
      <c r="E326" s="92"/>
      <c r="F326" s="92"/>
      <c r="G326" s="92"/>
      <c r="I326" s="92"/>
    </row>
    <row r="327" ht="15.75" customHeight="1">
      <c r="A327" s="92"/>
      <c r="B327" s="92"/>
      <c r="C327" s="92"/>
      <c r="D327" s="92"/>
      <c r="E327" s="92"/>
      <c r="F327" s="92"/>
      <c r="G327" s="92"/>
      <c r="I327" s="92"/>
    </row>
    <row r="328" ht="15.75" customHeight="1">
      <c r="A328" s="92"/>
      <c r="B328" s="92"/>
      <c r="C328" s="92"/>
      <c r="D328" s="92"/>
      <c r="E328" s="92"/>
      <c r="F328" s="92"/>
      <c r="G328" s="92"/>
      <c r="I328" s="92"/>
    </row>
    <row r="329" ht="15.75" customHeight="1">
      <c r="A329" s="92"/>
      <c r="B329" s="92"/>
      <c r="C329" s="92"/>
      <c r="D329" s="92"/>
      <c r="E329" s="92"/>
      <c r="F329" s="92"/>
      <c r="G329" s="92"/>
      <c r="I329" s="92"/>
    </row>
    <row r="330" ht="15.75" customHeight="1">
      <c r="A330" s="92"/>
      <c r="B330" s="92"/>
      <c r="C330" s="92"/>
      <c r="D330" s="92"/>
      <c r="E330" s="92"/>
      <c r="F330" s="92"/>
      <c r="G330" s="92"/>
      <c r="I330" s="92"/>
    </row>
    <row r="331" ht="15.75" customHeight="1">
      <c r="A331" s="92"/>
      <c r="B331" s="92"/>
      <c r="C331" s="92"/>
      <c r="D331" s="92"/>
      <c r="E331" s="92"/>
      <c r="F331" s="92"/>
      <c r="G331" s="92"/>
      <c r="I331" s="92"/>
    </row>
    <row r="332" ht="15.75" customHeight="1">
      <c r="A332" s="92"/>
      <c r="B332" s="92"/>
      <c r="C332" s="92"/>
      <c r="D332" s="92"/>
      <c r="E332" s="92"/>
      <c r="F332" s="92"/>
      <c r="G332" s="92"/>
      <c r="I332" s="92"/>
    </row>
    <row r="333" ht="15.75" customHeight="1">
      <c r="A333" s="92"/>
      <c r="B333" s="92"/>
      <c r="C333" s="92"/>
      <c r="D333" s="92"/>
      <c r="E333" s="92"/>
      <c r="F333" s="92"/>
      <c r="G333" s="92"/>
      <c r="I333" s="92"/>
    </row>
    <row r="334" ht="15.75" customHeight="1">
      <c r="A334" s="92"/>
      <c r="B334" s="92"/>
      <c r="C334" s="92"/>
      <c r="D334" s="92"/>
      <c r="E334" s="92"/>
      <c r="F334" s="92"/>
      <c r="G334" s="92"/>
      <c r="I334" s="92"/>
    </row>
    <row r="335" ht="15.75" customHeight="1">
      <c r="A335" s="92"/>
      <c r="B335" s="92"/>
      <c r="C335" s="92"/>
      <c r="D335" s="92"/>
      <c r="E335" s="92"/>
      <c r="F335" s="92"/>
      <c r="G335" s="92"/>
      <c r="I335" s="92"/>
    </row>
    <row r="336" ht="15.75" customHeight="1">
      <c r="A336" s="92"/>
      <c r="B336" s="92"/>
      <c r="C336" s="92"/>
      <c r="D336" s="92"/>
      <c r="E336" s="92"/>
      <c r="F336" s="92"/>
      <c r="G336" s="92"/>
      <c r="I336" s="92"/>
    </row>
    <row r="337" ht="15.75" customHeight="1">
      <c r="A337" s="92"/>
      <c r="B337" s="92"/>
      <c r="C337" s="92"/>
      <c r="D337" s="92"/>
      <c r="E337" s="92"/>
      <c r="F337" s="92"/>
      <c r="G337" s="92"/>
      <c r="I337" s="92"/>
    </row>
    <row r="338" ht="15.75" customHeight="1">
      <c r="A338" s="92"/>
      <c r="B338" s="92"/>
      <c r="C338" s="92"/>
      <c r="D338" s="92"/>
      <c r="E338" s="92"/>
      <c r="F338" s="92"/>
      <c r="G338" s="92"/>
      <c r="I338" s="92"/>
    </row>
    <row r="339" ht="15.75" customHeight="1">
      <c r="A339" s="92"/>
      <c r="B339" s="92"/>
      <c r="C339" s="92"/>
      <c r="D339" s="92"/>
      <c r="E339" s="92"/>
      <c r="F339" s="92"/>
      <c r="G339" s="92"/>
      <c r="I339" s="92"/>
    </row>
    <row r="340" ht="15.75" customHeight="1">
      <c r="A340" s="92"/>
      <c r="B340" s="92"/>
      <c r="C340" s="92"/>
      <c r="D340" s="92"/>
      <c r="E340" s="92"/>
      <c r="F340" s="92"/>
      <c r="G340" s="92"/>
      <c r="I340" s="92"/>
    </row>
    <row r="341" ht="15.75" customHeight="1">
      <c r="A341" s="92"/>
      <c r="B341" s="92"/>
      <c r="C341" s="92"/>
      <c r="D341" s="92"/>
      <c r="E341" s="92"/>
      <c r="F341" s="92"/>
      <c r="G341" s="92"/>
      <c r="I341" s="92"/>
    </row>
    <row r="342" ht="15.75" customHeight="1">
      <c r="A342" s="92"/>
      <c r="B342" s="92"/>
      <c r="C342" s="92"/>
      <c r="D342" s="92"/>
      <c r="E342" s="92"/>
      <c r="F342" s="92"/>
      <c r="G342" s="92"/>
      <c r="I342" s="92"/>
    </row>
    <row r="343" ht="15.75" customHeight="1">
      <c r="A343" s="92"/>
      <c r="B343" s="92"/>
      <c r="C343" s="92"/>
      <c r="D343" s="92"/>
      <c r="E343" s="92"/>
      <c r="F343" s="92"/>
      <c r="G343" s="92"/>
      <c r="I343" s="92"/>
    </row>
    <row r="344" ht="15.75" customHeight="1">
      <c r="A344" s="92"/>
      <c r="B344" s="92"/>
      <c r="C344" s="92"/>
      <c r="D344" s="92"/>
      <c r="E344" s="92"/>
      <c r="F344" s="92"/>
      <c r="G344" s="92"/>
      <c r="I344" s="92"/>
    </row>
    <row r="345" ht="15.75" customHeight="1">
      <c r="A345" s="92"/>
      <c r="B345" s="92"/>
      <c r="C345" s="92"/>
      <c r="D345" s="92"/>
      <c r="E345" s="92"/>
      <c r="F345" s="92"/>
      <c r="G345" s="92"/>
      <c r="I345" s="92"/>
    </row>
    <row r="346" ht="15.75" customHeight="1">
      <c r="A346" s="92"/>
      <c r="B346" s="92"/>
      <c r="C346" s="92"/>
      <c r="D346" s="92"/>
      <c r="E346" s="92"/>
      <c r="F346" s="92"/>
      <c r="G346" s="92"/>
      <c r="I346" s="92"/>
    </row>
    <row r="347" ht="15.75" customHeight="1">
      <c r="A347" s="92"/>
      <c r="B347" s="92"/>
      <c r="C347" s="92"/>
      <c r="D347" s="92"/>
      <c r="E347" s="92"/>
      <c r="F347" s="92"/>
      <c r="G347" s="92"/>
      <c r="I347" s="92"/>
    </row>
    <row r="348" ht="15.75" customHeight="1">
      <c r="A348" s="92"/>
      <c r="B348" s="92"/>
      <c r="C348" s="92"/>
      <c r="D348" s="92"/>
      <c r="E348" s="92"/>
      <c r="F348" s="92"/>
      <c r="G348" s="92"/>
      <c r="I348" s="92"/>
    </row>
    <row r="349" ht="15.75" customHeight="1">
      <c r="A349" s="92"/>
      <c r="B349" s="92"/>
      <c r="C349" s="92"/>
      <c r="D349" s="92"/>
      <c r="E349" s="92"/>
      <c r="F349" s="92"/>
      <c r="G349" s="92"/>
      <c r="I349" s="92"/>
    </row>
    <row r="350" ht="15.75" customHeight="1">
      <c r="A350" s="92"/>
      <c r="B350" s="92"/>
      <c r="C350" s="92"/>
      <c r="D350" s="92"/>
      <c r="E350" s="92"/>
      <c r="F350" s="92"/>
      <c r="G350" s="92"/>
      <c r="I350" s="92"/>
    </row>
    <row r="351" ht="15.75" customHeight="1">
      <c r="A351" s="92"/>
      <c r="B351" s="92"/>
      <c r="C351" s="92"/>
      <c r="D351" s="92"/>
      <c r="E351" s="92"/>
      <c r="F351" s="92"/>
      <c r="G351" s="92"/>
      <c r="I351" s="92"/>
    </row>
    <row r="352" ht="15.75" customHeight="1">
      <c r="A352" s="92"/>
      <c r="B352" s="92"/>
      <c r="C352" s="92"/>
      <c r="D352" s="92"/>
      <c r="E352" s="92"/>
      <c r="F352" s="92"/>
      <c r="G352" s="92"/>
      <c r="I352" s="92"/>
    </row>
    <row r="353" ht="15.75" customHeight="1">
      <c r="A353" s="92"/>
      <c r="B353" s="92"/>
      <c r="C353" s="92"/>
      <c r="D353" s="92"/>
      <c r="E353" s="92"/>
      <c r="F353" s="92"/>
      <c r="G353" s="92"/>
      <c r="I353" s="92"/>
    </row>
    <row r="354" ht="15.75" customHeight="1">
      <c r="A354" s="92"/>
      <c r="B354" s="92"/>
      <c r="C354" s="92"/>
      <c r="D354" s="92"/>
      <c r="E354" s="92"/>
      <c r="F354" s="92"/>
      <c r="G354" s="92"/>
      <c r="I354" s="92"/>
    </row>
    <row r="355" ht="15.75" customHeight="1">
      <c r="A355" s="92"/>
      <c r="B355" s="92"/>
      <c r="C355" s="92"/>
      <c r="D355" s="92"/>
      <c r="E355" s="92"/>
      <c r="F355" s="92"/>
      <c r="G355" s="92"/>
      <c r="I355" s="92"/>
    </row>
    <row r="356" ht="15.75" customHeight="1">
      <c r="A356" s="92"/>
      <c r="B356" s="92"/>
      <c r="C356" s="92"/>
      <c r="D356" s="92"/>
      <c r="E356" s="92"/>
      <c r="F356" s="92"/>
      <c r="G356" s="92"/>
      <c r="I356" s="92"/>
    </row>
    <row r="357" ht="15.75" customHeight="1">
      <c r="A357" s="92"/>
      <c r="B357" s="92"/>
      <c r="C357" s="92"/>
      <c r="D357" s="92"/>
      <c r="E357" s="92"/>
      <c r="F357" s="92"/>
      <c r="G357" s="92"/>
      <c r="I357" s="92"/>
    </row>
    <row r="358" ht="15.75" customHeight="1">
      <c r="A358" s="92"/>
      <c r="B358" s="92"/>
      <c r="C358" s="92"/>
      <c r="D358" s="92"/>
      <c r="E358" s="92"/>
      <c r="F358" s="92"/>
      <c r="G358" s="92"/>
      <c r="I358" s="92"/>
    </row>
    <row r="359" ht="15.75" customHeight="1">
      <c r="A359" s="92"/>
      <c r="B359" s="92"/>
      <c r="C359" s="92"/>
      <c r="D359" s="92"/>
      <c r="E359" s="92"/>
      <c r="F359" s="92"/>
      <c r="G359" s="92"/>
      <c r="I359" s="92"/>
    </row>
    <row r="360" ht="15.75" customHeight="1">
      <c r="A360" s="92"/>
      <c r="B360" s="92"/>
      <c r="C360" s="92"/>
      <c r="D360" s="92"/>
      <c r="E360" s="92"/>
      <c r="F360" s="92"/>
      <c r="G360" s="92"/>
      <c r="I360" s="92"/>
    </row>
    <row r="361" ht="15.75" customHeight="1">
      <c r="A361" s="92"/>
      <c r="B361" s="92"/>
      <c r="C361" s="92"/>
      <c r="D361" s="92"/>
      <c r="E361" s="92"/>
      <c r="F361" s="92"/>
      <c r="G361" s="92"/>
      <c r="I361" s="92"/>
    </row>
    <row r="362" ht="15.75" customHeight="1">
      <c r="A362" s="92"/>
      <c r="B362" s="92"/>
      <c r="C362" s="92"/>
      <c r="D362" s="92"/>
      <c r="E362" s="92"/>
      <c r="F362" s="92"/>
      <c r="G362" s="92"/>
      <c r="I362" s="92"/>
    </row>
    <row r="363" ht="15.75" customHeight="1">
      <c r="A363" s="92"/>
      <c r="B363" s="92"/>
      <c r="C363" s="92"/>
      <c r="D363" s="92"/>
      <c r="E363" s="92"/>
      <c r="F363" s="92"/>
      <c r="G363" s="92"/>
      <c r="I363" s="92"/>
    </row>
    <row r="364" ht="15.75" customHeight="1">
      <c r="A364" s="92"/>
      <c r="B364" s="92"/>
      <c r="C364" s="92"/>
      <c r="D364" s="92"/>
      <c r="E364" s="92"/>
      <c r="F364" s="92"/>
      <c r="G364" s="92"/>
      <c r="I364" s="92"/>
    </row>
    <row r="365" ht="15.75" customHeight="1">
      <c r="A365" s="92"/>
      <c r="B365" s="92"/>
      <c r="C365" s="92"/>
      <c r="D365" s="92"/>
      <c r="E365" s="92"/>
      <c r="F365" s="92"/>
      <c r="G365" s="92"/>
      <c r="I365" s="92"/>
    </row>
    <row r="366" ht="15.75" customHeight="1">
      <c r="A366" s="92"/>
      <c r="B366" s="92"/>
      <c r="C366" s="92"/>
      <c r="D366" s="92"/>
      <c r="E366" s="92"/>
      <c r="F366" s="92"/>
      <c r="G366" s="92"/>
      <c r="I366" s="92"/>
    </row>
    <row r="367" ht="15.75" customHeight="1">
      <c r="A367" s="92"/>
      <c r="B367" s="92"/>
      <c r="C367" s="92"/>
      <c r="D367" s="92"/>
      <c r="E367" s="92"/>
      <c r="F367" s="92"/>
      <c r="G367" s="92"/>
      <c r="I367" s="92"/>
    </row>
    <row r="368" ht="15.75" customHeight="1">
      <c r="A368" s="92"/>
      <c r="B368" s="92"/>
      <c r="C368" s="92"/>
      <c r="D368" s="92"/>
      <c r="E368" s="92"/>
      <c r="F368" s="92"/>
      <c r="G368" s="92"/>
      <c r="I368" s="92"/>
    </row>
    <row r="369" ht="15.75" customHeight="1">
      <c r="A369" s="92"/>
      <c r="B369" s="92"/>
      <c r="C369" s="92"/>
      <c r="D369" s="92"/>
      <c r="E369" s="92"/>
      <c r="F369" s="92"/>
      <c r="G369" s="92"/>
      <c r="I369" s="92"/>
    </row>
    <row r="370" ht="15.75" customHeight="1">
      <c r="A370" s="92"/>
      <c r="B370" s="92"/>
      <c r="C370" s="92"/>
      <c r="D370" s="92"/>
      <c r="E370" s="92"/>
      <c r="F370" s="92"/>
      <c r="G370" s="92"/>
      <c r="I370" s="92"/>
    </row>
    <row r="371" ht="15.75" customHeight="1">
      <c r="A371" s="92"/>
      <c r="B371" s="92"/>
      <c r="C371" s="92"/>
      <c r="D371" s="92"/>
      <c r="E371" s="92"/>
      <c r="F371" s="92"/>
      <c r="G371" s="92"/>
      <c r="I371" s="92"/>
    </row>
    <row r="372" ht="15.75" customHeight="1">
      <c r="A372" s="92"/>
      <c r="B372" s="92"/>
      <c r="C372" s="92"/>
      <c r="D372" s="92"/>
      <c r="E372" s="92"/>
      <c r="F372" s="92"/>
      <c r="G372" s="92"/>
      <c r="I372" s="92"/>
    </row>
    <row r="373" ht="15.75" customHeight="1">
      <c r="A373" s="92"/>
      <c r="B373" s="92"/>
      <c r="C373" s="92"/>
      <c r="D373" s="92"/>
      <c r="E373" s="92"/>
      <c r="F373" s="92"/>
      <c r="G373" s="92"/>
      <c r="I373" s="92"/>
    </row>
    <row r="374" ht="15.75" customHeight="1">
      <c r="A374" s="92"/>
      <c r="B374" s="92"/>
      <c r="C374" s="92"/>
      <c r="D374" s="92"/>
      <c r="E374" s="92"/>
      <c r="F374" s="92"/>
      <c r="G374" s="92"/>
      <c r="I374" s="92"/>
    </row>
    <row r="375" ht="15.75" customHeight="1">
      <c r="A375" s="92"/>
      <c r="B375" s="92"/>
      <c r="C375" s="92"/>
      <c r="D375" s="92"/>
      <c r="E375" s="92"/>
      <c r="F375" s="92"/>
      <c r="G375" s="92"/>
      <c r="I375" s="92"/>
    </row>
    <row r="376" ht="15.75" customHeight="1">
      <c r="A376" s="92"/>
      <c r="B376" s="92"/>
      <c r="C376" s="92"/>
      <c r="D376" s="92"/>
      <c r="E376" s="92"/>
      <c r="F376" s="92"/>
      <c r="G376" s="92"/>
      <c r="I376" s="92"/>
    </row>
    <row r="377" ht="15.75" customHeight="1">
      <c r="A377" s="92"/>
      <c r="B377" s="92"/>
      <c r="C377" s="92"/>
      <c r="D377" s="92"/>
      <c r="E377" s="92"/>
      <c r="F377" s="92"/>
      <c r="G377" s="92"/>
      <c r="I377" s="92"/>
    </row>
    <row r="378" ht="15.75" customHeight="1">
      <c r="A378" s="92"/>
      <c r="B378" s="92"/>
      <c r="C378" s="92"/>
      <c r="D378" s="92"/>
      <c r="E378" s="92"/>
      <c r="F378" s="92"/>
      <c r="G378" s="92"/>
      <c r="I378" s="92"/>
    </row>
    <row r="379" ht="15.75" customHeight="1">
      <c r="A379" s="92"/>
      <c r="B379" s="92"/>
      <c r="C379" s="92"/>
      <c r="D379" s="92"/>
      <c r="E379" s="92"/>
      <c r="F379" s="92"/>
      <c r="G379" s="92"/>
      <c r="I379" s="92"/>
    </row>
    <row r="380" ht="15.75" customHeight="1">
      <c r="A380" s="92"/>
      <c r="B380" s="92"/>
      <c r="C380" s="92"/>
      <c r="D380" s="92"/>
      <c r="E380" s="92"/>
      <c r="F380" s="92"/>
      <c r="G380" s="92"/>
      <c r="I380" s="92"/>
    </row>
    <row r="381" ht="15.75" customHeight="1">
      <c r="A381" s="92"/>
      <c r="B381" s="92"/>
      <c r="C381" s="92"/>
      <c r="D381" s="92"/>
      <c r="E381" s="92"/>
      <c r="F381" s="92"/>
      <c r="G381" s="92"/>
      <c r="I381" s="92"/>
    </row>
    <row r="382" ht="15.75" customHeight="1">
      <c r="A382" s="92"/>
      <c r="B382" s="92"/>
      <c r="C382" s="92"/>
      <c r="D382" s="92"/>
      <c r="E382" s="92"/>
      <c r="F382" s="92"/>
      <c r="G382" s="92"/>
      <c r="I382" s="92"/>
    </row>
    <row r="383" ht="15.75" customHeight="1">
      <c r="A383" s="92"/>
      <c r="B383" s="92"/>
      <c r="C383" s="92"/>
      <c r="D383" s="92"/>
      <c r="E383" s="92"/>
      <c r="F383" s="92"/>
      <c r="G383" s="92"/>
      <c r="I383" s="92"/>
    </row>
    <row r="384" ht="15.75" customHeight="1">
      <c r="A384" s="92"/>
      <c r="B384" s="92"/>
      <c r="C384" s="92"/>
      <c r="D384" s="92"/>
      <c r="E384" s="92"/>
      <c r="F384" s="92"/>
      <c r="G384" s="92"/>
      <c r="I384" s="92"/>
    </row>
    <row r="385" ht="15.75" customHeight="1">
      <c r="A385" s="92"/>
      <c r="B385" s="92"/>
      <c r="C385" s="92"/>
      <c r="D385" s="92"/>
      <c r="E385" s="92"/>
      <c r="F385" s="92"/>
      <c r="G385" s="92"/>
      <c r="I385" s="92"/>
    </row>
    <row r="386" ht="15.75" customHeight="1">
      <c r="A386" s="92"/>
      <c r="B386" s="92"/>
      <c r="C386" s="92"/>
      <c r="D386" s="92"/>
      <c r="E386" s="92"/>
      <c r="F386" s="92"/>
      <c r="G386" s="92"/>
      <c r="I386" s="92"/>
    </row>
    <row r="387" ht="15.75" customHeight="1">
      <c r="A387" s="92"/>
      <c r="B387" s="92"/>
      <c r="C387" s="92"/>
      <c r="D387" s="92"/>
      <c r="E387" s="92"/>
      <c r="F387" s="92"/>
      <c r="G387" s="92"/>
      <c r="I387" s="92"/>
    </row>
    <row r="388" ht="15.75" customHeight="1">
      <c r="A388" s="92"/>
      <c r="B388" s="92"/>
      <c r="C388" s="92"/>
      <c r="D388" s="92"/>
      <c r="E388" s="92"/>
      <c r="F388" s="92"/>
      <c r="G388" s="92"/>
      <c r="I388" s="92"/>
    </row>
    <row r="389" ht="15.75" customHeight="1">
      <c r="A389" s="92"/>
      <c r="B389" s="92"/>
      <c r="C389" s="92"/>
      <c r="D389" s="92"/>
      <c r="E389" s="92"/>
      <c r="F389" s="92"/>
      <c r="G389" s="92"/>
      <c r="I389" s="92"/>
    </row>
    <row r="390" ht="15.75" customHeight="1">
      <c r="A390" s="92"/>
      <c r="B390" s="92"/>
      <c r="C390" s="92"/>
      <c r="D390" s="92"/>
      <c r="E390" s="92"/>
      <c r="F390" s="92"/>
      <c r="G390" s="92"/>
      <c r="I390" s="92"/>
    </row>
    <row r="391" ht="15.75" customHeight="1">
      <c r="A391" s="92"/>
      <c r="B391" s="92"/>
      <c r="C391" s="92"/>
      <c r="D391" s="92"/>
      <c r="E391" s="92"/>
      <c r="F391" s="92"/>
      <c r="G391" s="92"/>
      <c r="I391" s="92"/>
    </row>
    <row r="392" ht="15.75" customHeight="1">
      <c r="A392" s="92"/>
      <c r="B392" s="92"/>
      <c r="C392" s="92"/>
      <c r="D392" s="92"/>
      <c r="E392" s="92"/>
      <c r="F392" s="92"/>
      <c r="G392" s="92"/>
      <c r="I392" s="92"/>
    </row>
    <row r="393" ht="15.75" customHeight="1">
      <c r="A393" s="92"/>
      <c r="B393" s="92"/>
      <c r="C393" s="92"/>
      <c r="D393" s="92"/>
      <c r="E393" s="92"/>
      <c r="F393" s="92"/>
      <c r="G393" s="92"/>
      <c r="I393" s="92"/>
    </row>
    <row r="394" ht="15.75" customHeight="1">
      <c r="A394" s="92"/>
      <c r="B394" s="92"/>
      <c r="C394" s="92"/>
      <c r="D394" s="92"/>
      <c r="E394" s="92"/>
      <c r="F394" s="92"/>
      <c r="G394" s="92"/>
      <c r="I394" s="92"/>
    </row>
    <row r="395" ht="15.75" customHeight="1">
      <c r="A395" s="92"/>
      <c r="B395" s="92"/>
      <c r="C395" s="92"/>
      <c r="D395" s="92"/>
      <c r="E395" s="92"/>
      <c r="F395" s="92"/>
      <c r="G395" s="92"/>
      <c r="I395" s="92"/>
    </row>
    <row r="396" ht="15.75" customHeight="1">
      <c r="A396" s="92"/>
      <c r="B396" s="92"/>
      <c r="C396" s="92"/>
      <c r="D396" s="92"/>
      <c r="E396" s="92"/>
      <c r="F396" s="92"/>
      <c r="G396" s="92"/>
      <c r="I396" s="92"/>
    </row>
    <row r="397" ht="15.75" customHeight="1">
      <c r="A397" s="92"/>
      <c r="B397" s="92"/>
      <c r="C397" s="92"/>
      <c r="D397" s="92"/>
      <c r="E397" s="92"/>
      <c r="F397" s="92"/>
      <c r="G397" s="92"/>
      <c r="I397" s="92"/>
    </row>
    <row r="398" ht="15.75" customHeight="1">
      <c r="A398" s="92"/>
      <c r="B398" s="92"/>
      <c r="C398" s="92"/>
      <c r="D398" s="92"/>
      <c r="E398" s="92"/>
      <c r="F398" s="92"/>
      <c r="G398" s="92"/>
      <c r="I398" s="92"/>
    </row>
    <row r="399" ht="15.75" customHeight="1">
      <c r="A399" s="92"/>
      <c r="B399" s="92"/>
      <c r="C399" s="92"/>
      <c r="D399" s="92"/>
      <c r="E399" s="92"/>
      <c r="F399" s="92"/>
      <c r="G399" s="92"/>
      <c r="I399" s="92"/>
    </row>
    <row r="400" ht="15.75" customHeight="1">
      <c r="A400" s="92"/>
      <c r="B400" s="92"/>
      <c r="C400" s="92"/>
      <c r="D400" s="92"/>
      <c r="E400" s="92"/>
      <c r="F400" s="92"/>
      <c r="G400" s="92"/>
      <c r="I400" s="92"/>
    </row>
    <row r="401" ht="15.75" customHeight="1">
      <c r="A401" s="92"/>
      <c r="B401" s="92"/>
      <c r="C401" s="92"/>
      <c r="D401" s="92"/>
      <c r="E401" s="92"/>
      <c r="F401" s="92"/>
      <c r="G401" s="92"/>
      <c r="I401" s="92"/>
    </row>
    <row r="402" ht="15.75" customHeight="1">
      <c r="A402" s="92"/>
      <c r="B402" s="92"/>
      <c r="C402" s="92"/>
      <c r="D402" s="92"/>
      <c r="E402" s="92"/>
      <c r="F402" s="92"/>
      <c r="G402" s="92"/>
      <c r="I402" s="92"/>
    </row>
    <row r="403" ht="15.75" customHeight="1">
      <c r="A403" s="92"/>
      <c r="B403" s="92"/>
      <c r="C403" s="92"/>
      <c r="D403" s="92"/>
      <c r="E403" s="92"/>
      <c r="F403" s="92"/>
      <c r="G403" s="92"/>
      <c r="I403" s="92"/>
    </row>
    <row r="404" ht="15.75" customHeight="1">
      <c r="A404" s="92"/>
      <c r="B404" s="92"/>
      <c r="C404" s="92"/>
      <c r="D404" s="92"/>
      <c r="E404" s="92"/>
      <c r="F404" s="92"/>
      <c r="G404" s="92"/>
      <c r="I404" s="92"/>
    </row>
    <row r="405" ht="15.75" customHeight="1">
      <c r="A405" s="92"/>
      <c r="B405" s="92"/>
      <c r="C405" s="92"/>
      <c r="D405" s="92"/>
      <c r="E405" s="92"/>
      <c r="F405" s="92"/>
      <c r="G405" s="92"/>
      <c r="I405" s="92"/>
    </row>
    <row r="406" ht="15.75" customHeight="1">
      <c r="A406" s="92"/>
      <c r="B406" s="92"/>
      <c r="C406" s="92"/>
      <c r="D406" s="92"/>
      <c r="E406" s="92"/>
      <c r="F406" s="92"/>
      <c r="G406" s="92"/>
      <c r="I406" s="92"/>
    </row>
    <row r="407" ht="15.75" customHeight="1">
      <c r="A407" s="92"/>
      <c r="B407" s="92"/>
      <c r="C407" s="92"/>
      <c r="D407" s="92"/>
      <c r="E407" s="92"/>
      <c r="F407" s="92"/>
      <c r="G407" s="92"/>
      <c r="I407" s="92"/>
    </row>
    <row r="408" ht="15.75" customHeight="1">
      <c r="A408" s="92"/>
      <c r="B408" s="92"/>
      <c r="C408" s="92"/>
      <c r="D408" s="92"/>
      <c r="E408" s="92"/>
      <c r="F408" s="92"/>
      <c r="G408" s="92"/>
      <c r="I408" s="92"/>
    </row>
    <row r="409" ht="15.75" customHeight="1">
      <c r="A409" s="92"/>
      <c r="B409" s="92"/>
      <c r="C409" s="92"/>
      <c r="D409" s="92"/>
      <c r="E409" s="92"/>
      <c r="F409" s="92"/>
      <c r="G409" s="92"/>
      <c r="I409" s="92"/>
    </row>
    <row r="410" ht="15.75" customHeight="1">
      <c r="A410" s="92"/>
      <c r="B410" s="92"/>
      <c r="C410" s="92"/>
      <c r="D410" s="92"/>
      <c r="E410" s="92"/>
      <c r="F410" s="92"/>
      <c r="G410" s="92"/>
      <c r="I410" s="92"/>
    </row>
    <row r="411" ht="15.75" customHeight="1">
      <c r="A411" s="92"/>
      <c r="B411" s="92"/>
      <c r="C411" s="92"/>
      <c r="D411" s="92"/>
      <c r="E411" s="92"/>
      <c r="F411" s="92"/>
      <c r="G411" s="92"/>
      <c r="I411" s="92"/>
    </row>
    <row r="412" ht="15.75" customHeight="1">
      <c r="A412" s="92"/>
      <c r="B412" s="92"/>
      <c r="C412" s="92"/>
      <c r="D412" s="92"/>
      <c r="E412" s="92"/>
      <c r="F412" s="92"/>
      <c r="G412" s="92"/>
      <c r="I412" s="92"/>
    </row>
    <row r="413" ht="15.75" customHeight="1">
      <c r="A413" s="92"/>
      <c r="B413" s="92"/>
      <c r="C413" s="92"/>
      <c r="D413" s="92"/>
      <c r="E413" s="92"/>
      <c r="F413" s="92"/>
      <c r="G413" s="92"/>
      <c r="I413" s="92"/>
    </row>
    <row r="414" ht="15.75" customHeight="1">
      <c r="A414" s="92"/>
      <c r="B414" s="92"/>
      <c r="C414" s="92"/>
      <c r="D414" s="92"/>
      <c r="E414" s="92"/>
      <c r="F414" s="92"/>
      <c r="G414" s="92"/>
      <c r="I414" s="92"/>
    </row>
    <row r="415" ht="15.75" customHeight="1">
      <c r="A415" s="92"/>
      <c r="B415" s="92"/>
      <c r="C415" s="92"/>
      <c r="D415" s="92"/>
      <c r="E415" s="92"/>
      <c r="F415" s="92"/>
      <c r="G415" s="92"/>
      <c r="I415" s="92"/>
    </row>
    <row r="416" ht="15.75" customHeight="1">
      <c r="A416" s="92"/>
      <c r="B416" s="92"/>
      <c r="C416" s="92"/>
      <c r="D416" s="92"/>
      <c r="E416" s="92"/>
      <c r="F416" s="92"/>
      <c r="G416" s="92"/>
      <c r="I416" s="92"/>
    </row>
    <row r="417" ht="15.75" customHeight="1">
      <c r="A417" s="92"/>
      <c r="B417" s="92"/>
      <c r="C417" s="92"/>
      <c r="D417" s="92"/>
      <c r="E417" s="92"/>
      <c r="F417" s="92"/>
      <c r="G417" s="92"/>
      <c r="I417" s="92"/>
    </row>
    <row r="418" ht="15.75" customHeight="1">
      <c r="A418" s="92"/>
      <c r="B418" s="92"/>
      <c r="C418" s="92"/>
      <c r="D418" s="92"/>
      <c r="E418" s="92"/>
      <c r="F418" s="92"/>
      <c r="G418" s="92"/>
      <c r="I418" s="92"/>
    </row>
    <row r="419" ht="15.75" customHeight="1">
      <c r="A419" s="92"/>
      <c r="B419" s="92"/>
      <c r="C419" s="92"/>
      <c r="D419" s="92"/>
      <c r="E419" s="92"/>
      <c r="F419" s="92"/>
      <c r="G419" s="92"/>
      <c r="I419" s="92"/>
    </row>
    <row r="420" ht="15.75" customHeight="1">
      <c r="A420" s="92"/>
      <c r="B420" s="92"/>
      <c r="C420" s="92"/>
      <c r="D420" s="92"/>
      <c r="E420" s="92"/>
      <c r="F420" s="92"/>
      <c r="G420" s="92"/>
      <c r="I420" s="92"/>
    </row>
    <row r="421" ht="15.75" customHeight="1">
      <c r="A421" s="92"/>
      <c r="B421" s="92"/>
      <c r="C421" s="92"/>
      <c r="D421" s="92"/>
      <c r="E421" s="92"/>
      <c r="F421" s="92"/>
      <c r="G421" s="92"/>
      <c r="I421" s="92"/>
    </row>
    <row r="422" ht="15.75" customHeight="1">
      <c r="A422" s="92"/>
      <c r="B422" s="92"/>
      <c r="C422" s="92"/>
      <c r="D422" s="92"/>
      <c r="E422" s="92"/>
      <c r="F422" s="92"/>
      <c r="G422" s="92"/>
      <c r="I422" s="92"/>
    </row>
    <row r="423" ht="15.75" customHeight="1">
      <c r="A423" s="92"/>
      <c r="B423" s="92"/>
      <c r="C423" s="92"/>
      <c r="D423" s="92"/>
      <c r="E423" s="92"/>
      <c r="F423" s="92"/>
      <c r="G423" s="92"/>
      <c r="I423" s="92"/>
    </row>
    <row r="424" ht="15.75" customHeight="1">
      <c r="A424" s="92"/>
      <c r="B424" s="92"/>
      <c r="C424" s="92"/>
      <c r="D424" s="92"/>
      <c r="E424" s="92"/>
      <c r="F424" s="92"/>
      <c r="G424" s="92"/>
      <c r="I424" s="92"/>
    </row>
    <row r="425" ht="15.75" customHeight="1">
      <c r="A425" s="92"/>
      <c r="B425" s="92"/>
      <c r="C425" s="92"/>
      <c r="D425" s="92"/>
      <c r="E425" s="92"/>
      <c r="F425" s="92"/>
      <c r="G425" s="92"/>
      <c r="I425" s="92"/>
    </row>
    <row r="426" ht="15.75" customHeight="1">
      <c r="A426" s="92"/>
      <c r="B426" s="92"/>
      <c r="C426" s="92"/>
      <c r="D426" s="92"/>
      <c r="E426" s="92"/>
      <c r="F426" s="92"/>
      <c r="G426" s="92"/>
      <c r="I426" s="92"/>
    </row>
    <row r="427" ht="15.75" customHeight="1">
      <c r="A427" s="92"/>
      <c r="B427" s="92"/>
      <c r="C427" s="92"/>
      <c r="D427" s="92"/>
      <c r="E427" s="92"/>
      <c r="F427" s="92"/>
      <c r="G427" s="92"/>
      <c r="I427" s="92"/>
    </row>
    <row r="428" ht="15.75" customHeight="1">
      <c r="A428" s="92"/>
      <c r="B428" s="92"/>
      <c r="C428" s="92"/>
      <c r="D428" s="92"/>
      <c r="E428" s="92"/>
      <c r="F428" s="92"/>
      <c r="G428" s="92"/>
      <c r="I428" s="92"/>
    </row>
    <row r="429" ht="15.75" customHeight="1">
      <c r="A429" s="92"/>
      <c r="B429" s="92"/>
      <c r="C429" s="92"/>
      <c r="D429" s="92"/>
      <c r="E429" s="92"/>
      <c r="F429" s="92"/>
      <c r="G429" s="92"/>
      <c r="I429" s="92"/>
    </row>
    <row r="430" ht="15.75" customHeight="1">
      <c r="A430" s="92"/>
      <c r="B430" s="92"/>
      <c r="C430" s="92"/>
      <c r="D430" s="92"/>
      <c r="E430" s="92"/>
      <c r="F430" s="92"/>
      <c r="G430" s="92"/>
      <c r="I430" s="92"/>
    </row>
    <row r="431" ht="15.75" customHeight="1">
      <c r="A431" s="92"/>
      <c r="B431" s="92"/>
      <c r="C431" s="92"/>
      <c r="D431" s="92"/>
      <c r="E431" s="92"/>
      <c r="F431" s="92"/>
      <c r="G431" s="92"/>
      <c r="I431" s="92"/>
    </row>
    <row r="432" ht="15.75" customHeight="1">
      <c r="A432" s="92"/>
      <c r="B432" s="92"/>
      <c r="C432" s="92"/>
      <c r="D432" s="92"/>
      <c r="E432" s="92"/>
      <c r="F432" s="92"/>
      <c r="G432" s="92"/>
      <c r="I432" s="92"/>
    </row>
    <row r="433" ht="15.75" customHeight="1">
      <c r="A433" s="92"/>
      <c r="B433" s="92"/>
      <c r="C433" s="92"/>
      <c r="D433" s="92"/>
      <c r="E433" s="92"/>
      <c r="F433" s="92"/>
      <c r="G433" s="92"/>
      <c r="I433" s="92"/>
    </row>
    <row r="434" ht="15.75" customHeight="1">
      <c r="A434" s="92"/>
      <c r="B434" s="92"/>
      <c r="C434" s="92"/>
      <c r="D434" s="92"/>
      <c r="E434" s="92"/>
      <c r="F434" s="92"/>
      <c r="G434" s="92"/>
      <c r="I434" s="92"/>
    </row>
    <row r="435" ht="15.75" customHeight="1">
      <c r="A435" s="92"/>
      <c r="B435" s="92"/>
      <c r="C435" s="92"/>
      <c r="D435" s="92"/>
      <c r="E435" s="92"/>
      <c r="F435" s="92"/>
      <c r="G435" s="92"/>
      <c r="I435" s="92"/>
    </row>
    <row r="436" ht="15.75" customHeight="1">
      <c r="A436" s="92"/>
      <c r="B436" s="92"/>
      <c r="C436" s="92"/>
      <c r="D436" s="92"/>
      <c r="E436" s="92"/>
      <c r="F436" s="92"/>
      <c r="G436" s="92"/>
      <c r="I436" s="92"/>
    </row>
    <row r="437" ht="15.75" customHeight="1">
      <c r="A437" s="92"/>
      <c r="B437" s="92"/>
      <c r="C437" s="92"/>
      <c r="D437" s="92"/>
      <c r="E437" s="92"/>
      <c r="F437" s="92"/>
      <c r="G437" s="92"/>
      <c r="I437" s="92"/>
    </row>
    <row r="438" ht="15.75" customHeight="1">
      <c r="A438" s="92"/>
      <c r="B438" s="92"/>
      <c r="C438" s="92"/>
      <c r="D438" s="92"/>
      <c r="E438" s="92"/>
      <c r="F438" s="92"/>
      <c r="G438" s="92"/>
      <c r="I438" s="92"/>
    </row>
    <row r="439" ht="15.75" customHeight="1">
      <c r="A439" s="92"/>
      <c r="B439" s="92"/>
      <c r="C439" s="92"/>
      <c r="D439" s="92"/>
      <c r="E439" s="92"/>
      <c r="F439" s="92"/>
      <c r="G439" s="92"/>
      <c r="I439" s="92"/>
    </row>
    <row r="440" ht="15.75" customHeight="1">
      <c r="A440" s="92"/>
      <c r="B440" s="92"/>
      <c r="C440" s="92"/>
      <c r="D440" s="92"/>
      <c r="E440" s="92"/>
      <c r="F440" s="92"/>
      <c r="G440" s="92"/>
      <c r="I440" s="92"/>
    </row>
    <row r="441" ht="15.75" customHeight="1">
      <c r="A441" s="92"/>
      <c r="B441" s="92"/>
      <c r="C441" s="92"/>
      <c r="D441" s="92"/>
      <c r="E441" s="92"/>
      <c r="F441" s="92"/>
      <c r="G441" s="92"/>
      <c r="I441" s="92"/>
    </row>
    <row r="442" ht="15.75" customHeight="1">
      <c r="A442" s="92"/>
      <c r="B442" s="92"/>
      <c r="C442" s="92"/>
      <c r="D442" s="92"/>
      <c r="E442" s="92"/>
      <c r="F442" s="92"/>
      <c r="G442" s="92"/>
      <c r="I442" s="92"/>
    </row>
    <row r="443" ht="15.75" customHeight="1">
      <c r="A443" s="92"/>
      <c r="B443" s="92"/>
      <c r="C443" s="92"/>
      <c r="D443" s="92"/>
      <c r="E443" s="92"/>
      <c r="F443" s="92"/>
      <c r="G443" s="92"/>
      <c r="I443" s="92"/>
    </row>
    <row r="444" ht="15.75" customHeight="1">
      <c r="A444" s="92"/>
      <c r="B444" s="92"/>
      <c r="C444" s="92"/>
      <c r="D444" s="92"/>
      <c r="E444" s="92"/>
      <c r="F444" s="92"/>
      <c r="G444" s="92"/>
      <c r="I444" s="92"/>
    </row>
    <row r="445" ht="15.75" customHeight="1">
      <c r="A445" s="92"/>
      <c r="B445" s="92"/>
      <c r="C445" s="92"/>
      <c r="D445" s="92"/>
      <c r="E445" s="92"/>
      <c r="F445" s="92"/>
      <c r="G445" s="92"/>
      <c r="I445" s="92"/>
    </row>
    <row r="446" ht="15.75" customHeight="1">
      <c r="A446" s="92"/>
      <c r="B446" s="92"/>
      <c r="C446" s="92"/>
      <c r="D446" s="92"/>
      <c r="E446" s="92"/>
      <c r="F446" s="92"/>
      <c r="G446" s="92"/>
      <c r="I446" s="92"/>
    </row>
    <row r="447" ht="15.75" customHeight="1">
      <c r="A447" s="92"/>
      <c r="B447" s="92"/>
      <c r="C447" s="92"/>
      <c r="D447" s="92"/>
      <c r="E447" s="92"/>
      <c r="F447" s="92"/>
      <c r="G447" s="92"/>
      <c r="I447" s="92"/>
    </row>
    <row r="448" ht="15.75" customHeight="1">
      <c r="A448" s="92"/>
      <c r="B448" s="92"/>
      <c r="C448" s="92"/>
      <c r="D448" s="92"/>
      <c r="E448" s="92"/>
      <c r="F448" s="92"/>
      <c r="G448" s="92"/>
      <c r="I448" s="92"/>
    </row>
    <row r="449" ht="15.75" customHeight="1">
      <c r="A449" s="92"/>
      <c r="B449" s="92"/>
      <c r="C449" s="92"/>
      <c r="D449" s="92"/>
      <c r="E449" s="92"/>
      <c r="F449" s="92"/>
      <c r="G449" s="92"/>
      <c r="I449" s="92"/>
    </row>
    <row r="450" ht="15.75" customHeight="1">
      <c r="A450" s="92"/>
      <c r="B450" s="92"/>
      <c r="C450" s="92"/>
      <c r="D450" s="92"/>
      <c r="E450" s="92"/>
      <c r="F450" s="92"/>
      <c r="G450" s="92"/>
      <c r="I450" s="92"/>
    </row>
    <row r="451" ht="15.75" customHeight="1">
      <c r="A451" s="92"/>
      <c r="B451" s="92"/>
      <c r="C451" s="92"/>
      <c r="D451" s="92"/>
      <c r="E451" s="92"/>
      <c r="F451" s="92"/>
      <c r="G451" s="92"/>
      <c r="I451" s="92"/>
    </row>
    <row r="452" ht="15.75" customHeight="1">
      <c r="A452" s="92"/>
      <c r="B452" s="92"/>
      <c r="C452" s="92"/>
      <c r="D452" s="92"/>
      <c r="E452" s="92"/>
      <c r="F452" s="92"/>
      <c r="G452" s="92"/>
      <c r="I452" s="92"/>
    </row>
    <row r="453" ht="15.75" customHeight="1">
      <c r="A453" s="92"/>
      <c r="B453" s="92"/>
      <c r="C453" s="92"/>
      <c r="D453" s="92"/>
      <c r="E453" s="92"/>
      <c r="F453" s="92"/>
      <c r="G453" s="92"/>
      <c r="I453" s="92"/>
    </row>
    <row r="454" ht="15.75" customHeight="1">
      <c r="A454" s="92"/>
      <c r="B454" s="92"/>
      <c r="C454" s="92"/>
      <c r="D454" s="92"/>
      <c r="E454" s="92"/>
      <c r="F454" s="92"/>
      <c r="G454" s="92"/>
      <c r="I454" s="92"/>
    </row>
    <row r="455" ht="15.75" customHeight="1">
      <c r="A455" s="92"/>
      <c r="B455" s="92"/>
      <c r="C455" s="92"/>
      <c r="D455" s="92"/>
      <c r="E455" s="92"/>
      <c r="F455" s="92"/>
      <c r="G455" s="92"/>
      <c r="I455" s="92"/>
    </row>
    <row r="456" ht="15.75" customHeight="1">
      <c r="A456" s="92"/>
      <c r="B456" s="92"/>
      <c r="C456" s="92"/>
      <c r="D456" s="92"/>
      <c r="E456" s="92"/>
      <c r="F456" s="92"/>
      <c r="G456" s="92"/>
      <c r="I456" s="92"/>
    </row>
    <row r="457" ht="15.75" customHeight="1">
      <c r="A457" s="92"/>
      <c r="B457" s="92"/>
      <c r="C457" s="92"/>
      <c r="D457" s="92"/>
      <c r="E457" s="92"/>
      <c r="F457" s="92"/>
      <c r="G457" s="92"/>
      <c r="I457" s="92"/>
    </row>
    <row r="458" ht="15.75" customHeight="1">
      <c r="A458" s="92"/>
      <c r="B458" s="92"/>
      <c r="C458" s="92"/>
      <c r="D458" s="92"/>
      <c r="E458" s="92"/>
      <c r="F458" s="92"/>
      <c r="G458" s="92"/>
      <c r="I458" s="92"/>
    </row>
    <row r="459" ht="15.75" customHeight="1">
      <c r="A459" s="92"/>
      <c r="B459" s="92"/>
      <c r="C459" s="92"/>
      <c r="D459" s="92"/>
      <c r="E459" s="92"/>
      <c r="F459" s="92"/>
      <c r="G459" s="92"/>
      <c r="I459" s="92"/>
    </row>
    <row r="460" ht="15.75" customHeight="1">
      <c r="A460" s="92"/>
      <c r="B460" s="92"/>
      <c r="C460" s="92"/>
      <c r="D460" s="92"/>
      <c r="E460" s="92"/>
      <c r="F460" s="92"/>
      <c r="G460" s="92"/>
      <c r="I460" s="92"/>
    </row>
    <row r="461" ht="15.75" customHeight="1">
      <c r="A461" s="92"/>
      <c r="B461" s="92"/>
      <c r="C461" s="92"/>
      <c r="D461" s="92"/>
      <c r="E461" s="92"/>
      <c r="F461" s="92"/>
      <c r="G461" s="92"/>
      <c r="I461" s="92"/>
    </row>
    <row r="462" ht="15.75" customHeight="1">
      <c r="A462" s="92"/>
      <c r="B462" s="92"/>
      <c r="C462" s="92"/>
      <c r="D462" s="92"/>
      <c r="E462" s="92"/>
      <c r="F462" s="92"/>
      <c r="G462" s="92"/>
      <c r="I462" s="92"/>
    </row>
    <row r="463" ht="15.75" customHeight="1">
      <c r="A463" s="92"/>
      <c r="B463" s="92"/>
      <c r="C463" s="92"/>
      <c r="D463" s="92"/>
      <c r="E463" s="92"/>
      <c r="F463" s="92"/>
      <c r="G463" s="92"/>
      <c r="I463" s="92"/>
    </row>
    <row r="464" ht="15.75" customHeight="1">
      <c r="A464" s="92"/>
      <c r="B464" s="92"/>
      <c r="C464" s="92"/>
      <c r="D464" s="92"/>
      <c r="E464" s="92"/>
      <c r="F464" s="92"/>
      <c r="G464" s="92"/>
      <c r="I464" s="92"/>
    </row>
    <row r="465" ht="15.75" customHeight="1">
      <c r="A465" s="92"/>
      <c r="B465" s="92"/>
      <c r="C465" s="92"/>
      <c r="D465" s="92"/>
      <c r="E465" s="92"/>
      <c r="F465" s="92"/>
      <c r="G465" s="92"/>
      <c r="I465" s="92"/>
    </row>
    <row r="466" ht="15.75" customHeight="1">
      <c r="A466" s="92"/>
      <c r="B466" s="92"/>
      <c r="C466" s="92"/>
      <c r="D466" s="92"/>
      <c r="E466" s="92"/>
      <c r="F466" s="92"/>
      <c r="G466" s="92"/>
      <c r="I466" s="92"/>
    </row>
    <row r="467" ht="15.75" customHeight="1">
      <c r="A467" s="92"/>
      <c r="B467" s="92"/>
      <c r="C467" s="92"/>
      <c r="D467" s="92"/>
      <c r="E467" s="92"/>
      <c r="F467" s="92"/>
      <c r="G467" s="92"/>
      <c r="I467" s="92"/>
    </row>
    <row r="468" ht="15.75" customHeight="1">
      <c r="A468" s="92"/>
      <c r="B468" s="92"/>
      <c r="C468" s="92"/>
      <c r="D468" s="92"/>
      <c r="E468" s="92"/>
      <c r="F468" s="92"/>
      <c r="G468" s="92"/>
      <c r="I468" s="92"/>
    </row>
    <row r="469" ht="15.75" customHeight="1">
      <c r="A469" s="92"/>
      <c r="B469" s="92"/>
      <c r="C469" s="92"/>
      <c r="D469" s="92"/>
      <c r="E469" s="92"/>
      <c r="F469" s="92"/>
      <c r="G469" s="92"/>
      <c r="I469" s="92"/>
    </row>
    <row r="470" ht="15.75" customHeight="1">
      <c r="A470" s="92"/>
      <c r="B470" s="92"/>
      <c r="C470" s="92"/>
      <c r="D470" s="92"/>
      <c r="E470" s="92"/>
      <c r="F470" s="92"/>
      <c r="G470" s="92"/>
      <c r="I470" s="92"/>
    </row>
    <row r="471" ht="15.75" customHeight="1">
      <c r="A471" s="92"/>
      <c r="B471" s="92"/>
      <c r="C471" s="92"/>
      <c r="D471" s="92"/>
      <c r="E471" s="92"/>
      <c r="F471" s="92"/>
      <c r="G471" s="92"/>
      <c r="I471" s="92"/>
    </row>
    <row r="472" ht="15.75" customHeight="1">
      <c r="A472" s="92"/>
      <c r="B472" s="92"/>
      <c r="C472" s="92"/>
      <c r="D472" s="92"/>
      <c r="E472" s="92"/>
      <c r="F472" s="92"/>
      <c r="G472" s="92"/>
      <c r="I472" s="92"/>
    </row>
    <row r="473" ht="15.75" customHeight="1">
      <c r="A473" s="92"/>
      <c r="B473" s="92"/>
      <c r="C473" s="92"/>
      <c r="D473" s="92"/>
      <c r="E473" s="92"/>
      <c r="F473" s="92"/>
      <c r="G473" s="92"/>
      <c r="I473" s="92"/>
    </row>
    <row r="474" ht="15.75" customHeight="1">
      <c r="A474" s="92"/>
      <c r="B474" s="92"/>
      <c r="C474" s="92"/>
      <c r="D474" s="92"/>
      <c r="E474" s="92"/>
      <c r="F474" s="92"/>
      <c r="G474" s="92"/>
      <c r="I474" s="92"/>
    </row>
    <row r="475" ht="15.75" customHeight="1">
      <c r="A475" s="92"/>
      <c r="B475" s="92"/>
      <c r="C475" s="92"/>
      <c r="D475" s="92"/>
      <c r="E475" s="92"/>
      <c r="F475" s="92"/>
      <c r="G475" s="92"/>
      <c r="I475" s="92"/>
    </row>
    <row r="476" ht="15.75" customHeight="1">
      <c r="A476" s="92"/>
      <c r="B476" s="92"/>
      <c r="C476" s="92"/>
      <c r="D476" s="92"/>
      <c r="E476" s="92"/>
      <c r="F476" s="92"/>
      <c r="G476" s="92"/>
      <c r="I476" s="92"/>
    </row>
    <row r="477" ht="15.75" customHeight="1">
      <c r="A477" s="92"/>
      <c r="B477" s="92"/>
      <c r="C477" s="92"/>
      <c r="D477" s="92"/>
      <c r="E477" s="92"/>
      <c r="F477" s="92"/>
      <c r="G477" s="92"/>
      <c r="I477" s="92"/>
    </row>
    <row r="478" ht="15.75" customHeight="1">
      <c r="A478" s="92"/>
      <c r="B478" s="92"/>
      <c r="C478" s="92"/>
      <c r="D478" s="92"/>
      <c r="E478" s="92"/>
      <c r="F478" s="92"/>
      <c r="G478" s="92"/>
      <c r="I478" s="92"/>
    </row>
    <row r="479" ht="15.75" customHeight="1">
      <c r="A479" s="92"/>
      <c r="B479" s="92"/>
      <c r="C479" s="92"/>
      <c r="D479" s="92"/>
      <c r="E479" s="92"/>
      <c r="F479" s="92"/>
      <c r="G479" s="92"/>
      <c r="I479" s="92"/>
    </row>
    <row r="480" ht="15.75" customHeight="1">
      <c r="A480" s="92"/>
      <c r="B480" s="92"/>
      <c r="C480" s="92"/>
      <c r="D480" s="92"/>
      <c r="E480" s="92"/>
      <c r="F480" s="92"/>
      <c r="G480" s="92"/>
      <c r="I480" s="92"/>
    </row>
    <row r="481" ht="15.75" customHeight="1">
      <c r="A481" s="92"/>
      <c r="B481" s="92"/>
      <c r="C481" s="92"/>
      <c r="D481" s="92"/>
      <c r="E481" s="92"/>
      <c r="F481" s="92"/>
      <c r="G481" s="92"/>
      <c r="I481" s="92"/>
    </row>
    <row r="482" ht="15.75" customHeight="1">
      <c r="A482" s="92"/>
      <c r="B482" s="92"/>
      <c r="C482" s="92"/>
      <c r="D482" s="92"/>
      <c r="E482" s="92"/>
      <c r="F482" s="92"/>
      <c r="G482" s="92"/>
      <c r="I482" s="92"/>
    </row>
    <row r="483" ht="15.75" customHeight="1">
      <c r="A483" s="92"/>
      <c r="B483" s="92"/>
      <c r="C483" s="92"/>
      <c r="D483" s="92"/>
      <c r="E483" s="92"/>
      <c r="F483" s="92"/>
      <c r="G483" s="92"/>
      <c r="I483" s="92"/>
    </row>
    <row r="484" ht="15.75" customHeight="1">
      <c r="A484" s="92"/>
      <c r="B484" s="92"/>
      <c r="C484" s="92"/>
      <c r="D484" s="92"/>
      <c r="E484" s="92"/>
      <c r="F484" s="92"/>
      <c r="G484" s="92"/>
      <c r="I484" s="92"/>
    </row>
    <row r="485" ht="15.75" customHeight="1">
      <c r="A485" s="92"/>
      <c r="B485" s="92"/>
      <c r="C485" s="92"/>
      <c r="D485" s="92"/>
      <c r="E485" s="92"/>
      <c r="F485" s="92"/>
      <c r="G485" s="92"/>
      <c r="I485" s="92"/>
    </row>
    <row r="486" ht="15.75" customHeight="1">
      <c r="A486" s="92"/>
      <c r="B486" s="92"/>
      <c r="C486" s="92"/>
      <c r="D486" s="92"/>
      <c r="E486" s="92"/>
      <c r="F486" s="92"/>
      <c r="G486" s="92"/>
      <c r="I486" s="92"/>
    </row>
    <row r="487" ht="15.75" customHeight="1">
      <c r="A487" s="92"/>
      <c r="B487" s="92"/>
      <c r="C487" s="92"/>
      <c r="D487" s="92"/>
      <c r="E487" s="92"/>
      <c r="F487" s="92"/>
      <c r="G487" s="92"/>
      <c r="I487" s="92"/>
    </row>
    <row r="488" ht="15.75" customHeight="1">
      <c r="A488" s="92"/>
      <c r="B488" s="92"/>
      <c r="C488" s="92"/>
      <c r="D488" s="92"/>
      <c r="E488" s="92"/>
      <c r="F488" s="92"/>
      <c r="G488" s="92"/>
      <c r="I488" s="92"/>
    </row>
    <row r="489" ht="15.75" customHeight="1">
      <c r="A489" s="92"/>
      <c r="B489" s="92"/>
      <c r="C489" s="92"/>
      <c r="D489" s="92"/>
      <c r="E489" s="92"/>
      <c r="F489" s="92"/>
      <c r="G489" s="92"/>
      <c r="I489" s="92"/>
    </row>
    <row r="490" ht="15.75" customHeight="1">
      <c r="A490" s="92"/>
      <c r="B490" s="92"/>
      <c r="C490" s="92"/>
      <c r="D490" s="92"/>
      <c r="E490" s="92"/>
      <c r="F490" s="92"/>
      <c r="G490" s="92"/>
      <c r="I490" s="92"/>
    </row>
    <row r="491" ht="15.75" customHeight="1">
      <c r="A491" s="92"/>
      <c r="B491" s="92"/>
      <c r="C491" s="92"/>
      <c r="D491" s="92"/>
      <c r="E491" s="92"/>
      <c r="F491" s="92"/>
      <c r="G491" s="92"/>
      <c r="I491" s="92"/>
    </row>
    <row r="492" ht="15.75" customHeight="1">
      <c r="A492" s="92"/>
      <c r="B492" s="92"/>
      <c r="C492" s="92"/>
      <c r="D492" s="92"/>
      <c r="E492" s="92"/>
      <c r="F492" s="92"/>
      <c r="G492" s="92"/>
      <c r="I492" s="92"/>
    </row>
    <row r="493" ht="15.75" customHeight="1">
      <c r="A493" s="92"/>
      <c r="B493" s="92"/>
      <c r="C493" s="92"/>
      <c r="D493" s="92"/>
      <c r="E493" s="92"/>
      <c r="F493" s="92"/>
      <c r="G493" s="92"/>
      <c r="I493" s="92"/>
    </row>
    <row r="494" ht="15.75" customHeight="1">
      <c r="A494" s="92"/>
      <c r="B494" s="92"/>
      <c r="C494" s="92"/>
      <c r="D494" s="92"/>
      <c r="E494" s="92"/>
      <c r="F494" s="92"/>
      <c r="G494" s="92"/>
      <c r="I494" s="92"/>
    </row>
    <row r="495" ht="15.75" customHeight="1">
      <c r="A495" s="92"/>
      <c r="B495" s="92"/>
      <c r="C495" s="92"/>
      <c r="D495" s="92"/>
      <c r="E495" s="92"/>
      <c r="F495" s="92"/>
      <c r="G495" s="92"/>
      <c r="I495" s="92"/>
    </row>
    <row r="496" ht="15.75" customHeight="1">
      <c r="A496" s="92"/>
      <c r="B496" s="92"/>
      <c r="C496" s="92"/>
      <c r="D496" s="92"/>
      <c r="E496" s="92"/>
      <c r="F496" s="92"/>
      <c r="G496" s="92"/>
      <c r="I496" s="92"/>
    </row>
    <row r="497" ht="15.75" customHeight="1">
      <c r="A497" s="92"/>
      <c r="B497" s="92"/>
      <c r="C497" s="92"/>
      <c r="D497" s="92"/>
      <c r="E497" s="92"/>
      <c r="F497" s="92"/>
      <c r="G497" s="92"/>
      <c r="I497" s="92"/>
    </row>
    <row r="498" ht="15.75" customHeight="1">
      <c r="A498" s="92"/>
      <c r="B498" s="92"/>
      <c r="C498" s="92"/>
      <c r="D498" s="92"/>
      <c r="E498" s="92"/>
      <c r="F498" s="92"/>
      <c r="G498" s="92"/>
      <c r="I498" s="92"/>
    </row>
    <row r="499" ht="15.75" customHeight="1">
      <c r="A499" s="92"/>
      <c r="B499" s="92"/>
      <c r="C499" s="92"/>
      <c r="D499" s="92"/>
      <c r="E499" s="92"/>
      <c r="F499" s="92"/>
      <c r="G499" s="92"/>
      <c r="I499" s="92"/>
    </row>
    <row r="500" ht="15.75" customHeight="1">
      <c r="A500" s="92"/>
      <c r="B500" s="92"/>
      <c r="C500" s="92"/>
      <c r="D500" s="92"/>
      <c r="E500" s="92"/>
      <c r="F500" s="92"/>
      <c r="G500" s="92"/>
      <c r="I500" s="92"/>
    </row>
    <row r="501" ht="15.75" customHeight="1">
      <c r="A501" s="92"/>
      <c r="B501" s="92"/>
      <c r="C501" s="92"/>
      <c r="D501" s="92"/>
      <c r="E501" s="92"/>
      <c r="F501" s="92"/>
      <c r="G501" s="92"/>
      <c r="I501" s="92"/>
    </row>
    <row r="502" ht="15.75" customHeight="1">
      <c r="A502" s="92"/>
      <c r="B502" s="92"/>
      <c r="C502" s="92"/>
      <c r="D502" s="92"/>
      <c r="E502" s="92"/>
      <c r="F502" s="92"/>
      <c r="G502" s="92"/>
      <c r="I502" s="92"/>
    </row>
    <row r="503" ht="15.75" customHeight="1">
      <c r="A503" s="92"/>
      <c r="B503" s="92"/>
      <c r="C503" s="92"/>
      <c r="D503" s="92"/>
      <c r="E503" s="92"/>
      <c r="F503" s="92"/>
      <c r="G503" s="92"/>
      <c r="I503" s="92"/>
    </row>
    <row r="504" ht="15.75" customHeight="1">
      <c r="A504" s="92"/>
      <c r="B504" s="92"/>
      <c r="C504" s="92"/>
      <c r="D504" s="92"/>
      <c r="E504" s="92"/>
      <c r="F504" s="92"/>
      <c r="G504" s="92"/>
      <c r="I504" s="92"/>
    </row>
    <row r="505" ht="15.75" customHeight="1">
      <c r="A505" s="92"/>
      <c r="B505" s="92"/>
      <c r="C505" s="92"/>
      <c r="D505" s="92"/>
      <c r="E505" s="92"/>
      <c r="F505" s="92"/>
      <c r="G505" s="92"/>
      <c r="I505" s="92"/>
    </row>
    <row r="506" ht="15.75" customHeight="1">
      <c r="A506" s="92"/>
      <c r="B506" s="92"/>
      <c r="C506" s="92"/>
      <c r="D506" s="92"/>
      <c r="E506" s="92"/>
      <c r="F506" s="92"/>
      <c r="G506" s="92"/>
      <c r="I506" s="92"/>
    </row>
    <row r="507" ht="15.75" customHeight="1">
      <c r="A507" s="92"/>
      <c r="B507" s="92"/>
      <c r="C507" s="92"/>
      <c r="D507" s="92"/>
      <c r="E507" s="92"/>
      <c r="F507" s="92"/>
      <c r="G507" s="92"/>
      <c r="I507" s="92"/>
    </row>
    <row r="508" ht="15.75" customHeight="1">
      <c r="A508" s="92"/>
      <c r="B508" s="92"/>
      <c r="C508" s="92"/>
      <c r="D508" s="92"/>
      <c r="E508" s="92"/>
      <c r="F508" s="92"/>
      <c r="G508" s="92"/>
      <c r="I508" s="92"/>
    </row>
    <row r="509" ht="15.75" customHeight="1">
      <c r="A509" s="92"/>
      <c r="B509" s="92"/>
      <c r="C509" s="92"/>
      <c r="D509" s="92"/>
      <c r="E509" s="92"/>
      <c r="F509" s="92"/>
      <c r="G509" s="92"/>
      <c r="I509" s="92"/>
    </row>
    <row r="510" ht="15.75" customHeight="1">
      <c r="A510" s="92"/>
      <c r="B510" s="92"/>
      <c r="C510" s="92"/>
      <c r="D510" s="92"/>
      <c r="E510" s="92"/>
      <c r="F510" s="92"/>
      <c r="G510" s="92"/>
      <c r="I510" s="92"/>
    </row>
    <row r="511" ht="15.75" customHeight="1">
      <c r="A511" s="92"/>
      <c r="B511" s="92"/>
      <c r="C511" s="92"/>
      <c r="D511" s="92"/>
      <c r="E511" s="92"/>
      <c r="F511" s="92"/>
      <c r="G511" s="92"/>
      <c r="I511" s="92"/>
    </row>
    <row r="512" ht="15.75" customHeight="1">
      <c r="A512" s="92"/>
      <c r="B512" s="92"/>
      <c r="C512" s="92"/>
      <c r="D512" s="92"/>
      <c r="E512" s="92"/>
      <c r="F512" s="92"/>
      <c r="G512" s="92"/>
      <c r="I512" s="92"/>
    </row>
    <row r="513" ht="15.75" customHeight="1">
      <c r="A513" s="92"/>
      <c r="B513" s="92"/>
      <c r="C513" s="92"/>
      <c r="D513" s="92"/>
      <c r="E513" s="92"/>
      <c r="F513" s="92"/>
      <c r="G513" s="92"/>
      <c r="I513" s="92"/>
    </row>
    <row r="514" ht="15.75" customHeight="1">
      <c r="A514" s="92"/>
      <c r="B514" s="92"/>
      <c r="C514" s="92"/>
      <c r="D514" s="92"/>
      <c r="E514" s="92"/>
      <c r="F514" s="92"/>
      <c r="G514" s="92"/>
      <c r="I514" s="92"/>
    </row>
    <row r="515" ht="15.75" customHeight="1">
      <c r="A515" s="92"/>
      <c r="B515" s="92"/>
      <c r="C515" s="92"/>
      <c r="D515" s="92"/>
      <c r="E515" s="92"/>
      <c r="F515" s="92"/>
      <c r="G515" s="92"/>
      <c r="I515" s="92"/>
    </row>
    <row r="516" ht="15.75" customHeight="1">
      <c r="A516" s="92"/>
      <c r="B516" s="92"/>
      <c r="C516" s="92"/>
      <c r="D516" s="92"/>
      <c r="E516" s="92"/>
      <c r="F516" s="92"/>
      <c r="G516" s="92"/>
      <c r="I516" s="92"/>
    </row>
    <row r="517" ht="15.75" customHeight="1">
      <c r="A517" s="92"/>
      <c r="B517" s="92"/>
      <c r="C517" s="92"/>
      <c r="D517" s="92"/>
      <c r="E517" s="92"/>
      <c r="F517" s="92"/>
      <c r="G517" s="92"/>
      <c r="I517" s="92"/>
    </row>
    <row r="518" ht="15.75" customHeight="1">
      <c r="A518" s="92"/>
      <c r="B518" s="92"/>
      <c r="C518" s="92"/>
      <c r="D518" s="92"/>
      <c r="E518" s="92"/>
      <c r="F518" s="92"/>
      <c r="G518" s="92"/>
      <c r="I518" s="92"/>
    </row>
    <row r="519" ht="15.75" customHeight="1">
      <c r="A519" s="92"/>
      <c r="B519" s="92"/>
      <c r="C519" s="92"/>
      <c r="D519" s="92"/>
      <c r="E519" s="92"/>
      <c r="F519" s="92"/>
      <c r="G519" s="92"/>
      <c r="I519" s="92"/>
    </row>
    <row r="520" ht="15.75" customHeight="1">
      <c r="A520" s="92"/>
      <c r="B520" s="92"/>
      <c r="C520" s="92"/>
      <c r="D520" s="92"/>
      <c r="E520" s="92"/>
      <c r="F520" s="92"/>
      <c r="G520" s="92"/>
      <c r="I520" s="92"/>
    </row>
    <row r="521" ht="15.75" customHeight="1">
      <c r="A521" s="92"/>
      <c r="B521" s="92"/>
      <c r="C521" s="92"/>
      <c r="D521" s="92"/>
      <c r="E521" s="92"/>
      <c r="F521" s="92"/>
      <c r="G521" s="92"/>
      <c r="I521" s="92"/>
    </row>
    <row r="522" ht="15.75" customHeight="1">
      <c r="A522" s="92"/>
      <c r="B522" s="92"/>
      <c r="C522" s="92"/>
      <c r="D522" s="92"/>
      <c r="E522" s="92"/>
      <c r="F522" s="92"/>
      <c r="G522" s="92"/>
      <c r="I522" s="92"/>
    </row>
    <row r="523" ht="15.75" customHeight="1">
      <c r="A523" s="92"/>
      <c r="B523" s="92"/>
      <c r="C523" s="92"/>
      <c r="D523" s="92"/>
      <c r="E523" s="92"/>
      <c r="F523" s="92"/>
      <c r="G523" s="92"/>
      <c r="I523" s="92"/>
    </row>
    <row r="524" ht="15.75" customHeight="1">
      <c r="A524" s="92"/>
      <c r="B524" s="92"/>
      <c r="C524" s="92"/>
      <c r="D524" s="92"/>
      <c r="E524" s="92"/>
      <c r="F524" s="92"/>
      <c r="G524" s="92"/>
      <c r="I524" s="92"/>
    </row>
    <row r="525" ht="15.75" customHeight="1">
      <c r="A525" s="92"/>
      <c r="B525" s="92"/>
      <c r="C525" s="92"/>
      <c r="D525" s="92"/>
      <c r="E525" s="92"/>
      <c r="F525" s="92"/>
      <c r="G525" s="92"/>
      <c r="I525" s="92"/>
    </row>
    <row r="526" ht="15.75" customHeight="1">
      <c r="A526" s="92"/>
      <c r="B526" s="92"/>
      <c r="C526" s="92"/>
      <c r="D526" s="92"/>
      <c r="E526" s="92"/>
      <c r="F526" s="92"/>
      <c r="G526" s="92"/>
      <c r="I526" s="92"/>
    </row>
    <row r="527" ht="15.75" customHeight="1">
      <c r="A527" s="92"/>
      <c r="B527" s="92"/>
      <c r="C527" s="92"/>
      <c r="D527" s="92"/>
      <c r="E527" s="92"/>
      <c r="F527" s="92"/>
      <c r="G527" s="92"/>
      <c r="I527" s="92"/>
    </row>
    <row r="528" ht="15.75" customHeight="1">
      <c r="A528" s="92"/>
      <c r="B528" s="92"/>
      <c r="C528" s="92"/>
      <c r="D528" s="92"/>
      <c r="E528" s="92"/>
      <c r="F528" s="92"/>
      <c r="G528" s="92"/>
      <c r="I528" s="92"/>
    </row>
    <row r="529" ht="15.75" customHeight="1">
      <c r="A529" s="92"/>
      <c r="B529" s="92"/>
      <c r="C529" s="92"/>
      <c r="D529" s="92"/>
      <c r="E529" s="92"/>
      <c r="F529" s="92"/>
      <c r="G529" s="92"/>
      <c r="I529" s="92"/>
    </row>
    <row r="530" ht="15.75" customHeight="1">
      <c r="A530" s="92"/>
      <c r="B530" s="92"/>
      <c r="C530" s="92"/>
      <c r="D530" s="92"/>
      <c r="E530" s="92"/>
      <c r="F530" s="92"/>
      <c r="G530" s="92"/>
      <c r="I530" s="92"/>
    </row>
    <row r="531" ht="15.75" customHeight="1">
      <c r="A531" s="92"/>
      <c r="B531" s="92"/>
      <c r="C531" s="92"/>
      <c r="D531" s="92"/>
      <c r="E531" s="92"/>
      <c r="F531" s="92"/>
      <c r="G531" s="92"/>
      <c r="I531" s="92"/>
    </row>
    <row r="532" ht="15.75" customHeight="1">
      <c r="A532" s="92"/>
      <c r="B532" s="92"/>
      <c r="C532" s="92"/>
      <c r="D532" s="92"/>
      <c r="E532" s="92"/>
      <c r="F532" s="92"/>
      <c r="G532" s="92"/>
      <c r="I532" s="92"/>
    </row>
    <row r="533" ht="15.75" customHeight="1">
      <c r="A533" s="92"/>
      <c r="B533" s="92"/>
      <c r="C533" s="92"/>
      <c r="D533" s="92"/>
      <c r="E533" s="92"/>
      <c r="F533" s="92"/>
      <c r="G533" s="92"/>
      <c r="I533" s="92"/>
    </row>
    <row r="534" ht="15.75" customHeight="1">
      <c r="A534" s="92"/>
      <c r="B534" s="92"/>
      <c r="C534" s="92"/>
      <c r="D534" s="92"/>
      <c r="E534" s="92"/>
      <c r="F534" s="92"/>
      <c r="G534" s="92"/>
      <c r="I534" s="92"/>
    </row>
    <row r="535" ht="15.75" customHeight="1">
      <c r="A535" s="92"/>
      <c r="B535" s="92"/>
      <c r="C535" s="92"/>
      <c r="D535" s="92"/>
      <c r="E535" s="92"/>
      <c r="F535" s="92"/>
      <c r="G535" s="92"/>
      <c r="I535" s="92"/>
    </row>
    <row r="536" ht="15.75" customHeight="1">
      <c r="A536" s="92"/>
      <c r="B536" s="92"/>
      <c r="C536" s="92"/>
      <c r="D536" s="92"/>
      <c r="E536" s="92"/>
      <c r="F536" s="92"/>
      <c r="G536" s="92"/>
      <c r="I536" s="92"/>
    </row>
    <row r="537" ht="15.75" customHeight="1">
      <c r="A537" s="92"/>
      <c r="B537" s="92"/>
      <c r="C537" s="92"/>
      <c r="D537" s="92"/>
      <c r="E537" s="92"/>
      <c r="F537" s="92"/>
      <c r="G537" s="92"/>
      <c r="I537" s="92"/>
    </row>
    <row r="538" ht="15.75" customHeight="1">
      <c r="A538" s="92"/>
      <c r="B538" s="92"/>
      <c r="C538" s="92"/>
      <c r="D538" s="92"/>
      <c r="E538" s="92"/>
      <c r="F538" s="92"/>
      <c r="G538" s="92"/>
      <c r="I538" s="92"/>
    </row>
    <row r="539" ht="15.75" customHeight="1">
      <c r="A539" s="92"/>
      <c r="B539" s="92"/>
      <c r="C539" s="92"/>
      <c r="D539" s="92"/>
      <c r="E539" s="92"/>
      <c r="F539" s="92"/>
      <c r="G539" s="92"/>
      <c r="I539" s="92"/>
    </row>
    <row r="540" ht="15.75" customHeight="1">
      <c r="A540" s="92"/>
      <c r="B540" s="92"/>
      <c r="C540" s="92"/>
      <c r="D540" s="92"/>
      <c r="E540" s="92"/>
      <c r="F540" s="92"/>
      <c r="G540" s="92"/>
      <c r="I540" s="92"/>
    </row>
    <row r="541" ht="15.75" customHeight="1">
      <c r="A541" s="92"/>
      <c r="B541" s="92"/>
      <c r="C541" s="92"/>
      <c r="D541" s="92"/>
      <c r="E541" s="92"/>
      <c r="F541" s="92"/>
      <c r="G541" s="92"/>
      <c r="I541" s="92"/>
    </row>
    <row r="542" ht="15.75" customHeight="1">
      <c r="A542" s="92"/>
      <c r="B542" s="92"/>
      <c r="C542" s="92"/>
      <c r="D542" s="92"/>
      <c r="E542" s="92"/>
      <c r="F542" s="92"/>
      <c r="G542" s="92"/>
      <c r="I542" s="92"/>
    </row>
    <row r="543" ht="15.75" customHeight="1">
      <c r="A543" s="92"/>
      <c r="B543" s="92"/>
      <c r="C543" s="92"/>
      <c r="D543" s="92"/>
      <c r="E543" s="92"/>
      <c r="F543" s="92"/>
      <c r="G543" s="92"/>
      <c r="I543" s="92"/>
    </row>
    <row r="544" ht="15.75" customHeight="1">
      <c r="A544" s="92"/>
      <c r="B544" s="92"/>
      <c r="C544" s="92"/>
      <c r="D544" s="92"/>
      <c r="E544" s="92"/>
      <c r="F544" s="92"/>
      <c r="G544" s="92"/>
      <c r="I544" s="92"/>
    </row>
    <row r="545" ht="15.75" customHeight="1">
      <c r="A545" s="92"/>
      <c r="B545" s="92"/>
      <c r="C545" s="92"/>
      <c r="D545" s="92"/>
      <c r="E545" s="92"/>
      <c r="F545" s="92"/>
      <c r="G545" s="92"/>
      <c r="I545" s="92"/>
    </row>
    <row r="546" ht="15.75" customHeight="1">
      <c r="A546" s="92"/>
      <c r="B546" s="92"/>
      <c r="C546" s="92"/>
      <c r="D546" s="92"/>
      <c r="E546" s="92"/>
      <c r="F546" s="92"/>
      <c r="G546" s="92"/>
      <c r="I546" s="92"/>
    </row>
    <row r="547" ht="15.75" customHeight="1">
      <c r="A547" s="92"/>
      <c r="B547" s="92"/>
      <c r="C547" s="92"/>
      <c r="D547" s="92"/>
      <c r="E547" s="92"/>
      <c r="F547" s="92"/>
      <c r="G547" s="92"/>
      <c r="I547" s="92"/>
    </row>
    <row r="548" ht="15.75" customHeight="1">
      <c r="A548" s="92"/>
      <c r="B548" s="92"/>
      <c r="C548" s="92"/>
      <c r="D548" s="92"/>
      <c r="E548" s="92"/>
      <c r="F548" s="92"/>
      <c r="G548" s="92"/>
      <c r="I548" s="92"/>
    </row>
    <row r="549" ht="15.75" customHeight="1">
      <c r="A549" s="92"/>
      <c r="B549" s="92"/>
      <c r="C549" s="92"/>
      <c r="D549" s="92"/>
      <c r="E549" s="92"/>
      <c r="F549" s="92"/>
      <c r="G549" s="92"/>
      <c r="I549" s="92"/>
    </row>
    <row r="550" ht="15.75" customHeight="1">
      <c r="A550" s="92"/>
      <c r="B550" s="92"/>
      <c r="C550" s="92"/>
      <c r="D550" s="92"/>
      <c r="E550" s="92"/>
      <c r="F550" s="92"/>
      <c r="G550" s="92"/>
      <c r="I550" s="92"/>
    </row>
    <row r="551" ht="15.75" customHeight="1">
      <c r="A551" s="92"/>
      <c r="B551" s="92"/>
      <c r="C551" s="92"/>
      <c r="D551" s="92"/>
      <c r="E551" s="92"/>
      <c r="F551" s="92"/>
      <c r="G551" s="92"/>
      <c r="I551" s="92"/>
    </row>
    <row r="552" ht="15.75" customHeight="1">
      <c r="A552" s="92"/>
      <c r="B552" s="92"/>
      <c r="C552" s="92"/>
      <c r="D552" s="92"/>
      <c r="E552" s="92"/>
      <c r="F552" s="92"/>
      <c r="G552" s="92"/>
      <c r="I552" s="92"/>
    </row>
    <row r="553" ht="15.75" customHeight="1">
      <c r="A553" s="92"/>
      <c r="B553" s="92"/>
      <c r="C553" s="92"/>
      <c r="D553" s="92"/>
      <c r="E553" s="92"/>
      <c r="F553" s="92"/>
      <c r="G553" s="92"/>
      <c r="I553" s="92"/>
    </row>
    <row r="554" ht="15.75" customHeight="1">
      <c r="A554" s="92"/>
      <c r="B554" s="92"/>
      <c r="C554" s="92"/>
      <c r="D554" s="92"/>
      <c r="E554" s="92"/>
      <c r="F554" s="92"/>
      <c r="G554" s="92"/>
      <c r="I554" s="92"/>
    </row>
    <row r="555" ht="15.75" customHeight="1">
      <c r="A555" s="92"/>
      <c r="B555" s="92"/>
      <c r="C555" s="92"/>
      <c r="D555" s="92"/>
      <c r="E555" s="92"/>
      <c r="F555" s="92"/>
      <c r="G555" s="92"/>
      <c r="I555" s="92"/>
    </row>
    <row r="556" ht="15.75" customHeight="1">
      <c r="A556" s="92"/>
      <c r="B556" s="92"/>
      <c r="C556" s="92"/>
      <c r="D556" s="92"/>
      <c r="E556" s="92"/>
      <c r="F556" s="92"/>
      <c r="G556" s="92"/>
      <c r="I556" s="92"/>
    </row>
    <row r="557" ht="15.75" customHeight="1">
      <c r="A557" s="92"/>
      <c r="B557" s="92"/>
      <c r="C557" s="92"/>
      <c r="D557" s="92"/>
      <c r="E557" s="92"/>
      <c r="F557" s="92"/>
      <c r="G557" s="92"/>
      <c r="I557" s="92"/>
    </row>
    <row r="558" ht="15.75" customHeight="1">
      <c r="A558" s="92"/>
      <c r="B558" s="92"/>
      <c r="C558" s="92"/>
      <c r="D558" s="92"/>
      <c r="E558" s="92"/>
      <c r="F558" s="92"/>
      <c r="G558" s="92"/>
      <c r="I558" s="92"/>
    </row>
    <row r="559" ht="15.75" customHeight="1">
      <c r="A559" s="92"/>
      <c r="B559" s="92"/>
      <c r="C559" s="92"/>
      <c r="D559" s="92"/>
      <c r="E559" s="92"/>
      <c r="F559" s="92"/>
      <c r="G559" s="92"/>
      <c r="I559" s="92"/>
    </row>
    <row r="560" ht="15.75" customHeight="1">
      <c r="A560" s="92"/>
      <c r="B560" s="92"/>
      <c r="C560" s="92"/>
      <c r="D560" s="92"/>
      <c r="E560" s="92"/>
      <c r="F560" s="92"/>
      <c r="G560" s="92"/>
      <c r="I560" s="92"/>
    </row>
    <row r="561" ht="15.75" customHeight="1">
      <c r="A561" s="92"/>
      <c r="B561" s="92"/>
      <c r="C561" s="92"/>
      <c r="D561" s="92"/>
      <c r="E561" s="92"/>
      <c r="F561" s="92"/>
      <c r="G561" s="92"/>
      <c r="I561" s="92"/>
    </row>
    <row r="562" ht="15.75" customHeight="1">
      <c r="A562" s="92"/>
      <c r="B562" s="92"/>
      <c r="C562" s="92"/>
      <c r="D562" s="92"/>
      <c r="E562" s="92"/>
      <c r="F562" s="92"/>
      <c r="G562" s="92"/>
      <c r="I562" s="92"/>
    </row>
    <row r="563" ht="15.75" customHeight="1">
      <c r="A563" s="92"/>
      <c r="B563" s="92"/>
      <c r="C563" s="92"/>
      <c r="D563" s="92"/>
      <c r="E563" s="92"/>
      <c r="F563" s="92"/>
      <c r="G563" s="92"/>
      <c r="I563" s="92"/>
    </row>
    <row r="564" ht="15.75" customHeight="1">
      <c r="A564" s="92"/>
      <c r="B564" s="92"/>
      <c r="C564" s="92"/>
      <c r="D564" s="92"/>
      <c r="E564" s="92"/>
      <c r="F564" s="92"/>
      <c r="G564" s="92"/>
      <c r="I564" s="92"/>
    </row>
    <row r="565" ht="15.75" customHeight="1">
      <c r="A565" s="92"/>
      <c r="B565" s="92"/>
      <c r="C565" s="92"/>
      <c r="D565" s="92"/>
      <c r="E565" s="92"/>
      <c r="F565" s="92"/>
      <c r="G565" s="92"/>
      <c r="I565" s="92"/>
    </row>
    <row r="566" ht="15.75" customHeight="1">
      <c r="A566" s="92"/>
      <c r="B566" s="92"/>
      <c r="C566" s="92"/>
      <c r="D566" s="92"/>
      <c r="E566" s="92"/>
      <c r="F566" s="92"/>
      <c r="G566" s="92"/>
      <c r="I566" s="92"/>
    </row>
    <row r="567" ht="15.75" customHeight="1">
      <c r="A567" s="92"/>
      <c r="B567" s="92"/>
      <c r="C567" s="92"/>
      <c r="D567" s="92"/>
      <c r="E567" s="92"/>
      <c r="F567" s="92"/>
      <c r="G567" s="92"/>
      <c r="I567" s="92"/>
    </row>
    <row r="568" ht="15.75" customHeight="1">
      <c r="A568" s="92"/>
      <c r="B568" s="92"/>
      <c r="C568" s="92"/>
      <c r="D568" s="92"/>
      <c r="E568" s="92"/>
      <c r="F568" s="92"/>
      <c r="G568" s="92"/>
      <c r="I568" s="92"/>
    </row>
    <row r="569" ht="15.75" customHeight="1">
      <c r="A569" s="92"/>
      <c r="B569" s="92"/>
      <c r="C569" s="92"/>
      <c r="D569" s="92"/>
      <c r="E569" s="92"/>
      <c r="F569" s="92"/>
      <c r="G569" s="92"/>
      <c r="I569" s="92"/>
    </row>
    <row r="570" ht="15.75" customHeight="1">
      <c r="A570" s="92"/>
      <c r="B570" s="92"/>
      <c r="C570" s="92"/>
      <c r="D570" s="92"/>
      <c r="E570" s="92"/>
      <c r="F570" s="92"/>
      <c r="G570" s="92"/>
      <c r="I570" s="92"/>
    </row>
    <row r="571" ht="15.75" customHeight="1">
      <c r="A571" s="92"/>
      <c r="B571" s="92"/>
      <c r="C571" s="92"/>
      <c r="D571" s="92"/>
      <c r="E571" s="92"/>
      <c r="F571" s="92"/>
      <c r="G571" s="92"/>
      <c r="I571" s="92"/>
    </row>
    <row r="572" ht="15.75" customHeight="1">
      <c r="A572" s="92"/>
      <c r="B572" s="92"/>
      <c r="C572" s="92"/>
      <c r="D572" s="92"/>
      <c r="E572" s="92"/>
      <c r="F572" s="92"/>
      <c r="G572" s="92"/>
      <c r="I572" s="92"/>
    </row>
    <row r="573" ht="15.75" customHeight="1">
      <c r="A573" s="92"/>
      <c r="B573" s="92"/>
      <c r="C573" s="92"/>
      <c r="D573" s="92"/>
      <c r="E573" s="92"/>
      <c r="F573" s="92"/>
      <c r="G573" s="92"/>
      <c r="I573" s="92"/>
    </row>
    <row r="574" ht="15.75" customHeight="1">
      <c r="A574" s="92"/>
      <c r="B574" s="92"/>
      <c r="C574" s="92"/>
      <c r="D574" s="92"/>
      <c r="E574" s="92"/>
      <c r="F574" s="92"/>
      <c r="G574" s="92"/>
      <c r="I574" s="92"/>
    </row>
    <row r="575" ht="15.75" customHeight="1">
      <c r="A575" s="92"/>
      <c r="B575" s="92"/>
      <c r="C575" s="92"/>
      <c r="D575" s="92"/>
      <c r="E575" s="92"/>
      <c r="F575" s="92"/>
      <c r="G575" s="92"/>
      <c r="I575" s="92"/>
    </row>
    <row r="576" ht="15.75" customHeight="1">
      <c r="A576" s="92"/>
      <c r="B576" s="92"/>
      <c r="C576" s="92"/>
      <c r="D576" s="92"/>
      <c r="E576" s="92"/>
      <c r="F576" s="92"/>
      <c r="G576" s="92"/>
      <c r="I576" s="92"/>
    </row>
    <row r="577" ht="15.75" customHeight="1">
      <c r="A577" s="92"/>
      <c r="B577" s="92"/>
      <c r="C577" s="92"/>
      <c r="D577" s="92"/>
      <c r="E577" s="92"/>
      <c r="F577" s="92"/>
      <c r="G577" s="92"/>
      <c r="I577" s="92"/>
    </row>
    <row r="578" ht="15.75" customHeight="1">
      <c r="A578" s="92"/>
      <c r="B578" s="92"/>
      <c r="C578" s="92"/>
      <c r="D578" s="92"/>
      <c r="E578" s="92"/>
      <c r="F578" s="92"/>
      <c r="G578" s="92"/>
      <c r="I578" s="92"/>
    </row>
    <row r="579" ht="15.75" customHeight="1">
      <c r="A579" s="92"/>
      <c r="B579" s="92"/>
      <c r="C579" s="92"/>
      <c r="D579" s="92"/>
      <c r="E579" s="92"/>
      <c r="F579" s="92"/>
      <c r="G579" s="92"/>
      <c r="I579" s="92"/>
    </row>
    <row r="580" ht="15.75" customHeight="1">
      <c r="A580" s="92"/>
      <c r="B580" s="92"/>
      <c r="C580" s="92"/>
      <c r="D580" s="92"/>
      <c r="E580" s="92"/>
      <c r="F580" s="92"/>
      <c r="G580" s="92"/>
      <c r="I580" s="92"/>
    </row>
    <row r="581" ht="15.75" customHeight="1">
      <c r="A581" s="92"/>
      <c r="B581" s="92"/>
      <c r="C581" s="92"/>
      <c r="D581" s="92"/>
      <c r="E581" s="92"/>
      <c r="F581" s="92"/>
      <c r="G581" s="92"/>
      <c r="I581" s="92"/>
    </row>
    <row r="582" ht="15.75" customHeight="1">
      <c r="A582" s="92"/>
      <c r="B582" s="92"/>
      <c r="C582" s="92"/>
      <c r="D582" s="92"/>
      <c r="E582" s="92"/>
      <c r="F582" s="92"/>
      <c r="G582" s="92"/>
      <c r="I582" s="92"/>
    </row>
    <row r="583" ht="15.75" customHeight="1">
      <c r="A583" s="92"/>
      <c r="B583" s="92"/>
      <c r="C583" s="92"/>
      <c r="D583" s="92"/>
      <c r="E583" s="92"/>
      <c r="F583" s="92"/>
      <c r="G583" s="92"/>
      <c r="I583" s="92"/>
    </row>
    <row r="584" ht="15.75" customHeight="1">
      <c r="A584" s="92"/>
      <c r="B584" s="92"/>
      <c r="C584" s="92"/>
      <c r="D584" s="92"/>
      <c r="E584" s="92"/>
      <c r="F584" s="92"/>
      <c r="G584" s="92"/>
      <c r="I584" s="92"/>
    </row>
    <row r="585" ht="15.75" customHeight="1">
      <c r="A585" s="92"/>
      <c r="B585" s="92"/>
      <c r="C585" s="92"/>
      <c r="D585" s="92"/>
      <c r="E585" s="92"/>
      <c r="F585" s="92"/>
      <c r="G585" s="92"/>
      <c r="I585" s="92"/>
    </row>
    <row r="586" ht="15.75" customHeight="1">
      <c r="A586" s="92"/>
      <c r="B586" s="92"/>
      <c r="C586" s="92"/>
      <c r="D586" s="92"/>
      <c r="E586" s="92"/>
      <c r="F586" s="92"/>
      <c r="G586" s="92"/>
      <c r="I586" s="92"/>
    </row>
    <row r="587" ht="15.75" customHeight="1">
      <c r="A587" s="92"/>
      <c r="B587" s="92"/>
      <c r="C587" s="92"/>
      <c r="D587" s="92"/>
      <c r="E587" s="92"/>
      <c r="F587" s="92"/>
      <c r="G587" s="92"/>
      <c r="I587" s="92"/>
    </row>
    <row r="588" ht="15.75" customHeight="1">
      <c r="A588" s="92"/>
      <c r="B588" s="92"/>
      <c r="C588" s="92"/>
      <c r="D588" s="92"/>
      <c r="E588" s="92"/>
      <c r="F588" s="92"/>
      <c r="G588" s="92"/>
      <c r="I588" s="92"/>
    </row>
    <row r="589" ht="15.75" customHeight="1">
      <c r="A589" s="92"/>
      <c r="B589" s="92"/>
      <c r="C589" s="92"/>
      <c r="D589" s="92"/>
      <c r="E589" s="92"/>
      <c r="F589" s="92"/>
      <c r="G589" s="92"/>
      <c r="I589" s="92"/>
    </row>
    <row r="590" ht="15.75" customHeight="1">
      <c r="A590" s="92"/>
      <c r="B590" s="92"/>
      <c r="C590" s="92"/>
      <c r="D590" s="92"/>
      <c r="E590" s="92"/>
      <c r="F590" s="92"/>
      <c r="G590" s="92"/>
      <c r="I590" s="92"/>
    </row>
    <row r="591" ht="15.75" customHeight="1">
      <c r="A591" s="92"/>
      <c r="B591" s="92"/>
      <c r="C591" s="92"/>
      <c r="D591" s="92"/>
      <c r="E591" s="92"/>
      <c r="F591" s="92"/>
      <c r="G591" s="92"/>
      <c r="I591" s="92"/>
    </row>
    <row r="592" ht="15.75" customHeight="1">
      <c r="A592" s="92"/>
      <c r="B592" s="92"/>
      <c r="C592" s="92"/>
      <c r="D592" s="92"/>
      <c r="E592" s="92"/>
      <c r="F592" s="92"/>
      <c r="G592" s="92"/>
      <c r="I592" s="92"/>
    </row>
    <row r="593" ht="15.75" customHeight="1">
      <c r="A593" s="92"/>
      <c r="B593" s="92"/>
      <c r="C593" s="92"/>
      <c r="D593" s="92"/>
      <c r="E593" s="92"/>
      <c r="F593" s="92"/>
      <c r="G593" s="92"/>
      <c r="I593" s="92"/>
    </row>
    <row r="594" ht="15.75" customHeight="1">
      <c r="A594" s="92"/>
      <c r="B594" s="92"/>
      <c r="C594" s="92"/>
      <c r="D594" s="92"/>
      <c r="E594" s="92"/>
      <c r="F594" s="92"/>
      <c r="G594" s="92"/>
      <c r="I594" s="92"/>
    </row>
    <row r="595" ht="15.75" customHeight="1">
      <c r="A595" s="92"/>
      <c r="B595" s="92"/>
      <c r="C595" s="92"/>
      <c r="D595" s="92"/>
      <c r="E595" s="92"/>
      <c r="F595" s="92"/>
      <c r="G595" s="92"/>
      <c r="I595" s="92"/>
    </row>
    <row r="596" ht="15.75" customHeight="1">
      <c r="A596" s="92"/>
      <c r="B596" s="92"/>
      <c r="C596" s="92"/>
      <c r="D596" s="92"/>
      <c r="E596" s="92"/>
      <c r="F596" s="92"/>
      <c r="G596" s="92"/>
      <c r="I596" s="92"/>
    </row>
    <row r="597" ht="15.75" customHeight="1">
      <c r="A597" s="92"/>
      <c r="B597" s="92"/>
      <c r="C597" s="92"/>
      <c r="D597" s="92"/>
      <c r="E597" s="92"/>
      <c r="F597" s="92"/>
      <c r="G597" s="92"/>
      <c r="I597" s="92"/>
    </row>
    <row r="598" ht="15.75" customHeight="1">
      <c r="A598" s="92"/>
      <c r="B598" s="92"/>
      <c r="C598" s="92"/>
      <c r="D598" s="92"/>
      <c r="E598" s="92"/>
      <c r="F598" s="92"/>
      <c r="G598" s="92"/>
      <c r="I598" s="92"/>
    </row>
    <row r="599" ht="15.75" customHeight="1">
      <c r="A599" s="92"/>
      <c r="B599" s="92"/>
      <c r="C599" s="92"/>
      <c r="D599" s="92"/>
      <c r="E599" s="92"/>
      <c r="F599" s="92"/>
      <c r="G599" s="92"/>
      <c r="I599" s="92"/>
    </row>
    <row r="600" ht="15.75" customHeight="1">
      <c r="A600" s="92"/>
      <c r="B600" s="92"/>
      <c r="C600" s="92"/>
      <c r="D600" s="92"/>
      <c r="E600" s="92"/>
      <c r="F600" s="92"/>
      <c r="G600" s="92"/>
      <c r="I600" s="92"/>
    </row>
    <row r="601" ht="15.75" customHeight="1">
      <c r="A601" s="92"/>
      <c r="B601" s="92"/>
      <c r="C601" s="92"/>
      <c r="D601" s="92"/>
      <c r="E601" s="92"/>
      <c r="F601" s="92"/>
      <c r="G601" s="92"/>
      <c r="I601" s="92"/>
    </row>
    <row r="602" ht="15.75" customHeight="1">
      <c r="A602" s="92"/>
      <c r="B602" s="92"/>
      <c r="C602" s="92"/>
      <c r="D602" s="92"/>
      <c r="E602" s="92"/>
      <c r="F602" s="92"/>
      <c r="G602" s="92"/>
      <c r="I602" s="92"/>
    </row>
    <row r="603" ht="15.75" customHeight="1">
      <c r="A603" s="92"/>
      <c r="B603" s="92"/>
      <c r="C603" s="92"/>
      <c r="D603" s="92"/>
      <c r="E603" s="92"/>
      <c r="F603" s="92"/>
      <c r="G603" s="92"/>
      <c r="I603" s="92"/>
    </row>
    <row r="604" ht="15.75" customHeight="1">
      <c r="A604" s="92"/>
      <c r="B604" s="92"/>
      <c r="C604" s="92"/>
      <c r="D604" s="92"/>
      <c r="E604" s="92"/>
      <c r="F604" s="92"/>
      <c r="G604" s="92"/>
      <c r="I604" s="92"/>
    </row>
    <row r="605" ht="15.75" customHeight="1">
      <c r="A605" s="92"/>
      <c r="B605" s="92"/>
      <c r="C605" s="92"/>
      <c r="D605" s="92"/>
      <c r="E605" s="92"/>
      <c r="F605" s="92"/>
      <c r="G605" s="92"/>
      <c r="I605" s="92"/>
    </row>
    <row r="606" ht="15.75" customHeight="1">
      <c r="A606" s="92"/>
      <c r="B606" s="92"/>
      <c r="C606" s="92"/>
      <c r="D606" s="92"/>
      <c r="E606" s="92"/>
      <c r="F606" s="92"/>
      <c r="G606" s="92"/>
      <c r="I606" s="92"/>
    </row>
    <row r="607" ht="15.75" customHeight="1">
      <c r="A607" s="92"/>
      <c r="B607" s="92"/>
      <c r="C607" s="92"/>
      <c r="D607" s="92"/>
      <c r="E607" s="92"/>
      <c r="F607" s="92"/>
      <c r="G607" s="92"/>
      <c r="I607" s="92"/>
    </row>
    <row r="608" ht="15.75" customHeight="1">
      <c r="A608" s="92"/>
      <c r="B608" s="92"/>
      <c r="C608" s="92"/>
      <c r="D608" s="92"/>
      <c r="E608" s="92"/>
      <c r="F608" s="92"/>
      <c r="G608" s="92"/>
      <c r="I608" s="92"/>
    </row>
    <row r="609" ht="15.75" customHeight="1">
      <c r="A609" s="92"/>
      <c r="B609" s="92"/>
      <c r="C609" s="92"/>
      <c r="D609" s="92"/>
      <c r="E609" s="92"/>
      <c r="F609" s="92"/>
      <c r="G609" s="92"/>
      <c r="I609" s="92"/>
    </row>
    <row r="610" ht="15.75" customHeight="1">
      <c r="A610" s="92"/>
      <c r="B610" s="92"/>
      <c r="C610" s="92"/>
      <c r="D610" s="92"/>
      <c r="E610" s="92"/>
      <c r="F610" s="92"/>
      <c r="G610" s="92"/>
      <c r="I610" s="92"/>
    </row>
    <row r="611" ht="15.75" customHeight="1">
      <c r="A611" s="92"/>
      <c r="B611" s="92"/>
      <c r="C611" s="92"/>
      <c r="D611" s="92"/>
      <c r="E611" s="92"/>
      <c r="F611" s="92"/>
      <c r="G611" s="92"/>
      <c r="I611" s="92"/>
    </row>
    <row r="612" ht="15.75" customHeight="1">
      <c r="A612" s="92"/>
      <c r="B612" s="92"/>
      <c r="C612" s="92"/>
      <c r="D612" s="92"/>
      <c r="E612" s="92"/>
      <c r="F612" s="92"/>
      <c r="G612" s="92"/>
      <c r="I612" s="92"/>
    </row>
    <row r="613" ht="15.75" customHeight="1">
      <c r="A613" s="92"/>
      <c r="B613" s="92"/>
      <c r="C613" s="92"/>
      <c r="D613" s="92"/>
      <c r="E613" s="92"/>
      <c r="F613" s="92"/>
      <c r="G613" s="92"/>
      <c r="I613" s="92"/>
    </row>
    <row r="614" ht="15.75" customHeight="1">
      <c r="A614" s="92"/>
      <c r="B614" s="92"/>
      <c r="C614" s="92"/>
      <c r="D614" s="92"/>
      <c r="E614" s="92"/>
      <c r="F614" s="92"/>
      <c r="G614" s="92"/>
      <c r="I614" s="92"/>
    </row>
    <row r="615" ht="15.75" customHeight="1">
      <c r="A615" s="92"/>
      <c r="B615" s="92"/>
      <c r="C615" s="92"/>
      <c r="D615" s="92"/>
      <c r="E615" s="92"/>
      <c r="F615" s="92"/>
      <c r="G615" s="92"/>
      <c r="I615" s="92"/>
    </row>
    <row r="616" ht="15.75" customHeight="1">
      <c r="A616" s="92"/>
      <c r="B616" s="92"/>
      <c r="C616" s="92"/>
      <c r="D616" s="92"/>
      <c r="E616" s="92"/>
      <c r="F616" s="92"/>
      <c r="G616" s="92"/>
      <c r="I616" s="92"/>
    </row>
    <row r="617" ht="15.75" customHeight="1">
      <c r="A617" s="92"/>
      <c r="B617" s="92"/>
      <c r="C617" s="92"/>
      <c r="D617" s="92"/>
      <c r="E617" s="92"/>
      <c r="F617" s="92"/>
      <c r="G617" s="92"/>
      <c r="I617" s="92"/>
    </row>
    <row r="618" ht="15.75" customHeight="1">
      <c r="A618" s="92"/>
      <c r="B618" s="92"/>
      <c r="C618" s="92"/>
      <c r="D618" s="92"/>
      <c r="E618" s="92"/>
      <c r="F618" s="92"/>
      <c r="G618" s="92"/>
      <c r="I618" s="92"/>
    </row>
    <row r="619" ht="15.75" customHeight="1">
      <c r="A619" s="92"/>
      <c r="B619" s="92"/>
      <c r="C619" s="92"/>
      <c r="D619" s="92"/>
      <c r="E619" s="92"/>
      <c r="F619" s="92"/>
      <c r="G619" s="92"/>
      <c r="I619" s="92"/>
    </row>
    <row r="620" ht="15.75" customHeight="1">
      <c r="A620" s="92"/>
      <c r="B620" s="92"/>
      <c r="C620" s="92"/>
      <c r="D620" s="92"/>
      <c r="E620" s="92"/>
      <c r="F620" s="92"/>
      <c r="G620" s="92"/>
      <c r="I620" s="92"/>
    </row>
    <row r="621" ht="15.75" customHeight="1">
      <c r="A621" s="92"/>
      <c r="B621" s="92"/>
      <c r="C621" s="92"/>
      <c r="D621" s="92"/>
      <c r="E621" s="92"/>
      <c r="F621" s="92"/>
      <c r="G621" s="92"/>
      <c r="I621" s="92"/>
    </row>
    <row r="622" ht="15.75" customHeight="1">
      <c r="A622" s="92"/>
      <c r="B622" s="92"/>
      <c r="C622" s="92"/>
      <c r="D622" s="92"/>
      <c r="E622" s="92"/>
      <c r="F622" s="92"/>
      <c r="G622" s="92"/>
      <c r="I622" s="92"/>
    </row>
    <row r="623" ht="15.75" customHeight="1">
      <c r="A623" s="92"/>
      <c r="B623" s="92"/>
      <c r="C623" s="92"/>
      <c r="D623" s="92"/>
      <c r="E623" s="92"/>
      <c r="F623" s="92"/>
      <c r="G623" s="92"/>
      <c r="I623" s="92"/>
    </row>
    <row r="624" ht="15.75" customHeight="1">
      <c r="A624" s="92"/>
      <c r="B624" s="92"/>
      <c r="C624" s="92"/>
      <c r="D624" s="92"/>
      <c r="E624" s="92"/>
      <c r="F624" s="92"/>
      <c r="G624" s="92"/>
      <c r="I624" s="92"/>
    </row>
    <row r="625" ht="15.75" customHeight="1">
      <c r="A625" s="92"/>
      <c r="B625" s="92"/>
      <c r="C625" s="92"/>
      <c r="D625" s="92"/>
      <c r="E625" s="92"/>
      <c r="F625" s="92"/>
      <c r="G625" s="92"/>
      <c r="I625" s="92"/>
    </row>
    <row r="626" ht="15.75" customHeight="1">
      <c r="A626" s="92"/>
      <c r="B626" s="92"/>
      <c r="C626" s="92"/>
      <c r="D626" s="92"/>
      <c r="E626" s="92"/>
      <c r="F626" s="92"/>
      <c r="G626" s="92"/>
      <c r="I626" s="92"/>
    </row>
    <row r="627" ht="15.75" customHeight="1">
      <c r="A627" s="92"/>
      <c r="B627" s="92"/>
      <c r="C627" s="92"/>
      <c r="D627" s="92"/>
      <c r="E627" s="92"/>
      <c r="F627" s="92"/>
      <c r="G627" s="92"/>
      <c r="I627" s="92"/>
    </row>
    <row r="628" ht="15.75" customHeight="1">
      <c r="A628" s="92"/>
      <c r="B628" s="92"/>
      <c r="C628" s="92"/>
      <c r="D628" s="92"/>
      <c r="E628" s="92"/>
      <c r="F628" s="92"/>
      <c r="G628" s="92"/>
      <c r="I628" s="92"/>
    </row>
    <row r="629" ht="15.75" customHeight="1">
      <c r="A629" s="92"/>
      <c r="B629" s="92"/>
      <c r="C629" s="92"/>
      <c r="D629" s="92"/>
      <c r="E629" s="92"/>
      <c r="F629" s="92"/>
      <c r="G629" s="92"/>
      <c r="I629" s="92"/>
    </row>
    <row r="630" ht="15.75" customHeight="1">
      <c r="A630" s="92"/>
      <c r="B630" s="92"/>
      <c r="C630" s="92"/>
      <c r="D630" s="92"/>
      <c r="E630" s="92"/>
      <c r="F630" s="92"/>
      <c r="G630" s="92"/>
      <c r="I630" s="92"/>
    </row>
    <row r="631" ht="15.75" customHeight="1">
      <c r="A631" s="92"/>
      <c r="B631" s="92"/>
      <c r="C631" s="92"/>
      <c r="D631" s="92"/>
      <c r="E631" s="92"/>
      <c r="F631" s="92"/>
      <c r="G631" s="92"/>
      <c r="I631" s="92"/>
    </row>
    <row r="632" ht="15.75" customHeight="1">
      <c r="A632" s="92"/>
      <c r="B632" s="92"/>
      <c r="C632" s="92"/>
      <c r="D632" s="92"/>
      <c r="E632" s="92"/>
      <c r="F632" s="92"/>
      <c r="G632" s="92"/>
      <c r="I632" s="92"/>
    </row>
    <row r="633" ht="15.75" customHeight="1">
      <c r="A633" s="92"/>
      <c r="B633" s="92"/>
      <c r="C633" s="92"/>
      <c r="D633" s="92"/>
      <c r="E633" s="92"/>
      <c r="F633" s="92"/>
      <c r="G633" s="92"/>
      <c r="I633" s="92"/>
    </row>
    <row r="634" ht="15.75" customHeight="1">
      <c r="A634" s="92"/>
      <c r="B634" s="92"/>
      <c r="C634" s="92"/>
      <c r="D634" s="92"/>
      <c r="E634" s="92"/>
      <c r="F634" s="92"/>
      <c r="G634" s="92"/>
      <c r="I634" s="92"/>
    </row>
    <row r="635" ht="15.75" customHeight="1">
      <c r="A635" s="92"/>
      <c r="B635" s="92"/>
      <c r="C635" s="92"/>
      <c r="D635" s="92"/>
      <c r="E635" s="92"/>
      <c r="F635" s="92"/>
      <c r="G635" s="92"/>
      <c r="I635" s="92"/>
    </row>
    <row r="636" ht="15.75" customHeight="1">
      <c r="A636" s="92"/>
      <c r="B636" s="92"/>
      <c r="C636" s="92"/>
      <c r="D636" s="92"/>
      <c r="E636" s="92"/>
      <c r="F636" s="92"/>
      <c r="G636" s="92"/>
      <c r="I636" s="92"/>
    </row>
    <row r="637" ht="15.75" customHeight="1">
      <c r="A637" s="92"/>
      <c r="B637" s="92"/>
      <c r="C637" s="92"/>
      <c r="D637" s="92"/>
      <c r="E637" s="92"/>
      <c r="F637" s="92"/>
      <c r="G637" s="92"/>
      <c r="I637" s="92"/>
    </row>
    <row r="638" ht="15.75" customHeight="1">
      <c r="A638" s="92"/>
      <c r="B638" s="92"/>
      <c r="C638" s="92"/>
      <c r="D638" s="92"/>
      <c r="E638" s="92"/>
      <c r="F638" s="92"/>
      <c r="G638" s="92"/>
      <c r="I638" s="92"/>
    </row>
    <row r="639" ht="15.75" customHeight="1">
      <c r="A639" s="92"/>
      <c r="B639" s="92"/>
      <c r="C639" s="92"/>
      <c r="D639" s="92"/>
      <c r="E639" s="92"/>
      <c r="F639" s="92"/>
      <c r="G639" s="92"/>
      <c r="I639" s="92"/>
    </row>
    <row r="640" ht="15.75" customHeight="1">
      <c r="A640" s="92"/>
      <c r="B640" s="92"/>
      <c r="C640" s="92"/>
      <c r="D640" s="92"/>
      <c r="E640" s="92"/>
      <c r="F640" s="92"/>
      <c r="G640" s="92"/>
      <c r="I640" s="92"/>
    </row>
    <row r="641" ht="15.75" customHeight="1">
      <c r="A641" s="92"/>
      <c r="B641" s="92"/>
      <c r="C641" s="92"/>
      <c r="D641" s="92"/>
      <c r="E641" s="92"/>
      <c r="F641" s="92"/>
      <c r="G641" s="92"/>
      <c r="I641" s="92"/>
    </row>
    <row r="642" ht="15.75" customHeight="1">
      <c r="A642" s="92"/>
      <c r="B642" s="92"/>
      <c r="C642" s="92"/>
      <c r="D642" s="92"/>
      <c r="E642" s="92"/>
      <c r="F642" s="92"/>
      <c r="G642" s="92"/>
      <c r="I642" s="92"/>
    </row>
    <row r="643" ht="15.75" customHeight="1">
      <c r="A643" s="92"/>
      <c r="B643" s="92"/>
      <c r="C643" s="92"/>
      <c r="D643" s="92"/>
      <c r="E643" s="92"/>
      <c r="F643" s="92"/>
      <c r="G643" s="92"/>
      <c r="I643" s="92"/>
    </row>
    <row r="644" ht="15.75" customHeight="1">
      <c r="A644" s="92"/>
      <c r="B644" s="92"/>
      <c r="C644" s="92"/>
      <c r="D644" s="92"/>
      <c r="E644" s="92"/>
      <c r="F644" s="92"/>
      <c r="G644" s="92"/>
      <c r="I644" s="92"/>
    </row>
    <row r="645" ht="15.75" customHeight="1">
      <c r="A645" s="92"/>
      <c r="B645" s="92"/>
      <c r="C645" s="92"/>
      <c r="D645" s="92"/>
      <c r="E645" s="92"/>
      <c r="F645" s="92"/>
      <c r="G645" s="92"/>
      <c r="I645" s="92"/>
    </row>
    <row r="646" ht="15.75" customHeight="1">
      <c r="A646" s="92"/>
      <c r="B646" s="92"/>
      <c r="C646" s="92"/>
      <c r="D646" s="92"/>
      <c r="E646" s="92"/>
      <c r="F646" s="92"/>
      <c r="G646" s="92"/>
      <c r="I646" s="92"/>
    </row>
    <row r="647" ht="15.75" customHeight="1">
      <c r="A647" s="92"/>
      <c r="B647" s="92"/>
      <c r="C647" s="92"/>
      <c r="D647" s="92"/>
      <c r="E647" s="92"/>
      <c r="F647" s="92"/>
      <c r="G647" s="92"/>
      <c r="I647" s="92"/>
    </row>
    <row r="648" ht="15.75" customHeight="1">
      <c r="A648" s="92"/>
      <c r="B648" s="92"/>
      <c r="C648" s="92"/>
      <c r="D648" s="92"/>
      <c r="E648" s="92"/>
      <c r="F648" s="92"/>
      <c r="G648" s="92"/>
      <c r="I648" s="92"/>
    </row>
    <row r="649" ht="15.75" customHeight="1">
      <c r="A649" s="92"/>
      <c r="B649" s="92"/>
      <c r="C649" s="92"/>
      <c r="D649" s="92"/>
      <c r="E649" s="92"/>
      <c r="F649" s="92"/>
      <c r="G649" s="92"/>
      <c r="I649" s="92"/>
    </row>
    <row r="650" ht="15.75" customHeight="1">
      <c r="A650" s="92"/>
      <c r="B650" s="92"/>
      <c r="C650" s="92"/>
      <c r="D650" s="92"/>
      <c r="E650" s="92"/>
      <c r="F650" s="92"/>
      <c r="G650" s="92"/>
      <c r="I650" s="92"/>
    </row>
    <row r="651" ht="15.75" customHeight="1">
      <c r="A651" s="92"/>
      <c r="B651" s="92"/>
      <c r="C651" s="92"/>
      <c r="D651" s="92"/>
      <c r="E651" s="92"/>
      <c r="F651" s="92"/>
      <c r="G651" s="92"/>
      <c r="I651" s="92"/>
    </row>
    <row r="652" ht="15.75" customHeight="1">
      <c r="A652" s="92"/>
      <c r="B652" s="92"/>
      <c r="C652" s="92"/>
      <c r="D652" s="92"/>
      <c r="E652" s="92"/>
      <c r="F652" s="92"/>
      <c r="G652" s="92"/>
      <c r="I652" s="92"/>
    </row>
    <row r="653" ht="15.75" customHeight="1">
      <c r="A653" s="92"/>
      <c r="B653" s="92"/>
      <c r="C653" s="92"/>
      <c r="D653" s="92"/>
      <c r="E653" s="92"/>
      <c r="F653" s="92"/>
      <c r="G653" s="92"/>
      <c r="I653" s="92"/>
    </row>
    <row r="654" ht="15.75" customHeight="1">
      <c r="A654" s="92"/>
      <c r="B654" s="92"/>
      <c r="C654" s="92"/>
      <c r="D654" s="92"/>
      <c r="E654" s="92"/>
      <c r="F654" s="92"/>
      <c r="G654" s="92"/>
      <c r="I654" s="92"/>
    </row>
    <row r="655" ht="15.75" customHeight="1">
      <c r="A655" s="92"/>
      <c r="B655" s="92"/>
      <c r="C655" s="92"/>
      <c r="D655" s="92"/>
      <c r="E655" s="92"/>
      <c r="F655" s="92"/>
      <c r="G655" s="92"/>
      <c r="I655" s="92"/>
    </row>
    <row r="656" ht="15.75" customHeight="1">
      <c r="A656" s="92"/>
      <c r="B656" s="92"/>
      <c r="C656" s="92"/>
      <c r="D656" s="92"/>
      <c r="E656" s="92"/>
      <c r="F656" s="92"/>
      <c r="G656" s="92"/>
      <c r="I656" s="92"/>
    </row>
    <row r="657" ht="15.75" customHeight="1">
      <c r="A657" s="92"/>
      <c r="B657" s="92"/>
      <c r="C657" s="92"/>
      <c r="D657" s="92"/>
      <c r="E657" s="92"/>
      <c r="F657" s="92"/>
      <c r="G657" s="92"/>
      <c r="I657" s="92"/>
    </row>
    <row r="658" ht="15.75" customHeight="1">
      <c r="A658" s="92"/>
      <c r="B658" s="92"/>
      <c r="C658" s="92"/>
      <c r="D658" s="92"/>
      <c r="E658" s="92"/>
      <c r="F658" s="92"/>
      <c r="G658" s="92"/>
      <c r="I658" s="92"/>
    </row>
    <row r="659" ht="15.75" customHeight="1">
      <c r="A659" s="92"/>
      <c r="B659" s="92"/>
      <c r="C659" s="92"/>
      <c r="D659" s="92"/>
      <c r="E659" s="92"/>
      <c r="F659" s="92"/>
      <c r="G659" s="92"/>
      <c r="I659" s="92"/>
    </row>
    <row r="660" ht="15.75" customHeight="1">
      <c r="A660" s="92"/>
      <c r="B660" s="92"/>
      <c r="C660" s="92"/>
      <c r="D660" s="92"/>
      <c r="E660" s="92"/>
      <c r="F660" s="92"/>
      <c r="G660" s="92"/>
      <c r="I660" s="92"/>
    </row>
    <row r="661" ht="15.75" customHeight="1">
      <c r="A661" s="92"/>
      <c r="B661" s="92"/>
      <c r="C661" s="92"/>
      <c r="D661" s="92"/>
      <c r="E661" s="92"/>
      <c r="F661" s="92"/>
      <c r="G661" s="92"/>
      <c r="I661" s="92"/>
    </row>
    <row r="662" ht="15.75" customHeight="1">
      <c r="A662" s="92"/>
      <c r="B662" s="92"/>
      <c r="C662" s="92"/>
      <c r="D662" s="92"/>
      <c r="E662" s="92"/>
      <c r="F662" s="92"/>
      <c r="G662" s="92"/>
      <c r="I662" s="92"/>
    </row>
    <row r="663" ht="15.75" customHeight="1">
      <c r="A663" s="92"/>
      <c r="B663" s="92"/>
      <c r="C663" s="92"/>
      <c r="D663" s="92"/>
      <c r="E663" s="92"/>
      <c r="F663" s="92"/>
      <c r="G663" s="92"/>
      <c r="I663" s="92"/>
    </row>
    <row r="664" ht="15.75" customHeight="1">
      <c r="A664" s="92"/>
      <c r="B664" s="92"/>
      <c r="C664" s="92"/>
      <c r="D664" s="92"/>
      <c r="E664" s="92"/>
      <c r="F664" s="92"/>
      <c r="G664" s="92"/>
      <c r="I664" s="92"/>
    </row>
    <row r="665" ht="15.75" customHeight="1">
      <c r="A665" s="92"/>
      <c r="B665" s="92"/>
      <c r="C665" s="92"/>
      <c r="D665" s="92"/>
      <c r="E665" s="92"/>
      <c r="F665" s="92"/>
      <c r="G665" s="92"/>
      <c r="I665" s="92"/>
    </row>
    <row r="666" ht="15.75" customHeight="1">
      <c r="A666" s="92"/>
      <c r="B666" s="92"/>
      <c r="C666" s="92"/>
      <c r="D666" s="92"/>
      <c r="E666" s="92"/>
      <c r="F666" s="92"/>
      <c r="G666" s="92"/>
      <c r="I666" s="92"/>
    </row>
    <row r="667" ht="15.75" customHeight="1">
      <c r="A667" s="92"/>
      <c r="B667" s="92"/>
      <c r="C667" s="92"/>
      <c r="D667" s="92"/>
      <c r="E667" s="92"/>
      <c r="F667" s="92"/>
      <c r="G667" s="92"/>
      <c r="I667" s="92"/>
    </row>
    <row r="668" ht="15.75" customHeight="1">
      <c r="A668" s="92"/>
      <c r="B668" s="92"/>
      <c r="C668" s="92"/>
      <c r="D668" s="92"/>
      <c r="E668" s="92"/>
      <c r="F668" s="92"/>
      <c r="G668" s="92"/>
      <c r="I668" s="92"/>
    </row>
    <row r="669" ht="15.75" customHeight="1">
      <c r="A669" s="92"/>
      <c r="B669" s="92"/>
      <c r="C669" s="92"/>
      <c r="D669" s="92"/>
      <c r="E669" s="92"/>
      <c r="F669" s="92"/>
      <c r="G669" s="92"/>
      <c r="I669" s="92"/>
    </row>
    <row r="670" ht="15.75" customHeight="1">
      <c r="A670" s="92"/>
      <c r="B670" s="92"/>
      <c r="C670" s="92"/>
      <c r="D670" s="92"/>
      <c r="E670" s="92"/>
      <c r="F670" s="92"/>
      <c r="G670" s="92"/>
      <c r="I670" s="92"/>
    </row>
    <row r="671" ht="15.75" customHeight="1">
      <c r="A671" s="92"/>
      <c r="B671" s="92"/>
      <c r="C671" s="92"/>
      <c r="D671" s="92"/>
      <c r="E671" s="92"/>
      <c r="F671" s="92"/>
      <c r="G671" s="92"/>
      <c r="I671" s="92"/>
    </row>
    <row r="672" ht="15.75" customHeight="1">
      <c r="A672" s="92"/>
      <c r="B672" s="92"/>
      <c r="C672" s="92"/>
      <c r="D672" s="92"/>
      <c r="E672" s="92"/>
      <c r="F672" s="92"/>
      <c r="G672" s="92"/>
      <c r="I672" s="92"/>
    </row>
    <row r="673" ht="15.75" customHeight="1">
      <c r="A673" s="92"/>
      <c r="B673" s="92"/>
      <c r="C673" s="92"/>
      <c r="D673" s="92"/>
      <c r="E673" s="92"/>
      <c r="F673" s="92"/>
      <c r="G673" s="92"/>
      <c r="I673" s="92"/>
    </row>
    <row r="674" ht="15.75" customHeight="1">
      <c r="A674" s="92"/>
      <c r="B674" s="92"/>
      <c r="C674" s="92"/>
      <c r="D674" s="92"/>
      <c r="E674" s="92"/>
      <c r="F674" s="92"/>
      <c r="G674" s="92"/>
      <c r="I674" s="92"/>
    </row>
    <row r="675" ht="15.75" customHeight="1">
      <c r="A675" s="92"/>
      <c r="B675" s="92"/>
      <c r="C675" s="92"/>
      <c r="D675" s="92"/>
      <c r="E675" s="92"/>
      <c r="F675" s="92"/>
      <c r="G675" s="92"/>
      <c r="I675" s="92"/>
    </row>
    <row r="676" ht="15.75" customHeight="1">
      <c r="A676" s="92"/>
      <c r="B676" s="92"/>
      <c r="C676" s="92"/>
      <c r="D676" s="92"/>
      <c r="E676" s="92"/>
      <c r="F676" s="92"/>
      <c r="G676" s="92"/>
      <c r="I676" s="92"/>
    </row>
    <row r="677" ht="15.75" customHeight="1">
      <c r="A677" s="92"/>
      <c r="B677" s="92"/>
      <c r="C677" s="92"/>
      <c r="D677" s="92"/>
      <c r="E677" s="92"/>
      <c r="F677" s="92"/>
      <c r="G677" s="92"/>
      <c r="I677" s="92"/>
    </row>
    <row r="678" ht="15.75" customHeight="1">
      <c r="A678" s="92"/>
      <c r="B678" s="92"/>
      <c r="C678" s="92"/>
      <c r="D678" s="92"/>
      <c r="E678" s="92"/>
      <c r="F678" s="92"/>
      <c r="G678" s="92"/>
      <c r="I678" s="92"/>
    </row>
    <row r="679" ht="15.75" customHeight="1">
      <c r="A679" s="92"/>
      <c r="B679" s="92"/>
      <c r="C679" s="92"/>
      <c r="D679" s="92"/>
      <c r="E679" s="92"/>
      <c r="F679" s="92"/>
      <c r="G679" s="92"/>
      <c r="I679" s="92"/>
    </row>
    <row r="680" ht="15.75" customHeight="1">
      <c r="A680" s="92"/>
      <c r="B680" s="92"/>
      <c r="C680" s="92"/>
      <c r="D680" s="92"/>
      <c r="E680" s="92"/>
      <c r="F680" s="92"/>
      <c r="G680" s="92"/>
      <c r="I680" s="92"/>
    </row>
    <row r="681" ht="15.75" customHeight="1">
      <c r="A681" s="92"/>
      <c r="B681" s="92"/>
      <c r="C681" s="92"/>
      <c r="D681" s="92"/>
      <c r="E681" s="92"/>
      <c r="F681" s="92"/>
      <c r="G681" s="92"/>
      <c r="I681" s="92"/>
    </row>
    <row r="682" ht="15.75" customHeight="1">
      <c r="A682" s="92"/>
      <c r="B682" s="92"/>
      <c r="C682" s="92"/>
      <c r="D682" s="92"/>
      <c r="E682" s="92"/>
      <c r="F682" s="92"/>
      <c r="G682" s="92"/>
      <c r="I682" s="92"/>
    </row>
    <row r="683" ht="15.75" customHeight="1">
      <c r="A683" s="92"/>
      <c r="B683" s="92"/>
      <c r="C683" s="92"/>
      <c r="D683" s="92"/>
      <c r="E683" s="92"/>
      <c r="F683" s="92"/>
      <c r="G683" s="92"/>
      <c r="I683" s="92"/>
    </row>
    <row r="684" ht="15.75" customHeight="1">
      <c r="A684" s="92"/>
      <c r="B684" s="92"/>
      <c r="C684" s="92"/>
      <c r="D684" s="92"/>
      <c r="E684" s="92"/>
      <c r="F684" s="92"/>
      <c r="G684" s="92"/>
      <c r="I684" s="92"/>
    </row>
    <row r="685" ht="15.75" customHeight="1">
      <c r="A685" s="92"/>
      <c r="B685" s="92"/>
      <c r="C685" s="92"/>
      <c r="D685" s="92"/>
      <c r="E685" s="92"/>
      <c r="F685" s="92"/>
      <c r="G685" s="92"/>
      <c r="I685" s="92"/>
    </row>
    <row r="686" ht="15.75" customHeight="1">
      <c r="A686" s="92"/>
      <c r="B686" s="92"/>
      <c r="C686" s="92"/>
      <c r="D686" s="92"/>
      <c r="E686" s="92"/>
      <c r="F686" s="92"/>
      <c r="G686" s="92"/>
      <c r="I686" s="92"/>
    </row>
    <row r="687" ht="15.75" customHeight="1">
      <c r="A687" s="92"/>
      <c r="B687" s="92"/>
      <c r="C687" s="92"/>
      <c r="D687" s="92"/>
      <c r="E687" s="92"/>
      <c r="F687" s="92"/>
      <c r="G687" s="92"/>
      <c r="I687" s="92"/>
    </row>
    <row r="688" ht="15.75" customHeight="1">
      <c r="A688" s="92"/>
      <c r="B688" s="92"/>
      <c r="C688" s="92"/>
      <c r="D688" s="92"/>
      <c r="E688" s="92"/>
      <c r="F688" s="92"/>
      <c r="G688" s="92"/>
      <c r="I688" s="92"/>
    </row>
    <row r="689" ht="15.75" customHeight="1">
      <c r="A689" s="92"/>
      <c r="B689" s="92"/>
      <c r="C689" s="92"/>
      <c r="D689" s="92"/>
      <c r="E689" s="92"/>
      <c r="F689" s="92"/>
      <c r="G689" s="92"/>
      <c r="I689" s="92"/>
    </row>
    <row r="690" ht="15.75" customHeight="1">
      <c r="A690" s="92"/>
      <c r="B690" s="92"/>
      <c r="C690" s="92"/>
      <c r="D690" s="92"/>
      <c r="E690" s="92"/>
      <c r="F690" s="92"/>
      <c r="G690" s="92"/>
      <c r="I690" s="92"/>
    </row>
    <row r="691" ht="15.75" customHeight="1">
      <c r="A691" s="92"/>
      <c r="B691" s="92"/>
      <c r="C691" s="92"/>
      <c r="D691" s="92"/>
      <c r="E691" s="92"/>
      <c r="F691" s="92"/>
      <c r="G691" s="92"/>
      <c r="I691" s="92"/>
    </row>
    <row r="692" ht="15.75" customHeight="1">
      <c r="A692" s="92"/>
      <c r="B692" s="92"/>
      <c r="C692" s="92"/>
      <c r="D692" s="92"/>
      <c r="E692" s="92"/>
      <c r="F692" s="92"/>
      <c r="G692" s="92"/>
      <c r="I692" s="92"/>
    </row>
    <row r="693" ht="15.75" customHeight="1">
      <c r="A693" s="92"/>
      <c r="B693" s="92"/>
      <c r="C693" s="92"/>
      <c r="D693" s="92"/>
      <c r="E693" s="92"/>
      <c r="F693" s="92"/>
      <c r="G693" s="92"/>
      <c r="I693" s="92"/>
    </row>
    <row r="694" ht="15.75" customHeight="1">
      <c r="A694" s="92"/>
      <c r="B694" s="92"/>
      <c r="C694" s="92"/>
      <c r="D694" s="92"/>
      <c r="E694" s="92"/>
      <c r="F694" s="92"/>
      <c r="G694" s="92"/>
      <c r="I694" s="92"/>
    </row>
    <row r="695" ht="15.75" customHeight="1">
      <c r="A695" s="92"/>
      <c r="B695" s="92"/>
      <c r="C695" s="92"/>
      <c r="D695" s="92"/>
      <c r="E695" s="92"/>
      <c r="F695" s="92"/>
      <c r="G695" s="92"/>
      <c r="I695" s="92"/>
    </row>
    <row r="696" ht="15.75" customHeight="1">
      <c r="A696" s="92"/>
      <c r="B696" s="92"/>
      <c r="C696" s="92"/>
      <c r="D696" s="92"/>
      <c r="E696" s="92"/>
      <c r="F696" s="92"/>
      <c r="G696" s="92"/>
      <c r="I696" s="92"/>
    </row>
    <row r="697" ht="15.75" customHeight="1">
      <c r="A697" s="92"/>
      <c r="B697" s="92"/>
      <c r="C697" s="92"/>
      <c r="D697" s="92"/>
      <c r="E697" s="92"/>
      <c r="F697" s="92"/>
      <c r="G697" s="92"/>
      <c r="I697" s="92"/>
    </row>
    <row r="698" ht="15.75" customHeight="1">
      <c r="A698" s="92"/>
      <c r="B698" s="92"/>
      <c r="C698" s="92"/>
      <c r="D698" s="92"/>
      <c r="E698" s="92"/>
      <c r="F698" s="92"/>
      <c r="G698" s="92"/>
      <c r="I698" s="92"/>
    </row>
    <row r="699" ht="15.75" customHeight="1">
      <c r="A699" s="92"/>
      <c r="B699" s="92"/>
      <c r="C699" s="92"/>
      <c r="D699" s="92"/>
      <c r="E699" s="92"/>
      <c r="F699" s="92"/>
      <c r="G699" s="92"/>
      <c r="I699" s="92"/>
    </row>
    <row r="700" ht="15.75" customHeight="1">
      <c r="A700" s="92"/>
      <c r="B700" s="92"/>
      <c r="C700" s="92"/>
      <c r="D700" s="92"/>
      <c r="E700" s="92"/>
      <c r="F700" s="92"/>
      <c r="G700" s="92"/>
      <c r="I700" s="92"/>
    </row>
    <row r="701" ht="15.75" customHeight="1">
      <c r="A701" s="92"/>
      <c r="B701" s="92"/>
      <c r="C701" s="92"/>
      <c r="D701" s="92"/>
      <c r="E701" s="92"/>
      <c r="F701" s="92"/>
      <c r="G701" s="92"/>
      <c r="I701" s="92"/>
    </row>
    <row r="702" ht="15.75" customHeight="1">
      <c r="A702" s="92"/>
      <c r="B702" s="92"/>
      <c r="C702" s="92"/>
      <c r="D702" s="92"/>
      <c r="E702" s="92"/>
      <c r="F702" s="92"/>
      <c r="G702" s="92"/>
      <c r="I702" s="92"/>
    </row>
    <row r="703" ht="15.75" customHeight="1">
      <c r="A703" s="92"/>
      <c r="B703" s="92"/>
      <c r="C703" s="92"/>
      <c r="D703" s="92"/>
      <c r="E703" s="92"/>
      <c r="F703" s="92"/>
      <c r="G703" s="92"/>
      <c r="I703" s="92"/>
    </row>
    <row r="704" ht="15.75" customHeight="1">
      <c r="A704" s="92"/>
      <c r="B704" s="92"/>
      <c r="C704" s="92"/>
      <c r="D704" s="92"/>
      <c r="E704" s="92"/>
      <c r="F704" s="92"/>
      <c r="G704" s="92"/>
      <c r="I704" s="92"/>
    </row>
    <row r="705" ht="15.75" customHeight="1">
      <c r="A705" s="92"/>
      <c r="B705" s="92"/>
      <c r="C705" s="92"/>
      <c r="D705" s="92"/>
      <c r="E705" s="92"/>
      <c r="F705" s="92"/>
      <c r="G705" s="92"/>
      <c r="I705" s="92"/>
    </row>
    <row r="706" ht="15.75" customHeight="1">
      <c r="A706" s="92"/>
      <c r="B706" s="92"/>
      <c r="C706" s="92"/>
      <c r="D706" s="92"/>
      <c r="E706" s="92"/>
      <c r="F706" s="92"/>
      <c r="G706" s="92"/>
      <c r="I706" s="92"/>
    </row>
    <row r="707" ht="15.75" customHeight="1">
      <c r="A707" s="92"/>
      <c r="B707" s="92"/>
      <c r="C707" s="92"/>
      <c r="D707" s="92"/>
      <c r="E707" s="92"/>
      <c r="F707" s="92"/>
      <c r="G707" s="92"/>
      <c r="I707" s="92"/>
    </row>
    <row r="708" ht="15.75" customHeight="1">
      <c r="A708" s="92"/>
      <c r="B708" s="92"/>
      <c r="C708" s="92"/>
      <c r="D708" s="92"/>
      <c r="E708" s="92"/>
      <c r="F708" s="92"/>
      <c r="G708" s="92"/>
      <c r="I708" s="92"/>
    </row>
    <row r="709" ht="15.75" customHeight="1">
      <c r="A709" s="92"/>
      <c r="B709" s="92"/>
      <c r="C709" s="92"/>
      <c r="D709" s="92"/>
      <c r="E709" s="92"/>
      <c r="F709" s="92"/>
      <c r="G709" s="92"/>
      <c r="I709" s="92"/>
    </row>
    <row r="710" ht="15.75" customHeight="1">
      <c r="A710" s="92"/>
      <c r="B710" s="92"/>
      <c r="C710" s="92"/>
      <c r="D710" s="92"/>
      <c r="E710" s="92"/>
      <c r="F710" s="92"/>
      <c r="G710" s="92"/>
      <c r="I710" s="92"/>
    </row>
    <row r="711" ht="15.75" customHeight="1">
      <c r="A711" s="92"/>
      <c r="B711" s="92"/>
      <c r="C711" s="92"/>
      <c r="D711" s="92"/>
      <c r="E711" s="92"/>
      <c r="F711" s="92"/>
      <c r="G711" s="92"/>
      <c r="I711" s="92"/>
    </row>
    <row r="712" ht="15.75" customHeight="1">
      <c r="A712" s="92"/>
      <c r="B712" s="92"/>
      <c r="C712" s="92"/>
      <c r="D712" s="92"/>
      <c r="E712" s="92"/>
      <c r="F712" s="92"/>
      <c r="G712" s="92"/>
      <c r="I712" s="92"/>
    </row>
    <row r="713" ht="15.75" customHeight="1">
      <c r="A713" s="92"/>
      <c r="B713" s="92"/>
      <c r="C713" s="92"/>
      <c r="D713" s="92"/>
      <c r="E713" s="92"/>
      <c r="F713" s="92"/>
      <c r="G713" s="92"/>
      <c r="I713" s="92"/>
    </row>
    <row r="714" ht="15.75" customHeight="1">
      <c r="A714" s="92"/>
      <c r="B714" s="92"/>
      <c r="C714" s="92"/>
      <c r="D714" s="92"/>
      <c r="E714" s="92"/>
      <c r="F714" s="92"/>
      <c r="G714" s="92"/>
      <c r="I714" s="92"/>
    </row>
    <row r="715" ht="15.75" customHeight="1">
      <c r="A715" s="92"/>
      <c r="B715" s="92"/>
      <c r="C715" s="92"/>
      <c r="D715" s="92"/>
      <c r="E715" s="92"/>
      <c r="F715" s="92"/>
      <c r="G715" s="92"/>
      <c r="I715" s="92"/>
    </row>
    <row r="716" ht="15.75" customHeight="1">
      <c r="A716" s="92"/>
      <c r="B716" s="92"/>
      <c r="C716" s="92"/>
      <c r="D716" s="92"/>
      <c r="E716" s="92"/>
      <c r="F716" s="92"/>
      <c r="G716" s="92"/>
      <c r="I716" s="92"/>
    </row>
    <row r="717" ht="15.75" customHeight="1">
      <c r="A717" s="92"/>
      <c r="B717" s="92"/>
      <c r="C717" s="92"/>
      <c r="D717" s="92"/>
      <c r="E717" s="92"/>
      <c r="F717" s="92"/>
      <c r="G717" s="92"/>
      <c r="I717" s="92"/>
    </row>
    <row r="718" ht="15.75" customHeight="1">
      <c r="A718" s="92"/>
      <c r="B718" s="92"/>
      <c r="C718" s="92"/>
      <c r="D718" s="92"/>
      <c r="E718" s="92"/>
      <c r="F718" s="92"/>
      <c r="G718" s="92"/>
      <c r="I718" s="92"/>
    </row>
    <row r="719" ht="15.75" customHeight="1">
      <c r="A719" s="92"/>
      <c r="B719" s="92"/>
      <c r="C719" s="92"/>
      <c r="D719" s="92"/>
      <c r="E719" s="92"/>
      <c r="F719" s="92"/>
      <c r="G719" s="92"/>
      <c r="I719" s="92"/>
    </row>
    <row r="720" ht="15.75" customHeight="1">
      <c r="A720" s="92"/>
      <c r="B720" s="92"/>
      <c r="C720" s="92"/>
      <c r="D720" s="92"/>
      <c r="E720" s="92"/>
      <c r="F720" s="92"/>
      <c r="G720" s="92"/>
      <c r="I720" s="92"/>
    </row>
    <row r="721" ht="15.75" customHeight="1">
      <c r="A721" s="92"/>
      <c r="B721" s="92"/>
      <c r="C721" s="92"/>
      <c r="D721" s="92"/>
      <c r="E721" s="92"/>
      <c r="F721" s="92"/>
      <c r="G721" s="92"/>
      <c r="I721" s="92"/>
    </row>
    <row r="722" ht="15.75" customHeight="1">
      <c r="A722" s="92"/>
      <c r="B722" s="92"/>
      <c r="C722" s="92"/>
      <c r="D722" s="92"/>
      <c r="E722" s="92"/>
      <c r="F722" s="92"/>
      <c r="G722" s="92"/>
      <c r="I722" s="92"/>
    </row>
    <row r="723" ht="15.75" customHeight="1">
      <c r="A723" s="92"/>
      <c r="B723" s="92"/>
      <c r="C723" s="92"/>
      <c r="D723" s="92"/>
      <c r="E723" s="92"/>
      <c r="F723" s="92"/>
      <c r="G723" s="92"/>
      <c r="I723" s="92"/>
    </row>
    <row r="724" ht="15.75" customHeight="1">
      <c r="A724" s="92"/>
      <c r="B724" s="92"/>
      <c r="C724" s="92"/>
      <c r="D724" s="92"/>
      <c r="E724" s="92"/>
      <c r="F724" s="92"/>
      <c r="G724" s="92"/>
      <c r="I724" s="92"/>
    </row>
    <row r="725" ht="15.75" customHeight="1">
      <c r="A725" s="92"/>
      <c r="B725" s="92"/>
      <c r="C725" s="92"/>
      <c r="D725" s="92"/>
      <c r="E725" s="92"/>
      <c r="F725" s="92"/>
      <c r="G725" s="92"/>
      <c r="I725" s="92"/>
    </row>
    <row r="726" ht="15.75" customHeight="1">
      <c r="A726" s="92"/>
      <c r="B726" s="92"/>
      <c r="C726" s="92"/>
      <c r="D726" s="92"/>
      <c r="E726" s="92"/>
      <c r="F726" s="92"/>
      <c r="G726" s="92"/>
      <c r="I726" s="92"/>
    </row>
    <row r="727" ht="15.75" customHeight="1">
      <c r="A727" s="92"/>
      <c r="B727" s="92"/>
      <c r="C727" s="92"/>
      <c r="D727" s="92"/>
      <c r="E727" s="92"/>
      <c r="F727" s="92"/>
      <c r="G727" s="92"/>
      <c r="I727" s="92"/>
    </row>
    <row r="728" ht="15.75" customHeight="1">
      <c r="A728" s="92"/>
      <c r="B728" s="92"/>
      <c r="C728" s="92"/>
      <c r="D728" s="92"/>
      <c r="E728" s="92"/>
      <c r="F728" s="92"/>
      <c r="G728" s="92"/>
      <c r="I728" s="92"/>
    </row>
    <row r="729" ht="15.75" customHeight="1">
      <c r="A729" s="92"/>
      <c r="B729" s="92"/>
      <c r="C729" s="92"/>
      <c r="D729" s="92"/>
      <c r="E729" s="92"/>
      <c r="F729" s="92"/>
      <c r="G729" s="92"/>
      <c r="I729" s="92"/>
    </row>
    <row r="730" ht="15.75" customHeight="1">
      <c r="A730" s="92"/>
      <c r="B730" s="92"/>
      <c r="C730" s="92"/>
      <c r="D730" s="92"/>
      <c r="E730" s="92"/>
      <c r="F730" s="92"/>
      <c r="G730" s="92"/>
      <c r="I730" s="92"/>
    </row>
    <row r="731" ht="15.75" customHeight="1">
      <c r="A731" s="92"/>
      <c r="B731" s="92"/>
      <c r="C731" s="92"/>
      <c r="D731" s="92"/>
      <c r="E731" s="92"/>
      <c r="F731" s="92"/>
      <c r="G731" s="92"/>
      <c r="I731" s="92"/>
    </row>
    <row r="732" ht="15.75" customHeight="1">
      <c r="A732" s="92"/>
      <c r="B732" s="92"/>
      <c r="C732" s="92"/>
      <c r="D732" s="92"/>
      <c r="E732" s="92"/>
      <c r="F732" s="92"/>
      <c r="G732" s="92"/>
      <c r="I732" s="92"/>
    </row>
    <row r="733" ht="15.75" customHeight="1">
      <c r="A733" s="92"/>
      <c r="B733" s="92"/>
      <c r="C733" s="92"/>
      <c r="D733" s="92"/>
      <c r="E733" s="92"/>
      <c r="F733" s="92"/>
      <c r="G733" s="92"/>
      <c r="I733" s="92"/>
    </row>
    <row r="734" ht="15.75" customHeight="1">
      <c r="A734" s="92"/>
      <c r="B734" s="92"/>
      <c r="C734" s="92"/>
      <c r="D734" s="92"/>
      <c r="E734" s="92"/>
      <c r="F734" s="92"/>
      <c r="G734" s="92"/>
      <c r="I734" s="92"/>
    </row>
    <row r="735" ht="15.75" customHeight="1">
      <c r="A735" s="92"/>
      <c r="B735" s="92"/>
      <c r="C735" s="92"/>
      <c r="D735" s="92"/>
      <c r="E735" s="92"/>
      <c r="F735" s="92"/>
      <c r="G735" s="92"/>
      <c r="I735" s="92"/>
    </row>
    <row r="736" ht="15.75" customHeight="1">
      <c r="A736" s="92"/>
      <c r="B736" s="92"/>
      <c r="C736" s="92"/>
      <c r="D736" s="92"/>
      <c r="E736" s="92"/>
      <c r="F736" s="92"/>
      <c r="G736" s="92"/>
      <c r="I736" s="92"/>
    </row>
    <row r="737" ht="15.75" customHeight="1">
      <c r="A737" s="92"/>
      <c r="B737" s="92"/>
      <c r="C737" s="92"/>
      <c r="D737" s="92"/>
      <c r="E737" s="92"/>
      <c r="F737" s="92"/>
      <c r="G737" s="92"/>
      <c r="I737" s="92"/>
    </row>
    <row r="738" ht="15.75" customHeight="1">
      <c r="A738" s="92"/>
      <c r="B738" s="92"/>
      <c r="C738" s="92"/>
      <c r="D738" s="92"/>
      <c r="E738" s="92"/>
      <c r="F738" s="92"/>
      <c r="G738" s="92"/>
      <c r="I738" s="92"/>
    </row>
    <row r="739" ht="15.75" customHeight="1">
      <c r="A739" s="92"/>
      <c r="B739" s="92"/>
      <c r="C739" s="92"/>
      <c r="D739" s="92"/>
      <c r="E739" s="92"/>
      <c r="F739" s="92"/>
      <c r="G739" s="92"/>
      <c r="I739" s="92"/>
    </row>
    <row r="740" ht="15.75" customHeight="1">
      <c r="A740" s="92"/>
      <c r="B740" s="92"/>
      <c r="C740" s="92"/>
      <c r="D740" s="92"/>
      <c r="E740" s="92"/>
      <c r="F740" s="92"/>
      <c r="G740" s="92"/>
      <c r="I740" s="92"/>
    </row>
    <row r="741" ht="15.75" customHeight="1">
      <c r="A741" s="92"/>
      <c r="B741" s="92"/>
      <c r="C741" s="92"/>
      <c r="D741" s="92"/>
      <c r="E741" s="92"/>
      <c r="F741" s="92"/>
      <c r="G741" s="92"/>
      <c r="I741" s="92"/>
    </row>
    <row r="742" ht="15.75" customHeight="1">
      <c r="A742" s="92"/>
      <c r="B742" s="92"/>
      <c r="C742" s="92"/>
      <c r="D742" s="92"/>
      <c r="E742" s="92"/>
      <c r="F742" s="92"/>
      <c r="G742" s="92"/>
      <c r="I742" s="92"/>
    </row>
    <row r="743" ht="15.75" customHeight="1">
      <c r="A743" s="92"/>
      <c r="B743" s="92"/>
      <c r="C743" s="92"/>
      <c r="D743" s="92"/>
      <c r="E743" s="92"/>
      <c r="F743" s="92"/>
      <c r="G743" s="92"/>
      <c r="I743" s="92"/>
    </row>
    <row r="744" ht="15.75" customHeight="1">
      <c r="A744" s="92"/>
      <c r="B744" s="92"/>
      <c r="C744" s="92"/>
      <c r="D744" s="92"/>
      <c r="E744" s="92"/>
      <c r="F744" s="92"/>
      <c r="G744" s="92"/>
      <c r="I744" s="92"/>
    </row>
    <row r="745" ht="15.75" customHeight="1">
      <c r="A745" s="92"/>
      <c r="B745" s="92"/>
      <c r="C745" s="92"/>
      <c r="D745" s="92"/>
      <c r="E745" s="92"/>
      <c r="F745" s="92"/>
      <c r="G745" s="92"/>
      <c r="I745" s="92"/>
    </row>
    <row r="746" ht="15.75" customHeight="1">
      <c r="A746" s="92"/>
      <c r="B746" s="92"/>
      <c r="C746" s="92"/>
      <c r="D746" s="92"/>
      <c r="E746" s="92"/>
      <c r="F746" s="92"/>
      <c r="G746" s="92"/>
      <c r="I746" s="92"/>
    </row>
    <row r="747" ht="15.75" customHeight="1">
      <c r="A747" s="92"/>
      <c r="B747" s="92"/>
      <c r="C747" s="92"/>
      <c r="D747" s="92"/>
      <c r="E747" s="92"/>
      <c r="F747" s="92"/>
      <c r="G747" s="92"/>
      <c r="I747" s="92"/>
    </row>
    <row r="748" ht="15.75" customHeight="1">
      <c r="A748" s="92"/>
      <c r="B748" s="92"/>
      <c r="C748" s="92"/>
      <c r="D748" s="92"/>
      <c r="E748" s="92"/>
      <c r="F748" s="92"/>
      <c r="G748" s="92"/>
      <c r="I748" s="92"/>
    </row>
    <row r="749" ht="15.75" customHeight="1">
      <c r="A749" s="92"/>
      <c r="B749" s="92"/>
      <c r="C749" s="92"/>
      <c r="D749" s="92"/>
      <c r="E749" s="92"/>
      <c r="F749" s="92"/>
      <c r="G749" s="92"/>
      <c r="I749" s="92"/>
    </row>
    <row r="750" ht="15.75" customHeight="1">
      <c r="A750" s="92"/>
      <c r="B750" s="92"/>
      <c r="C750" s="92"/>
      <c r="D750" s="92"/>
      <c r="E750" s="92"/>
      <c r="F750" s="92"/>
      <c r="G750" s="92"/>
      <c r="I750" s="92"/>
    </row>
    <row r="751" ht="15.75" customHeight="1">
      <c r="A751" s="92"/>
      <c r="B751" s="92"/>
      <c r="C751" s="92"/>
      <c r="D751" s="92"/>
      <c r="E751" s="92"/>
      <c r="F751" s="92"/>
      <c r="G751" s="92"/>
      <c r="I751" s="92"/>
    </row>
    <row r="752" ht="15.75" customHeight="1">
      <c r="A752" s="92"/>
      <c r="B752" s="92"/>
      <c r="C752" s="92"/>
      <c r="D752" s="92"/>
      <c r="E752" s="92"/>
      <c r="F752" s="92"/>
      <c r="G752" s="92"/>
      <c r="I752" s="92"/>
    </row>
    <row r="753" ht="15.75" customHeight="1">
      <c r="A753" s="92"/>
      <c r="B753" s="92"/>
      <c r="C753" s="92"/>
      <c r="D753" s="92"/>
      <c r="E753" s="92"/>
      <c r="F753" s="92"/>
      <c r="G753" s="92"/>
      <c r="I753" s="92"/>
    </row>
    <row r="754" ht="15.75" customHeight="1">
      <c r="A754" s="92"/>
      <c r="B754" s="92"/>
      <c r="C754" s="92"/>
      <c r="D754" s="92"/>
      <c r="E754" s="92"/>
      <c r="F754" s="92"/>
      <c r="G754" s="92"/>
      <c r="I754" s="92"/>
    </row>
    <row r="755" ht="15.75" customHeight="1">
      <c r="A755" s="92"/>
      <c r="B755" s="92"/>
      <c r="C755" s="92"/>
      <c r="D755" s="92"/>
      <c r="E755" s="92"/>
      <c r="F755" s="92"/>
      <c r="G755" s="92"/>
      <c r="I755" s="92"/>
    </row>
    <row r="756" ht="15.75" customHeight="1">
      <c r="A756" s="92"/>
      <c r="B756" s="92"/>
      <c r="C756" s="92"/>
      <c r="D756" s="92"/>
      <c r="E756" s="92"/>
      <c r="F756" s="92"/>
      <c r="G756" s="92"/>
      <c r="I756" s="92"/>
    </row>
    <row r="757" ht="15.75" customHeight="1">
      <c r="A757" s="92"/>
      <c r="B757" s="92"/>
      <c r="C757" s="92"/>
      <c r="D757" s="92"/>
      <c r="E757" s="92"/>
      <c r="F757" s="92"/>
      <c r="G757" s="92"/>
      <c r="I757" s="92"/>
    </row>
    <row r="758" ht="15.75" customHeight="1">
      <c r="A758" s="92"/>
      <c r="B758" s="92"/>
      <c r="C758" s="92"/>
      <c r="D758" s="92"/>
      <c r="E758" s="92"/>
      <c r="F758" s="92"/>
      <c r="G758" s="92"/>
      <c r="I758" s="92"/>
    </row>
    <row r="759" ht="15.75" customHeight="1">
      <c r="A759" s="92"/>
      <c r="B759" s="92"/>
      <c r="C759" s="92"/>
      <c r="D759" s="92"/>
      <c r="E759" s="92"/>
      <c r="F759" s="92"/>
      <c r="G759" s="92"/>
      <c r="I759" s="92"/>
    </row>
    <row r="760" ht="15.75" customHeight="1">
      <c r="A760" s="92"/>
      <c r="B760" s="92"/>
      <c r="C760" s="92"/>
      <c r="D760" s="92"/>
      <c r="E760" s="92"/>
      <c r="F760" s="92"/>
      <c r="G760" s="92"/>
      <c r="I760" s="92"/>
    </row>
    <row r="761" ht="15.75" customHeight="1">
      <c r="A761" s="92"/>
      <c r="B761" s="92"/>
      <c r="C761" s="92"/>
      <c r="D761" s="92"/>
      <c r="E761" s="92"/>
      <c r="F761" s="92"/>
      <c r="G761" s="92"/>
      <c r="I761" s="92"/>
    </row>
    <row r="762" ht="15.75" customHeight="1">
      <c r="A762" s="92"/>
      <c r="B762" s="92"/>
      <c r="C762" s="92"/>
      <c r="D762" s="92"/>
      <c r="E762" s="92"/>
      <c r="F762" s="92"/>
      <c r="G762" s="92"/>
      <c r="I762" s="92"/>
    </row>
    <row r="763" ht="15.75" customHeight="1">
      <c r="A763" s="92"/>
      <c r="B763" s="92"/>
      <c r="C763" s="92"/>
      <c r="D763" s="92"/>
      <c r="E763" s="92"/>
      <c r="F763" s="92"/>
      <c r="G763" s="92"/>
      <c r="I763" s="92"/>
    </row>
    <row r="764" ht="15.75" customHeight="1">
      <c r="A764" s="92"/>
      <c r="B764" s="92"/>
      <c r="C764" s="92"/>
      <c r="D764" s="92"/>
      <c r="E764" s="92"/>
      <c r="F764" s="92"/>
      <c r="G764" s="92"/>
      <c r="I764" s="92"/>
    </row>
    <row r="765" ht="15.75" customHeight="1">
      <c r="A765" s="92"/>
      <c r="B765" s="92"/>
      <c r="C765" s="92"/>
      <c r="D765" s="92"/>
      <c r="E765" s="92"/>
      <c r="F765" s="92"/>
      <c r="G765" s="92"/>
      <c r="I765" s="92"/>
    </row>
    <row r="766" ht="15.75" customHeight="1">
      <c r="A766" s="92"/>
      <c r="B766" s="92"/>
      <c r="C766" s="92"/>
      <c r="D766" s="92"/>
      <c r="E766" s="92"/>
      <c r="F766" s="92"/>
      <c r="G766" s="92"/>
      <c r="I766" s="92"/>
    </row>
    <row r="767" ht="15.75" customHeight="1">
      <c r="A767" s="92"/>
      <c r="B767" s="92"/>
      <c r="C767" s="92"/>
      <c r="D767" s="92"/>
      <c r="E767" s="92"/>
      <c r="F767" s="92"/>
      <c r="G767" s="92"/>
      <c r="I767" s="92"/>
    </row>
    <row r="768" ht="15.75" customHeight="1">
      <c r="A768" s="92"/>
      <c r="B768" s="92"/>
      <c r="C768" s="92"/>
      <c r="D768" s="92"/>
      <c r="E768" s="92"/>
      <c r="F768" s="92"/>
      <c r="G768" s="92"/>
      <c r="I768" s="92"/>
    </row>
    <row r="769" ht="15.75" customHeight="1">
      <c r="A769" s="92"/>
      <c r="B769" s="92"/>
      <c r="C769" s="92"/>
      <c r="D769" s="92"/>
      <c r="E769" s="92"/>
      <c r="F769" s="92"/>
      <c r="G769" s="92"/>
      <c r="I769" s="92"/>
    </row>
    <row r="770" ht="15.75" customHeight="1">
      <c r="A770" s="92"/>
      <c r="B770" s="92"/>
      <c r="C770" s="92"/>
      <c r="D770" s="92"/>
      <c r="E770" s="92"/>
      <c r="F770" s="92"/>
      <c r="G770" s="92"/>
      <c r="I770" s="92"/>
    </row>
    <row r="771" ht="15.75" customHeight="1">
      <c r="A771" s="92"/>
      <c r="B771" s="92"/>
      <c r="C771" s="92"/>
      <c r="D771" s="92"/>
      <c r="E771" s="92"/>
      <c r="F771" s="92"/>
      <c r="G771" s="92"/>
      <c r="I771" s="92"/>
    </row>
    <row r="772" ht="15.75" customHeight="1">
      <c r="A772" s="92"/>
      <c r="B772" s="92"/>
      <c r="C772" s="92"/>
      <c r="D772" s="92"/>
      <c r="E772" s="92"/>
      <c r="F772" s="92"/>
      <c r="G772" s="92"/>
      <c r="I772" s="92"/>
    </row>
    <row r="773" ht="15.75" customHeight="1">
      <c r="A773" s="92"/>
      <c r="B773" s="92"/>
      <c r="C773" s="92"/>
      <c r="D773" s="92"/>
      <c r="E773" s="92"/>
      <c r="F773" s="92"/>
      <c r="G773" s="92"/>
      <c r="I773" s="92"/>
    </row>
    <row r="774" ht="15.75" customHeight="1">
      <c r="A774" s="92"/>
      <c r="B774" s="92"/>
      <c r="C774" s="92"/>
      <c r="D774" s="92"/>
      <c r="E774" s="92"/>
      <c r="F774" s="92"/>
      <c r="G774" s="92"/>
      <c r="I774" s="92"/>
    </row>
    <row r="775" ht="15.75" customHeight="1">
      <c r="A775" s="92"/>
      <c r="B775" s="92"/>
      <c r="C775" s="92"/>
      <c r="D775" s="92"/>
      <c r="E775" s="92"/>
      <c r="F775" s="92"/>
      <c r="G775" s="92"/>
      <c r="I775" s="92"/>
    </row>
    <row r="776" ht="15.75" customHeight="1">
      <c r="A776" s="92"/>
      <c r="B776" s="92"/>
      <c r="C776" s="92"/>
      <c r="D776" s="92"/>
      <c r="E776" s="92"/>
      <c r="F776" s="92"/>
      <c r="G776" s="92"/>
      <c r="I776" s="92"/>
    </row>
    <row r="777" ht="15.75" customHeight="1">
      <c r="A777" s="92"/>
      <c r="B777" s="92"/>
      <c r="C777" s="92"/>
      <c r="D777" s="92"/>
      <c r="E777" s="92"/>
      <c r="F777" s="92"/>
      <c r="G777" s="92"/>
      <c r="I777" s="92"/>
    </row>
    <row r="778" ht="15.75" customHeight="1">
      <c r="A778" s="92"/>
      <c r="B778" s="92"/>
      <c r="C778" s="92"/>
      <c r="D778" s="92"/>
      <c r="E778" s="92"/>
      <c r="F778" s="92"/>
      <c r="G778" s="92"/>
      <c r="I778" s="92"/>
    </row>
    <row r="779" ht="15.75" customHeight="1">
      <c r="A779" s="92"/>
      <c r="B779" s="92"/>
      <c r="C779" s="92"/>
      <c r="D779" s="92"/>
      <c r="E779" s="92"/>
      <c r="F779" s="92"/>
      <c r="G779" s="92"/>
      <c r="I779" s="92"/>
    </row>
    <row r="780" ht="15.75" customHeight="1">
      <c r="A780" s="92"/>
      <c r="B780" s="92"/>
      <c r="C780" s="92"/>
      <c r="D780" s="92"/>
      <c r="E780" s="92"/>
      <c r="F780" s="92"/>
      <c r="G780" s="92"/>
      <c r="I780" s="92"/>
    </row>
    <row r="781" ht="15.75" customHeight="1">
      <c r="A781" s="92"/>
      <c r="B781" s="92"/>
      <c r="C781" s="92"/>
      <c r="D781" s="92"/>
      <c r="E781" s="92"/>
      <c r="F781" s="92"/>
      <c r="G781" s="92"/>
      <c r="I781" s="92"/>
    </row>
    <row r="782" ht="15.75" customHeight="1">
      <c r="A782" s="92"/>
      <c r="B782" s="92"/>
      <c r="C782" s="92"/>
      <c r="D782" s="92"/>
      <c r="E782" s="92"/>
      <c r="F782" s="92"/>
      <c r="G782" s="92"/>
      <c r="I782" s="92"/>
    </row>
    <row r="783" ht="15.75" customHeight="1">
      <c r="A783" s="92"/>
      <c r="B783" s="92"/>
      <c r="C783" s="92"/>
      <c r="D783" s="92"/>
      <c r="E783" s="92"/>
      <c r="F783" s="92"/>
      <c r="G783" s="92"/>
      <c r="I783" s="92"/>
    </row>
    <row r="784" ht="15.75" customHeight="1">
      <c r="A784" s="92"/>
      <c r="B784" s="92"/>
      <c r="C784" s="92"/>
      <c r="D784" s="92"/>
      <c r="E784" s="92"/>
      <c r="F784" s="92"/>
      <c r="G784" s="92"/>
      <c r="I784" s="92"/>
    </row>
    <row r="785" ht="15.75" customHeight="1">
      <c r="A785" s="92"/>
      <c r="B785" s="92"/>
      <c r="C785" s="92"/>
      <c r="D785" s="92"/>
      <c r="E785" s="92"/>
      <c r="F785" s="92"/>
      <c r="G785" s="92"/>
      <c r="I785" s="92"/>
    </row>
    <row r="786" ht="15.75" customHeight="1">
      <c r="A786" s="92"/>
      <c r="B786" s="92"/>
      <c r="C786" s="92"/>
      <c r="D786" s="92"/>
      <c r="E786" s="92"/>
      <c r="F786" s="92"/>
      <c r="G786" s="92"/>
      <c r="I786" s="92"/>
    </row>
    <row r="787" ht="15.75" customHeight="1">
      <c r="A787" s="92"/>
      <c r="B787" s="92"/>
      <c r="C787" s="92"/>
      <c r="D787" s="92"/>
      <c r="E787" s="92"/>
      <c r="F787" s="92"/>
      <c r="G787" s="92"/>
      <c r="I787" s="92"/>
    </row>
    <row r="788" ht="15.75" customHeight="1">
      <c r="A788" s="92"/>
      <c r="B788" s="92"/>
      <c r="C788" s="92"/>
      <c r="D788" s="92"/>
      <c r="E788" s="92"/>
      <c r="F788" s="92"/>
      <c r="G788" s="92"/>
      <c r="I788" s="92"/>
    </row>
    <row r="789" ht="15.75" customHeight="1">
      <c r="A789" s="92"/>
      <c r="B789" s="92"/>
      <c r="C789" s="92"/>
      <c r="D789" s="92"/>
      <c r="E789" s="92"/>
      <c r="F789" s="92"/>
      <c r="G789" s="92"/>
      <c r="I789" s="92"/>
    </row>
    <row r="790" ht="15.75" customHeight="1">
      <c r="A790" s="92"/>
      <c r="B790" s="92"/>
      <c r="C790" s="92"/>
      <c r="D790" s="92"/>
      <c r="E790" s="92"/>
      <c r="F790" s="92"/>
      <c r="G790" s="92"/>
      <c r="I790" s="92"/>
    </row>
    <row r="791" ht="15.75" customHeight="1">
      <c r="A791" s="92"/>
      <c r="B791" s="92"/>
      <c r="C791" s="92"/>
      <c r="D791" s="92"/>
      <c r="E791" s="92"/>
      <c r="F791" s="92"/>
      <c r="G791" s="92"/>
      <c r="I791" s="92"/>
    </row>
    <row r="792" ht="15.75" customHeight="1">
      <c r="A792" s="92"/>
      <c r="B792" s="92"/>
      <c r="C792" s="92"/>
      <c r="D792" s="92"/>
      <c r="E792" s="92"/>
      <c r="F792" s="92"/>
      <c r="G792" s="92"/>
      <c r="I792" s="92"/>
    </row>
    <row r="793" ht="15.75" customHeight="1">
      <c r="A793" s="92"/>
      <c r="B793" s="92"/>
      <c r="C793" s="92"/>
      <c r="D793" s="92"/>
      <c r="E793" s="92"/>
      <c r="F793" s="92"/>
      <c r="G793" s="92"/>
      <c r="I793" s="92"/>
    </row>
    <row r="794" ht="15.75" customHeight="1">
      <c r="A794" s="92"/>
      <c r="B794" s="92"/>
      <c r="C794" s="92"/>
      <c r="D794" s="92"/>
      <c r="E794" s="92"/>
      <c r="F794" s="92"/>
      <c r="G794" s="92"/>
      <c r="I794" s="92"/>
    </row>
    <row r="795" ht="15.75" customHeight="1">
      <c r="A795" s="92"/>
      <c r="B795" s="92"/>
      <c r="C795" s="92"/>
      <c r="D795" s="92"/>
      <c r="E795" s="92"/>
      <c r="F795" s="92"/>
      <c r="G795" s="92"/>
      <c r="I795" s="92"/>
    </row>
    <row r="796" ht="15.75" customHeight="1">
      <c r="A796" s="92"/>
      <c r="B796" s="92"/>
      <c r="C796" s="92"/>
      <c r="D796" s="92"/>
      <c r="E796" s="92"/>
      <c r="F796" s="92"/>
      <c r="G796" s="92"/>
      <c r="I796" s="92"/>
    </row>
    <row r="797" ht="15.75" customHeight="1">
      <c r="A797" s="92"/>
      <c r="B797" s="92"/>
      <c r="C797" s="92"/>
      <c r="D797" s="92"/>
      <c r="E797" s="92"/>
      <c r="F797" s="92"/>
      <c r="G797" s="92"/>
      <c r="I797" s="92"/>
    </row>
    <row r="798" ht="15.75" customHeight="1">
      <c r="A798" s="92"/>
      <c r="B798" s="92"/>
      <c r="C798" s="92"/>
      <c r="D798" s="92"/>
      <c r="E798" s="92"/>
      <c r="F798" s="92"/>
      <c r="G798" s="92"/>
      <c r="I798" s="92"/>
    </row>
    <row r="799" ht="15.75" customHeight="1">
      <c r="A799" s="92"/>
      <c r="B799" s="92"/>
      <c r="C799" s="92"/>
      <c r="D799" s="92"/>
      <c r="E799" s="92"/>
      <c r="F799" s="92"/>
      <c r="G799" s="92"/>
      <c r="I799" s="92"/>
    </row>
    <row r="800" ht="15.75" customHeight="1">
      <c r="A800" s="92"/>
      <c r="B800" s="92"/>
      <c r="C800" s="92"/>
      <c r="D800" s="92"/>
      <c r="E800" s="92"/>
      <c r="F800" s="92"/>
      <c r="G800" s="92"/>
      <c r="I800" s="92"/>
    </row>
    <row r="801" ht="15.75" customHeight="1">
      <c r="A801" s="92"/>
      <c r="B801" s="92"/>
      <c r="C801" s="92"/>
      <c r="D801" s="92"/>
      <c r="E801" s="92"/>
      <c r="F801" s="92"/>
      <c r="G801" s="92"/>
      <c r="I801" s="92"/>
    </row>
    <row r="802" ht="15.75" customHeight="1">
      <c r="A802" s="92"/>
      <c r="B802" s="92"/>
      <c r="C802" s="92"/>
      <c r="D802" s="92"/>
      <c r="E802" s="92"/>
      <c r="F802" s="92"/>
      <c r="G802" s="92"/>
      <c r="I802" s="92"/>
    </row>
    <row r="803" ht="15.75" customHeight="1">
      <c r="A803" s="92"/>
      <c r="B803" s="92"/>
      <c r="C803" s="92"/>
      <c r="D803" s="92"/>
      <c r="E803" s="92"/>
      <c r="F803" s="92"/>
      <c r="G803" s="92"/>
      <c r="I803" s="92"/>
    </row>
    <row r="804" ht="15.75" customHeight="1">
      <c r="A804" s="92"/>
      <c r="B804" s="92"/>
      <c r="C804" s="92"/>
      <c r="D804" s="92"/>
      <c r="E804" s="92"/>
      <c r="F804" s="92"/>
      <c r="G804" s="92"/>
      <c r="I804" s="92"/>
    </row>
    <row r="805" ht="15.75" customHeight="1">
      <c r="A805" s="92"/>
      <c r="B805" s="92"/>
      <c r="C805" s="92"/>
      <c r="D805" s="92"/>
      <c r="E805" s="92"/>
      <c r="F805" s="92"/>
      <c r="G805" s="92"/>
      <c r="I805" s="92"/>
    </row>
    <row r="806" ht="15.75" customHeight="1">
      <c r="A806" s="92"/>
      <c r="B806" s="92"/>
      <c r="C806" s="92"/>
      <c r="D806" s="92"/>
      <c r="E806" s="92"/>
      <c r="F806" s="92"/>
      <c r="G806" s="92"/>
      <c r="I806" s="92"/>
    </row>
    <row r="807" ht="15.75" customHeight="1">
      <c r="A807" s="92"/>
      <c r="B807" s="92"/>
      <c r="C807" s="92"/>
      <c r="D807" s="92"/>
      <c r="E807" s="92"/>
      <c r="F807" s="92"/>
      <c r="G807" s="92"/>
      <c r="I807" s="92"/>
    </row>
    <row r="808" ht="15.75" customHeight="1">
      <c r="A808" s="92"/>
      <c r="B808" s="92"/>
      <c r="C808" s="92"/>
      <c r="D808" s="92"/>
      <c r="E808" s="92"/>
      <c r="F808" s="92"/>
      <c r="G808" s="92"/>
      <c r="I808" s="92"/>
    </row>
    <row r="809" ht="15.75" customHeight="1">
      <c r="A809" s="92"/>
      <c r="B809" s="92"/>
      <c r="C809" s="92"/>
      <c r="D809" s="92"/>
      <c r="E809" s="92"/>
      <c r="F809" s="92"/>
      <c r="G809" s="92"/>
      <c r="I809" s="92"/>
    </row>
    <row r="810" ht="15.75" customHeight="1">
      <c r="A810" s="92"/>
      <c r="B810" s="92"/>
      <c r="C810" s="92"/>
      <c r="D810" s="92"/>
      <c r="E810" s="92"/>
      <c r="F810" s="92"/>
      <c r="G810" s="92"/>
      <c r="I810" s="92"/>
    </row>
    <row r="811" ht="15.75" customHeight="1">
      <c r="A811" s="92"/>
      <c r="B811" s="92"/>
      <c r="C811" s="92"/>
      <c r="D811" s="92"/>
      <c r="E811" s="92"/>
      <c r="F811" s="92"/>
      <c r="G811" s="92"/>
      <c r="I811" s="92"/>
    </row>
    <row r="812" ht="15.75" customHeight="1">
      <c r="A812" s="92"/>
      <c r="B812" s="92"/>
      <c r="C812" s="92"/>
      <c r="D812" s="92"/>
      <c r="E812" s="92"/>
      <c r="F812" s="92"/>
      <c r="G812" s="92"/>
      <c r="I812" s="92"/>
    </row>
    <row r="813" ht="15.75" customHeight="1">
      <c r="A813" s="92"/>
      <c r="B813" s="92"/>
      <c r="C813" s="92"/>
      <c r="D813" s="92"/>
      <c r="E813" s="92"/>
      <c r="F813" s="92"/>
      <c r="G813" s="92"/>
      <c r="I813" s="92"/>
    </row>
    <row r="814" ht="15.75" customHeight="1">
      <c r="A814" s="92"/>
      <c r="B814" s="92"/>
      <c r="C814" s="92"/>
      <c r="D814" s="92"/>
      <c r="E814" s="92"/>
      <c r="F814" s="92"/>
      <c r="G814" s="92"/>
      <c r="I814" s="92"/>
    </row>
    <row r="815" ht="15.75" customHeight="1">
      <c r="A815" s="92"/>
      <c r="B815" s="92"/>
      <c r="C815" s="92"/>
      <c r="D815" s="92"/>
      <c r="E815" s="92"/>
      <c r="F815" s="92"/>
      <c r="G815" s="92"/>
      <c r="I815" s="92"/>
    </row>
    <row r="816" ht="15.75" customHeight="1">
      <c r="A816" s="92"/>
      <c r="B816" s="92"/>
      <c r="C816" s="92"/>
      <c r="D816" s="92"/>
      <c r="E816" s="92"/>
      <c r="F816" s="92"/>
      <c r="G816" s="92"/>
      <c r="I816" s="92"/>
    </row>
    <row r="817" ht="15.75" customHeight="1">
      <c r="A817" s="92"/>
      <c r="B817" s="92"/>
      <c r="C817" s="92"/>
      <c r="D817" s="92"/>
      <c r="E817" s="92"/>
      <c r="F817" s="92"/>
      <c r="G817" s="92"/>
      <c r="I817" s="92"/>
    </row>
    <row r="818" ht="15.75" customHeight="1">
      <c r="A818" s="92"/>
      <c r="B818" s="92"/>
      <c r="C818" s="92"/>
      <c r="D818" s="92"/>
      <c r="E818" s="92"/>
      <c r="F818" s="92"/>
      <c r="G818" s="92"/>
      <c r="I818" s="92"/>
    </row>
    <row r="819" ht="15.75" customHeight="1">
      <c r="A819" s="92"/>
      <c r="B819" s="92"/>
      <c r="C819" s="92"/>
      <c r="D819" s="92"/>
      <c r="E819" s="92"/>
      <c r="F819" s="92"/>
      <c r="G819" s="92"/>
      <c r="I819" s="92"/>
    </row>
    <row r="820" ht="15.75" customHeight="1">
      <c r="A820" s="92"/>
      <c r="B820" s="92"/>
      <c r="C820" s="92"/>
      <c r="D820" s="92"/>
      <c r="E820" s="92"/>
      <c r="F820" s="92"/>
      <c r="G820" s="92"/>
      <c r="I820" s="92"/>
    </row>
    <row r="821" ht="15.75" customHeight="1">
      <c r="A821" s="92"/>
      <c r="B821" s="92"/>
      <c r="C821" s="92"/>
      <c r="D821" s="92"/>
      <c r="E821" s="92"/>
      <c r="F821" s="92"/>
      <c r="G821" s="92"/>
      <c r="I821" s="92"/>
    </row>
    <row r="822" ht="15.75" customHeight="1">
      <c r="A822" s="92"/>
      <c r="B822" s="92"/>
      <c r="C822" s="92"/>
      <c r="D822" s="92"/>
      <c r="E822" s="92"/>
      <c r="F822" s="92"/>
      <c r="G822" s="92"/>
      <c r="I822" s="92"/>
    </row>
    <row r="823" ht="15.75" customHeight="1">
      <c r="A823" s="92"/>
      <c r="B823" s="92"/>
      <c r="C823" s="92"/>
      <c r="D823" s="92"/>
      <c r="E823" s="92"/>
      <c r="F823" s="92"/>
      <c r="G823" s="92"/>
      <c r="I823" s="92"/>
    </row>
    <row r="824" ht="15.75" customHeight="1">
      <c r="A824" s="92"/>
      <c r="B824" s="92"/>
      <c r="C824" s="92"/>
      <c r="D824" s="92"/>
      <c r="E824" s="92"/>
      <c r="F824" s="92"/>
      <c r="G824" s="92"/>
      <c r="I824" s="92"/>
    </row>
    <row r="825" ht="15.75" customHeight="1">
      <c r="A825" s="92"/>
      <c r="B825" s="92"/>
      <c r="C825" s="92"/>
      <c r="D825" s="92"/>
      <c r="E825" s="92"/>
      <c r="F825" s="92"/>
      <c r="G825" s="92"/>
      <c r="I825" s="92"/>
    </row>
    <row r="826" ht="15.75" customHeight="1">
      <c r="A826" s="92"/>
      <c r="B826" s="92"/>
      <c r="C826" s="92"/>
      <c r="D826" s="92"/>
      <c r="E826" s="92"/>
      <c r="F826" s="92"/>
      <c r="G826" s="92"/>
      <c r="I826" s="92"/>
    </row>
    <row r="827" ht="15.75" customHeight="1">
      <c r="A827" s="92"/>
      <c r="B827" s="92"/>
      <c r="C827" s="92"/>
      <c r="D827" s="92"/>
      <c r="E827" s="92"/>
      <c r="F827" s="92"/>
      <c r="G827" s="92"/>
      <c r="I827" s="92"/>
    </row>
    <row r="828" ht="15.75" customHeight="1">
      <c r="A828" s="92"/>
      <c r="B828" s="92"/>
      <c r="C828" s="92"/>
      <c r="D828" s="92"/>
      <c r="E828" s="92"/>
      <c r="F828" s="92"/>
      <c r="G828" s="92"/>
      <c r="I828" s="92"/>
    </row>
    <row r="829" ht="15.75" customHeight="1">
      <c r="A829" s="92"/>
      <c r="B829" s="92"/>
      <c r="C829" s="92"/>
      <c r="D829" s="92"/>
      <c r="E829" s="92"/>
      <c r="F829" s="92"/>
      <c r="G829" s="92"/>
      <c r="I829" s="92"/>
    </row>
    <row r="830" ht="15.75" customHeight="1">
      <c r="A830" s="92"/>
      <c r="B830" s="92"/>
      <c r="C830" s="92"/>
      <c r="D830" s="92"/>
      <c r="E830" s="92"/>
      <c r="F830" s="92"/>
      <c r="G830" s="92"/>
      <c r="I830" s="92"/>
    </row>
    <row r="831" ht="15.75" customHeight="1">
      <c r="A831" s="92"/>
      <c r="B831" s="92"/>
      <c r="C831" s="92"/>
      <c r="D831" s="92"/>
      <c r="E831" s="92"/>
      <c r="F831" s="92"/>
      <c r="G831" s="92"/>
      <c r="I831" s="92"/>
    </row>
    <row r="832" ht="15.75" customHeight="1">
      <c r="A832" s="92"/>
      <c r="B832" s="92"/>
      <c r="C832" s="92"/>
      <c r="D832" s="92"/>
      <c r="E832" s="92"/>
      <c r="F832" s="92"/>
      <c r="G832" s="92"/>
      <c r="I832" s="92"/>
    </row>
    <row r="833" ht="15.75" customHeight="1">
      <c r="A833" s="92"/>
      <c r="B833" s="92"/>
      <c r="C833" s="92"/>
      <c r="D833" s="92"/>
      <c r="E833" s="92"/>
      <c r="F833" s="92"/>
      <c r="G833" s="92"/>
      <c r="I833" s="92"/>
    </row>
    <row r="834" ht="15.75" customHeight="1">
      <c r="A834" s="92"/>
      <c r="B834" s="92"/>
      <c r="C834" s="92"/>
      <c r="D834" s="92"/>
      <c r="E834" s="92"/>
      <c r="F834" s="92"/>
      <c r="G834" s="92"/>
      <c r="I834" s="92"/>
    </row>
    <row r="835" ht="15.75" customHeight="1">
      <c r="A835" s="92"/>
      <c r="B835" s="92"/>
      <c r="C835" s="92"/>
      <c r="D835" s="92"/>
      <c r="E835" s="92"/>
      <c r="F835" s="92"/>
      <c r="G835" s="92"/>
      <c r="I835" s="92"/>
    </row>
    <row r="836" ht="15.75" customHeight="1">
      <c r="A836" s="92"/>
      <c r="B836" s="92"/>
      <c r="C836" s="92"/>
      <c r="D836" s="92"/>
      <c r="E836" s="92"/>
      <c r="F836" s="92"/>
      <c r="G836" s="92"/>
      <c r="I836" s="92"/>
    </row>
    <row r="837" ht="15.75" customHeight="1">
      <c r="A837" s="92"/>
      <c r="B837" s="92"/>
      <c r="C837" s="92"/>
      <c r="D837" s="92"/>
      <c r="E837" s="92"/>
      <c r="F837" s="92"/>
      <c r="G837" s="92"/>
      <c r="I837" s="92"/>
    </row>
    <row r="838" ht="15.75" customHeight="1">
      <c r="A838" s="92"/>
      <c r="B838" s="92"/>
      <c r="C838" s="92"/>
      <c r="D838" s="92"/>
      <c r="E838" s="92"/>
      <c r="F838" s="92"/>
      <c r="G838" s="92"/>
      <c r="I838" s="92"/>
    </row>
    <row r="839" ht="15.75" customHeight="1">
      <c r="A839" s="92"/>
      <c r="B839" s="92"/>
      <c r="C839" s="92"/>
      <c r="D839" s="92"/>
      <c r="E839" s="92"/>
      <c r="F839" s="92"/>
      <c r="G839" s="92"/>
      <c r="I839" s="92"/>
    </row>
    <row r="840" ht="15.75" customHeight="1">
      <c r="A840" s="92"/>
      <c r="B840" s="92"/>
      <c r="C840" s="92"/>
      <c r="D840" s="92"/>
      <c r="E840" s="92"/>
      <c r="F840" s="92"/>
      <c r="G840" s="92"/>
      <c r="I840" s="92"/>
    </row>
    <row r="841" ht="15.75" customHeight="1">
      <c r="A841" s="92"/>
      <c r="B841" s="92"/>
      <c r="C841" s="92"/>
      <c r="D841" s="92"/>
      <c r="E841" s="92"/>
      <c r="F841" s="92"/>
      <c r="G841" s="92"/>
      <c r="I841" s="92"/>
    </row>
    <row r="842" ht="15.75" customHeight="1">
      <c r="A842" s="92"/>
      <c r="B842" s="92"/>
      <c r="C842" s="92"/>
      <c r="D842" s="92"/>
      <c r="E842" s="92"/>
      <c r="F842" s="92"/>
      <c r="G842" s="92"/>
      <c r="I842" s="92"/>
    </row>
    <row r="843" ht="15.75" customHeight="1">
      <c r="A843" s="92"/>
      <c r="B843" s="92"/>
      <c r="C843" s="92"/>
      <c r="D843" s="92"/>
      <c r="E843" s="92"/>
      <c r="F843" s="92"/>
      <c r="G843" s="92"/>
      <c r="I843" s="92"/>
    </row>
    <row r="844" ht="15.75" customHeight="1">
      <c r="A844" s="92"/>
      <c r="B844" s="92"/>
      <c r="C844" s="92"/>
      <c r="D844" s="92"/>
      <c r="E844" s="92"/>
      <c r="F844" s="92"/>
      <c r="G844" s="92"/>
      <c r="I844" s="92"/>
    </row>
    <row r="845" ht="15.75" customHeight="1">
      <c r="A845" s="92"/>
      <c r="B845" s="92"/>
      <c r="C845" s="92"/>
      <c r="D845" s="92"/>
      <c r="E845" s="92"/>
      <c r="F845" s="92"/>
      <c r="G845" s="92"/>
      <c r="I845" s="92"/>
    </row>
    <row r="846" ht="15.75" customHeight="1">
      <c r="A846" s="92"/>
      <c r="B846" s="92"/>
      <c r="C846" s="92"/>
      <c r="D846" s="92"/>
      <c r="E846" s="92"/>
      <c r="F846" s="92"/>
      <c r="G846" s="92"/>
      <c r="I846" s="92"/>
    </row>
    <row r="847" ht="15.75" customHeight="1">
      <c r="A847" s="92"/>
      <c r="B847" s="92"/>
      <c r="C847" s="92"/>
      <c r="D847" s="92"/>
      <c r="E847" s="92"/>
      <c r="F847" s="92"/>
      <c r="G847" s="92"/>
      <c r="I847" s="92"/>
    </row>
    <row r="848" ht="15.75" customHeight="1">
      <c r="A848" s="92"/>
      <c r="B848" s="92"/>
      <c r="C848" s="92"/>
      <c r="D848" s="92"/>
      <c r="E848" s="92"/>
      <c r="F848" s="92"/>
      <c r="G848" s="92"/>
      <c r="I848" s="92"/>
    </row>
    <row r="849" ht="15.75" customHeight="1">
      <c r="A849" s="92"/>
      <c r="B849" s="92"/>
      <c r="C849" s="92"/>
      <c r="D849" s="92"/>
      <c r="E849" s="92"/>
      <c r="F849" s="92"/>
      <c r="G849" s="92"/>
      <c r="I849" s="92"/>
    </row>
    <row r="850" ht="15.75" customHeight="1">
      <c r="A850" s="92"/>
      <c r="B850" s="92"/>
      <c r="C850" s="92"/>
      <c r="D850" s="92"/>
      <c r="E850" s="92"/>
      <c r="F850" s="92"/>
      <c r="G850" s="92"/>
      <c r="I850" s="92"/>
    </row>
    <row r="851" ht="15.75" customHeight="1">
      <c r="A851" s="92"/>
      <c r="B851" s="92"/>
      <c r="C851" s="92"/>
      <c r="D851" s="92"/>
      <c r="E851" s="92"/>
      <c r="F851" s="92"/>
      <c r="G851" s="92"/>
      <c r="I851" s="92"/>
    </row>
    <row r="852" ht="15.75" customHeight="1">
      <c r="A852" s="92"/>
      <c r="B852" s="92"/>
      <c r="C852" s="92"/>
      <c r="D852" s="92"/>
      <c r="E852" s="92"/>
      <c r="F852" s="92"/>
      <c r="G852" s="92"/>
      <c r="I852" s="92"/>
    </row>
    <row r="853" ht="15.75" customHeight="1">
      <c r="A853" s="92"/>
      <c r="B853" s="92"/>
      <c r="C853" s="92"/>
      <c r="D853" s="92"/>
      <c r="E853" s="92"/>
      <c r="F853" s="92"/>
      <c r="G853" s="92"/>
      <c r="I853" s="92"/>
    </row>
    <row r="854" ht="15.75" customHeight="1">
      <c r="A854" s="92"/>
      <c r="B854" s="92"/>
      <c r="C854" s="92"/>
      <c r="D854" s="92"/>
      <c r="E854" s="92"/>
      <c r="F854" s="92"/>
      <c r="G854" s="92"/>
      <c r="I854" s="92"/>
    </row>
    <row r="855" ht="15.75" customHeight="1">
      <c r="A855" s="92"/>
      <c r="B855" s="92"/>
      <c r="C855" s="92"/>
      <c r="D855" s="92"/>
      <c r="E855" s="92"/>
      <c r="F855" s="92"/>
      <c r="G855" s="92"/>
      <c r="I855" s="92"/>
    </row>
    <row r="856" ht="15.75" customHeight="1">
      <c r="A856" s="92"/>
      <c r="B856" s="92"/>
      <c r="C856" s="92"/>
      <c r="D856" s="92"/>
      <c r="E856" s="92"/>
      <c r="F856" s="92"/>
      <c r="G856" s="92"/>
      <c r="I856" s="92"/>
    </row>
    <row r="857" ht="15.75" customHeight="1">
      <c r="A857" s="92"/>
      <c r="B857" s="92"/>
      <c r="C857" s="92"/>
      <c r="D857" s="92"/>
      <c r="E857" s="92"/>
      <c r="F857" s="92"/>
      <c r="G857" s="92"/>
      <c r="I857" s="92"/>
    </row>
    <row r="858" ht="15.75" customHeight="1">
      <c r="A858" s="92"/>
      <c r="B858" s="92"/>
      <c r="C858" s="92"/>
      <c r="D858" s="92"/>
      <c r="E858" s="92"/>
      <c r="F858" s="92"/>
      <c r="G858" s="92"/>
      <c r="I858" s="92"/>
    </row>
    <row r="859" ht="15.75" customHeight="1">
      <c r="A859" s="92"/>
      <c r="B859" s="92"/>
      <c r="C859" s="92"/>
      <c r="D859" s="92"/>
      <c r="E859" s="92"/>
      <c r="F859" s="92"/>
      <c r="G859" s="92"/>
      <c r="I859" s="92"/>
    </row>
    <row r="860" ht="15.75" customHeight="1">
      <c r="A860" s="92"/>
      <c r="B860" s="92"/>
      <c r="C860" s="92"/>
      <c r="D860" s="92"/>
      <c r="E860" s="92"/>
      <c r="F860" s="92"/>
      <c r="G860" s="92"/>
      <c r="I860" s="92"/>
    </row>
    <row r="861" ht="15.75" customHeight="1">
      <c r="A861" s="92"/>
      <c r="B861" s="92"/>
      <c r="C861" s="92"/>
      <c r="D861" s="92"/>
      <c r="E861" s="92"/>
      <c r="F861" s="92"/>
      <c r="G861" s="92"/>
      <c r="I861" s="92"/>
    </row>
    <row r="862" ht="15.75" customHeight="1">
      <c r="A862" s="92"/>
      <c r="B862" s="92"/>
      <c r="C862" s="92"/>
      <c r="D862" s="92"/>
      <c r="E862" s="92"/>
      <c r="F862" s="92"/>
      <c r="G862" s="92"/>
      <c r="I862" s="92"/>
    </row>
    <row r="863" ht="15.75" customHeight="1">
      <c r="A863" s="92"/>
      <c r="B863" s="92"/>
      <c r="C863" s="92"/>
      <c r="D863" s="92"/>
      <c r="E863" s="92"/>
      <c r="F863" s="92"/>
      <c r="G863" s="92"/>
      <c r="I863" s="92"/>
    </row>
    <row r="864" ht="15.75" customHeight="1">
      <c r="A864" s="92"/>
      <c r="B864" s="92"/>
      <c r="C864" s="92"/>
      <c r="D864" s="92"/>
      <c r="E864" s="92"/>
      <c r="F864" s="92"/>
      <c r="G864" s="92"/>
      <c r="I864" s="92"/>
    </row>
    <row r="865" ht="15.75" customHeight="1">
      <c r="A865" s="92"/>
      <c r="B865" s="92"/>
      <c r="C865" s="92"/>
      <c r="D865" s="92"/>
      <c r="E865" s="92"/>
      <c r="F865" s="92"/>
      <c r="G865" s="92"/>
      <c r="I865" s="92"/>
    </row>
    <row r="866" ht="15.75" customHeight="1">
      <c r="A866" s="92"/>
      <c r="B866" s="92"/>
      <c r="C866" s="92"/>
      <c r="D866" s="92"/>
      <c r="E866" s="92"/>
      <c r="F866" s="92"/>
      <c r="G866" s="92"/>
      <c r="I866" s="92"/>
    </row>
    <row r="867" ht="15.75" customHeight="1">
      <c r="A867" s="92"/>
      <c r="B867" s="92"/>
      <c r="C867" s="92"/>
      <c r="D867" s="92"/>
      <c r="E867" s="92"/>
      <c r="F867" s="92"/>
      <c r="G867" s="92"/>
      <c r="I867" s="92"/>
    </row>
    <row r="868" ht="15.75" customHeight="1">
      <c r="A868" s="92"/>
      <c r="B868" s="92"/>
      <c r="C868" s="92"/>
      <c r="D868" s="92"/>
      <c r="E868" s="92"/>
      <c r="F868" s="92"/>
      <c r="G868" s="92"/>
      <c r="I868" s="92"/>
    </row>
    <row r="869" ht="15.75" customHeight="1">
      <c r="A869" s="92"/>
      <c r="B869" s="92"/>
      <c r="C869" s="92"/>
      <c r="D869" s="92"/>
      <c r="E869" s="92"/>
      <c r="F869" s="92"/>
      <c r="G869" s="92"/>
      <c r="I869" s="92"/>
    </row>
    <row r="870" ht="15.75" customHeight="1">
      <c r="A870" s="92"/>
      <c r="B870" s="92"/>
      <c r="C870" s="92"/>
      <c r="D870" s="92"/>
      <c r="E870" s="92"/>
      <c r="F870" s="92"/>
      <c r="G870" s="92"/>
      <c r="I870" s="92"/>
    </row>
    <row r="871" ht="15.75" customHeight="1">
      <c r="A871" s="92"/>
      <c r="B871" s="92"/>
      <c r="C871" s="92"/>
      <c r="D871" s="92"/>
      <c r="E871" s="92"/>
      <c r="F871" s="92"/>
      <c r="G871" s="92"/>
      <c r="I871" s="92"/>
    </row>
    <row r="872" ht="15.75" customHeight="1">
      <c r="A872" s="92"/>
      <c r="B872" s="92"/>
      <c r="C872" s="92"/>
      <c r="D872" s="92"/>
      <c r="E872" s="92"/>
      <c r="F872" s="92"/>
      <c r="G872" s="92"/>
      <c r="I872" s="92"/>
    </row>
    <row r="873" ht="15.75" customHeight="1">
      <c r="A873" s="92"/>
      <c r="B873" s="92"/>
      <c r="C873" s="92"/>
      <c r="D873" s="92"/>
      <c r="E873" s="92"/>
      <c r="F873" s="92"/>
      <c r="G873" s="92"/>
      <c r="I873" s="92"/>
    </row>
    <row r="874" ht="15.75" customHeight="1">
      <c r="A874" s="92"/>
      <c r="B874" s="92"/>
      <c r="C874" s="92"/>
      <c r="D874" s="92"/>
      <c r="E874" s="92"/>
      <c r="F874" s="92"/>
      <c r="G874" s="92"/>
      <c r="I874" s="92"/>
    </row>
    <row r="875" ht="15.75" customHeight="1">
      <c r="A875" s="92"/>
      <c r="B875" s="92"/>
      <c r="C875" s="92"/>
      <c r="D875" s="92"/>
      <c r="E875" s="92"/>
      <c r="F875" s="92"/>
      <c r="G875" s="92"/>
      <c r="I875" s="92"/>
    </row>
    <row r="876" ht="15.75" customHeight="1">
      <c r="A876" s="92"/>
      <c r="B876" s="92"/>
      <c r="C876" s="92"/>
      <c r="D876" s="92"/>
      <c r="E876" s="92"/>
      <c r="F876" s="92"/>
      <c r="G876" s="92"/>
      <c r="I876" s="92"/>
    </row>
    <row r="877" ht="15.75" customHeight="1">
      <c r="A877" s="92"/>
      <c r="B877" s="92"/>
      <c r="C877" s="92"/>
      <c r="D877" s="92"/>
      <c r="E877" s="92"/>
      <c r="F877" s="92"/>
      <c r="G877" s="92"/>
      <c r="I877" s="92"/>
    </row>
    <row r="878" ht="15.75" customHeight="1">
      <c r="A878" s="92"/>
      <c r="B878" s="92"/>
      <c r="C878" s="92"/>
      <c r="D878" s="92"/>
      <c r="E878" s="92"/>
      <c r="F878" s="92"/>
      <c r="G878" s="92"/>
      <c r="I878" s="92"/>
    </row>
    <row r="879" ht="15.75" customHeight="1">
      <c r="A879" s="92"/>
      <c r="B879" s="92"/>
      <c r="C879" s="92"/>
      <c r="D879" s="92"/>
      <c r="E879" s="92"/>
      <c r="F879" s="92"/>
      <c r="G879" s="92"/>
      <c r="I879" s="92"/>
    </row>
    <row r="880" ht="15.75" customHeight="1">
      <c r="A880" s="92"/>
      <c r="B880" s="92"/>
      <c r="C880" s="92"/>
      <c r="D880" s="92"/>
      <c r="E880" s="92"/>
      <c r="F880" s="92"/>
      <c r="G880" s="92"/>
      <c r="I880" s="92"/>
    </row>
    <row r="881" ht="15.75" customHeight="1">
      <c r="A881" s="92"/>
      <c r="B881" s="92"/>
      <c r="C881" s="92"/>
      <c r="D881" s="92"/>
      <c r="E881" s="92"/>
      <c r="F881" s="92"/>
      <c r="G881" s="92"/>
      <c r="I881" s="92"/>
    </row>
    <row r="882" ht="15.75" customHeight="1">
      <c r="A882" s="92"/>
      <c r="B882" s="92"/>
      <c r="C882" s="92"/>
      <c r="D882" s="92"/>
      <c r="E882" s="92"/>
      <c r="F882" s="92"/>
      <c r="G882" s="92"/>
      <c r="I882" s="92"/>
    </row>
    <row r="883" ht="15.75" customHeight="1">
      <c r="A883" s="92"/>
      <c r="B883" s="92"/>
      <c r="C883" s="92"/>
      <c r="D883" s="92"/>
      <c r="E883" s="92"/>
      <c r="F883" s="92"/>
      <c r="G883" s="92"/>
      <c r="I883" s="92"/>
    </row>
    <row r="884" ht="15.75" customHeight="1">
      <c r="A884" s="92"/>
      <c r="B884" s="92"/>
      <c r="C884" s="92"/>
      <c r="D884" s="92"/>
      <c r="E884" s="92"/>
      <c r="F884" s="92"/>
      <c r="G884" s="92"/>
      <c r="I884" s="92"/>
    </row>
    <row r="885" ht="15.75" customHeight="1">
      <c r="A885" s="92"/>
      <c r="B885" s="92"/>
      <c r="C885" s="92"/>
      <c r="D885" s="92"/>
      <c r="E885" s="92"/>
      <c r="F885" s="92"/>
      <c r="G885" s="92"/>
      <c r="I885" s="92"/>
    </row>
    <row r="886" ht="15.75" customHeight="1">
      <c r="A886" s="92"/>
      <c r="B886" s="92"/>
      <c r="C886" s="92"/>
      <c r="D886" s="92"/>
      <c r="E886" s="92"/>
      <c r="F886" s="92"/>
      <c r="G886" s="92"/>
      <c r="I886" s="92"/>
    </row>
    <row r="887" ht="15.75" customHeight="1">
      <c r="A887" s="92"/>
      <c r="B887" s="92"/>
      <c r="C887" s="92"/>
      <c r="D887" s="92"/>
      <c r="E887" s="92"/>
      <c r="F887" s="92"/>
      <c r="G887" s="92"/>
      <c r="I887" s="92"/>
    </row>
    <row r="888" ht="15.75" customHeight="1">
      <c r="A888" s="92"/>
      <c r="B888" s="92"/>
      <c r="C888" s="92"/>
      <c r="D888" s="92"/>
      <c r="E888" s="92"/>
      <c r="F888" s="92"/>
      <c r="G888" s="92"/>
      <c r="I888" s="92"/>
    </row>
    <row r="889" ht="15.75" customHeight="1">
      <c r="A889" s="92"/>
      <c r="B889" s="92"/>
      <c r="C889" s="92"/>
      <c r="D889" s="92"/>
      <c r="E889" s="92"/>
      <c r="F889" s="92"/>
      <c r="G889" s="92"/>
      <c r="I889" s="92"/>
    </row>
    <row r="890" ht="15.75" customHeight="1">
      <c r="A890" s="92"/>
      <c r="B890" s="92"/>
      <c r="C890" s="92"/>
      <c r="D890" s="92"/>
      <c r="E890" s="92"/>
      <c r="F890" s="92"/>
      <c r="G890" s="92"/>
      <c r="I890" s="92"/>
    </row>
    <row r="891" ht="15.75" customHeight="1">
      <c r="A891" s="92"/>
      <c r="B891" s="92"/>
      <c r="C891" s="92"/>
      <c r="D891" s="92"/>
      <c r="E891" s="92"/>
      <c r="F891" s="92"/>
      <c r="G891" s="92"/>
      <c r="I891" s="92"/>
    </row>
    <row r="892" ht="15.75" customHeight="1">
      <c r="A892" s="92"/>
      <c r="B892" s="92"/>
      <c r="C892" s="92"/>
      <c r="D892" s="92"/>
      <c r="E892" s="92"/>
      <c r="F892" s="92"/>
      <c r="G892" s="92"/>
      <c r="I892" s="92"/>
    </row>
    <row r="893" ht="15.75" customHeight="1">
      <c r="A893" s="92"/>
      <c r="B893" s="92"/>
      <c r="C893" s="92"/>
      <c r="D893" s="92"/>
      <c r="E893" s="92"/>
      <c r="F893" s="92"/>
      <c r="G893" s="92"/>
      <c r="I893" s="92"/>
    </row>
    <row r="894" ht="15.75" customHeight="1">
      <c r="A894" s="92"/>
      <c r="B894" s="92"/>
      <c r="C894" s="92"/>
      <c r="D894" s="92"/>
      <c r="E894" s="92"/>
      <c r="F894" s="92"/>
      <c r="G894" s="92"/>
      <c r="I894" s="92"/>
    </row>
    <row r="895" ht="15.75" customHeight="1">
      <c r="A895" s="92"/>
      <c r="B895" s="92"/>
      <c r="C895" s="92"/>
      <c r="D895" s="92"/>
      <c r="E895" s="92"/>
      <c r="F895" s="92"/>
      <c r="G895" s="92"/>
      <c r="I895" s="92"/>
    </row>
    <row r="896" ht="15.75" customHeight="1">
      <c r="A896" s="92"/>
      <c r="B896" s="92"/>
      <c r="C896" s="92"/>
      <c r="D896" s="92"/>
      <c r="E896" s="92"/>
      <c r="F896" s="92"/>
      <c r="G896" s="92"/>
      <c r="I896" s="92"/>
    </row>
    <row r="897" ht="15.75" customHeight="1">
      <c r="A897" s="92"/>
      <c r="B897" s="92"/>
      <c r="C897" s="92"/>
      <c r="D897" s="92"/>
      <c r="E897" s="92"/>
      <c r="F897" s="92"/>
      <c r="G897" s="92"/>
      <c r="I897" s="92"/>
    </row>
    <row r="898" ht="15.75" customHeight="1">
      <c r="A898" s="92"/>
      <c r="B898" s="92"/>
      <c r="C898" s="92"/>
      <c r="D898" s="92"/>
      <c r="E898" s="92"/>
      <c r="F898" s="92"/>
      <c r="G898" s="92"/>
      <c r="I898" s="92"/>
    </row>
    <row r="899" ht="15.75" customHeight="1">
      <c r="A899" s="92"/>
      <c r="B899" s="92"/>
      <c r="C899" s="92"/>
      <c r="D899" s="92"/>
      <c r="E899" s="92"/>
      <c r="F899" s="92"/>
      <c r="G899" s="92"/>
      <c r="I899" s="92"/>
    </row>
    <row r="900" ht="15.75" customHeight="1">
      <c r="A900" s="92"/>
      <c r="B900" s="92"/>
      <c r="C900" s="92"/>
      <c r="D900" s="92"/>
      <c r="E900" s="92"/>
      <c r="F900" s="92"/>
      <c r="G900" s="92"/>
      <c r="I900" s="92"/>
    </row>
    <row r="901" ht="15.75" customHeight="1">
      <c r="A901" s="92"/>
      <c r="B901" s="92"/>
      <c r="C901" s="92"/>
      <c r="D901" s="92"/>
      <c r="E901" s="92"/>
      <c r="F901" s="92"/>
      <c r="G901" s="92"/>
      <c r="I901" s="92"/>
    </row>
    <row r="902" ht="15.75" customHeight="1">
      <c r="A902" s="92"/>
      <c r="B902" s="92"/>
      <c r="C902" s="92"/>
      <c r="D902" s="92"/>
      <c r="E902" s="92"/>
      <c r="F902" s="92"/>
      <c r="G902" s="92"/>
      <c r="I902" s="92"/>
    </row>
    <row r="903" ht="15.75" customHeight="1">
      <c r="A903" s="92"/>
      <c r="B903" s="92"/>
      <c r="C903" s="92"/>
      <c r="D903" s="92"/>
      <c r="E903" s="92"/>
      <c r="F903" s="92"/>
      <c r="G903" s="92"/>
      <c r="I903" s="92"/>
    </row>
    <row r="904" ht="15.75" customHeight="1">
      <c r="A904" s="92"/>
      <c r="B904" s="92"/>
      <c r="C904" s="92"/>
      <c r="D904" s="92"/>
      <c r="E904" s="92"/>
      <c r="F904" s="92"/>
      <c r="G904" s="92"/>
      <c r="I904" s="92"/>
    </row>
    <row r="905" ht="15.75" customHeight="1">
      <c r="A905" s="92"/>
      <c r="B905" s="92"/>
      <c r="C905" s="92"/>
      <c r="D905" s="92"/>
      <c r="E905" s="92"/>
      <c r="F905" s="92"/>
      <c r="G905" s="92"/>
      <c r="I905" s="92"/>
    </row>
    <row r="906" ht="15.75" customHeight="1">
      <c r="A906" s="92"/>
      <c r="B906" s="92"/>
      <c r="C906" s="92"/>
      <c r="D906" s="92"/>
      <c r="E906" s="92"/>
      <c r="F906" s="92"/>
      <c r="G906" s="92"/>
      <c r="I906" s="92"/>
    </row>
    <row r="907" ht="15.75" customHeight="1">
      <c r="A907" s="92"/>
      <c r="B907" s="92"/>
      <c r="C907" s="92"/>
      <c r="D907" s="92"/>
      <c r="E907" s="92"/>
      <c r="F907" s="92"/>
      <c r="G907" s="92"/>
      <c r="I907" s="92"/>
    </row>
    <row r="908" ht="15.75" customHeight="1">
      <c r="A908" s="92"/>
      <c r="B908" s="92"/>
      <c r="C908" s="92"/>
      <c r="D908" s="92"/>
      <c r="E908" s="92"/>
      <c r="F908" s="92"/>
      <c r="G908" s="92"/>
      <c r="I908" s="92"/>
    </row>
    <row r="909" ht="15.75" customHeight="1">
      <c r="A909" s="92"/>
      <c r="B909" s="92"/>
      <c r="C909" s="92"/>
      <c r="D909" s="92"/>
      <c r="E909" s="92"/>
      <c r="F909" s="92"/>
      <c r="G909" s="92"/>
      <c r="I909" s="92"/>
    </row>
    <row r="910" ht="15.75" customHeight="1">
      <c r="A910" s="92"/>
      <c r="B910" s="92"/>
      <c r="C910" s="92"/>
      <c r="D910" s="92"/>
      <c r="E910" s="92"/>
      <c r="F910" s="92"/>
      <c r="G910" s="92"/>
      <c r="I910" s="92"/>
    </row>
    <row r="911" ht="15.75" customHeight="1">
      <c r="A911" s="92"/>
      <c r="B911" s="92"/>
      <c r="C911" s="92"/>
      <c r="D911" s="92"/>
      <c r="E911" s="92"/>
      <c r="F911" s="92"/>
      <c r="G911" s="92"/>
      <c r="I911" s="92"/>
    </row>
    <row r="912" ht="15.75" customHeight="1">
      <c r="A912" s="92"/>
      <c r="B912" s="92"/>
      <c r="C912" s="92"/>
      <c r="D912" s="92"/>
      <c r="E912" s="92"/>
      <c r="F912" s="92"/>
      <c r="G912" s="92"/>
      <c r="I912" s="92"/>
    </row>
    <row r="913" ht="15.75" customHeight="1">
      <c r="A913" s="92"/>
      <c r="B913" s="92"/>
      <c r="C913" s="92"/>
      <c r="D913" s="92"/>
      <c r="E913" s="92"/>
      <c r="F913" s="92"/>
      <c r="G913" s="92"/>
      <c r="I913" s="92"/>
    </row>
    <row r="914" ht="15.75" customHeight="1">
      <c r="A914" s="92"/>
      <c r="B914" s="92"/>
      <c r="C914" s="92"/>
      <c r="D914" s="92"/>
      <c r="E914" s="92"/>
      <c r="F914" s="92"/>
      <c r="G914" s="92"/>
      <c r="I914" s="92"/>
    </row>
    <row r="915" ht="15.75" customHeight="1">
      <c r="A915" s="92"/>
      <c r="B915" s="92"/>
      <c r="C915" s="92"/>
      <c r="D915" s="92"/>
      <c r="E915" s="92"/>
      <c r="F915" s="92"/>
      <c r="G915" s="92"/>
      <c r="I915" s="92"/>
    </row>
    <row r="916" ht="15.75" customHeight="1">
      <c r="A916" s="92"/>
      <c r="B916" s="92"/>
      <c r="C916" s="92"/>
      <c r="D916" s="92"/>
      <c r="E916" s="92"/>
      <c r="F916" s="92"/>
      <c r="G916" s="92"/>
      <c r="I916" s="92"/>
    </row>
    <row r="917" ht="15.75" customHeight="1">
      <c r="A917" s="92"/>
      <c r="B917" s="92"/>
      <c r="C917" s="92"/>
      <c r="D917" s="92"/>
      <c r="E917" s="92"/>
      <c r="F917" s="92"/>
      <c r="G917" s="92"/>
      <c r="I917" s="92"/>
    </row>
    <row r="918" ht="15.75" customHeight="1">
      <c r="A918" s="92"/>
      <c r="B918" s="92"/>
      <c r="C918" s="92"/>
      <c r="D918" s="92"/>
      <c r="E918" s="92"/>
      <c r="F918" s="92"/>
      <c r="G918" s="92"/>
      <c r="I918" s="92"/>
    </row>
    <row r="919" ht="15.75" customHeight="1">
      <c r="A919" s="92"/>
      <c r="B919" s="92"/>
      <c r="C919" s="92"/>
      <c r="D919" s="92"/>
      <c r="E919" s="92"/>
      <c r="F919" s="92"/>
      <c r="G919" s="92"/>
      <c r="I919" s="92"/>
    </row>
    <row r="920" ht="15.75" customHeight="1">
      <c r="A920" s="92"/>
      <c r="B920" s="92"/>
      <c r="C920" s="92"/>
      <c r="D920" s="92"/>
      <c r="E920" s="92"/>
      <c r="F920" s="92"/>
      <c r="G920" s="92"/>
      <c r="I920" s="92"/>
    </row>
    <row r="921" ht="15.75" customHeight="1">
      <c r="A921" s="92"/>
      <c r="B921" s="92"/>
      <c r="C921" s="92"/>
      <c r="D921" s="92"/>
      <c r="E921" s="92"/>
      <c r="F921" s="92"/>
      <c r="G921" s="92"/>
      <c r="I921" s="92"/>
    </row>
    <row r="922" ht="15.75" customHeight="1">
      <c r="A922" s="92"/>
      <c r="B922" s="92"/>
      <c r="C922" s="92"/>
      <c r="D922" s="92"/>
      <c r="E922" s="92"/>
      <c r="F922" s="92"/>
      <c r="G922" s="92"/>
      <c r="I922" s="92"/>
    </row>
    <row r="923" ht="15.75" customHeight="1">
      <c r="A923" s="92"/>
      <c r="B923" s="92"/>
      <c r="C923" s="92"/>
      <c r="D923" s="92"/>
      <c r="E923" s="92"/>
      <c r="F923" s="92"/>
      <c r="G923" s="92"/>
      <c r="I923" s="92"/>
    </row>
    <row r="924" ht="15.75" customHeight="1">
      <c r="A924" s="92"/>
      <c r="B924" s="92"/>
      <c r="C924" s="92"/>
      <c r="D924" s="92"/>
      <c r="E924" s="92"/>
      <c r="F924" s="92"/>
      <c r="G924" s="92"/>
      <c r="I924" s="92"/>
    </row>
    <row r="925" ht="15.75" customHeight="1">
      <c r="A925" s="92"/>
      <c r="B925" s="92"/>
      <c r="C925" s="92"/>
      <c r="D925" s="92"/>
      <c r="E925" s="92"/>
      <c r="F925" s="92"/>
      <c r="G925" s="92"/>
      <c r="I925" s="92"/>
    </row>
    <row r="926" ht="15.75" customHeight="1">
      <c r="A926" s="92"/>
      <c r="B926" s="92"/>
      <c r="C926" s="92"/>
      <c r="D926" s="92"/>
      <c r="E926" s="92"/>
      <c r="F926" s="92"/>
      <c r="G926" s="92"/>
      <c r="I926" s="92"/>
    </row>
    <row r="927" ht="15.75" customHeight="1">
      <c r="A927" s="92"/>
      <c r="B927" s="92"/>
      <c r="C927" s="92"/>
      <c r="D927" s="92"/>
      <c r="E927" s="92"/>
      <c r="F927" s="92"/>
      <c r="G927" s="92"/>
      <c r="I927" s="92"/>
    </row>
    <row r="928" ht="15.75" customHeight="1">
      <c r="A928" s="92"/>
      <c r="B928" s="92"/>
      <c r="C928" s="92"/>
      <c r="D928" s="92"/>
      <c r="E928" s="92"/>
      <c r="F928" s="92"/>
      <c r="G928" s="92"/>
      <c r="I928" s="92"/>
    </row>
    <row r="929" ht="15.75" customHeight="1">
      <c r="A929" s="92"/>
      <c r="B929" s="92"/>
      <c r="C929" s="92"/>
      <c r="D929" s="92"/>
      <c r="E929" s="92"/>
      <c r="F929" s="92"/>
      <c r="G929" s="92"/>
      <c r="I929" s="92"/>
    </row>
    <row r="930" ht="15.75" customHeight="1">
      <c r="A930" s="92"/>
      <c r="B930" s="92"/>
      <c r="C930" s="92"/>
      <c r="D930" s="92"/>
      <c r="E930" s="92"/>
      <c r="F930" s="92"/>
      <c r="G930" s="92"/>
      <c r="I930" s="92"/>
    </row>
    <row r="931" ht="15.75" customHeight="1">
      <c r="A931" s="92"/>
      <c r="B931" s="92"/>
      <c r="C931" s="92"/>
      <c r="D931" s="92"/>
      <c r="E931" s="92"/>
      <c r="F931" s="92"/>
      <c r="G931" s="92"/>
      <c r="I931" s="92"/>
    </row>
    <row r="932" ht="15.75" customHeight="1">
      <c r="A932" s="92"/>
      <c r="B932" s="92"/>
      <c r="C932" s="92"/>
      <c r="D932" s="92"/>
      <c r="E932" s="92"/>
      <c r="F932" s="92"/>
      <c r="G932" s="92"/>
      <c r="I932" s="92"/>
    </row>
    <row r="933" ht="15.75" customHeight="1">
      <c r="A933" s="92"/>
      <c r="B933" s="92"/>
      <c r="C933" s="92"/>
      <c r="D933" s="92"/>
      <c r="E933" s="92"/>
      <c r="F933" s="92"/>
      <c r="G933" s="92"/>
      <c r="I933" s="92"/>
    </row>
    <row r="934" ht="15.75" customHeight="1">
      <c r="A934" s="92"/>
      <c r="B934" s="92"/>
      <c r="C934" s="92"/>
      <c r="D934" s="92"/>
      <c r="E934" s="92"/>
      <c r="F934" s="92"/>
      <c r="G934" s="92"/>
      <c r="I934" s="92"/>
    </row>
    <row r="935" ht="15.75" customHeight="1">
      <c r="A935" s="92"/>
      <c r="B935" s="92"/>
      <c r="C935" s="92"/>
      <c r="D935" s="92"/>
      <c r="E935" s="92"/>
      <c r="F935" s="92"/>
      <c r="G935" s="92"/>
      <c r="I935" s="92"/>
    </row>
    <row r="936" ht="15.75" customHeight="1">
      <c r="A936" s="92"/>
      <c r="B936" s="92"/>
      <c r="C936" s="92"/>
      <c r="D936" s="92"/>
      <c r="E936" s="92"/>
      <c r="F936" s="92"/>
      <c r="G936" s="92"/>
      <c r="I936" s="92"/>
    </row>
    <row r="937" ht="15.75" customHeight="1">
      <c r="A937" s="92"/>
      <c r="B937" s="92"/>
      <c r="C937" s="92"/>
      <c r="D937" s="92"/>
      <c r="E937" s="92"/>
      <c r="F937" s="92"/>
      <c r="G937" s="92"/>
      <c r="I937" s="92"/>
    </row>
    <row r="938" ht="15.75" customHeight="1">
      <c r="A938" s="92"/>
      <c r="B938" s="92"/>
      <c r="C938" s="92"/>
      <c r="D938" s="92"/>
      <c r="E938" s="92"/>
      <c r="F938" s="92"/>
      <c r="G938" s="92"/>
      <c r="I938" s="92"/>
    </row>
    <row r="939" ht="15.75" customHeight="1">
      <c r="A939" s="92"/>
      <c r="B939" s="92"/>
      <c r="C939" s="92"/>
      <c r="D939" s="92"/>
      <c r="E939" s="92"/>
      <c r="F939" s="92"/>
      <c r="G939" s="92"/>
      <c r="I939" s="92"/>
    </row>
    <row r="940" ht="15.75" customHeight="1">
      <c r="A940" s="92"/>
      <c r="B940" s="92"/>
      <c r="C940" s="92"/>
      <c r="D940" s="92"/>
      <c r="E940" s="92"/>
      <c r="F940" s="92"/>
      <c r="G940" s="92"/>
      <c r="I940" s="92"/>
    </row>
    <row r="941" ht="15.75" customHeight="1">
      <c r="A941" s="92"/>
      <c r="B941" s="92"/>
      <c r="C941" s="92"/>
      <c r="D941" s="92"/>
      <c r="E941" s="92"/>
      <c r="F941" s="92"/>
      <c r="G941" s="92"/>
      <c r="I941" s="92"/>
    </row>
    <row r="942" ht="15.75" customHeight="1">
      <c r="A942" s="92"/>
      <c r="B942" s="92"/>
      <c r="C942" s="92"/>
      <c r="D942" s="92"/>
      <c r="E942" s="92"/>
      <c r="F942" s="92"/>
      <c r="G942" s="92"/>
      <c r="I942" s="92"/>
    </row>
    <row r="943" ht="15.75" customHeight="1">
      <c r="A943" s="92"/>
      <c r="B943" s="92"/>
      <c r="C943" s="92"/>
      <c r="D943" s="92"/>
      <c r="E943" s="92"/>
      <c r="F943" s="92"/>
      <c r="G943" s="92"/>
      <c r="I943" s="92"/>
    </row>
    <row r="944" ht="15.75" customHeight="1">
      <c r="A944" s="92"/>
      <c r="B944" s="92"/>
      <c r="C944" s="92"/>
      <c r="D944" s="92"/>
      <c r="E944" s="92"/>
      <c r="F944" s="92"/>
      <c r="G944" s="92"/>
      <c r="I944" s="92"/>
    </row>
    <row r="945" ht="15.75" customHeight="1">
      <c r="A945" s="92"/>
      <c r="B945" s="92"/>
      <c r="C945" s="92"/>
      <c r="D945" s="92"/>
      <c r="E945" s="92"/>
      <c r="F945" s="92"/>
      <c r="G945" s="92"/>
      <c r="I945" s="92"/>
    </row>
    <row r="946" ht="15.75" customHeight="1">
      <c r="A946" s="92"/>
      <c r="B946" s="92"/>
      <c r="C946" s="92"/>
      <c r="D946" s="92"/>
      <c r="E946" s="92"/>
      <c r="F946" s="92"/>
      <c r="G946" s="92"/>
      <c r="I946" s="92"/>
    </row>
    <row r="947" ht="15.75" customHeight="1">
      <c r="A947" s="92"/>
      <c r="B947" s="92"/>
      <c r="C947" s="92"/>
      <c r="D947" s="92"/>
      <c r="E947" s="92"/>
      <c r="F947" s="92"/>
      <c r="G947" s="92"/>
      <c r="I947" s="92"/>
    </row>
    <row r="948" ht="15.75" customHeight="1">
      <c r="A948" s="92"/>
      <c r="B948" s="92"/>
      <c r="C948" s="92"/>
      <c r="D948" s="92"/>
      <c r="E948" s="92"/>
      <c r="F948" s="92"/>
      <c r="G948" s="92"/>
      <c r="I948" s="92"/>
    </row>
    <row r="949" ht="15.75" customHeight="1">
      <c r="A949" s="92"/>
      <c r="B949" s="92"/>
      <c r="C949" s="92"/>
      <c r="D949" s="92"/>
      <c r="E949" s="92"/>
      <c r="F949" s="92"/>
      <c r="G949" s="92"/>
      <c r="I949" s="92"/>
    </row>
    <row r="950" ht="15.75" customHeight="1">
      <c r="A950" s="92"/>
      <c r="B950" s="92"/>
      <c r="C950" s="92"/>
      <c r="D950" s="92"/>
      <c r="E950" s="92"/>
      <c r="F950" s="92"/>
      <c r="G950" s="92"/>
      <c r="I950" s="92"/>
    </row>
    <row r="951" ht="15.75" customHeight="1">
      <c r="A951" s="92"/>
      <c r="B951" s="92"/>
      <c r="C951" s="92"/>
      <c r="D951" s="92"/>
      <c r="E951" s="92"/>
      <c r="F951" s="92"/>
      <c r="G951" s="92"/>
      <c r="I951" s="92"/>
    </row>
    <row r="952" ht="15.75" customHeight="1">
      <c r="A952" s="92"/>
      <c r="B952" s="92"/>
      <c r="C952" s="92"/>
      <c r="D952" s="92"/>
      <c r="E952" s="92"/>
      <c r="F952" s="92"/>
      <c r="G952" s="92"/>
      <c r="I952" s="92"/>
    </row>
    <row r="953" ht="15.75" customHeight="1">
      <c r="A953" s="92"/>
      <c r="B953" s="92"/>
      <c r="C953" s="92"/>
      <c r="D953" s="92"/>
      <c r="E953" s="92"/>
      <c r="F953" s="92"/>
      <c r="G953" s="92"/>
      <c r="I953" s="92"/>
    </row>
    <row r="954" ht="15.75" customHeight="1">
      <c r="A954" s="92"/>
      <c r="B954" s="92"/>
      <c r="C954" s="92"/>
      <c r="D954" s="92"/>
      <c r="E954" s="92"/>
      <c r="F954" s="92"/>
      <c r="G954" s="92"/>
      <c r="I954" s="92"/>
    </row>
    <row r="955" ht="15.75" customHeight="1">
      <c r="A955" s="92"/>
      <c r="B955" s="92"/>
      <c r="C955" s="92"/>
      <c r="D955" s="92"/>
      <c r="E955" s="92"/>
      <c r="F955" s="92"/>
      <c r="G955" s="92"/>
      <c r="I955" s="92"/>
    </row>
    <row r="956" ht="15.75" customHeight="1">
      <c r="A956" s="92"/>
      <c r="B956" s="92"/>
      <c r="C956" s="92"/>
      <c r="D956" s="92"/>
      <c r="E956" s="92"/>
      <c r="F956" s="92"/>
      <c r="G956" s="92"/>
      <c r="I956" s="92"/>
    </row>
    <row r="957" ht="15.75" customHeight="1">
      <c r="A957" s="92"/>
      <c r="B957" s="92"/>
      <c r="C957" s="92"/>
      <c r="D957" s="92"/>
      <c r="E957" s="92"/>
      <c r="F957" s="92"/>
      <c r="G957" s="92"/>
      <c r="I957" s="92"/>
    </row>
    <row r="958" ht="15.75" customHeight="1">
      <c r="A958" s="92"/>
      <c r="B958" s="92"/>
      <c r="C958" s="92"/>
      <c r="D958" s="92"/>
      <c r="E958" s="92"/>
      <c r="F958" s="92"/>
      <c r="G958" s="92"/>
      <c r="I958" s="92"/>
    </row>
    <row r="959" ht="15.75" customHeight="1">
      <c r="A959" s="92"/>
      <c r="B959" s="92"/>
      <c r="C959" s="92"/>
      <c r="D959" s="92"/>
      <c r="E959" s="92"/>
      <c r="F959" s="92"/>
      <c r="G959" s="92"/>
      <c r="I959" s="92"/>
    </row>
    <row r="960" ht="15.75" customHeight="1">
      <c r="A960" s="92"/>
      <c r="B960" s="92"/>
      <c r="C960" s="92"/>
      <c r="D960" s="92"/>
      <c r="E960" s="92"/>
      <c r="F960" s="92"/>
      <c r="G960" s="92"/>
      <c r="I960" s="92"/>
    </row>
    <row r="961" ht="15.75" customHeight="1">
      <c r="A961" s="92"/>
      <c r="B961" s="92"/>
      <c r="C961" s="92"/>
      <c r="D961" s="92"/>
      <c r="E961" s="92"/>
      <c r="F961" s="92"/>
      <c r="G961" s="92"/>
      <c r="I961" s="92"/>
    </row>
    <row r="962" ht="15.75" customHeight="1">
      <c r="A962" s="92"/>
      <c r="B962" s="92"/>
      <c r="C962" s="92"/>
      <c r="D962" s="92"/>
      <c r="E962" s="92"/>
      <c r="F962" s="92"/>
      <c r="G962" s="92"/>
      <c r="I962" s="92"/>
    </row>
    <row r="963" ht="15.75" customHeight="1">
      <c r="A963" s="92"/>
      <c r="B963" s="92"/>
      <c r="C963" s="92"/>
      <c r="D963" s="92"/>
      <c r="E963" s="92"/>
      <c r="F963" s="92"/>
      <c r="G963" s="92"/>
      <c r="I963" s="92"/>
    </row>
    <row r="964" ht="15.75" customHeight="1">
      <c r="A964" s="92"/>
      <c r="B964" s="92"/>
      <c r="C964" s="92"/>
      <c r="D964" s="92"/>
      <c r="E964" s="92"/>
      <c r="F964" s="92"/>
      <c r="G964" s="92"/>
      <c r="I964" s="92"/>
    </row>
    <row r="965" ht="15.75" customHeight="1">
      <c r="A965" s="92"/>
      <c r="B965" s="92"/>
      <c r="C965" s="92"/>
      <c r="D965" s="92"/>
      <c r="E965" s="92"/>
      <c r="F965" s="92"/>
      <c r="G965" s="92"/>
      <c r="I965" s="92"/>
    </row>
    <row r="966" ht="15.75" customHeight="1">
      <c r="A966" s="92"/>
      <c r="B966" s="92"/>
      <c r="C966" s="92"/>
      <c r="D966" s="92"/>
      <c r="E966" s="92"/>
      <c r="F966" s="92"/>
      <c r="G966" s="92"/>
      <c r="I966" s="92"/>
    </row>
    <row r="967" ht="15.75" customHeight="1">
      <c r="A967" s="92"/>
      <c r="B967" s="92"/>
      <c r="C967" s="92"/>
      <c r="D967" s="92"/>
      <c r="E967" s="92"/>
      <c r="F967" s="92"/>
      <c r="G967" s="92"/>
      <c r="I967" s="92"/>
    </row>
    <row r="968" ht="15.75" customHeight="1">
      <c r="A968" s="92"/>
      <c r="B968" s="92"/>
      <c r="C968" s="92"/>
      <c r="D968" s="92"/>
      <c r="E968" s="92"/>
      <c r="F968" s="92"/>
      <c r="G968" s="92"/>
      <c r="I968" s="92"/>
    </row>
    <row r="969" ht="15.75" customHeight="1">
      <c r="A969" s="92"/>
      <c r="B969" s="92"/>
      <c r="C969" s="92"/>
      <c r="D969" s="92"/>
      <c r="E969" s="92"/>
      <c r="F969" s="92"/>
      <c r="G969" s="92"/>
      <c r="I969" s="92"/>
    </row>
    <row r="970" ht="15.75" customHeight="1">
      <c r="A970" s="92"/>
      <c r="B970" s="92"/>
      <c r="C970" s="92"/>
      <c r="D970" s="92"/>
      <c r="E970" s="92"/>
      <c r="F970" s="92"/>
      <c r="G970" s="92"/>
      <c r="I970" s="92"/>
    </row>
    <row r="971" ht="15.75" customHeight="1">
      <c r="A971" s="92"/>
      <c r="B971" s="92"/>
      <c r="C971" s="92"/>
      <c r="D971" s="92"/>
      <c r="E971" s="92"/>
      <c r="F971" s="92"/>
      <c r="G971" s="92"/>
      <c r="I971" s="92"/>
    </row>
    <row r="972" ht="15.75" customHeight="1">
      <c r="A972" s="92"/>
      <c r="B972" s="92"/>
      <c r="C972" s="92"/>
      <c r="D972" s="92"/>
      <c r="E972" s="92"/>
      <c r="F972" s="92"/>
      <c r="G972" s="92"/>
      <c r="I972" s="92"/>
    </row>
    <row r="973" ht="15.75" customHeight="1">
      <c r="A973" s="92"/>
      <c r="B973" s="92"/>
      <c r="C973" s="92"/>
      <c r="D973" s="92"/>
      <c r="E973" s="92"/>
      <c r="F973" s="92"/>
      <c r="G973" s="92"/>
      <c r="I973" s="92"/>
    </row>
    <row r="974" ht="15.75" customHeight="1">
      <c r="A974" s="92"/>
      <c r="B974" s="92"/>
      <c r="C974" s="92"/>
      <c r="D974" s="92"/>
      <c r="E974" s="92"/>
      <c r="F974" s="92"/>
      <c r="G974" s="92"/>
      <c r="I974" s="92"/>
    </row>
    <row r="975" ht="15.75" customHeight="1">
      <c r="A975" s="92"/>
      <c r="B975" s="92"/>
      <c r="C975" s="92"/>
      <c r="D975" s="92"/>
      <c r="E975" s="92"/>
      <c r="F975" s="92"/>
      <c r="G975" s="92"/>
      <c r="I975" s="92"/>
    </row>
    <row r="976" ht="15.75" customHeight="1">
      <c r="A976" s="92"/>
      <c r="B976" s="92"/>
      <c r="C976" s="92"/>
      <c r="D976" s="92"/>
      <c r="E976" s="92"/>
      <c r="F976" s="92"/>
      <c r="G976" s="92"/>
      <c r="I976" s="92"/>
    </row>
    <row r="977" ht="15.75" customHeight="1">
      <c r="A977" s="92"/>
      <c r="B977" s="92"/>
      <c r="C977" s="92"/>
      <c r="D977" s="92"/>
      <c r="E977" s="92"/>
      <c r="F977" s="92"/>
      <c r="G977" s="92"/>
      <c r="I977" s="92"/>
    </row>
    <row r="978" ht="15.75" customHeight="1">
      <c r="A978" s="92"/>
      <c r="B978" s="92"/>
      <c r="C978" s="92"/>
      <c r="D978" s="92"/>
      <c r="E978" s="92"/>
      <c r="F978" s="92"/>
      <c r="G978" s="92"/>
      <c r="I978" s="92"/>
    </row>
    <row r="979" ht="15.75" customHeight="1">
      <c r="A979" s="92"/>
      <c r="B979" s="92"/>
      <c r="C979" s="92"/>
      <c r="D979" s="92"/>
      <c r="E979" s="92"/>
      <c r="F979" s="92"/>
      <c r="G979" s="92"/>
      <c r="I979" s="92"/>
    </row>
    <row r="980" ht="15.75" customHeight="1">
      <c r="A980" s="92"/>
      <c r="B980" s="92"/>
      <c r="C980" s="92"/>
      <c r="D980" s="92"/>
      <c r="E980" s="92"/>
      <c r="F980" s="92"/>
      <c r="G980" s="92"/>
      <c r="I980" s="92"/>
    </row>
    <row r="981" ht="15.75" customHeight="1">
      <c r="A981" s="92"/>
      <c r="B981" s="92"/>
      <c r="C981" s="92"/>
      <c r="D981" s="92"/>
      <c r="E981" s="92"/>
      <c r="F981" s="92"/>
      <c r="G981" s="92"/>
      <c r="I981" s="92"/>
    </row>
    <row r="982" ht="15.75" customHeight="1">
      <c r="A982" s="92"/>
      <c r="B982" s="92"/>
      <c r="C982" s="92"/>
      <c r="D982" s="92"/>
      <c r="E982" s="92"/>
      <c r="F982" s="92"/>
      <c r="G982" s="92"/>
      <c r="I982" s="92"/>
    </row>
    <row r="983" ht="15.75" customHeight="1">
      <c r="A983" s="92"/>
      <c r="B983" s="92"/>
      <c r="C983" s="92"/>
      <c r="D983" s="92"/>
      <c r="E983" s="92"/>
      <c r="F983" s="92"/>
      <c r="G983" s="92"/>
      <c r="I983" s="92"/>
    </row>
    <row r="984" ht="15.75" customHeight="1">
      <c r="A984" s="92"/>
      <c r="B984" s="92"/>
      <c r="C984" s="92"/>
      <c r="D984" s="92"/>
      <c r="E984" s="92"/>
      <c r="F984" s="92"/>
      <c r="G984" s="92"/>
      <c r="I984" s="92"/>
    </row>
    <row r="985" ht="15.75" customHeight="1">
      <c r="A985" s="92"/>
      <c r="B985" s="92"/>
      <c r="C985" s="92"/>
      <c r="D985" s="92"/>
      <c r="E985" s="92"/>
      <c r="F985" s="92"/>
      <c r="G985" s="92"/>
      <c r="I985" s="92"/>
    </row>
    <row r="986" ht="15.75" customHeight="1">
      <c r="A986" s="92"/>
      <c r="B986" s="92"/>
      <c r="C986" s="92"/>
      <c r="D986" s="92"/>
      <c r="E986" s="92"/>
      <c r="F986" s="92"/>
      <c r="G986" s="92"/>
      <c r="I986" s="92"/>
    </row>
    <row r="987" ht="15.75" customHeight="1">
      <c r="A987" s="92"/>
      <c r="B987" s="92"/>
      <c r="C987" s="92"/>
      <c r="D987" s="92"/>
      <c r="E987" s="92"/>
      <c r="F987" s="92"/>
      <c r="G987" s="92"/>
      <c r="I987" s="92"/>
    </row>
    <row r="988" ht="15.75" customHeight="1">
      <c r="A988" s="92"/>
      <c r="B988" s="92"/>
      <c r="C988" s="92"/>
      <c r="D988" s="92"/>
      <c r="E988" s="92"/>
      <c r="F988" s="92"/>
      <c r="G988" s="92"/>
      <c r="I988" s="92"/>
    </row>
    <row r="989" ht="15.75" customHeight="1">
      <c r="A989" s="92"/>
      <c r="B989" s="92"/>
      <c r="C989" s="92"/>
      <c r="D989" s="92"/>
      <c r="E989" s="92"/>
      <c r="F989" s="92"/>
      <c r="G989" s="92"/>
      <c r="I989" s="92"/>
    </row>
    <row r="990" ht="15.75" customHeight="1">
      <c r="A990" s="92"/>
      <c r="B990" s="92"/>
      <c r="C990" s="92"/>
      <c r="D990" s="92"/>
      <c r="E990" s="92"/>
      <c r="F990" s="92"/>
      <c r="G990" s="92"/>
      <c r="I990" s="92"/>
    </row>
    <row r="991" ht="15.75" customHeight="1">
      <c r="A991" s="92"/>
      <c r="B991" s="92"/>
      <c r="C991" s="92"/>
      <c r="D991" s="92"/>
      <c r="E991" s="92"/>
      <c r="F991" s="92"/>
      <c r="G991" s="92"/>
      <c r="I991" s="92"/>
    </row>
    <row r="992" ht="15.75" customHeight="1">
      <c r="A992" s="92"/>
      <c r="B992" s="92"/>
      <c r="C992" s="92"/>
      <c r="D992" s="92"/>
      <c r="E992" s="92"/>
      <c r="F992" s="92"/>
      <c r="G992" s="92"/>
      <c r="I992" s="92"/>
    </row>
    <row r="993" ht="15.75" customHeight="1">
      <c r="A993" s="92"/>
      <c r="B993" s="92"/>
      <c r="C993" s="92"/>
      <c r="D993" s="92"/>
      <c r="E993" s="92"/>
      <c r="F993" s="92"/>
      <c r="G993" s="92"/>
      <c r="I993" s="92"/>
    </row>
    <row r="994" ht="15.75" customHeight="1">
      <c r="A994" s="92"/>
      <c r="B994" s="92"/>
      <c r="C994" s="92"/>
      <c r="D994" s="92"/>
      <c r="E994" s="92"/>
      <c r="F994" s="92"/>
      <c r="G994" s="92"/>
      <c r="I994" s="92"/>
    </row>
    <row r="995" ht="15.75" customHeight="1">
      <c r="A995" s="92"/>
      <c r="B995" s="92"/>
      <c r="C995" s="92"/>
      <c r="D995" s="92"/>
      <c r="E995" s="92"/>
      <c r="F995" s="92"/>
      <c r="G995" s="92"/>
      <c r="I995" s="92"/>
    </row>
    <row r="996" ht="15.75" customHeight="1">
      <c r="A996" s="92"/>
      <c r="B996" s="92"/>
      <c r="C996" s="92"/>
      <c r="D996" s="92"/>
      <c r="E996" s="92"/>
      <c r="F996" s="92"/>
      <c r="G996" s="92"/>
      <c r="I996" s="92"/>
    </row>
    <row r="997" ht="15.75" customHeight="1">
      <c r="A997" s="92"/>
      <c r="B997" s="92"/>
      <c r="C997" s="92"/>
      <c r="D997" s="92"/>
      <c r="E997" s="92"/>
      <c r="F997" s="92"/>
      <c r="G997" s="92"/>
      <c r="I997" s="92"/>
    </row>
    <row r="998" ht="15.75" customHeight="1">
      <c r="A998" s="92"/>
      <c r="B998" s="92"/>
      <c r="C998" s="92"/>
      <c r="D998" s="92"/>
      <c r="E998" s="92"/>
      <c r="F998" s="92"/>
      <c r="G998" s="92"/>
      <c r="I998" s="92"/>
    </row>
    <row r="999" ht="15.75" customHeight="1">
      <c r="A999" s="92"/>
      <c r="B999" s="92"/>
      <c r="C999" s="92"/>
      <c r="D999" s="92"/>
      <c r="E999" s="92"/>
      <c r="F999" s="92"/>
      <c r="G999" s="92"/>
      <c r="I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I1000" s="92"/>
    </row>
  </sheetData>
  <mergeCells count="28">
    <mergeCell ref="A1:B2"/>
    <mergeCell ref="C1:C2"/>
    <mergeCell ref="D1:D2"/>
    <mergeCell ref="E1:E2"/>
    <mergeCell ref="F1:I2"/>
    <mergeCell ref="A3:B3"/>
    <mergeCell ref="C3:C4"/>
    <mergeCell ref="A27:A28"/>
    <mergeCell ref="A29:A30"/>
    <mergeCell ref="A31:A49"/>
    <mergeCell ref="D3:D4"/>
    <mergeCell ref="E3:E4"/>
    <mergeCell ref="A5:A10"/>
    <mergeCell ref="A11:A15"/>
    <mergeCell ref="A16:A18"/>
    <mergeCell ref="A19:A23"/>
    <mergeCell ref="A24:A26"/>
    <mergeCell ref="H27:H28"/>
    <mergeCell ref="H29:H30"/>
    <mergeCell ref="H31:H49"/>
    <mergeCell ref="A50:I54"/>
    <mergeCell ref="H3:H4"/>
    <mergeCell ref="I3:I4"/>
    <mergeCell ref="H5:H8"/>
    <mergeCell ref="H9:H15"/>
    <mergeCell ref="H16:H18"/>
    <mergeCell ref="H19:H23"/>
    <mergeCell ref="H24:H26"/>
  </mergeCells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90.57"/>
    <col customWidth="1" min="3" max="3" width="21.0"/>
    <col customWidth="1" min="4" max="4" width="21.71"/>
    <col customWidth="1" min="5" max="5" width="19.29"/>
    <col customWidth="1" min="6" max="6" width="21.14"/>
    <col customWidth="1" min="7" max="7" width="21.57"/>
    <col customWidth="1" min="9" max="9" width="49.71"/>
  </cols>
  <sheetData>
    <row r="1" ht="16.5" customHeight="1">
      <c r="A1" s="1" t="s">
        <v>119</v>
      </c>
      <c r="B1" s="2"/>
      <c r="C1" s="3" t="s">
        <v>66</v>
      </c>
      <c r="D1" s="90" t="s">
        <v>120</v>
      </c>
      <c r="E1" s="91" t="s">
        <v>121</v>
      </c>
      <c r="F1" s="6"/>
      <c r="G1" s="2"/>
      <c r="H1" s="2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2"/>
    </row>
    <row r="2" ht="16.5" customHeight="1">
      <c r="A2" s="10"/>
      <c r="C2" s="11"/>
      <c r="D2" s="36"/>
      <c r="E2" s="11"/>
      <c r="F2" s="13"/>
      <c r="I2" s="1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2"/>
    </row>
    <row r="3" ht="16.5" customHeight="1">
      <c r="A3" s="15"/>
      <c r="B3" s="16"/>
      <c r="C3" s="124"/>
      <c r="D3" s="93"/>
      <c r="E3" s="18"/>
      <c r="F3" s="19" t="s">
        <v>4</v>
      </c>
      <c r="G3" s="20" t="s">
        <v>5</v>
      </c>
      <c r="H3" s="21" t="s">
        <v>6</v>
      </c>
      <c r="I3" s="22" t="s">
        <v>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2"/>
    </row>
    <row r="4" ht="16.5" customHeight="1">
      <c r="A4" s="23" t="s">
        <v>8</v>
      </c>
      <c r="B4" s="24" t="s">
        <v>9</v>
      </c>
      <c r="C4" s="28"/>
      <c r="D4" s="11"/>
      <c r="E4" s="26"/>
      <c r="F4" s="27" t="s">
        <v>10</v>
      </c>
      <c r="G4" s="27" t="s">
        <v>11</v>
      </c>
      <c r="H4" s="28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2"/>
    </row>
    <row r="5" ht="16.5" customHeight="1">
      <c r="A5" s="29" t="s">
        <v>122</v>
      </c>
      <c r="B5" s="61" t="s">
        <v>123</v>
      </c>
      <c r="C5" s="112">
        <v>149000.0</v>
      </c>
      <c r="D5" s="125">
        <f t="shared" ref="D5:D14" si="1">E5*2-1000</f>
        <v>197000</v>
      </c>
      <c r="E5" s="95">
        <v>99000.0</v>
      </c>
      <c r="F5" s="143"/>
      <c r="G5" s="96"/>
      <c r="H5" s="65"/>
      <c r="I5" s="3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2"/>
    </row>
    <row r="6" ht="16.5" customHeight="1">
      <c r="A6" s="36"/>
      <c r="B6" s="66" t="s">
        <v>124</v>
      </c>
      <c r="C6" s="114">
        <v>199000.0</v>
      </c>
      <c r="D6" s="99">
        <f t="shared" si="1"/>
        <v>337000</v>
      </c>
      <c r="E6" s="98">
        <v>169000.0</v>
      </c>
      <c r="F6" s="143"/>
      <c r="G6" s="96"/>
      <c r="H6" s="26"/>
      <c r="I6" s="4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2"/>
    </row>
    <row r="7" ht="16.5" customHeight="1">
      <c r="A7" s="36"/>
      <c r="B7" s="109" t="s">
        <v>125</v>
      </c>
      <c r="C7" s="88">
        <v>529000.0</v>
      </c>
      <c r="D7" s="99">
        <f t="shared" si="1"/>
        <v>897000</v>
      </c>
      <c r="E7" s="98">
        <v>449000.0</v>
      </c>
      <c r="F7" s="105"/>
      <c r="G7" s="46"/>
      <c r="H7" s="26"/>
      <c r="I7" s="4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2"/>
    </row>
    <row r="8" ht="16.5" customHeight="1">
      <c r="A8" s="36"/>
      <c r="B8" s="109" t="s">
        <v>126</v>
      </c>
      <c r="C8" s="88">
        <v>589000.0</v>
      </c>
      <c r="D8" s="99">
        <f t="shared" si="1"/>
        <v>1037000</v>
      </c>
      <c r="E8" s="98">
        <v>519000.0</v>
      </c>
      <c r="F8" s="105"/>
      <c r="G8" s="80"/>
      <c r="H8" s="12"/>
      <c r="I8" s="4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2"/>
    </row>
    <row r="9" ht="16.5" customHeight="1">
      <c r="A9" s="36"/>
      <c r="B9" s="109" t="s">
        <v>127</v>
      </c>
      <c r="C9" s="88">
        <v>609000.0</v>
      </c>
      <c r="D9" s="99">
        <f t="shared" si="1"/>
        <v>1057000</v>
      </c>
      <c r="E9" s="98">
        <v>529000.0</v>
      </c>
      <c r="F9" s="105"/>
      <c r="G9" s="80"/>
      <c r="H9" s="100"/>
      <c r="I9" s="4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2"/>
    </row>
    <row r="10" ht="16.5" customHeight="1">
      <c r="A10" s="48"/>
      <c r="B10" s="110" t="s">
        <v>128</v>
      </c>
      <c r="C10" s="126">
        <v>940000.0</v>
      </c>
      <c r="D10" s="102">
        <f t="shared" si="1"/>
        <v>1797000</v>
      </c>
      <c r="E10" s="103">
        <v>899000.0</v>
      </c>
      <c r="F10" s="127"/>
      <c r="G10" s="80"/>
      <c r="H10" s="26"/>
      <c r="I10" s="4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2"/>
    </row>
    <row r="11" ht="16.5" customHeight="1">
      <c r="A11" s="52" t="s">
        <v>129</v>
      </c>
      <c r="B11" s="109" t="s">
        <v>130</v>
      </c>
      <c r="C11" s="88">
        <v>200000.0</v>
      </c>
      <c r="D11" s="125">
        <f t="shared" si="1"/>
        <v>277000</v>
      </c>
      <c r="E11" s="88">
        <v>139000.0</v>
      </c>
      <c r="F11" s="104"/>
      <c r="G11" s="80"/>
      <c r="H11" s="26"/>
      <c r="I11" s="4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2"/>
    </row>
    <row r="12" ht="16.5" customHeight="1">
      <c r="A12" s="10"/>
      <c r="B12" s="109" t="s">
        <v>131</v>
      </c>
      <c r="C12" s="88">
        <v>177000.0</v>
      </c>
      <c r="D12" s="99">
        <f t="shared" si="1"/>
        <v>297000</v>
      </c>
      <c r="E12" s="88">
        <v>149000.0</v>
      </c>
      <c r="F12" s="105"/>
      <c r="G12" s="80"/>
      <c r="H12" s="26"/>
      <c r="I12" s="4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2"/>
    </row>
    <row r="13" ht="16.5" customHeight="1">
      <c r="A13" s="10"/>
      <c r="B13" s="109" t="s">
        <v>132</v>
      </c>
      <c r="C13" s="88">
        <v>319000.0</v>
      </c>
      <c r="D13" s="99">
        <f t="shared" si="1"/>
        <v>517000</v>
      </c>
      <c r="E13" s="88">
        <v>259000.0</v>
      </c>
      <c r="F13" s="106"/>
      <c r="G13" s="46"/>
      <c r="H13" s="26"/>
      <c r="I13" s="4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2"/>
    </row>
    <row r="14" ht="16.5" customHeight="1">
      <c r="A14" s="10"/>
      <c r="B14" s="109" t="s">
        <v>133</v>
      </c>
      <c r="C14" s="88">
        <v>346000.0</v>
      </c>
      <c r="D14" s="99">
        <f t="shared" si="1"/>
        <v>597000</v>
      </c>
      <c r="E14" s="88">
        <v>299000.0</v>
      </c>
      <c r="F14" s="105"/>
      <c r="G14" s="80"/>
      <c r="H14" s="26"/>
      <c r="I14" s="4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2"/>
    </row>
    <row r="15" ht="16.5" customHeight="1">
      <c r="A15" s="52" t="s">
        <v>134</v>
      </c>
      <c r="B15" s="61" t="s">
        <v>135</v>
      </c>
      <c r="C15" s="108">
        <v>379000.0</v>
      </c>
      <c r="D15" s="125">
        <v>657000.0</v>
      </c>
      <c r="E15" s="108">
        <v>329000.0</v>
      </c>
      <c r="F15" s="105"/>
      <c r="G15" s="80"/>
      <c r="H15" s="100"/>
      <c r="I15" s="4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2"/>
    </row>
    <row r="16" ht="16.5" customHeight="1">
      <c r="A16" s="10"/>
      <c r="B16" s="37" t="s">
        <v>136</v>
      </c>
      <c r="C16" s="88">
        <v>399000.0</v>
      </c>
      <c r="D16" s="99">
        <v>717000.0</v>
      </c>
      <c r="E16" s="88">
        <v>359000.0</v>
      </c>
      <c r="F16" s="105"/>
      <c r="G16" s="80"/>
      <c r="H16" s="26"/>
      <c r="I16" s="4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2"/>
    </row>
    <row r="17" ht="16.5" customHeight="1">
      <c r="A17" s="10"/>
      <c r="B17" s="66" t="s">
        <v>137</v>
      </c>
      <c r="C17" s="88">
        <v>458000.0</v>
      </c>
      <c r="D17" s="99">
        <v>717000.0</v>
      </c>
      <c r="E17" s="88">
        <v>359000.0</v>
      </c>
      <c r="F17" s="105"/>
      <c r="G17" s="80"/>
      <c r="H17" s="26"/>
      <c r="I17" s="4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2"/>
    </row>
    <row r="18" ht="16.5" customHeight="1">
      <c r="A18" s="58"/>
      <c r="B18" s="109" t="s">
        <v>138</v>
      </c>
      <c r="C18" s="88">
        <v>470000.0</v>
      </c>
      <c r="D18" s="102">
        <v>797000.0</v>
      </c>
      <c r="E18" s="88">
        <v>399000.0</v>
      </c>
      <c r="F18" s="105"/>
      <c r="G18" s="80"/>
      <c r="H18" s="26"/>
      <c r="I18" s="4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2"/>
    </row>
    <row r="19" ht="16.5" customHeight="1">
      <c r="A19" s="60" t="s">
        <v>28</v>
      </c>
      <c r="B19" s="61" t="s">
        <v>139</v>
      </c>
      <c r="C19" s="112">
        <v>89000.0</v>
      </c>
      <c r="D19" s="125">
        <f t="shared" ref="D19:D32" si="2">E19*2-1000</f>
        <v>137000</v>
      </c>
      <c r="E19" s="112">
        <v>69000.0</v>
      </c>
      <c r="F19" s="113"/>
      <c r="G19" s="64"/>
      <c r="H19" s="65"/>
      <c r="I19" s="4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2"/>
    </row>
    <row r="20" ht="16.5" customHeight="1">
      <c r="A20" s="10"/>
      <c r="B20" s="66" t="s">
        <v>60</v>
      </c>
      <c r="C20" s="114">
        <v>150000.0</v>
      </c>
      <c r="D20" s="99">
        <f t="shared" si="2"/>
        <v>197000</v>
      </c>
      <c r="E20" s="114">
        <v>99000.0</v>
      </c>
      <c r="F20" s="113"/>
      <c r="G20" s="64"/>
      <c r="H20" s="26"/>
      <c r="I20" s="4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2"/>
    </row>
    <row r="21" ht="16.5" customHeight="1">
      <c r="A21" s="10"/>
      <c r="B21" s="66" t="s">
        <v>140</v>
      </c>
      <c r="C21" s="114">
        <v>229000.0</v>
      </c>
      <c r="D21" s="99">
        <f t="shared" si="2"/>
        <v>357000</v>
      </c>
      <c r="E21" s="114">
        <v>179000.0</v>
      </c>
      <c r="F21" s="113"/>
      <c r="G21" s="72"/>
      <c r="H21" s="26"/>
      <c r="I21" s="4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2"/>
    </row>
    <row r="22" ht="16.5" customHeight="1">
      <c r="A22" s="10"/>
      <c r="B22" s="66" t="s">
        <v>62</v>
      </c>
      <c r="C22" s="114">
        <v>269000.0</v>
      </c>
      <c r="D22" s="99">
        <f t="shared" si="2"/>
        <v>477000</v>
      </c>
      <c r="E22" s="114">
        <v>239000.0</v>
      </c>
      <c r="F22" s="113"/>
      <c r="G22" s="72"/>
      <c r="H22" s="26"/>
      <c r="I22" s="4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2"/>
    </row>
    <row r="23" ht="16.5" customHeight="1">
      <c r="A23" s="10"/>
      <c r="B23" s="59" t="s">
        <v>141</v>
      </c>
      <c r="C23" s="114">
        <v>299000.0</v>
      </c>
      <c r="D23" s="99">
        <f t="shared" si="2"/>
        <v>477000</v>
      </c>
      <c r="E23" s="114">
        <v>239000.0</v>
      </c>
      <c r="F23" s="113"/>
      <c r="G23" s="64"/>
      <c r="H23" s="26"/>
      <c r="I23" s="4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2"/>
    </row>
    <row r="24" ht="16.5" customHeight="1">
      <c r="A24" s="117" t="s">
        <v>91</v>
      </c>
      <c r="B24" s="66" t="s">
        <v>142</v>
      </c>
      <c r="C24" s="112">
        <v>70000.0</v>
      </c>
      <c r="D24" s="125">
        <f t="shared" si="2"/>
        <v>117000</v>
      </c>
      <c r="E24" s="144">
        <v>59000.0</v>
      </c>
      <c r="F24" s="121"/>
      <c r="G24" s="75"/>
      <c r="H24" s="76"/>
      <c r="I24" s="4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2"/>
    </row>
    <row r="25" ht="16.5" customHeight="1">
      <c r="A25" s="25"/>
      <c r="B25" s="66" t="s">
        <v>143</v>
      </c>
      <c r="C25" s="114">
        <v>99000.0</v>
      </c>
      <c r="D25" s="99">
        <f t="shared" si="2"/>
        <v>177000</v>
      </c>
      <c r="E25" s="145">
        <v>89000.0</v>
      </c>
      <c r="F25" s="121"/>
      <c r="G25" s="75"/>
      <c r="H25" s="26"/>
      <c r="I25" s="4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2"/>
    </row>
    <row r="26" ht="16.5" customHeight="1">
      <c r="A26" s="11"/>
      <c r="B26" s="66" t="s">
        <v>144</v>
      </c>
      <c r="C26" s="146">
        <v>157000.0</v>
      </c>
      <c r="D26" s="102">
        <f t="shared" si="2"/>
        <v>197000</v>
      </c>
      <c r="E26" s="147">
        <v>99000.0</v>
      </c>
      <c r="F26" s="105"/>
      <c r="G26" s="80"/>
      <c r="H26" s="12"/>
      <c r="I26" s="4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2"/>
    </row>
    <row r="27" ht="16.5" customHeight="1">
      <c r="A27" s="148" t="s">
        <v>145</v>
      </c>
      <c r="B27" s="133" t="s">
        <v>146</v>
      </c>
      <c r="C27" s="112">
        <v>500000.0</v>
      </c>
      <c r="D27" s="67">
        <f t="shared" si="2"/>
        <v>899000</v>
      </c>
      <c r="E27" s="134">
        <v>450000.0</v>
      </c>
      <c r="F27" s="80"/>
      <c r="G27" s="46"/>
      <c r="H27" s="132"/>
      <c r="I27" s="132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2"/>
    </row>
    <row r="28" ht="16.5" customHeight="1">
      <c r="A28" s="28"/>
      <c r="B28" s="130" t="s">
        <v>147</v>
      </c>
      <c r="C28" s="114">
        <v>1400000.0</v>
      </c>
      <c r="D28" s="67">
        <f t="shared" si="2"/>
        <v>2399000</v>
      </c>
      <c r="E28" s="131">
        <v>1200000.0</v>
      </c>
      <c r="F28" s="80"/>
      <c r="G28" s="80"/>
      <c r="H28" s="14"/>
      <c r="I28" s="132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2"/>
    </row>
    <row r="29" ht="16.5" customHeight="1">
      <c r="A29" s="28"/>
      <c r="B29" s="130" t="s">
        <v>148</v>
      </c>
      <c r="C29" s="114">
        <v>650000.0</v>
      </c>
      <c r="D29" s="67">
        <f t="shared" si="2"/>
        <v>1199000</v>
      </c>
      <c r="E29" s="131">
        <v>600000.0</v>
      </c>
      <c r="F29" s="80"/>
      <c r="G29" s="80"/>
      <c r="H29" s="14"/>
      <c r="I29" s="13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2"/>
    </row>
    <row r="30" ht="16.5" customHeight="1">
      <c r="A30" s="28"/>
      <c r="B30" s="130" t="s">
        <v>149</v>
      </c>
      <c r="C30" s="114">
        <v>1100000.0</v>
      </c>
      <c r="D30" s="67">
        <f t="shared" si="2"/>
        <v>1999000</v>
      </c>
      <c r="E30" s="131">
        <v>1000000.0</v>
      </c>
      <c r="F30" s="105"/>
      <c r="G30" s="80"/>
      <c r="H30" s="14"/>
      <c r="I30" s="13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2"/>
    </row>
    <row r="31" ht="16.5" customHeight="1">
      <c r="A31" s="28"/>
      <c r="B31" s="130" t="s">
        <v>150</v>
      </c>
      <c r="C31" s="114">
        <v>650000.0</v>
      </c>
      <c r="D31" s="67">
        <f t="shared" si="2"/>
        <v>1199000</v>
      </c>
      <c r="E31" s="131">
        <v>600000.0</v>
      </c>
      <c r="F31" s="105"/>
      <c r="G31" s="80"/>
      <c r="H31" s="14"/>
      <c r="I31" s="132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2"/>
    </row>
    <row r="32" ht="16.5" customHeight="1">
      <c r="A32" s="149"/>
      <c r="B32" s="150" t="s">
        <v>151</v>
      </c>
      <c r="C32" s="146">
        <v>650000.0</v>
      </c>
      <c r="D32" s="69">
        <f t="shared" si="2"/>
        <v>1199000</v>
      </c>
      <c r="E32" s="140">
        <v>600000.0</v>
      </c>
      <c r="F32" s="105"/>
      <c r="G32" s="80"/>
      <c r="H32" s="83"/>
      <c r="I32" s="132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2"/>
    </row>
    <row r="33" ht="16.5" customHeight="1">
      <c r="A33" s="52" t="s">
        <v>92</v>
      </c>
      <c r="B33" s="130" t="s">
        <v>93</v>
      </c>
      <c r="C33" s="88">
        <v>200000.0</v>
      </c>
      <c r="D33" s="67">
        <v>299000.0</v>
      </c>
      <c r="E33" s="131">
        <v>150000.0</v>
      </c>
      <c r="F33" s="127"/>
      <c r="G33" s="80"/>
      <c r="H33" s="47"/>
      <c r="I33" s="13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2"/>
    </row>
    <row r="34" ht="16.5" customHeight="1">
      <c r="A34" s="58"/>
      <c r="B34" s="130" t="s">
        <v>94</v>
      </c>
      <c r="C34" s="88">
        <v>550000.0</v>
      </c>
      <c r="D34" s="67">
        <v>799000.0</v>
      </c>
      <c r="E34" s="131">
        <v>400000.0</v>
      </c>
      <c r="F34" s="105"/>
      <c r="G34" s="80"/>
      <c r="H34" s="12"/>
      <c r="I34" s="13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2"/>
    </row>
    <row r="35" ht="16.5" customHeight="1">
      <c r="A35" s="52" t="s">
        <v>95</v>
      </c>
      <c r="B35" s="133" t="s">
        <v>96</v>
      </c>
      <c r="C35" s="108">
        <v>600000.0</v>
      </c>
      <c r="D35" s="62">
        <v>1099000.0</v>
      </c>
      <c r="E35" s="134">
        <v>550000.0</v>
      </c>
      <c r="F35" s="127"/>
      <c r="G35" s="80"/>
      <c r="H35" s="47"/>
      <c r="I35" s="13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2"/>
    </row>
    <row r="36" ht="16.5" customHeight="1">
      <c r="A36" s="58"/>
      <c r="B36" s="130" t="s">
        <v>97</v>
      </c>
      <c r="C36" s="88">
        <v>1700000.0</v>
      </c>
      <c r="D36" s="67">
        <v>2999000.0</v>
      </c>
      <c r="E36" s="131">
        <v>1500000.0</v>
      </c>
      <c r="F36" s="105"/>
      <c r="G36" s="80"/>
      <c r="H36" s="12"/>
      <c r="I36" s="13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2"/>
    </row>
    <row r="37" ht="16.5" customHeight="1">
      <c r="A37" s="52" t="s">
        <v>98</v>
      </c>
      <c r="B37" s="135" t="s">
        <v>99</v>
      </c>
      <c r="C37" s="125"/>
      <c r="D37" s="62">
        <v>1199000.0</v>
      </c>
      <c r="E37" s="151">
        <v>600000.0</v>
      </c>
      <c r="F37" s="105"/>
      <c r="G37" s="80"/>
      <c r="H37" s="132"/>
      <c r="I37" s="13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2"/>
    </row>
    <row r="38" ht="16.5" customHeight="1">
      <c r="A38" s="10"/>
      <c r="B38" s="137" t="s">
        <v>100</v>
      </c>
      <c r="C38" s="99"/>
      <c r="D38" s="67">
        <v>1799000.0</v>
      </c>
      <c r="E38" s="152">
        <v>900000.0</v>
      </c>
      <c r="F38" s="105"/>
      <c r="G38" s="80"/>
      <c r="H38" s="14"/>
      <c r="I38" s="13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2"/>
    </row>
    <row r="39" ht="16.5" customHeight="1">
      <c r="A39" s="10"/>
      <c r="B39" s="137" t="s">
        <v>101</v>
      </c>
      <c r="C39" s="99"/>
      <c r="D39" s="67">
        <v>2199000.0</v>
      </c>
      <c r="E39" s="152">
        <v>1100000.0</v>
      </c>
      <c r="F39" s="105"/>
      <c r="G39" s="80"/>
      <c r="H39" s="14"/>
      <c r="I39" s="132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2"/>
    </row>
    <row r="40" ht="16.5" customHeight="1">
      <c r="A40" s="10"/>
      <c r="B40" s="137" t="s">
        <v>102</v>
      </c>
      <c r="C40" s="99"/>
      <c r="D40" s="67">
        <v>899000.0</v>
      </c>
      <c r="E40" s="152">
        <v>450000.0</v>
      </c>
      <c r="F40" s="105"/>
      <c r="G40" s="80"/>
      <c r="H40" s="14"/>
      <c r="I40" s="13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2"/>
    </row>
    <row r="41" ht="16.5" customHeight="1">
      <c r="A41" s="10"/>
      <c r="B41" s="137" t="s">
        <v>103</v>
      </c>
      <c r="C41" s="99"/>
      <c r="D41" s="67">
        <v>1599000.0</v>
      </c>
      <c r="E41" s="152">
        <v>800000.0</v>
      </c>
      <c r="F41" s="105"/>
      <c r="G41" s="80"/>
      <c r="H41" s="14"/>
      <c r="I41" s="13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2"/>
    </row>
    <row r="42" ht="16.5" customHeight="1">
      <c r="A42" s="10"/>
      <c r="B42" s="137" t="s">
        <v>104</v>
      </c>
      <c r="C42" s="99"/>
      <c r="D42" s="67">
        <v>2199000.0</v>
      </c>
      <c r="E42" s="152">
        <v>1100000.0</v>
      </c>
      <c r="F42" s="113"/>
      <c r="G42" s="64"/>
      <c r="H42" s="14"/>
      <c r="I42" s="13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2"/>
    </row>
    <row r="43" ht="16.5" customHeight="1">
      <c r="A43" s="10"/>
      <c r="B43" s="137" t="s">
        <v>105</v>
      </c>
      <c r="C43" s="99"/>
      <c r="D43" s="67">
        <v>1799000.0</v>
      </c>
      <c r="E43" s="152">
        <v>900000.0</v>
      </c>
      <c r="F43" s="113"/>
      <c r="G43" s="64"/>
      <c r="H43" s="14"/>
      <c r="I43" s="13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2"/>
    </row>
    <row r="44" ht="16.5" customHeight="1">
      <c r="A44" s="10"/>
      <c r="B44" s="111" t="s">
        <v>106</v>
      </c>
      <c r="C44" s="99"/>
      <c r="D44" s="67">
        <v>3399000.0</v>
      </c>
      <c r="E44" s="152">
        <v>1700000.0</v>
      </c>
      <c r="F44" s="113"/>
      <c r="G44" s="64"/>
      <c r="H44" s="14"/>
      <c r="I44" s="13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2"/>
    </row>
    <row r="45" ht="16.5" customHeight="1">
      <c r="A45" s="10"/>
      <c r="B45" s="111" t="s">
        <v>107</v>
      </c>
      <c r="C45" s="99"/>
      <c r="D45" s="67">
        <v>1599000.0</v>
      </c>
      <c r="E45" s="152">
        <v>800000.0</v>
      </c>
      <c r="F45" s="113"/>
      <c r="G45" s="64"/>
      <c r="H45" s="14"/>
      <c r="I45" s="13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2"/>
    </row>
    <row r="46" ht="16.5" customHeight="1">
      <c r="A46" s="10"/>
      <c r="B46" s="111" t="s">
        <v>108</v>
      </c>
      <c r="C46" s="99"/>
      <c r="D46" s="67">
        <v>2999000.0</v>
      </c>
      <c r="E46" s="152">
        <v>1500000.0</v>
      </c>
      <c r="F46" s="113"/>
      <c r="G46" s="64"/>
      <c r="H46" s="14"/>
      <c r="I46" s="13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2"/>
    </row>
    <row r="47" ht="16.5" customHeight="1">
      <c r="A47" s="10"/>
      <c r="B47" s="111" t="s">
        <v>109</v>
      </c>
      <c r="C47" s="99"/>
      <c r="D47" s="67">
        <v>1399000.0</v>
      </c>
      <c r="E47" s="152">
        <v>700000.0</v>
      </c>
      <c r="F47" s="113"/>
      <c r="G47" s="64"/>
      <c r="H47" s="14"/>
      <c r="I47" s="13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2"/>
    </row>
    <row r="48" ht="16.5" customHeight="1">
      <c r="A48" s="10"/>
      <c r="B48" s="111" t="s">
        <v>110</v>
      </c>
      <c r="C48" s="99"/>
      <c r="D48" s="67">
        <v>1799000.0</v>
      </c>
      <c r="E48" s="152">
        <v>900000.0</v>
      </c>
      <c r="F48" s="113"/>
      <c r="G48" s="64"/>
      <c r="H48" s="14"/>
      <c r="I48" s="132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2"/>
    </row>
    <row r="49" ht="16.5" customHeight="1">
      <c r="A49" s="10"/>
      <c r="B49" s="111" t="s">
        <v>111</v>
      </c>
      <c r="C49" s="99"/>
      <c r="D49" s="67">
        <v>499000.0</v>
      </c>
      <c r="E49" s="152">
        <v>250000.0</v>
      </c>
      <c r="F49" s="121"/>
      <c r="G49" s="75"/>
      <c r="H49" s="14"/>
      <c r="I49" s="13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2"/>
    </row>
    <row r="50" ht="16.5" customHeight="1">
      <c r="A50" s="10"/>
      <c r="B50" s="111" t="s">
        <v>112</v>
      </c>
      <c r="C50" s="99"/>
      <c r="D50" s="67">
        <v>399000.0</v>
      </c>
      <c r="E50" s="152">
        <v>200000.0</v>
      </c>
      <c r="F50" s="121"/>
      <c r="G50" s="75"/>
      <c r="H50" s="14"/>
      <c r="I50" s="4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2"/>
    </row>
    <row r="51" ht="16.5" customHeight="1">
      <c r="A51" s="10"/>
      <c r="B51" s="111" t="s">
        <v>113</v>
      </c>
      <c r="C51" s="99"/>
      <c r="D51" s="67">
        <v>299000.0</v>
      </c>
      <c r="E51" s="152">
        <v>150000.0</v>
      </c>
      <c r="F51" s="105"/>
      <c r="G51" s="80"/>
      <c r="H51" s="14"/>
      <c r="I51" s="4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2"/>
    </row>
    <row r="52" ht="16.5" customHeight="1">
      <c r="A52" s="10"/>
      <c r="B52" s="111" t="s">
        <v>114</v>
      </c>
      <c r="C52" s="99"/>
      <c r="D52" s="67">
        <v>199000.0</v>
      </c>
      <c r="E52" s="152">
        <v>100000.0</v>
      </c>
      <c r="F52" s="113"/>
      <c r="G52" s="64"/>
      <c r="H52" s="14"/>
      <c r="I52" s="4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2"/>
    </row>
    <row r="53" ht="16.5" customHeight="1">
      <c r="A53" s="10"/>
      <c r="B53" s="111" t="s">
        <v>115</v>
      </c>
      <c r="C53" s="99"/>
      <c r="D53" s="67">
        <v>319000.0</v>
      </c>
      <c r="E53" s="152">
        <v>160000.0</v>
      </c>
      <c r="F53" s="113"/>
      <c r="G53" s="64"/>
      <c r="H53" s="14"/>
      <c r="I53" s="4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2"/>
    </row>
    <row r="54" ht="16.5" customHeight="1">
      <c r="A54" s="10"/>
      <c r="B54" s="111" t="s">
        <v>116</v>
      </c>
      <c r="C54" s="99"/>
      <c r="D54" s="67">
        <v>359000.0</v>
      </c>
      <c r="E54" s="152">
        <v>180000.0</v>
      </c>
      <c r="F54" s="121"/>
      <c r="G54" s="75"/>
      <c r="H54" s="14"/>
      <c r="I54" s="4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2"/>
    </row>
    <row r="55" ht="15.75" customHeight="1">
      <c r="A55" s="58"/>
      <c r="B55" s="115" t="s">
        <v>117</v>
      </c>
      <c r="C55" s="102"/>
      <c r="D55" s="69">
        <v>799000.0</v>
      </c>
      <c r="E55" s="153">
        <v>400000.0</v>
      </c>
      <c r="F55" s="121"/>
      <c r="G55" s="75"/>
      <c r="H55" s="14"/>
      <c r="I55" s="14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2"/>
    </row>
    <row r="56" ht="16.5" customHeight="1">
      <c r="A56" s="142" t="s">
        <v>152</v>
      </c>
      <c r="B56" s="2"/>
      <c r="C56" s="2"/>
      <c r="D56" s="2"/>
      <c r="E56" s="2"/>
      <c r="F56" s="2"/>
      <c r="G56" s="2"/>
      <c r="H56" s="2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2"/>
    </row>
    <row r="57" ht="16.5" customHeight="1">
      <c r="A57" s="10"/>
      <c r="I57" s="14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2"/>
    </row>
    <row r="58" ht="16.5" customHeight="1">
      <c r="A58" s="10"/>
      <c r="I58" s="14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2"/>
    </row>
    <row r="59" ht="16.5" customHeight="1">
      <c r="A59" s="10"/>
      <c r="I59" s="14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2"/>
    </row>
    <row r="60" ht="16.5" customHeight="1">
      <c r="A60" s="58"/>
      <c r="B60" s="82"/>
      <c r="C60" s="82"/>
      <c r="D60" s="82"/>
      <c r="E60" s="82"/>
      <c r="F60" s="82"/>
      <c r="G60" s="82"/>
      <c r="H60" s="82"/>
      <c r="I60" s="8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2"/>
    </row>
    <row r="61" ht="16.5" customHeight="1">
      <c r="A61" s="8"/>
      <c r="B61" s="8"/>
      <c r="C61" s="84"/>
      <c r="D61" s="84"/>
      <c r="E61" s="84"/>
      <c r="F61" s="85"/>
      <c r="G61" s="86"/>
      <c r="H61" s="86"/>
      <c r="I61" s="86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2"/>
    </row>
    <row r="62" ht="16.5" customHeight="1">
      <c r="A62" s="8"/>
      <c r="B62" s="8"/>
      <c r="C62" s="87"/>
      <c r="D62" s="87"/>
      <c r="E62" s="8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2"/>
    </row>
    <row r="63" ht="16.5" customHeight="1">
      <c r="A63" s="8"/>
      <c r="B63" s="8"/>
      <c r="C63" s="87"/>
      <c r="D63" s="87"/>
      <c r="E63" s="8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2"/>
    </row>
    <row r="64" ht="16.5" customHeight="1">
      <c r="A64" s="8"/>
      <c r="B64" s="8"/>
      <c r="C64" s="84"/>
      <c r="D64" s="84"/>
      <c r="E64" s="84"/>
      <c r="F64" s="85"/>
      <c r="G64" s="86"/>
      <c r="H64" s="86"/>
      <c r="I64" s="86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2"/>
    </row>
    <row r="65" ht="16.5" customHeight="1">
      <c r="A65" s="8"/>
      <c r="B65" s="8"/>
      <c r="C65" s="84"/>
      <c r="D65" s="84"/>
      <c r="E65" s="84"/>
      <c r="F65" s="85"/>
      <c r="G65" s="86"/>
      <c r="H65" s="86"/>
      <c r="I65" s="86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2"/>
    </row>
    <row r="66" ht="16.5" customHeight="1">
      <c r="A66" s="8"/>
      <c r="B66" s="8"/>
      <c r="C66" s="84"/>
      <c r="D66" s="84"/>
      <c r="E66" s="84"/>
      <c r="F66" s="85"/>
      <c r="G66" s="86"/>
      <c r="H66" s="86"/>
      <c r="I66" s="86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2"/>
    </row>
    <row r="67" ht="16.5" customHeight="1">
      <c r="A67" s="8"/>
      <c r="B67" s="8"/>
      <c r="C67" s="84"/>
      <c r="D67" s="84"/>
      <c r="E67" s="84"/>
      <c r="F67" s="85"/>
      <c r="G67" s="86"/>
      <c r="H67" s="86"/>
      <c r="I67" s="86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2"/>
    </row>
    <row r="68" ht="16.5" customHeight="1">
      <c r="A68" s="8"/>
      <c r="B68" s="8"/>
      <c r="C68" s="84"/>
      <c r="D68" s="84"/>
      <c r="E68" s="84"/>
      <c r="F68" s="85"/>
      <c r="G68" s="86"/>
      <c r="H68" s="86"/>
      <c r="I68" s="86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2"/>
    </row>
    <row r="69" ht="16.5" customHeight="1">
      <c r="A69" s="8"/>
      <c r="B69" s="8"/>
      <c r="C69" s="84"/>
      <c r="D69" s="84"/>
      <c r="E69" s="84"/>
      <c r="F69" s="85"/>
      <c r="G69" s="86"/>
      <c r="H69" s="86"/>
      <c r="I69" s="86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2"/>
    </row>
    <row r="70" ht="16.5" customHeight="1">
      <c r="A70" s="8"/>
      <c r="B70" s="8"/>
      <c r="C70" s="84"/>
      <c r="D70" s="84"/>
      <c r="E70" s="84"/>
      <c r="F70" s="85"/>
      <c r="G70" s="86"/>
      <c r="H70" s="86"/>
      <c r="I70" s="86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2"/>
    </row>
    <row r="71" ht="16.5" customHeight="1">
      <c r="A71" s="8"/>
      <c r="B71" s="8"/>
      <c r="C71" s="84"/>
      <c r="D71" s="84"/>
      <c r="E71" s="84"/>
      <c r="F71" s="85"/>
      <c r="G71" s="86"/>
      <c r="H71" s="86"/>
      <c r="I71" s="86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2"/>
    </row>
    <row r="72" ht="16.5" customHeight="1">
      <c r="A72" s="8"/>
      <c r="B72" s="8"/>
      <c r="C72" s="84"/>
      <c r="D72" s="84"/>
      <c r="E72" s="84"/>
      <c r="F72" s="85"/>
      <c r="G72" s="86"/>
      <c r="H72" s="86"/>
      <c r="I72" s="86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2"/>
    </row>
    <row r="73" ht="16.5" customHeight="1">
      <c r="A73" s="8"/>
      <c r="B73" s="8"/>
      <c r="C73" s="84"/>
      <c r="D73" s="84"/>
      <c r="E73" s="84"/>
      <c r="F73" s="85"/>
      <c r="G73" s="86"/>
      <c r="H73" s="86"/>
      <c r="I73" s="86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2"/>
    </row>
    <row r="74" ht="16.5" customHeight="1">
      <c r="A74" s="8"/>
      <c r="B74" s="8"/>
      <c r="C74" s="84"/>
      <c r="D74" s="84"/>
      <c r="E74" s="84"/>
      <c r="F74" s="85"/>
      <c r="G74" s="86"/>
      <c r="H74" s="86"/>
      <c r="I74" s="86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2"/>
    </row>
    <row r="75" ht="16.5" customHeight="1">
      <c r="A75" s="8"/>
      <c r="B75" s="8"/>
      <c r="C75" s="84"/>
      <c r="D75" s="84"/>
      <c r="E75" s="84"/>
      <c r="F75" s="85"/>
      <c r="G75" s="86"/>
      <c r="H75" s="86"/>
      <c r="I75" s="86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2"/>
    </row>
    <row r="76" ht="16.5" customHeight="1">
      <c r="A76" s="8"/>
      <c r="B76" s="8"/>
      <c r="C76" s="84"/>
      <c r="D76" s="84"/>
      <c r="E76" s="84"/>
      <c r="F76" s="85"/>
      <c r="G76" s="86"/>
      <c r="H76" s="86"/>
      <c r="I76" s="86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2"/>
    </row>
    <row r="77" ht="16.5" customHeight="1">
      <c r="A77" s="8"/>
      <c r="B77" s="8"/>
      <c r="C77" s="84"/>
      <c r="D77" s="84"/>
      <c r="E77" s="84"/>
      <c r="F77" s="85"/>
      <c r="G77" s="86"/>
      <c r="H77" s="86"/>
      <c r="I77" s="86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2"/>
    </row>
    <row r="78" ht="16.5" customHeight="1">
      <c r="A78" s="8"/>
      <c r="B78" s="8"/>
      <c r="C78" s="84"/>
      <c r="D78" s="84"/>
      <c r="E78" s="84"/>
      <c r="F78" s="85"/>
      <c r="G78" s="86"/>
      <c r="H78" s="86"/>
      <c r="I78" s="86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2"/>
    </row>
    <row r="79" ht="16.5" customHeight="1">
      <c r="A79" s="8"/>
      <c r="B79" s="8"/>
      <c r="C79" s="84"/>
      <c r="D79" s="84"/>
      <c r="E79" s="84"/>
      <c r="F79" s="85"/>
      <c r="G79" s="86"/>
      <c r="H79" s="86"/>
      <c r="I79" s="86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2"/>
    </row>
    <row r="80" ht="16.5" customHeight="1">
      <c r="A80" s="8"/>
      <c r="B80" s="8"/>
      <c r="C80" s="84"/>
      <c r="D80" s="84"/>
      <c r="E80" s="84"/>
      <c r="F80" s="85"/>
      <c r="G80" s="86"/>
      <c r="H80" s="86"/>
      <c r="I80" s="86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2"/>
    </row>
    <row r="81" ht="16.5" customHeight="1">
      <c r="A81" s="8"/>
      <c r="B81" s="8"/>
      <c r="C81" s="84"/>
      <c r="D81" s="84"/>
      <c r="E81" s="84"/>
      <c r="F81" s="85"/>
      <c r="G81" s="86"/>
      <c r="H81" s="86"/>
      <c r="I81" s="86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2"/>
    </row>
    <row r="82" ht="16.5" customHeight="1">
      <c r="A82" s="8"/>
      <c r="B82" s="8"/>
      <c r="C82" s="84"/>
      <c r="D82" s="84"/>
      <c r="E82" s="84"/>
      <c r="F82" s="85"/>
      <c r="G82" s="86"/>
      <c r="H82" s="86"/>
      <c r="I82" s="86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2"/>
    </row>
    <row r="83" ht="16.5" customHeight="1">
      <c r="A83" s="8"/>
      <c r="B83" s="8"/>
      <c r="C83" s="84"/>
      <c r="D83" s="84"/>
      <c r="E83" s="84"/>
      <c r="F83" s="85"/>
      <c r="G83" s="86"/>
      <c r="H83" s="86"/>
      <c r="I83" s="86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2"/>
    </row>
    <row r="84" ht="16.5" customHeight="1">
      <c r="A84" s="8"/>
      <c r="B84" s="8"/>
      <c r="C84" s="84"/>
      <c r="D84" s="84"/>
      <c r="E84" s="84"/>
      <c r="F84" s="85"/>
      <c r="G84" s="86"/>
      <c r="H84" s="86"/>
      <c r="I84" s="86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2"/>
    </row>
    <row r="85" ht="16.5" customHeight="1">
      <c r="A85" s="8"/>
      <c r="B85" s="8"/>
      <c r="C85" s="84"/>
      <c r="D85" s="84"/>
      <c r="E85" s="84"/>
      <c r="F85" s="85"/>
      <c r="G85" s="86"/>
      <c r="H85" s="86"/>
      <c r="I85" s="86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2"/>
    </row>
    <row r="86" ht="16.5" customHeight="1">
      <c r="A86" s="8"/>
      <c r="B86" s="8"/>
      <c r="C86" s="84"/>
      <c r="D86" s="84"/>
      <c r="E86" s="84"/>
      <c r="F86" s="85"/>
      <c r="G86" s="86"/>
      <c r="H86" s="86"/>
      <c r="I86" s="86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2"/>
    </row>
    <row r="87" ht="16.5" customHeight="1">
      <c r="A87" s="8"/>
      <c r="B87" s="8"/>
      <c r="C87" s="84"/>
      <c r="D87" s="84"/>
      <c r="E87" s="84"/>
      <c r="F87" s="85"/>
      <c r="G87" s="86"/>
      <c r="H87" s="86"/>
      <c r="I87" s="86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2"/>
    </row>
    <row r="88" ht="16.5" customHeight="1">
      <c r="A88" s="8"/>
      <c r="B88" s="8"/>
      <c r="C88" s="84"/>
      <c r="D88" s="84"/>
      <c r="E88" s="84"/>
      <c r="F88" s="85"/>
      <c r="G88" s="86"/>
      <c r="H88" s="86"/>
      <c r="I88" s="86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2"/>
    </row>
    <row r="89" ht="16.5" customHeight="1">
      <c r="A89" s="8"/>
      <c r="B89" s="8"/>
      <c r="C89" s="84"/>
      <c r="D89" s="84"/>
      <c r="E89" s="84"/>
      <c r="F89" s="85"/>
      <c r="G89" s="86"/>
      <c r="H89" s="86"/>
      <c r="I89" s="86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2"/>
    </row>
    <row r="90" ht="16.5" customHeight="1">
      <c r="A90" s="8"/>
      <c r="B90" s="8"/>
      <c r="C90" s="84"/>
      <c r="D90" s="84"/>
      <c r="E90" s="84"/>
      <c r="F90" s="85"/>
      <c r="G90" s="86"/>
      <c r="H90" s="86"/>
      <c r="I90" s="86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2"/>
    </row>
    <row r="91" ht="16.5" customHeight="1">
      <c r="A91" s="8"/>
      <c r="B91" s="8"/>
      <c r="C91" s="84"/>
      <c r="D91" s="84"/>
      <c r="E91" s="84"/>
      <c r="F91" s="85"/>
      <c r="G91" s="86"/>
      <c r="H91" s="86"/>
      <c r="I91" s="86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2"/>
    </row>
    <row r="92" ht="16.5" customHeight="1">
      <c r="A92" s="8"/>
      <c r="B92" s="8"/>
      <c r="C92" s="84"/>
      <c r="D92" s="84"/>
      <c r="E92" s="84"/>
      <c r="F92" s="85"/>
      <c r="G92" s="86"/>
      <c r="H92" s="86"/>
      <c r="I92" s="86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2"/>
    </row>
    <row r="93" ht="16.5" customHeight="1">
      <c r="A93" s="8"/>
      <c r="B93" s="8"/>
      <c r="C93" s="84"/>
      <c r="D93" s="84"/>
      <c r="E93" s="84"/>
      <c r="F93" s="85"/>
      <c r="G93" s="86"/>
      <c r="H93" s="86"/>
      <c r="I93" s="86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2"/>
    </row>
    <row r="94" ht="16.5" customHeight="1">
      <c r="A94" s="8"/>
      <c r="B94" s="8"/>
      <c r="C94" s="84"/>
      <c r="D94" s="84"/>
      <c r="E94" s="84"/>
      <c r="F94" s="85"/>
      <c r="G94" s="86"/>
      <c r="H94" s="86"/>
      <c r="I94" s="86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2"/>
    </row>
    <row r="95" ht="16.5" customHeight="1">
      <c r="A95" s="8"/>
      <c r="B95" s="8"/>
      <c r="C95" s="84"/>
      <c r="D95" s="84"/>
      <c r="E95" s="84"/>
      <c r="F95" s="85"/>
      <c r="G95" s="86"/>
      <c r="H95" s="86"/>
      <c r="I95" s="86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2"/>
    </row>
    <row r="96" ht="16.5" customHeight="1">
      <c r="A96" s="8"/>
      <c r="B96" s="8"/>
      <c r="C96" s="84"/>
      <c r="D96" s="84"/>
      <c r="E96" s="84"/>
      <c r="F96" s="85"/>
      <c r="G96" s="86"/>
      <c r="H96" s="86"/>
      <c r="I96" s="86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2"/>
    </row>
    <row r="97" ht="16.5" customHeight="1">
      <c r="A97" s="8"/>
      <c r="B97" s="8"/>
      <c r="C97" s="84"/>
      <c r="D97" s="84"/>
      <c r="E97" s="84"/>
      <c r="F97" s="85"/>
      <c r="G97" s="86"/>
      <c r="H97" s="86"/>
      <c r="I97" s="86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2"/>
    </row>
    <row r="98" ht="16.5" customHeight="1">
      <c r="A98" s="8"/>
      <c r="B98" s="8"/>
      <c r="C98" s="84"/>
      <c r="D98" s="84"/>
      <c r="E98" s="84"/>
      <c r="F98" s="85"/>
      <c r="G98" s="86"/>
      <c r="H98" s="86"/>
      <c r="I98" s="8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2"/>
    </row>
    <row r="99" ht="16.5" customHeight="1">
      <c r="A99" s="8"/>
      <c r="B99" s="8"/>
      <c r="C99" s="84"/>
      <c r="D99" s="84"/>
      <c r="E99" s="84"/>
      <c r="F99" s="85"/>
      <c r="G99" s="86"/>
      <c r="H99" s="86"/>
      <c r="I99" s="86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2"/>
    </row>
    <row r="100" ht="16.5" customHeight="1">
      <c r="A100" s="8"/>
      <c r="B100" s="8"/>
      <c r="C100" s="84"/>
      <c r="D100" s="84"/>
      <c r="E100" s="84"/>
      <c r="F100" s="85"/>
      <c r="G100" s="86"/>
      <c r="H100" s="86"/>
      <c r="I100" s="86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2"/>
    </row>
    <row r="101" ht="16.5" customHeight="1">
      <c r="A101" s="8"/>
      <c r="B101" s="8"/>
      <c r="C101" s="84"/>
      <c r="D101" s="84"/>
      <c r="E101" s="84"/>
      <c r="F101" s="85"/>
      <c r="G101" s="86"/>
      <c r="H101" s="86"/>
      <c r="I101" s="86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2"/>
    </row>
    <row r="102" ht="16.5" customHeight="1">
      <c r="A102" s="8"/>
      <c r="B102" s="8"/>
      <c r="C102" s="84"/>
      <c r="D102" s="84"/>
      <c r="E102" s="84"/>
      <c r="F102" s="85"/>
      <c r="G102" s="86"/>
      <c r="H102" s="86"/>
      <c r="I102" s="86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2"/>
    </row>
    <row r="103" ht="16.5" customHeight="1">
      <c r="A103" s="8"/>
      <c r="B103" s="8"/>
      <c r="C103" s="84"/>
      <c r="D103" s="84"/>
      <c r="E103" s="84"/>
      <c r="F103" s="85"/>
      <c r="G103" s="86"/>
      <c r="H103" s="86"/>
      <c r="I103" s="86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2"/>
    </row>
    <row r="104" ht="16.5" customHeight="1">
      <c r="A104" s="8"/>
      <c r="B104" s="8"/>
      <c r="C104" s="84"/>
      <c r="D104" s="84"/>
      <c r="E104" s="84"/>
      <c r="F104" s="85"/>
      <c r="G104" s="86"/>
      <c r="H104" s="86"/>
      <c r="I104" s="8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2"/>
    </row>
    <row r="105" ht="16.5" customHeight="1">
      <c r="A105" s="8"/>
      <c r="B105" s="8"/>
      <c r="C105" s="84"/>
      <c r="D105" s="84"/>
      <c r="E105" s="84"/>
      <c r="F105" s="85"/>
      <c r="G105" s="86"/>
      <c r="H105" s="86"/>
      <c r="I105" s="86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2"/>
    </row>
    <row r="106" ht="16.5" customHeight="1">
      <c r="A106" s="8"/>
      <c r="B106" s="8"/>
      <c r="C106" s="84"/>
      <c r="D106" s="84"/>
      <c r="E106" s="84"/>
      <c r="F106" s="85"/>
      <c r="G106" s="86"/>
      <c r="H106" s="86"/>
      <c r="I106" s="86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2"/>
    </row>
    <row r="107" ht="16.5" customHeight="1">
      <c r="A107" s="8"/>
      <c r="B107" s="8"/>
      <c r="C107" s="84"/>
      <c r="D107" s="84"/>
      <c r="E107" s="84"/>
      <c r="F107" s="85"/>
      <c r="G107" s="86"/>
      <c r="H107" s="86"/>
      <c r="I107" s="8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2"/>
    </row>
    <row r="108" ht="16.5" customHeight="1">
      <c r="A108" s="8"/>
      <c r="B108" s="8"/>
      <c r="C108" s="84"/>
      <c r="D108" s="84"/>
      <c r="E108" s="84"/>
      <c r="F108" s="85"/>
      <c r="G108" s="86"/>
      <c r="H108" s="86"/>
      <c r="I108" s="86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2"/>
    </row>
    <row r="109" ht="16.5" customHeight="1">
      <c r="A109" s="8"/>
      <c r="B109" s="8"/>
      <c r="C109" s="84"/>
      <c r="D109" s="84"/>
      <c r="E109" s="84"/>
      <c r="F109" s="85"/>
      <c r="G109" s="86"/>
      <c r="H109" s="86"/>
      <c r="I109" s="86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2"/>
    </row>
    <row r="110" ht="16.5" customHeight="1">
      <c r="A110" s="8"/>
      <c r="B110" s="8"/>
      <c r="C110" s="84"/>
      <c r="D110" s="84"/>
      <c r="E110" s="84"/>
      <c r="F110" s="85"/>
      <c r="G110" s="86"/>
      <c r="H110" s="86"/>
      <c r="I110" s="8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2"/>
    </row>
    <row r="111" ht="16.5" customHeight="1">
      <c r="A111" s="8"/>
      <c r="B111" s="8"/>
      <c r="C111" s="84"/>
      <c r="D111" s="84"/>
      <c r="E111" s="84"/>
      <c r="F111" s="85"/>
      <c r="G111" s="86"/>
      <c r="H111" s="86"/>
      <c r="I111" s="86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2"/>
    </row>
    <row r="112" ht="16.5" customHeight="1">
      <c r="A112" s="8"/>
      <c r="B112" s="8"/>
      <c r="C112" s="84"/>
      <c r="D112" s="84"/>
      <c r="E112" s="84"/>
      <c r="F112" s="85"/>
      <c r="G112" s="86"/>
      <c r="H112" s="86"/>
      <c r="I112" s="86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2"/>
    </row>
    <row r="113" ht="16.5" customHeight="1">
      <c r="A113" s="8"/>
      <c r="B113" s="8"/>
      <c r="C113" s="84"/>
      <c r="D113" s="84"/>
      <c r="E113" s="84"/>
      <c r="F113" s="85"/>
      <c r="G113" s="86"/>
      <c r="H113" s="86"/>
      <c r="I113" s="8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2"/>
    </row>
    <row r="114" ht="16.5" customHeight="1">
      <c r="A114" s="8"/>
      <c r="B114" s="8"/>
      <c r="C114" s="84"/>
      <c r="D114" s="84"/>
      <c r="E114" s="84"/>
      <c r="F114" s="85"/>
      <c r="G114" s="86"/>
      <c r="H114" s="86"/>
      <c r="I114" s="86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2"/>
    </row>
    <row r="115" ht="16.5" customHeight="1">
      <c r="A115" s="8"/>
      <c r="B115" s="8"/>
      <c r="C115" s="84"/>
      <c r="D115" s="84"/>
      <c r="E115" s="84"/>
      <c r="F115" s="85"/>
      <c r="G115" s="86"/>
      <c r="H115" s="86"/>
      <c r="I115" s="86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2"/>
    </row>
    <row r="116" ht="16.5" customHeight="1">
      <c r="A116" s="8"/>
      <c r="B116" s="8"/>
      <c r="C116" s="84"/>
      <c r="D116" s="84"/>
      <c r="E116" s="84"/>
      <c r="F116" s="85"/>
      <c r="G116" s="86"/>
      <c r="H116" s="86"/>
      <c r="I116" s="8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2"/>
    </row>
    <row r="117" ht="16.5" customHeight="1">
      <c r="A117" s="8"/>
      <c r="B117" s="8"/>
      <c r="C117" s="84"/>
      <c r="D117" s="84"/>
      <c r="E117" s="84"/>
      <c r="F117" s="85"/>
      <c r="G117" s="86"/>
      <c r="H117" s="86"/>
      <c r="I117" s="86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2"/>
    </row>
    <row r="118" ht="16.5" customHeight="1">
      <c r="A118" s="8"/>
      <c r="B118" s="8"/>
      <c r="C118" s="84"/>
      <c r="D118" s="84"/>
      <c r="E118" s="84"/>
      <c r="F118" s="85"/>
      <c r="G118" s="86"/>
      <c r="H118" s="86"/>
      <c r="I118" s="86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2"/>
    </row>
    <row r="119" ht="16.5" customHeight="1">
      <c r="A119" s="8"/>
      <c r="B119" s="8"/>
      <c r="C119" s="84"/>
      <c r="D119" s="84"/>
      <c r="E119" s="84"/>
      <c r="F119" s="85"/>
      <c r="G119" s="86"/>
      <c r="H119" s="86"/>
      <c r="I119" s="86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2"/>
    </row>
    <row r="120" ht="16.5" customHeight="1">
      <c r="A120" s="8"/>
      <c r="B120" s="8"/>
      <c r="C120" s="84"/>
      <c r="D120" s="84"/>
      <c r="E120" s="84"/>
      <c r="F120" s="85"/>
      <c r="G120" s="86"/>
      <c r="H120" s="86"/>
      <c r="I120" s="86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2"/>
    </row>
    <row r="121" ht="16.5" customHeight="1">
      <c r="A121" s="8"/>
      <c r="B121" s="8"/>
      <c r="C121" s="84"/>
      <c r="D121" s="84"/>
      <c r="E121" s="84"/>
      <c r="F121" s="85"/>
      <c r="G121" s="86"/>
      <c r="H121" s="86"/>
      <c r="I121" s="86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2"/>
    </row>
    <row r="122" ht="16.5" customHeight="1">
      <c r="A122" s="8"/>
      <c r="B122" s="8"/>
      <c r="C122" s="84"/>
      <c r="D122" s="84"/>
      <c r="E122" s="84"/>
      <c r="F122" s="85"/>
      <c r="G122" s="86"/>
      <c r="H122" s="86"/>
      <c r="I122" s="86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2"/>
    </row>
    <row r="123" ht="16.5" customHeight="1">
      <c r="A123" s="8"/>
      <c r="B123" s="8"/>
      <c r="C123" s="84"/>
      <c r="D123" s="84"/>
      <c r="E123" s="84"/>
      <c r="F123" s="85"/>
      <c r="G123" s="86"/>
      <c r="H123" s="86"/>
      <c r="I123" s="86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2"/>
    </row>
    <row r="124" ht="16.5" customHeight="1">
      <c r="A124" s="8"/>
      <c r="B124" s="8"/>
      <c r="C124" s="84"/>
      <c r="D124" s="84"/>
      <c r="E124" s="84"/>
      <c r="F124" s="85"/>
      <c r="G124" s="86"/>
      <c r="H124" s="86"/>
      <c r="I124" s="86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2"/>
    </row>
    <row r="125" ht="16.5" customHeight="1">
      <c r="A125" s="8"/>
      <c r="B125" s="8"/>
      <c r="C125" s="84"/>
      <c r="D125" s="84"/>
      <c r="E125" s="84"/>
      <c r="F125" s="85"/>
      <c r="G125" s="86"/>
      <c r="H125" s="86"/>
      <c r="I125" s="86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2"/>
    </row>
    <row r="126" ht="16.5" customHeight="1">
      <c r="A126" s="8"/>
      <c r="B126" s="8"/>
      <c r="C126" s="84"/>
      <c r="D126" s="84"/>
      <c r="E126" s="84"/>
      <c r="F126" s="85"/>
      <c r="G126" s="86"/>
      <c r="H126" s="86"/>
      <c r="I126" s="86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2"/>
    </row>
    <row r="127" ht="16.5" customHeight="1">
      <c r="A127" s="8"/>
      <c r="B127" s="8"/>
      <c r="C127" s="84"/>
      <c r="D127" s="84"/>
      <c r="E127" s="84"/>
      <c r="F127" s="85"/>
      <c r="G127" s="86"/>
      <c r="H127" s="86"/>
      <c r="I127" s="86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2"/>
    </row>
    <row r="128" ht="15.75" customHeight="1">
      <c r="A128" s="8"/>
      <c r="B128" s="8"/>
      <c r="C128" s="84"/>
      <c r="D128" s="84"/>
      <c r="E128" s="84"/>
      <c r="F128" s="85"/>
      <c r="G128" s="86"/>
      <c r="H128" s="86"/>
      <c r="I128" s="86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2"/>
    </row>
    <row r="129" ht="15.75" customHeight="1">
      <c r="A129" s="8"/>
      <c r="B129" s="8"/>
      <c r="C129" s="84"/>
      <c r="D129" s="84"/>
      <c r="E129" s="84"/>
      <c r="F129" s="85"/>
      <c r="G129" s="86"/>
      <c r="H129" s="86"/>
      <c r="I129" s="8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2"/>
    </row>
    <row r="130" ht="15.75" customHeight="1">
      <c r="A130" s="8"/>
      <c r="B130" s="8"/>
      <c r="C130" s="84"/>
      <c r="D130" s="84"/>
      <c r="E130" s="84"/>
      <c r="F130" s="85"/>
      <c r="G130" s="86"/>
      <c r="H130" s="86"/>
      <c r="I130" s="8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2"/>
    </row>
    <row r="131" ht="15.75" customHeight="1">
      <c r="A131" s="8"/>
      <c r="B131" s="8"/>
      <c r="C131" s="84"/>
      <c r="D131" s="84"/>
      <c r="E131" s="84"/>
      <c r="F131" s="85"/>
      <c r="G131" s="86"/>
      <c r="H131" s="86"/>
      <c r="I131" s="86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2"/>
    </row>
    <row r="132" ht="15.75" customHeight="1">
      <c r="A132" s="8"/>
      <c r="B132" s="8"/>
      <c r="C132" s="84"/>
      <c r="D132" s="84"/>
      <c r="E132" s="84"/>
      <c r="F132" s="85"/>
      <c r="G132" s="86"/>
      <c r="H132" s="86"/>
      <c r="I132" s="86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2"/>
    </row>
    <row r="133" ht="15.75" customHeight="1">
      <c r="A133" s="8"/>
      <c r="B133" s="8"/>
      <c r="C133" s="88"/>
      <c r="D133" s="88"/>
      <c r="E133" s="88"/>
      <c r="F133" s="86"/>
      <c r="G133" s="86"/>
      <c r="H133" s="86"/>
      <c r="I133" s="8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2"/>
    </row>
    <row r="134" ht="15.75" customHeight="1">
      <c r="A134" s="8"/>
      <c r="B134" s="8"/>
      <c r="C134" s="88"/>
      <c r="D134" s="88"/>
      <c r="E134" s="88"/>
      <c r="F134" s="86"/>
      <c r="G134" s="86"/>
      <c r="H134" s="86"/>
      <c r="I134" s="86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2"/>
    </row>
    <row r="135" ht="15.75" customHeight="1">
      <c r="A135" s="8"/>
      <c r="B135" s="8"/>
      <c r="C135" s="88"/>
      <c r="D135" s="88"/>
      <c r="E135" s="88"/>
      <c r="F135" s="86"/>
      <c r="G135" s="86"/>
      <c r="H135" s="86"/>
      <c r="I135" s="86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2"/>
    </row>
    <row r="136" ht="15.75" customHeight="1">
      <c r="A136" s="8"/>
      <c r="B136" s="8"/>
      <c r="C136" s="88"/>
      <c r="D136" s="88"/>
      <c r="E136" s="88"/>
      <c r="F136" s="86"/>
      <c r="G136" s="86"/>
      <c r="H136" s="86"/>
      <c r="I136" s="8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2"/>
    </row>
    <row r="137" ht="15.75" customHeight="1">
      <c r="A137" s="8"/>
      <c r="B137" s="8"/>
      <c r="C137" s="88"/>
      <c r="D137" s="88"/>
      <c r="E137" s="88"/>
      <c r="F137" s="86"/>
      <c r="G137" s="86"/>
      <c r="H137" s="86"/>
      <c r="I137" s="86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2"/>
    </row>
    <row r="138" ht="15.75" customHeight="1">
      <c r="A138" s="8"/>
      <c r="B138" s="8"/>
      <c r="C138" s="88"/>
      <c r="D138" s="88"/>
      <c r="E138" s="88"/>
      <c r="F138" s="86"/>
      <c r="G138" s="86"/>
      <c r="H138" s="86"/>
      <c r="I138" s="8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2"/>
    </row>
    <row r="139" ht="15.75" customHeight="1">
      <c r="A139" s="8"/>
      <c r="B139" s="8"/>
      <c r="C139" s="88"/>
      <c r="D139" s="88"/>
      <c r="E139" s="88"/>
      <c r="F139" s="86"/>
      <c r="G139" s="86"/>
      <c r="H139" s="86"/>
      <c r="I139" s="8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2"/>
    </row>
    <row r="140" ht="15.75" customHeight="1">
      <c r="A140" s="8"/>
      <c r="B140" s="8"/>
      <c r="C140" s="88"/>
      <c r="D140" s="88"/>
      <c r="E140" s="88"/>
      <c r="F140" s="86"/>
      <c r="G140" s="86"/>
      <c r="H140" s="86"/>
      <c r="I140" s="86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2"/>
    </row>
    <row r="141" ht="15.75" customHeight="1">
      <c r="A141" s="8"/>
      <c r="B141" s="8"/>
      <c r="C141" s="88"/>
      <c r="D141" s="88"/>
      <c r="E141" s="88"/>
      <c r="F141" s="86"/>
      <c r="G141" s="86"/>
      <c r="H141" s="86"/>
      <c r="I141" s="86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2"/>
    </row>
    <row r="142" ht="15.75" customHeight="1">
      <c r="A142" s="8"/>
      <c r="B142" s="8"/>
      <c r="C142" s="88"/>
      <c r="D142" s="88"/>
      <c r="E142" s="88"/>
      <c r="F142" s="86"/>
      <c r="G142" s="86"/>
      <c r="H142" s="86"/>
      <c r="I142" s="86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2"/>
    </row>
    <row r="143" ht="15.75" customHeight="1">
      <c r="A143" s="8"/>
      <c r="B143" s="8"/>
      <c r="C143" s="88"/>
      <c r="D143" s="88"/>
      <c r="E143" s="88"/>
      <c r="F143" s="86"/>
      <c r="G143" s="86"/>
      <c r="H143" s="86"/>
      <c r="I143" s="86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2"/>
    </row>
    <row r="144" ht="15.75" customHeight="1">
      <c r="A144" s="8"/>
      <c r="B144" s="8"/>
      <c r="C144" s="88"/>
      <c r="D144" s="88"/>
      <c r="E144" s="88"/>
      <c r="F144" s="86"/>
      <c r="G144" s="86"/>
      <c r="H144" s="86"/>
      <c r="I144" s="86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2"/>
    </row>
    <row r="145" ht="15.75" customHeight="1">
      <c r="A145" s="8"/>
      <c r="B145" s="8"/>
      <c r="C145" s="88"/>
      <c r="D145" s="88"/>
      <c r="E145" s="88"/>
      <c r="F145" s="86"/>
      <c r="G145" s="86"/>
      <c r="H145" s="86"/>
      <c r="I145" s="86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2"/>
    </row>
    <row r="146" ht="15.75" customHeight="1">
      <c r="A146" s="8"/>
      <c r="B146" s="8"/>
      <c r="C146" s="88"/>
      <c r="D146" s="88"/>
      <c r="E146" s="88"/>
      <c r="F146" s="86"/>
      <c r="G146" s="86"/>
      <c r="H146" s="86"/>
      <c r="I146" s="8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2"/>
    </row>
    <row r="147" ht="15.75" customHeight="1">
      <c r="A147" s="8"/>
      <c r="B147" s="8"/>
      <c r="C147" s="88"/>
      <c r="D147" s="88"/>
      <c r="E147" s="88"/>
      <c r="F147" s="86"/>
      <c r="G147" s="86"/>
      <c r="H147" s="86"/>
      <c r="I147" s="86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2"/>
    </row>
    <row r="148" ht="15.75" customHeight="1">
      <c r="A148" s="8"/>
      <c r="B148" s="8"/>
      <c r="C148" s="88"/>
      <c r="D148" s="88"/>
      <c r="E148" s="88"/>
      <c r="F148" s="86"/>
      <c r="G148" s="86"/>
      <c r="H148" s="86"/>
      <c r="I148" s="8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2"/>
    </row>
    <row r="149" ht="15.75" customHeight="1">
      <c r="A149" s="8"/>
      <c r="B149" s="8"/>
      <c r="C149" s="88"/>
      <c r="D149" s="88"/>
      <c r="E149" s="88"/>
      <c r="F149" s="86"/>
      <c r="G149" s="86"/>
      <c r="H149" s="86"/>
      <c r="I149" s="86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2"/>
    </row>
    <row r="150" ht="15.75" customHeight="1">
      <c r="A150" s="8"/>
      <c r="B150" s="8"/>
      <c r="C150" s="88"/>
      <c r="D150" s="88"/>
      <c r="E150" s="88"/>
      <c r="F150" s="86"/>
      <c r="G150" s="86"/>
      <c r="H150" s="86"/>
      <c r="I150" s="86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2"/>
    </row>
    <row r="151" ht="15.75" customHeight="1">
      <c r="A151" s="8"/>
      <c r="B151" s="8"/>
      <c r="C151" s="88"/>
      <c r="D151" s="88"/>
      <c r="E151" s="88"/>
      <c r="F151" s="86"/>
      <c r="G151" s="86"/>
      <c r="H151" s="86"/>
      <c r="I151" s="86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2"/>
    </row>
    <row r="152" ht="15.75" customHeight="1">
      <c r="A152" s="8"/>
      <c r="B152" s="8"/>
      <c r="C152" s="88"/>
      <c r="D152" s="88"/>
      <c r="E152" s="88"/>
      <c r="F152" s="86"/>
      <c r="G152" s="86"/>
      <c r="H152" s="86"/>
      <c r="I152" s="86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2"/>
    </row>
    <row r="153" ht="15.75" customHeight="1">
      <c r="A153" s="8"/>
      <c r="B153" s="8"/>
      <c r="C153" s="88"/>
      <c r="D153" s="88"/>
      <c r="E153" s="88"/>
      <c r="F153" s="86"/>
      <c r="G153" s="86"/>
      <c r="H153" s="86"/>
      <c r="I153" s="86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2"/>
    </row>
    <row r="154" ht="15.75" customHeight="1">
      <c r="A154" s="8"/>
      <c r="B154" s="8"/>
      <c r="C154" s="88"/>
      <c r="D154" s="88"/>
      <c r="E154" s="88"/>
      <c r="F154" s="86"/>
      <c r="G154" s="86"/>
      <c r="H154" s="86"/>
      <c r="I154" s="86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2"/>
    </row>
    <row r="155" ht="15.75" customHeight="1">
      <c r="A155" s="8"/>
      <c r="B155" s="8"/>
      <c r="C155" s="88"/>
      <c r="D155" s="88"/>
      <c r="E155" s="88"/>
      <c r="F155" s="86"/>
      <c r="G155" s="86"/>
      <c r="H155" s="86"/>
      <c r="I155" s="86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2"/>
    </row>
    <row r="156" ht="15.75" customHeight="1">
      <c r="A156" s="8"/>
      <c r="B156" s="8"/>
      <c r="C156" s="88"/>
      <c r="D156" s="88"/>
      <c r="E156" s="88"/>
      <c r="F156" s="86"/>
      <c r="G156" s="86"/>
      <c r="H156" s="86"/>
      <c r="I156" s="8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2"/>
    </row>
    <row r="157" ht="15.75" customHeight="1">
      <c r="A157" s="8"/>
      <c r="B157" s="8"/>
      <c r="C157" s="88"/>
      <c r="D157" s="88"/>
      <c r="E157" s="88"/>
      <c r="F157" s="86"/>
      <c r="G157" s="86"/>
      <c r="H157" s="86"/>
      <c r="I157" s="86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2"/>
    </row>
    <row r="158" ht="15.75" customHeight="1">
      <c r="A158" s="8"/>
      <c r="B158" s="8"/>
      <c r="C158" s="88"/>
      <c r="D158" s="88"/>
      <c r="E158" s="88"/>
      <c r="F158" s="86"/>
      <c r="G158" s="86"/>
      <c r="H158" s="86"/>
      <c r="I158" s="8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2"/>
    </row>
    <row r="159" ht="15.75" customHeight="1">
      <c r="A159" s="8"/>
      <c r="B159" s="8"/>
      <c r="C159" s="88"/>
      <c r="D159" s="88"/>
      <c r="E159" s="88"/>
      <c r="F159" s="86"/>
      <c r="G159" s="86"/>
      <c r="H159" s="86"/>
      <c r="I159" s="86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2"/>
    </row>
    <row r="160" ht="15.75" customHeight="1">
      <c r="A160" s="8"/>
      <c r="B160" s="8"/>
      <c r="C160" s="88"/>
      <c r="D160" s="88"/>
      <c r="E160" s="88"/>
      <c r="F160" s="86"/>
      <c r="G160" s="86"/>
      <c r="H160" s="86"/>
      <c r="I160" s="8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2"/>
    </row>
    <row r="161" ht="15.75" customHeight="1">
      <c r="A161" s="8"/>
      <c r="B161" s="8"/>
      <c r="C161" s="88"/>
      <c r="D161" s="88"/>
      <c r="E161" s="88"/>
      <c r="F161" s="86"/>
      <c r="G161" s="86"/>
      <c r="H161" s="86"/>
      <c r="I161" s="86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2"/>
    </row>
    <row r="162" ht="15.75" customHeight="1">
      <c r="A162" s="8"/>
      <c r="B162" s="8"/>
      <c r="C162" s="88"/>
      <c r="D162" s="88"/>
      <c r="E162" s="88"/>
      <c r="F162" s="86"/>
      <c r="G162" s="86"/>
      <c r="H162" s="86"/>
      <c r="I162" s="86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2"/>
    </row>
    <row r="163" ht="15.75" customHeight="1">
      <c r="A163" s="8"/>
      <c r="B163" s="8"/>
      <c r="C163" s="88"/>
      <c r="D163" s="88"/>
      <c r="E163" s="88"/>
      <c r="F163" s="86"/>
      <c r="G163" s="86"/>
      <c r="H163" s="86"/>
      <c r="I163" s="8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2"/>
    </row>
    <row r="164" ht="15.75" customHeight="1">
      <c r="A164" s="8"/>
      <c r="B164" s="8"/>
      <c r="C164" s="88"/>
      <c r="D164" s="88"/>
      <c r="E164" s="88"/>
      <c r="F164" s="86"/>
      <c r="G164" s="86"/>
      <c r="H164" s="86"/>
      <c r="I164" s="8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2"/>
    </row>
    <row r="165" ht="15.75" customHeight="1">
      <c r="A165" s="8"/>
      <c r="B165" s="8"/>
      <c r="C165" s="88"/>
      <c r="D165" s="88"/>
      <c r="E165" s="88"/>
      <c r="F165" s="86"/>
      <c r="G165" s="86"/>
      <c r="H165" s="86"/>
      <c r="I165" s="8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2"/>
    </row>
    <row r="166" ht="15.75" customHeight="1">
      <c r="A166" s="8"/>
      <c r="B166" s="8"/>
      <c r="C166" s="88"/>
      <c r="D166" s="88"/>
      <c r="E166" s="88"/>
      <c r="F166" s="86"/>
      <c r="G166" s="86"/>
      <c r="H166" s="86"/>
      <c r="I166" s="86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2"/>
    </row>
    <row r="167" ht="15.75" customHeight="1">
      <c r="A167" s="8"/>
      <c r="B167" s="8"/>
      <c r="C167" s="88"/>
      <c r="D167" s="88"/>
      <c r="E167" s="88"/>
      <c r="F167" s="86"/>
      <c r="G167" s="86"/>
      <c r="H167" s="86"/>
      <c r="I167" s="86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2"/>
    </row>
    <row r="168" ht="15.75" customHeight="1">
      <c r="A168" s="8"/>
      <c r="B168" s="8"/>
      <c r="C168" s="88"/>
      <c r="D168" s="88"/>
      <c r="E168" s="88"/>
      <c r="F168" s="86"/>
      <c r="G168" s="86"/>
      <c r="H168" s="86"/>
      <c r="I168" s="86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2"/>
    </row>
    <row r="169" ht="15.75" customHeight="1">
      <c r="A169" s="8"/>
      <c r="B169" s="8"/>
      <c r="C169" s="88"/>
      <c r="D169" s="88"/>
      <c r="E169" s="88"/>
      <c r="F169" s="86"/>
      <c r="G169" s="86"/>
      <c r="H169" s="86"/>
      <c r="I169" s="8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2"/>
    </row>
    <row r="170" ht="15.75" customHeight="1">
      <c r="A170" s="8"/>
      <c r="B170" s="8"/>
      <c r="C170" s="88"/>
      <c r="D170" s="88"/>
      <c r="E170" s="88"/>
      <c r="F170" s="86"/>
      <c r="G170" s="86"/>
      <c r="H170" s="86"/>
      <c r="I170" s="8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2"/>
    </row>
    <row r="171" ht="15.75" customHeight="1">
      <c r="A171" s="8"/>
      <c r="B171" s="8"/>
      <c r="C171" s="88"/>
      <c r="D171" s="88"/>
      <c r="E171" s="88"/>
      <c r="F171" s="86"/>
      <c r="G171" s="86"/>
      <c r="H171" s="86"/>
      <c r="I171" s="86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2"/>
    </row>
    <row r="172" ht="15.75" customHeight="1">
      <c r="A172" s="8"/>
      <c r="B172" s="8"/>
      <c r="C172" s="88"/>
      <c r="D172" s="88"/>
      <c r="E172" s="88"/>
      <c r="F172" s="86"/>
      <c r="G172" s="86"/>
      <c r="H172" s="86"/>
      <c r="I172" s="86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2"/>
    </row>
    <row r="173" ht="15.75" customHeight="1">
      <c r="A173" s="8"/>
      <c r="B173" s="8"/>
      <c r="C173" s="88"/>
      <c r="D173" s="88"/>
      <c r="E173" s="88"/>
      <c r="F173" s="86"/>
      <c r="G173" s="86"/>
      <c r="H173" s="86"/>
      <c r="I173" s="86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2"/>
    </row>
    <row r="174" ht="15.75" customHeight="1">
      <c r="A174" s="8"/>
      <c r="B174" s="8"/>
      <c r="C174" s="88"/>
      <c r="D174" s="88"/>
      <c r="E174" s="88"/>
      <c r="F174" s="86"/>
      <c r="G174" s="86"/>
      <c r="H174" s="86"/>
      <c r="I174" s="86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2"/>
    </row>
    <row r="175" ht="15.75" customHeight="1">
      <c r="A175" s="8"/>
      <c r="B175" s="8"/>
      <c r="C175" s="88"/>
      <c r="D175" s="88"/>
      <c r="E175" s="88"/>
      <c r="F175" s="86"/>
      <c r="G175" s="86"/>
      <c r="H175" s="86"/>
      <c r="I175" s="86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2"/>
    </row>
    <row r="176" ht="15.75" customHeight="1">
      <c r="A176" s="8"/>
      <c r="B176" s="8"/>
      <c r="C176" s="88"/>
      <c r="D176" s="88"/>
      <c r="E176" s="88"/>
      <c r="F176" s="86"/>
      <c r="G176" s="86"/>
      <c r="H176" s="86"/>
      <c r="I176" s="8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2"/>
    </row>
    <row r="177" ht="15.75" customHeight="1">
      <c r="A177" s="8"/>
      <c r="B177" s="8"/>
      <c r="C177" s="88"/>
      <c r="D177" s="88"/>
      <c r="E177" s="88"/>
      <c r="F177" s="86"/>
      <c r="G177" s="86"/>
      <c r="H177" s="86"/>
      <c r="I177" s="8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2"/>
    </row>
    <row r="178" ht="15.75" customHeight="1">
      <c r="A178" s="8"/>
      <c r="B178" s="8"/>
      <c r="C178" s="88"/>
      <c r="D178" s="88"/>
      <c r="E178" s="88"/>
      <c r="F178" s="86"/>
      <c r="G178" s="86"/>
      <c r="H178" s="86"/>
      <c r="I178" s="86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2"/>
    </row>
    <row r="179" ht="15.75" customHeight="1">
      <c r="A179" s="8"/>
      <c r="B179" s="8"/>
      <c r="C179" s="88"/>
      <c r="D179" s="88"/>
      <c r="E179" s="88"/>
      <c r="F179" s="86"/>
      <c r="G179" s="86"/>
      <c r="H179" s="86"/>
      <c r="I179" s="86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2"/>
    </row>
    <row r="180" ht="15.75" customHeight="1">
      <c r="A180" s="8"/>
      <c r="B180" s="8"/>
      <c r="C180" s="88"/>
      <c r="D180" s="88"/>
      <c r="E180" s="88"/>
      <c r="F180" s="86"/>
      <c r="G180" s="86"/>
      <c r="H180" s="86"/>
      <c r="I180" s="8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2"/>
    </row>
    <row r="181" ht="15.75" customHeight="1">
      <c r="A181" s="8"/>
      <c r="B181" s="8"/>
      <c r="C181" s="88"/>
      <c r="D181" s="88"/>
      <c r="E181" s="88"/>
      <c r="F181" s="86"/>
      <c r="G181" s="86"/>
      <c r="H181" s="86"/>
      <c r="I181" s="86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2"/>
    </row>
    <row r="182" ht="15.75" customHeight="1">
      <c r="A182" s="8"/>
      <c r="B182" s="8"/>
      <c r="C182" s="88"/>
      <c r="D182" s="88"/>
      <c r="E182" s="88"/>
      <c r="F182" s="86"/>
      <c r="G182" s="86"/>
      <c r="H182" s="86"/>
      <c r="I182" s="86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2"/>
    </row>
    <row r="183" ht="15.75" customHeight="1">
      <c r="A183" s="8"/>
      <c r="B183" s="8"/>
      <c r="C183" s="88"/>
      <c r="D183" s="88"/>
      <c r="E183" s="88"/>
      <c r="F183" s="86"/>
      <c r="G183" s="86"/>
      <c r="H183" s="86"/>
      <c r="I183" s="8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2"/>
    </row>
    <row r="184" ht="15.75" customHeight="1">
      <c r="A184" s="8"/>
      <c r="B184" s="8"/>
      <c r="C184" s="88"/>
      <c r="D184" s="88"/>
      <c r="E184" s="88"/>
      <c r="F184" s="86"/>
      <c r="G184" s="86"/>
      <c r="H184" s="86"/>
      <c r="I184" s="8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2"/>
    </row>
    <row r="185" ht="15.75" customHeight="1">
      <c r="A185" s="8"/>
      <c r="B185" s="8"/>
      <c r="C185" s="88"/>
      <c r="D185" s="88"/>
      <c r="E185" s="88"/>
      <c r="F185" s="86"/>
      <c r="G185" s="86"/>
      <c r="H185" s="86"/>
      <c r="I185" s="86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2"/>
    </row>
    <row r="186" ht="15.75" customHeight="1">
      <c r="A186" s="8"/>
      <c r="B186" s="8"/>
      <c r="C186" s="88"/>
      <c r="D186" s="88"/>
      <c r="E186" s="88"/>
      <c r="F186" s="86"/>
      <c r="G186" s="86"/>
      <c r="H186" s="86"/>
      <c r="I186" s="8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2"/>
    </row>
    <row r="187" ht="15.75" customHeight="1">
      <c r="A187" s="8"/>
      <c r="B187" s="8"/>
      <c r="C187" s="88"/>
      <c r="D187" s="88"/>
      <c r="E187" s="88"/>
      <c r="F187" s="86"/>
      <c r="G187" s="86"/>
      <c r="H187" s="86"/>
      <c r="I187" s="86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2"/>
    </row>
    <row r="188" ht="15.75" customHeight="1">
      <c r="A188" s="8"/>
      <c r="B188" s="8"/>
      <c r="C188" s="88"/>
      <c r="D188" s="88"/>
      <c r="E188" s="88"/>
      <c r="F188" s="86"/>
      <c r="G188" s="86"/>
      <c r="H188" s="86"/>
      <c r="I188" s="8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2"/>
    </row>
    <row r="189" ht="15.75" customHeight="1">
      <c r="A189" s="8"/>
      <c r="B189" s="8"/>
      <c r="C189" s="88"/>
      <c r="D189" s="88"/>
      <c r="E189" s="88"/>
      <c r="F189" s="86"/>
      <c r="G189" s="86"/>
      <c r="H189" s="86"/>
      <c r="I189" s="86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2"/>
    </row>
    <row r="190" ht="15.75" customHeight="1">
      <c r="A190" s="8"/>
      <c r="B190" s="8"/>
      <c r="C190" s="88"/>
      <c r="D190" s="88"/>
      <c r="E190" s="88"/>
      <c r="F190" s="86"/>
      <c r="G190" s="86"/>
      <c r="H190" s="86"/>
      <c r="I190" s="8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2"/>
    </row>
    <row r="191" ht="15.75" customHeight="1">
      <c r="A191" s="8"/>
      <c r="B191" s="8"/>
      <c r="C191" s="88"/>
      <c r="D191" s="88"/>
      <c r="E191" s="88"/>
      <c r="F191" s="86"/>
      <c r="G191" s="86"/>
      <c r="H191" s="86"/>
      <c r="I191" s="86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2"/>
    </row>
    <row r="192" ht="15.75" customHeight="1">
      <c r="A192" s="8"/>
      <c r="B192" s="8"/>
      <c r="C192" s="88"/>
      <c r="D192" s="88"/>
      <c r="E192" s="88"/>
      <c r="F192" s="86"/>
      <c r="G192" s="86"/>
      <c r="H192" s="86"/>
      <c r="I192" s="86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2"/>
    </row>
    <row r="193" ht="15.75" customHeight="1">
      <c r="A193" s="8"/>
      <c r="B193" s="8"/>
      <c r="C193" s="88"/>
      <c r="D193" s="88"/>
      <c r="E193" s="88"/>
      <c r="F193" s="86"/>
      <c r="G193" s="86"/>
      <c r="H193" s="86"/>
      <c r="I193" s="86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2"/>
    </row>
    <row r="194" ht="15.75" customHeight="1">
      <c r="A194" s="8"/>
      <c r="B194" s="8"/>
      <c r="C194" s="88"/>
      <c r="D194" s="88"/>
      <c r="E194" s="88"/>
      <c r="F194" s="86"/>
      <c r="G194" s="86"/>
      <c r="H194" s="86"/>
      <c r="I194" s="86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2"/>
    </row>
    <row r="195" ht="15.75" customHeight="1">
      <c r="A195" s="8"/>
      <c r="B195" s="8"/>
      <c r="C195" s="88"/>
      <c r="D195" s="88"/>
      <c r="E195" s="88"/>
      <c r="F195" s="86"/>
      <c r="G195" s="86"/>
      <c r="H195" s="86"/>
      <c r="I195" s="86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2"/>
    </row>
    <row r="196" ht="15.75" customHeight="1">
      <c r="A196" s="8"/>
      <c r="B196" s="8"/>
      <c r="C196" s="88"/>
      <c r="D196" s="88"/>
      <c r="E196" s="88"/>
      <c r="F196" s="86"/>
      <c r="G196" s="86"/>
      <c r="H196" s="86"/>
      <c r="I196" s="86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2"/>
    </row>
    <row r="197" ht="15.75" customHeight="1">
      <c r="A197" s="8"/>
      <c r="B197" s="8"/>
      <c r="C197" s="88"/>
      <c r="D197" s="88"/>
      <c r="E197" s="88"/>
      <c r="F197" s="86"/>
      <c r="G197" s="86"/>
      <c r="H197" s="86"/>
      <c r="I197" s="86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2"/>
    </row>
    <row r="198" ht="15.75" customHeight="1">
      <c r="A198" s="8"/>
      <c r="B198" s="8"/>
      <c r="C198" s="88"/>
      <c r="D198" s="88"/>
      <c r="E198" s="88"/>
      <c r="F198" s="86"/>
      <c r="G198" s="86"/>
      <c r="H198" s="86"/>
      <c r="I198" s="86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2"/>
    </row>
    <row r="199" ht="15.75" customHeight="1">
      <c r="A199" s="8"/>
      <c r="B199" s="8"/>
      <c r="C199" s="88"/>
      <c r="D199" s="88"/>
      <c r="E199" s="88"/>
      <c r="F199" s="86"/>
      <c r="G199" s="86"/>
      <c r="H199" s="86"/>
      <c r="I199" s="86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2"/>
    </row>
    <row r="200" ht="15.75" customHeight="1">
      <c r="A200" s="8"/>
      <c r="B200" s="8"/>
      <c r="C200" s="88"/>
      <c r="D200" s="88"/>
      <c r="E200" s="88"/>
      <c r="F200" s="86"/>
      <c r="G200" s="86"/>
      <c r="H200" s="86"/>
      <c r="I200" s="86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2"/>
    </row>
    <row r="201" ht="15.75" customHeight="1">
      <c r="A201" s="8"/>
      <c r="B201" s="8"/>
      <c r="C201" s="88"/>
      <c r="D201" s="88"/>
      <c r="E201" s="88"/>
      <c r="F201" s="86"/>
      <c r="G201" s="86"/>
      <c r="H201" s="86"/>
      <c r="I201" s="86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2"/>
    </row>
    <row r="202" ht="15.75" customHeight="1">
      <c r="A202" s="8"/>
      <c r="B202" s="8"/>
      <c r="C202" s="88"/>
      <c r="D202" s="88"/>
      <c r="E202" s="88"/>
      <c r="F202" s="86"/>
      <c r="G202" s="86"/>
      <c r="H202" s="86"/>
      <c r="I202" s="86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2"/>
    </row>
    <row r="203" ht="15.75" customHeight="1">
      <c r="A203" s="8"/>
      <c r="B203" s="8"/>
      <c r="C203" s="88"/>
      <c r="D203" s="88"/>
      <c r="E203" s="88"/>
      <c r="F203" s="86"/>
      <c r="G203" s="86"/>
      <c r="H203" s="86"/>
      <c r="I203" s="86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2"/>
    </row>
    <row r="204" ht="15.75" customHeight="1">
      <c r="A204" s="8"/>
      <c r="B204" s="8"/>
      <c r="C204" s="88"/>
      <c r="D204" s="88"/>
      <c r="E204" s="88"/>
      <c r="F204" s="86"/>
      <c r="G204" s="86"/>
      <c r="H204" s="86"/>
      <c r="I204" s="86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2"/>
    </row>
    <row r="205" ht="15.75" customHeight="1">
      <c r="A205" s="8"/>
      <c r="B205" s="8"/>
      <c r="C205" s="88"/>
      <c r="D205" s="88"/>
      <c r="E205" s="88"/>
      <c r="F205" s="86"/>
      <c r="G205" s="86"/>
      <c r="H205" s="86"/>
      <c r="I205" s="86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2"/>
    </row>
    <row r="206" ht="15.75" customHeight="1">
      <c r="A206" s="8"/>
      <c r="B206" s="8"/>
      <c r="C206" s="88"/>
      <c r="D206" s="88"/>
      <c r="E206" s="88"/>
      <c r="F206" s="86"/>
      <c r="G206" s="86"/>
      <c r="H206" s="86"/>
      <c r="I206" s="86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2"/>
    </row>
    <row r="207" ht="15.75" customHeight="1">
      <c r="A207" s="8"/>
      <c r="B207" s="8"/>
      <c r="C207" s="88"/>
      <c r="D207" s="88"/>
      <c r="E207" s="88"/>
      <c r="F207" s="86"/>
      <c r="G207" s="86"/>
      <c r="H207" s="86"/>
      <c r="I207" s="86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2"/>
    </row>
    <row r="208" ht="15.75" customHeight="1">
      <c r="A208" s="8"/>
      <c r="B208" s="8"/>
      <c r="C208" s="88"/>
      <c r="D208" s="88"/>
      <c r="E208" s="88"/>
      <c r="F208" s="86"/>
      <c r="G208" s="86"/>
      <c r="H208" s="86"/>
      <c r="I208" s="86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2"/>
    </row>
    <row r="209" ht="15.75" customHeight="1">
      <c r="A209" s="8"/>
      <c r="B209" s="8"/>
      <c r="C209" s="88"/>
      <c r="D209" s="88"/>
      <c r="E209" s="88"/>
      <c r="F209" s="86"/>
      <c r="G209" s="86"/>
      <c r="H209" s="86"/>
      <c r="I209" s="86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2"/>
    </row>
    <row r="210" ht="15.75" customHeight="1">
      <c r="A210" s="8"/>
      <c r="B210" s="8"/>
      <c r="C210" s="88"/>
      <c r="D210" s="88"/>
      <c r="E210" s="88"/>
      <c r="F210" s="86"/>
      <c r="G210" s="86"/>
      <c r="H210" s="86"/>
      <c r="I210" s="86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2"/>
    </row>
    <row r="211" ht="15.75" customHeight="1">
      <c r="A211" s="8"/>
      <c r="B211" s="8"/>
      <c r="C211" s="88"/>
      <c r="D211" s="88"/>
      <c r="E211" s="88"/>
      <c r="F211" s="86"/>
      <c r="G211" s="86"/>
      <c r="H211" s="86"/>
      <c r="I211" s="86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2"/>
    </row>
    <row r="212" ht="15.75" customHeight="1">
      <c r="A212" s="8"/>
      <c r="B212" s="8"/>
      <c r="C212" s="88"/>
      <c r="D212" s="88"/>
      <c r="E212" s="88"/>
      <c r="F212" s="86"/>
      <c r="G212" s="86"/>
      <c r="H212" s="86"/>
      <c r="I212" s="86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2"/>
    </row>
    <row r="213" ht="15.75" customHeight="1">
      <c r="A213" s="8"/>
      <c r="B213" s="8"/>
      <c r="C213" s="88"/>
      <c r="D213" s="88"/>
      <c r="E213" s="88"/>
      <c r="F213" s="86"/>
      <c r="G213" s="86"/>
      <c r="H213" s="86"/>
      <c r="I213" s="86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2"/>
    </row>
    <row r="214" ht="15.75" customHeight="1">
      <c r="A214" s="8"/>
      <c r="B214" s="8"/>
      <c r="C214" s="88"/>
      <c r="D214" s="88"/>
      <c r="E214" s="88"/>
      <c r="F214" s="86"/>
      <c r="G214" s="86"/>
      <c r="H214" s="86"/>
      <c r="I214" s="86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2"/>
    </row>
    <row r="215" ht="15.75" customHeight="1">
      <c r="A215" s="8"/>
      <c r="B215" s="8"/>
      <c r="C215" s="88"/>
      <c r="D215" s="88"/>
      <c r="E215" s="88"/>
      <c r="F215" s="86"/>
      <c r="G215" s="86"/>
      <c r="H215" s="86"/>
      <c r="I215" s="86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2"/>
    </row>
    <row r="216" ht="15.75" customHeight="1">
      <c r="A216" s="8"/>
      <c r="B216" s="8"/>
      <c r="C216" s="88"/>
      <c r="D216" s="88"/>
      <c r="E216" s="88"/>
      <c r="F216" s="86"/>
      <c r="G216" s="86"/>
      <c r="H216" s="86"/>
      <c r="I216" s="86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2"/>
    </row>
    <row r="217" ht="15.75" customHeight="1">
      <c r="A217" s="8"/>
      <c r="B217" s="8"/>
      <c r="C217" s="88"/>
      <c r="D217" s="88"/>
      <c r="E217" s="88"/>
      <c r="F217" s="86"/>
      <c r="G217" s="86"/>
      <c r="H217" s="86"/>
      <c r="I217" s="86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2"/>
    </row>
    <row r="218" ht="15.75" customHeight="1">
      <c r="A218" s="8"/>
      <c r="B218" s="8"/>
      <c r="C218" s="88"/>
      <c r="D218" s="88"/>
      <c r="E218" s="88"/>
      <c r="F218" s="86"/>
      <c r="G218" s="86"/>
      <c r="H218" s="86"/>
      <c r="I218" s="86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2"/>
    </row>
    <row r="219" ht="15.75" customHeight="1">
      <c r="A219" s="8"/>
      <c r="B219" s="8"/>
      <c r="C219" s="88"/>
      <c r="D219" s="88"/>
      <c r="E219" s="88"/>
      <c r="F219" s="86"/>
      <c r="G219" s="86"/>
      <c r="H219" s="86"/>
      <c r="I219" s="86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2"/>
    </row>
    <row r="220" ht="15.75" customHeight="1">
      <c r="A220" s="8"/>
      <c r="B220" s="8"/>
      <c r="C220" s="88"/>
      <c r="D220" s="88"/>
      <c r="E220" s="88"/>
      <c r="F220" s="86"/>
      <c r="G220" s="86"/>
      <c r="H220" s="86"/>
      <c r="I220" s="86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2"/>
    </row>
    <row r="221" ht="15.75" customHeight="1">
      <c r="A221" s="8"/>
      <c r="B221" s="8"/>
      <c r="C221" s="88"/>
      <c r="D221" s="88"/>
      <c r="E221" s="88"/>
      <c r="F221" s="86"/>
      <c r="G221" s="86"/>
      <c r="H221" s="86"/>
      <c r="I221" s="86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2"/>
    </row>
    <row r="222" ht="15.75" customHeight="1">
      <c r="A222" s="8"/>
      <c r="B222" s="8"/>
      <c r="C222" s="88"/>
      <c r="D222" s="88"/>
      <c r="E222" s="88"/>
      <c r="F222" s="86"/>
      <c r="G222" s="86"/>
      <c r="H222" s="86"/>
      <c r="I222" s="86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2"/>
    </row>
    <row r="223" ht="15.75" customHeight="1">
      <c r="A223" s="8"/>
      <c r="B223" s="8"/>
      <c r="C223" s="88"/>
      <c r="D223" s="88"/>
      <c r="E223" s="88"/>
      <c r="F223" s="86"/>
      <c r="G223" s="86"/>
      <c r="H223" s="86"/>
      <c r="I223" s="86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2"/>
    </row>
    <row r="224" ht="15.75" customHeight="1">
      <c r="A224" s="8"/>
      <c r="B224" s="8"/>
      <c r="C224" s="88"/>
      <c r="D224" s="88"/>
      <c r="E224" s="88"/>
      <c r="F224" s="86"/>
      <c r="G224" s="86"/>
      <c r="H224" s="86"/>
      <c r="I224" s="86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2"/>
    </row>
    <row r="225" ht="15.75" customHeight="1">
      <c r="A225" s="8"/>
      <c r="B225" s="8"/>
      <c r="C225" s="89"/>
      <c r="D225" s="89"/>
      <c r="E225" s="8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2"/>
    </row>
    <row r="226" ht="15.75" customHeight="1">
      <c r="A226" s="8"/>
      <c r="B226" s="8"/>
      <c r="C226" s="89"/>
      <c r="D226" s="89"/>
      <c r="E226" s="8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2"/>
    </row>
    <row r="227" ht="15.75" customHeight="1">
      <c r="A227" s="8"/>
      <c r="B227" s="8"/>
      <c r="C227" s="89"/>
      <c r="D227" s="89"/>
      <c r="E227" s="8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2"/>
    </row>
    <row r="228" ht="15.75" customHeight="1">
      <c r="A228" s="8"/>
      <c r="B228" s="8"/>
      <c r="C228" s="89"/>
      <c r="D228" s="89"/>
      <c r="E228" s="8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2"/>
    </row>
    <row r="229" ht="15.75" customHeight="1">
      <c r="A229" s="8"/>
      <c r="B229" s="8"/>
      <c r="C229" s="89"/>
      <c r="D229" s="89"/>
      <c r="E229" s="8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2"/>
    </row>
    <row r="230" ht="15.75" customHeight="1">
      <c r="A230" s="8"/>
      <c r="B230" s="8"/>
      <c r="C230" s="89"/>
      <c r="D230" s="89"/>
      <c r="E230" s="8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2"/>
    </row>
    <row r="231" ht="15.75" customHeight="1">
      <c r="A231" s="8"/>
      <c r="B231" s="8"/>
      <c r="C231" s="89"/>
      <c r="D231" s="89"/>
      <c r="E231" s="8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2"/>
    </row>
    <row r="232" ht="15.75" customHeight="1">
      <c r="A232" s="8"/>
      <c r="B232" s="8"/>
      <c r="C232" s="89"/>
      <c r="D232" s="89"/>
      <c r="E232" s="8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2"/>
    </row>
    <row r="233" ht="15.75" customHeight="1">
      <c r="A233" s="8"/>
      <c r="B233" s="8"/>
      <c r="C233" s="89"/>
      <c r="D233" s="89"/>
      <c r="E233" s="8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2"/>
    </row>
    <row r="234" ht="15.75" customHeight="1">
      <c r="A234" s="8"/>
      <c r="B234" s="8"/>
      <c r="C234" s="89"/>
      <c r="D234" s="89"/>
      <c r="E234" s="8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2"/>
    </row>
    <row r="235" ht="15.75" customHeight="1">
      <c r="A235" s="8"/>
      <c r="B235" s="8"/>
      <c r="C235" s="89"/>
      <c r="D235" s="89"/>
      <c r="E235" s="8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2"/>
    </row>
    <row r="236" ht="15.75" customHeight="1">
      <c r="A236" s="8"/>
      <c r="B236" s="8"/>
      <c r="C236" s="89"/>
      <c r="D236" s="89"/>
      <c r="E236" s="8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2"/>
    </row>
    <row r="237" ht="15.75" customHeight="1">
      <c r="A237" s="8"/>
      <c r="B237" s="8"/>
      <c r="C237" s="89"/>
      <c r="D237" s="89"/>
      <c r="E237" s="8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2"/>
    </row>
    <row r="238" ht="15.75" customHeight="1">
      <c r="A238" s="8"/>
      <c r="B238" s="8"/>
      <c r="C238" s="89"/>
      <c r="D238" s="89"/>
      <c r="E238" s="8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2"/>
    </row>
    <row r="239" ht="15.75" customHeight="1">
      <c r="A239" s="8"/>
      <c r="B239" s="8"/>
      <c r="C239" s="89"/>
      <c r="D239" s="89"/>
      <c r="E239" s="8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2"/>
    </row>
    <row r="240" ht="15.75" customHeight="1">
      <c r="A240" s="8"/>
      <c r="B240" s="8"/>
      <c r="C240" s="89"/>
      <c r="D240" s="89"/>
      <c r="E240" s="8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2"/>
    </row>
    <row r="241" ht="15.75" customHeight="1">
      <c r="A241" s="8"/>
      <c r="B241" s="8"/>
      <c r="C241" s="89"/>
      <c r="D241" s="89"/>
      <c r="E241" s="8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2"/>
    </row>
    <row r="242" ht="15.75" customHeight="1">
      <c r="A242" s="8"/>
      <c r="B242" s="8"/>
      <c r="C242" s="89"/>
      <c r="D242" s="89"/>
      <c r="E242" s="8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2"/>
    </row>
    <row r="243" ht="15.75" customHeight="1">
      <c r="A243" s="8"/>
      <c r="B243" s="8"/>
      <c r="C243" s="89"/>
      <c r="D243" s="89"/>
      <c r="E243" s="8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2"/>
    </row>
    <row r="244" ht="15.75" customHeight="1">
      <c r="A244" s="8"/>
      <c r="B244" s="8"/>
      <c r="C244" s="89"/>
      <c r="D244" s="89"/>
      <c r="E244" s="8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2"/>
    </row>
    <row r="245" ht="15.75" customHeight="1">
      <c r="A245" s="8"/>
      <c r="B245" s="8"/>
      <c r="C245" s="89"/>
      <c r="D245" s="89"/>
      <c r="E245" s="8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2"/>
    </row>
    <row r="246" ht="15.75" customHeight="1">
      <c r="A246" s="8"/>
      <c r="B246" s="8"/>
      <c r="C246" s="89"/>
      <c r="D246" s="89"/>
      <c r="E246" s="8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2"/>
    </row>
    <row r="247" ht="15.75" customHeight="1">
      <c r="A247" s="8"/>
      <c r="B247" s="8"/>
      <c r="C247" s="89"/>
      <c r="D247" s="89"/>
      <c r="E247" s="8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2"/>
    </row>
    <row r="248" ht="15.75" customHeight="1">
      <c r="A248" s="8"/>
      <c r="B248" s="8"/>
      <c r="C248" s="89"/>
      <c r="D248" s="89"/>
      <c r="E248" s="8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2"/>
    </row>
    <row r="249" ht="15.75" customHeight="1">
      <c r="A249" s="8"/>
      <c r="B249" s="8"/>
      <c r="C249" s="89"/>
      <c r="D249" s="89"/>
      <c r="E249" s="8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2"/>
    </row>
    <row r="250" ht="15.75" customHeight="1">
      <c r="A250" s="8"/>
      <c r="B250" s="8"/>
      <c r="C250" s="89"/>
      <c r="D250" s="89"/>
      <c r="E250" s="8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2"/>
    </row>
    <row r="251" ht="15.75" customHeight="1">
      <c r="A251" s="8"/>
      <c r="B251" s="8"/>
      <c r="C251" s="89"/>
      <c r="D251" s="89"/>
      <c r="E251" s="8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2"/>
    </row>
    <row r="252" ht="15.75" customHeight="1">
      <c r="A252" s="8"/>
      <c r="B252" s="8"/>
      <c r="C252" s="89"/>
      <c r="D252" s="89"/>
      <c r="E252" s="8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2"/>
    </row>
    <row r="253" ht="15.75" customHeight="1">
      <c r="A253" s="8"/>
      <c r="B253" s="8"/>
      <c r="C253" s="89"/>
      <c r="D253" s="89"/>
      <c r="E253" s="8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2"/>
    </row>
    <row r="254" ht="15.75" customHeight="1">
      <c r="A254" s="8"/>
      <c r="B254" s="8"/>
      <c r="C254" s="89"/>
      <c r="D254" s="89"/>
      <c r="E254" s="8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2"/>
    </row>
    <row r="255" ht="15.75" customHeight="1">
      <c r="A255" s="8"/>
      <c r="B255" s="8"/>
      <c r="C255" s="89"/>
      <c r="D255" s="89"/>
      <c r="E255" s="8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2"/>
    </row>
    <row r="256" ht="15.75" customHeight="1">
      <c r="A256" s="8"/>
      <c r="B256" s="8"/>
      <c r="C256" s="89"/>
      <c r="D256" s="89"/>
      <c r="E256" s="8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2"/>
    </row>
    <row r="257" ht="15.75" customHeight="1">
      <c r="A257" s="92"/>
      <c r="B257" s="92"/>
      <c r="C257" s="92"/>
      <c r="D257" s="92"/>
      <c r="E257" s="92"/>
      <c r="F257" s="92"/>
      <c r="G257" s="92"/>
      <c r="I257" s="92"/>
    </row>
    <row r="258" ht="15.75" customHeight="1">
      <c r="A258" s="92"/>
      <c r="B258" s="92"/>
      <c r="C258" s="92"/>
      <c r="D258" s="92"/>
      <c r="E258" s="92"/>
      <c r="F258" s="92"/>
      <c r="G258" s="92"/>
      <c r="I258" s="92"/>
    </row>
    <row r="259" ht="15.75" customHeight="1">
      <c r="A259" s="92"/>
      <c r="B259" s="92"/>
      <c r="C259" s="92"/>
      <c r="D259" s="92"/>
      <c r="E259" s="92"/>
      <c r="F259" s="92"/>
      <c r="G259" s="92"/>
      <c r="I259" s="92"/>
    </row>
    <row r="260" ht="15.75" customHeight="1">
      <c r="A260" s="92"/>
      <c r="B260" s="92"/>
      <c r="C260" s="92"/>
      <c r="D260" s="92"/>
      <c r="E260" s="92"/>
      <c r="F260" s="92"/>
      <c r="G260" s="92"/>
      <c r="I260" s="92"/>
    </row>
    <row r="261" ht="15.75" customHeight="1">
      <c r="A261" s="92"/>
      <c r="B261" s="92"/>
      <c r="C261" s="92"/>
      <c r="D261" s="92"/>
      <c r="E261" s="92"/>
      <c r="F261" s="92"/>
      <c r="G261" s="92"/>
      <c r="I261" s="92"/>
    </row>
    <row r="262" ht="15.75" customHeight="1">
      <c r="A262" s="92"/>
      <c r="B262" s="92"/>
      <c r="C262" s="92"/>
      <c r="D262" s="92"/>
      <c r="E262" s="92"/>
      <c r="F262" s="92"/>
      <c r="G262" s="92"/>
      <c r="I262" s="92"/>
    </row>
    <row r="263" ht="15.75" customHeight="1">
      <c r="A263" s="92"/>
      <c r="B263" s="92"/>
      <c r="C263" s="92"/>
      <c r="D263" s="92"/>
      <c r="E263" s="92"/>
      <c r="F263" s="92"/>
      <c r="G263" s="92"/>
      <c r="I263" s="92"/>
    </row>
    <row r="264" ht="15.75" customHeight="1">
      <c r="A264" s="92"/>
      <c r="B264" s="92"/>
      <c r="C264" s="92"/>
      <c r="D264" s="92"/>
      <c r="E264" s="92"/>
      <c r="F264" s="92"/>
      <c r="G264" s="92"/>
      <c r="I264" s="92"/>
    </row>
    <row r="265" ht="15.75" customHeight="1">
      <c r="A265" s="92"/>
      <c r="B265" s="92"/>
      <c r="C265" s="92"/>
      <c r="D265" s="92"/>
      <c r="E265" s="92"/>
      <c r="F265" s="92"/>
      <c r="G265" s="92"/>
      <c r="I265" s="92"/>
    </row>
    <row r="266" ht="15.75" customHeight="1">
      <c r="A266" s="92"/>
      <c r="B266" s="92"/>
      <c r="C266" s="92"/>
      <c r="D266" s="92"/>
      <c r="E266" s="92"/>
      <c r="F266" s="92"/>
      <c r="G266" s="92"/>
      <c r="I266" s="92"/>
    </row>
    <row r="267" ht="15.75" customHeight="1">
      <c r="A267" s="92"/>
      <c r="B267" s="92"/>
      <c r="C267" s="92"/>
      <c r="D267" s="92"/>
      <c r="E267" s="92"/>
      <c r="F267" s="92"/>
      <c r="G267" s="92"/>
      <c r="I267" s="92"/>
    </row>
    <row r="268" ht="15.75" customHeight="1">
      <c r="A268" s="92"/>
      <c r="B268" s="92"/>
      <c r="C268" s="92"/>
      <c r="D268" s="92"/>
      <c r="E268" s="92"/>
      <c r="F268" s="92"/>
      <c r="G268" s="92"/>
      <c r="I268" s="92"/>
    </row>
    <row r="269" ht="15.75" customHeight="1">
      <c r="A269" s="92"/>
      <c r="B269" s="92"/>
      <c r="C269" s="92"/>
      <c r="D269" s="92"/>
      <c r="E269" s="92"/>
      <c r="F269" s="92"/>
      <c r="G269" s="92"/>
      <c r="I269" s="92"/>
    </row>
    <row r="270" ht="15.75" customHeight="1">
      <c r="A270" s="92"/>
      <c r="B270" s="92"/>
      <c r="C270" s="92"/>
      <c r="D270" s="92"/>
      <c r="E270" s="92"/>
      <c r="F270" s="92"/>
      <c r="G270" s="92"/>
      <c r="I270" s="92"/>
    </row>
    <row r="271" ht="15.75" customHeight="1">
      <c r="A271" s="92"/>
      <c r="B271" s="92"/>
      <c r="C271" s="92"/>
      <c r="D271" s="92"/>
      <c r="E271" s="92"/>
      <c r="F271" s="92"/>
      <c r="G271" s="92"/>
      <c r="I271" s="92"/>
    </row>
    <row r="272" ht="15.75" customHeight="1">
      <c r="A272" s="92"/>
      <c r="B272" s="92"/>
      <c r="C272" s="92"/>
      <c r="D272" s="92"/>
      <c r="E272" s="92"/>
      <c r="F272" s="92"/>
      <c r="G272" s="92"/>
      <c r="I272" s="92"/>
    </row>
    <row r="273" ht="15.75" customHeight="1">
      <c r="A273" s="92"/>
      <c r="B273" s="92"/>
      <c r="C273" s="92"/>
      <c r="D273" s="92"/>
      <c r="E273" s="92"/>
      <c r="F273" s="92"/>
      <c r="G273" s="92"/>
      <c r="I273" s="92"/>
    </row>
    <row r="274" ht="15.75" customHeight="1">
      <c r="A274" s="92"/>
      <c r="B274" s="92"/>
      <c r="C274" s="92"/>
      <c r="D274" s="92"/>
      <c r="E274" s="92"/>
      <c r="F274" s="92"/>
      <c r="G274" s="92"/>
      <c r="I274" s="92"/>
    </row>
    <row r="275" ht="15.75" customHeight="1">
      <c r="A275" s="92"/>
      <c r="B275" s="92"/>
      <c r="C275" s="92"/>
      <c r="D275" s="92"/>
      <c r="E275" s="92"/>
      <c r="F275" s="92"/>
      <c r="G275" s="92"/>
      <c r="I275" s="92"/>
    </row>
    <row r="276" ht="15.75" customHeight="1">
      <c r="A276" s="92"/>
      <c r="B276" s="92"/>
      <c r="C276" s="92"/>
      <c r="D276" s="92"/>
      <c r="E276" s="92"/>
      <c r="F276" s="92"/>
      <c r="G276" s="92"/>
      <c r="I276" s="92"/>
    </row>
    <row r="277" ht="15.75" customHeight="1">
      <c r="A277" s="92"/>
      <c r="B277" s="92"/>
      <c r="C277" s="92"/>
      <c r="D277" s="92"/>
      <c r="E277" s="92"/>
      <c r="F277" s="92"/>
      <c r="G277" s="92"/>
      <c r="I277" s="92"/>
    </row>
    <row r="278" ht="15.75" customHeight="1">
      <c r="A278" s="92"/>
      <c r="B278" s="92"/>
      <c r="C278" s="92"/>
      <c r="D278" s="92"/>
      <c r="E278" s="92"/>
      <c r="F278" s="92"/>
      <c r="G278" s="92"/>
      <c r="I278" s="92"/>
    </row>
    <row r="279" ht="15.75" customHeight="1">
      <c r="A279" s="92"/>
      <c r="B279" s="92"/>
      <c r="C279" s="92"/>
      <c r="D279" s="92"/>
      <c r="E279" s="92"/>
      <c r="F279" s="92"/>
      <c r="G279" s="92"/>
      <c r="I279" s="92"/>
    </row>
    <row r="280" ht="15.75" customHeight="1">
      <c r="A280" s="92"/>
      <c r="B280" s="92"/>
      <c r="C280" s="92"/>
      <c r="D280" s="92"/>
      <c r="E280" s="92"/>
      <c r="F280" s="92"/>
      <c r="G280" s="92"/>
      <c r="I280" s="92"/>
    </row>
    <row r="281" ht="15.75" customHeight="1">
      <c r="A281" s="92"/>
      <c r="B281" s="92"/>
      <c r="C281" s="92"/>
      <c r="D281" s="92"/>
      <c r="E281" s="92"/>
      <c r="F281" s="92"/>
      <c r="G281" s="92"/>
      <c r="I281" s="92"/>
    </row>
    <row r="282" ht="15.75" customHeight="1">
      <c r="A282" s="92"/>
      <c r="B282" s="92"/>
      <c r="C282" s="92"/>
      <c r="D282" s="92"/>
      <c r="E282" s="92"/>
      <c r="F282" s="92"/>
      <c r="G282" s="92"/>
      <c r="I282" s="92"/>
    </row>
    <row r="283" ht="15.75" customHeight="1">
      <c r="A283" s="92"/>
      <c r="B283" s="92"/>
      <c r="C283" s="92"/>
      <c r="D283" s="92"/>
      <c r="E283" s="92"/>
      <c r="F283" s="92"/>
      <c r="G283" s="92"/>
      <c r="I283" s="92"/>
    </row>
    <row r="284" ht="15.75" customHeight="1">
      <c r="A284" s="92"/>
      <c r="B284" s="92"/>
      <c r="C284" s="92"/>
      <c r="D284" s="92"/>
      <c r="E284" s="92"/>
      <c r="F284" s="92"/>
      <c r="G284" s="92"/>
      <c r="I284" s="92"/>
    </row>
    <row r="285" ht="15.75" customHeight="1">
      <c r="A285" s="92"/>
      <c r="B285" s="92"/>
      <c r="C285" s="92"/>
      <c r="D285" s="92"/>
      <c r="E285" s="92"/>
      <c r="F285" s="92"/>
      <c r="G285" s="92"/>
      <c r="I285" s="92"/>
    </row>
    <row r="286" ht="15.75" customHeight="1">
      <c r="A286" s="92"/>
      <c r="B286" s="92"/>
      <c r="C286" s="92"/>
      <c r="D286" s="92"/>
      <c r="E286" s="92"/>
      <c r="F286" s="92"/>
      <c r="G286" s="92"/>
      <c r="I286" s="92"/>
    </row>
    <row r="287" ht="15.75" customHeight="1">
      <c r="A287" s="92"/>
      <c r="B287" s="92"/>
      <c r="C287" s="92"/>
      <c r="D287" s="92"/>
      <c r="E287" s="92"/>
      <c r="F287" s="92"/>
      <c r="G287" s="92"/>
      <c r="I287" s="92"/>
    </row>
    <row r="288" ht="15.75" customHeight="1">
      <c r="A288" s="92"/>
      <c r="B288" s="92"/>
      <c r="C288" s="92"/>
      <c r="D288" s="92"/>
      <c r="E288" s="92"/>
      <c r="F288" s="92"/>
      <c r="G288" s="92"/>
      <c r="I288" s="92"/>
    </row>
    <row r="289" ht="15.75" customHeight="1">
      <c r="A289" s="92"/>
      <c r="B289" s="92"/>
      <c r="C289" s="92"/>
      <c r="D289" s="92"/>
      <c r="E289" s="92"/>
      <c r="F289" s="92"/>
      <c r="G289" s="92"/>
      <c r="I289" s="92"/>
    </row>
    <row r="290" ht="15.75" customHeight="1">
      <c r="A290" s="92"/>
      <c r="B290" s="92"/>
      <c r="C290" s="92"/>
      <c r="D290" s="92"/>
      <c r="E290" s="92"/>
      <c r="F290" s="92"/>
      <c r="G290" s="92"/>
      <c r="I290" s="92"/>
    </row>
    <row r="291" ht="15.75" customHeight="1">
      <c r="A291" s="92"/>
      <c r="B291" s="92"/>
      <c r="C291" s="92"/>
      <c r="D291" s="92"/>
      <c r="E291" s="92"/>
      <c r="F291" s="92"/>
      <c r="G291" s="92"/>
      <c r="I291" s="92"/>
    </row>
    <row r="292" ht="15.75" customHeight="1">
      <c r="A292" s="92"/>
      <c r="B292" s="92"/>
      <c r="C292" s="92"/>
      <c r="D292" s="92"/>
      <c r="E292" s="92"/>
      <c r="F292" s="92"/>
      <c r="G292" s="92"/>
      <c r="I292" s="92"/>
    </row>
    <row r="293" ht="15.75" customHeight="1">
      <c r="A293" s="92"/>
      <c r="B293" s="92"/>
      <c r="C293" s="92"/>
      <c r="D293" s="92"/>
      <c r="E293" s="92"/>
      <c r="F293" s="92"/>
      <c r="G293" s="92"/>
      <c r="I293" s="92"/>
    </row>
    <row r="294" ht="15.75" customHeight="1">
      <c r="A294" s="92"/>
      <c r="B294" s="92"/>
      <c r="C294" s="92"/>
      <c r="D294" s="92"/>
      <c r="E294" s="92"/>
      <c r="F294" s="92"/>
      <c r="G294" s="92"/>
      <c r="I294" s="92"/>
    </row>
    <row r="295" ht="15.75" customHeight="1">
      <c r="A295" s="92"/>
      <c r="B295" s="92"/>
      <c r="C295" s="92"/>
      <c r="D295" s="92"/>
      <c r="E295" s="92"/>
      <c r="F295" s="92"/>
      <c r="G295" s="92"/>
      <c r="I295" s="92"/>
    </row>
    <row r="296" ht="15.75" customHeight="1">
      <c r="A296" s="92"/>
      <c r="B296" s="92"/>
      <c r="C296" s="92"/>
      <c r="D296" s="92"/>
      <c r="E296" s="92"/>
      <c r="F296" s="92"/>
      <c r="G296" s="92"/>
      <c r="I296" s="92"/>
    </row>
    <row r="297" ht="15.75" customHeight="1">
      <c r="A297" s="92"/>
      <c r="B297" s="92"/>
      <c r="C297" s="92"/>
      <c r="D297" s="92"/>
      <c r="E297" s="92"/>
      <c r="F297" s="92"/>
      <c r="G297" s="92"/>
      <c r="I297" s="92"/>
    </row>
    <row r="298" ht="15.75" customHeight="1">
      <c r="A298" s="92"/>
      <c r="B298" s="92"/>
      <c r="C298" s="92"/>
      <c r="D298" s="92"/>
      <c r="E298" s="92"/>
      <c r="F298" s="92"/>
      <c r="G298" s="92"/>
      <c r="I298" s="92"/>
    </row>
    <row r="299" ht="15.75" customHeight="1">
      <c r="A299" s="92"/>
      <c r="B299" s="92"/>
      <c r="C299" s="92"/>
      <c r="D299" s="92"/>
      <c r="E299" s="92"/>
      <c r="F299" s="92"/>
      <c r="G299" s="92"/>
      <c r="I299" s="92"/>
    </row>
    <row r="300" ht="15.75" customHeight="1">
      <c r="A300" s="92"/>
      <c r="B300" s="92"/>
      <c r="C300" s="92"/>
      <c r="D300" s="92"/>
      <c r="E300" s="92"/>
      <c r="F300" s="92"/>
      <c r="G300" s="92"/>
      <c r="I300" s="92"/>
    </row>
    <row r="301" ht="15.75" customHeight="1">
      <c r="A301" s="92"/>
      <c r="B301" s="92"/>
      <c r="C301" s="92"/>
      <c r="D301" s="92"/>
      <c r="E301" s="92"/>
      <c r="F301" s="92"/>
      <c r="G301" s="92"/>
      <c r="I301" s="92"/>
    </row>
    <row r="302" ht="15.75" customHeight="1">
      <c r="A302" s="92"/>
      <c r="B302" s="92"/>
      <c r="C302" s="92"/>
      <c r="D302" s="92"/>
      <c r="E302" s="92"/>
      <c r="F302" s="92"/>
      <c r="G302" s="92"/>
      <c r="I302" s="92"/>
    </row>
    <row r="303" ht="15.75" customHeight="1">
      <c r="A303" s="92"/>
      <c r="B303" s="92"/>
      <c r="C303" s="92"/>
      <c r="D303" s="92"/>
      <c r="E303" s="92"/>
      <c r="F303" s="92"/>
      <c r="G303" s="92"/>
      <c r="I303" s="92"/>
    </row>
    <row r="304" ht="15.75" customHeight="1">
      <c r="A304" s="92"/>
      <c r="B304" s="92"/>
      <c r="C304" s="92"/>
      <c r="D304" s="92"/>
      <c r="E304" s="92"/>
      <c r="F304" s="92"/>
      <c r="G304" s="92"/>
      <c r="I304" s="92"/>
    </row>
    <row r="305" ht="15.75" customHeight="1">
      <c r="A305" s="92"/>
      <c r="B305" s="92"/>
      <c r="C305" s="92"/>
      <c r="D305" s="92"/>
      <c r="E305" s="92"/>
      <c r="F305" s="92"/>
      <c r="G305" s="92"/>
      <c r="I305" s="92"/>
    </row>
    <row r="306" ht="15.75" customHeight="1">
      <c r="A306" s="92"/>
      <c r="B306" s="92"/>
      <c r="C306" s="92"/>
      <c r="D306" s="92"/>
      <c r="E306" s="92"/>
      <c r="F306" s="92"/>
      <c r="G306" s="92"/>
      <c r="I306" s="92"/>
    </row>
    <row r="307" ht="15.75" customHeight="1">
      <c r="A307" s="92"/>
      <c r="B307" s="92"/>
      <c r="C307" s="92"/>
      <c r="D307" s="92"/>
      <c r="E307" s="92"/>
      <c r="F307" s="92"/>
      <c r="G307" s="92"/>
      <c r="I307" s="92"/>
    </row>
    <row r="308" ht="15.75" customHeight="1">
      <c r="A308" s="92"/>
      <c r="B308" s="92"/>
      <c r="C308" s="92"/>
      <c r="D308" s="92"/>
      <c r="E308" s="92"/>
      <c r="F308" s="92"/>
      <c r="G308" s="92"/>
      <c r="I308" s="92"/>
    </row>
    <row r="309" ht="15.75" customHeight="1">
      <c r="A309" s="92"/>
      <c r="B309" s="92"/>
      <c r="C309" s="92"/>
      <c r="D309" s="92"/>
      <c r="E309" s="92"/>
      <c r="F309" s="92"/>
      <c r="G309" s="92"/>
      <c r="I309" s="92"/>
    </row>
    <row r="310" ht="15.75" customHeight="1">
      <c r="A310" s="92"/>
      <c r="B310" s="92"/>
      <c r="C310" s="92"/>
      <c r="D310" s="92"/>
      <c r="E310" s="92"/>
      <c r="F310" s="92"/>
      <c r="G310" s="92"/>
      <c r="I310" s="92"/>
    </row>
    <row r="311" ht="15.75" customHeight="1">
      <c r="A311" s="92"/>
      <c r="B311" s="92"/>
      <c r="C311" s="92"/>
      <c r="D311" s="92"/>
      <c r="E311" s="92"/>
      <c r="F311" s="92"/>
      <c r="G311" s="92"/>
      <c r="I311" s="92"/>
    </row>
    <row r="312" ht="15.75" customHeight="1">
      <c r="A312" s="92"/>
      <c r="B312" s="92"/>
      <c r="C312" s="92"/>
      <c r="D312" s="92"/>
      <c r="E312" s="92"/>
      <c r="F312" s="92"/>
      <c r="G312" s="92"/>
      <c r="I312" s="92"/>
    </row>
    <row r="313" ht="15.75" customHeight="1">
      <c r="A313" s="92"/>
      <c r="B313" s="92"/>
      <c r="C313" s="92"/>
      <c r="D313" s="92"/>
      <c r="E313" s="92"/>
      <c r="F313" s="92"/>
      <c r="G313" s="92"/>
      <c r="I313" s="92"/>
    </row>
    <row r="314" ht="15.75" customHeight="1">
      <c r="A314" s="92"/>
      <c r="B314" s="92"/>
      <c r="C314" s="92"/>
      <c r="D314" s="92"/>
      <c r="E314" s="92"/>
      <c r="F314" s="92"/>
      <c r="G314" s="92"/>
      <c r="I314" s="92"/>
    </row>
    <row r="315" ht="15.75" customHeight="1">
      <c r="A315" s="92"/>
      <c r="B315" s="92"/>
      <c r="C315" s="92"/>
      <c r="D315" s="92"/>
      <c r="E315" s="92"/>
      <c r="F315" s="92"/>
      <c r="G315" s="92"/>
      <c r="I315" s="92"/>
    </row>
    <row r="316" ht="15.75" customHeight="1">
      <c r="A316" s="92"/>
      <c r="B316" s="92"/>
      <c r="C316" s="92"/>
      <c r="D316" s="92"/>
      <c r="E316" s="92"/>
      <c r="F316" s="92"/>
      <c r="G316" s="92"/>
      <c r="I316" s="92"/>
    </row>
    <row r="317" ht="15.75" customHeight="1">
      <c r="A317" s="92"/>
      <c r="B317" s="92"/>
      <c r="C317" s="92"/>
      <c r="D317" s="92"/>
      <c r="E317" s="92"/>
      <c r="F317" s="92"/>
      <c r="G317" s="92"/>
      <c r="I317" s="92"/>
    </row>
    <row r="318" ht="15.75" customHeight="1">
      <c r="A318" s="92"/>
      <c r="B318" s="92"/>
      <c r="C318" s="92"/>
      <c r="D318" s="92"/>
      <c r="E318" s="92"/>
      <c r="F318" s="92"/>
      <c r="G318" s="92"/>
      <c r="I318" s="92"/>
    </row>
    <row r="319" ht="15.75" customHeight="1">
      <c r="A319" s="92"/>
      <c r="B319" s="92"/>
      <c r="C319" s="92"/>
      <c r="D319" s="92"/>
      <c r="E319" s="92"/>
      <c r="F319" s="92"/>
      <c r="G319" s="92"/>
      <c r="I319" s="92"/>
    </row>
    <row r="320" ht="15.75" customHeight="1">
      <c r="A320" s="92"/>
      <c r="B320" s="92"/>
      <c r="C320" s="92"/>
      <c r="D320" s="92"/>
      <c r="E320" s="92"/>
      <c r="F320" s="92"/>
      <c r="G320" s="92"/>
      <c r="I320" s="92"/>
    </row>
    <row r="321" ht="15.75" customHeight="1">
      <c r="A321" s="92"/>
      <c r="B321" s="92"/>
      <c r="C321" s="92"/>
      <c r="D321" s="92"/>
      <c r="E321" s="92"/>
      <c r="F321" s="92"/>
      <c r="G321" s="92"/>
      <c r="I321" s="92"/>
    </row>
    <row r="322" ht="15.75" customHeight="1">
      <c r="A322" s="92"/>
      <c r="B322" s="92"/>
      <c r="C322" s="92"/>
      <c r="D322" s="92"/>
      <c r="E322" s="92"/>
      <c r="F322" s="92"/>
      <c r="G322" s="92"/>
      <c r="I322" s="92"/>
    </row>
    <row r="323" ht="15.75" customHeight="1">
      <c r="A323" s="92"/>
      <c r="B323" s="92"/>
      <c r="C323" s="92"/>
      <c r="D323" s="92"/>
      <c r="E323" s="92"/>
      <c r="F323" s="92"/>
      <c r="G323" s="92"/>
      <c r="I323" s="92"/>
    </row>
    <row r="324" ht="15.75" customHeight="1">
      <c r="A324" s="92"/>
      <c r="B324" s="92"/>
      <c r="C324" s="92"/>
      <c r="D324" s="92"/>
      <c r="E324" s="92"/>
      <c r="F324" s="92"/>
      <c r="G324" s="92"/>
      <c r="I324" s="92"/>
    </row>
    <row r="325" ht="15.75" customHeight="1">
      <c r="A325" s="92"/>
      <c r="B325" s="92"/>
      <c r="C325" s="92"/>
      <c r="D325" s="92"/>
      <c r="E325" s="92"/>
      <c r="F325" s="92"/>
      <c r="G325" s="92"/>
      <c r="I325" s="92"/>
    </row>
    <row r="326" ht="15.75" customHeight="1">
      <c r="A326" s="92"/>
      <c r="B326" s="92"/>
      <c r="C326" s="92"/>
      <c r="D326" s="92"/>
      <c r="E326" s="92"/>
      <c r="F326" s="92"/>
      <c r="G326" s="92"/>
      <c r="I326" s="92"/>
    </row>
    <row r="327" ht="15.75" customHeight="1">
      <c r="A327" s="92"/>
      <c r="B327" s="92"/>
      <c r="C327" s="92"/>
      <c r="D327" s="92"/>
      <c r="E327" s="92"/>
      <c r="F327" s="92"/>
      <c r="G327" s="92"/>
      <c r="I327" s="92"/>
    </row>
    <row r="328" ht="15.75" customHeight="1">
      <c r="A328" s="92"/>
      <c r="B328" s="92"/>
      <c r="C328" s="92"/>
      <c r="D328" s="92"/>
      <c r="E328" s="92"/>
      <c r="F328" s="92"/>
      <c r="G328" s="92"/>
      <c r="I328" s="92"/>
    </row>
    <row r="329" ht="15.75" customHeight="1">
      <c r="A329" s="92"/>
      <c r="B329" s="92"/>
      <c r="C329" s="92"/>
      <c r="D329" s="92"/>
      <c r="E329" s="92"/>
      <c r="F329" s="92"/>
      <c r="G329" s="92"/>
      <c r="I329" s="92"/>
    </row>
    <row r="330" ht="15.75" customHeight="1">
      <c r="A330" s="92"/>
      <c r="B330" s="92"/>
      <c r="C330" s="92"/>
      <c r="D330" s="92"/>
      <c r="E330" s="92"/>
      <c r="F330" s="92"/>
      <c r="G330" s="92"/>
      <c r="I330" s="92"/>
    </row>
    <row r="331" ht="15.75" customHeight="1">
      <c r="A331" s="92"/>
      <c r="B331" s="92"/>
      <c r="C331" s="92"/>
      <c r="D331" s="92"/>
      <c r="E331" s="92"/>
      <c r="F331" s="92"/>
      <c r="G331" s="92"/>
      <c r="I331" s="92"/>
    </row>
    <row r="332" ht="15.75" customHeight="1">
      <c r="A332" s="92"/>
      <c r="B332" s="92"/>
      <c r="C332" s="92"/>
      <c r="D332" s="92"/>
      <c r="E332" s="92"/>
      <c r="F332" s="92"/>
      <c r="G332" s="92"/>
      <c r="I332" s="92"/>
    </row>
    <row r="333" ht="15.75" customHeight="1">
      <c r="A333" s="92"/>
      <c r="B333" s="92"/>
      <c r="C333" s="92"/>
      <c r="D333" s="92"/>
      <c r="E333" s="92"/>
      <c r="F333" s="92"/>
      <c r="G333" s="92"/>
      <c r="I333" s="92"/>
    </row>
    <row r="334" ht="15.75" customHeight="1">
      <c r="A334" s="92"/>
      <c r="B334" s="92"/>
      <c r="C334" s="92"/>
      <c r="D334" s="92"/>
      <c r="E334" s="92"/>
      <c r="F334" s="92"/>
      <c r="G334" s="92"/>
      <c r="I334" s="92"/>
    </row>
    <row r="335" ht="15.75" customHeight="1">
      <c r="A335" s="92"/>
      <c r="B335" s="92"/>
      <c r="C335" s="92"/>
      <c r="D335" s="92"/>
      <c r="E335" s="92"/>
      <c r="F335" s="92"/>
      <c r="G335" s="92"/>
      <c r="I335" s="92"/>
    </row>
    <row r="336" ht="15.75" customHeight="1">
      <c r="A336" s="92"/>
      <c r="B336" s="92"/>
      <c r="C336" s="92"/>
      <c r="D336" s="92"/>
      <c r="E336" s="92"/>
      <c r="F336" s="92"/>
      <c r="G336" s="92"/>
      <c r="I336" s="92"/>
    </row>
    <row r="337" ht="15.75" customHeight="1">
      <c r="A337" s="92"/>
      <c r="B337" s="92"/>
      <c r="C337" s="92"/>
      <c r="D337" s="92"/>
      <c r="E337" s="92"/>
      <c r="F337" s="92"/>
      <c r="G337" s="92"/>
      <c r="I337" s="92"/>
    </row>
    <row r="338" ht="15.75" customHeight="1">
      <c r="A338" s="92"/>
      <c r="B338" s="92"/>
      <c r="C338" s="92"/>
      <c r="D338" s="92"/>
      <c r="E338" s="92"/>
      <c r="F338" s="92"/>
      <c r="G338" s="92"/>
      <c r="I338" s="92"/>
    </row>
    <row r="339" ht="15.75" customHeight="1">
      <c r="A339" s="92"/>
      <c r="B339" s="92"/>
      <c r="C339" s="92"/>
      <c r="D339" s="92"/>
      <c r="E339" s="92"/>
      <c r="F339" s="92"/>
      <c r="G339" s="92"/>
      <c r="I339" s="92"/>
    </row>
    <row r="340" ht="15.75" customHeight="1">
      <c r="A340" s="92"/>
      <c r="B340" s="92"/>
      <c r="C340" s="92"/>
      <c r="D340" s="92"/>
      <c r="E340" s="92"/>
      <c r="F340" s="92"/>
      <c r="G340" s="92"/>
      <c r="I340" s="92"/>
    </row>
    <row r="341" ht="15.75" customHeight="1">
      <c r="A341" s="92"/>
      <c r="B341" s="92"/>
      <c r="C341" s="92"/>
      <c r="D341" s="92"/>
      <c r="E341" s="92"/>
      <c r="F341" s="92"/>
      <c r="G341" s="92"/>
      <c r="I341" s="92"/>
    </row>
    <row r="342" ht="15.75" customHeight="1">
      <c r="A342" s="92"/>
      <c r="B342" s="92"/>
      <c r="C342" s="92"/>
      <c r="D342" s="92"/>
      <c r="E342" s="92"/>
      <c r="F342" s="92"/>
      <c r="G342" s="92"/>
      <c r="I342" s="92"/>
    </row>
    <row r="343" ht="15.75" customHeight="1">
      <c r="A343" s="92"/>
      <c r="B343" s="92"/>
      <c r="C343" s="92"/>
      <c r="D343" s="92"/>
      <c r="E343" s="92"/>
      <c r="F343" s="92"/>
      <c r="G343" s="92"/>
      <c r="I343" s="92"/>
    </row>
    <row r="344" ht="15.75" customHeight="1">
      <c r="A344" s="92"/>
      <c r="B344" s="92"/>
      <c r="C344" s="92"/>
      <c r="D344" s="92"/>
      <c r="E344" s="92"/>
      <c r="F344" s="92"/>
      <c r="G344" s="92"/>
      <c r="I344" s="92"/>
    </row>
    <row r="345" ht="15.75" customHeight="1">
      <c r="A345" s="92"/>
      <c r="B345" s="92"/>
      <c r="C345" s="92"/>
      <c r="D345" s="92"/>
      <c r="E345" s="92"/>
      <c r="F345" s="92"/>
      <c r="G345" s="92"/>
      <c r="I345" s="92"/>
    </row>
    <row r="346" ht="15.75" customHeight="1">
      <c r="A346" s="92"/>
      <c r="B346" s="92"/>
      <c r="C346" s="92"/>
      <c r="D346" s="92"/>
      <c r="E346" s="92"/>
      <c r="F346" s="92"/>
      <c r="G346" s="92"/>
      <c r="I346" s="92"/>
    </row>
    <row r="347" ht="15.75" customHeight="1">
      <c r="A347" s="92"/>
      <c r="B347" s="92"/>
      <c r="C347" s="92"/>
      <c r="D347" s="92"/>
      <c r="E347" s="92"/>
      <c r="F347" s="92"/>
      <c r="G347" s="92"/>
      <c r="I347" s="92"/>
    </row>
    <row r="348" ht="15.75" customHeight="1">
      <c r="A348" s="92"/>
      <c r="B348" s="92"/>
      <c r="C348" s="92"/>
      <c r="D348" s="92"/>
      <c r="E348" s="92"/>
      <c r="F348" s="92"/>
      <c r="G348" s="92"/>
      <c r="I348" s="92"/>
    </row>
    <row r="349" ht="15.75" customHeight="1">
      <c r="A349" s="92"/>
      <c r="B349" s="92"/>
      <c r="C349" s="92"/>
      <c r="D349" s="92"/>
      <c r="E349" s="92"/>
      <c r="F349" s="92"/>
      <c r="G349" s="92"/>
      <c r="I349" s="92"/>
    </row>
    <row r="350" ht="15.75" customHeight="1">
      <c r="A350" s="92"/>
      <c r="B350" s="92"/>
      <c r="C350" s="92"/>
      <c r="D350" s="92"/>
      <c r="E350" s="92"/>
      <c r="F350" s="92"/>
      <c r="G350" s="92"/>
      <c r="I350" s="92"/>
    </row>
    <row r="351" ht="15.75" customHeight="1">
      <c r="A351" s="92"/>
      <c r="B351" s="92"/>
      <c r="C351" s="92"/>
      <c r="D351" s="92"/>
      <c r="E351" s="92"/>
      <c r="F351" s="92"/>
      <c r="G351" s="92"/>
      <c r="I351" s="92"/>
    </row>
    <row r="352" ht="15.75" customHeight="1">
      <c r="A352" s="92"/>
      <c r="B352" s="92"/>
      <c r="C352" s="92"/>
      <c r="D352" s="92"/>
      <c r="E352" s="92"/>
      <c r="F352" s="92"/>
      <c r="G352" s="92"/>
      <c r="I352" s="92"/>
    </row>
    <row r="353" ht="15.75" customHeight="1">
      <c r="A353" s="92"/>
      <c r="B353" s="92"/>
      <c r="C353" s="92"/>
      <c r="D353" s="92"/>
      <c r="E353" s="92"/>
      <c r="F353" s="92"/>
      <c r="G353" s="92"/>
      <c r="I353" s="92"/>
    </row>
    <row r="354" ht="15.75" customHeight="1">
      <c r="A354" s="92"/>
      <c r="B354" s="92"/>
      <c r="C354" s="92"/>
      <c r="D354" s="92"/>
      <c r="E354" s="92"/>
      <c r="F354" s="92"/>
      <c r="G354" s="92"/>
      <c r="I354" s="92"/>
    </row>
    <row r="355" ht="15.75" customHeight="1">
      <c r="A355" s="92"/>
      <c r="B355" s="92"/>
      <c r="C355" s="92"/>
      <c r="D355" s="92"/>
      <c r="E355" s="92"/>
      <c r="F355" s="92"/>
      <c r="G355" s="92"/>
      <c r="I355" s="92"/>
    </row>
    <row r="356" ht="15.75" customHeight="1">
      <c r="A356" s="92"/>
      <c r="B356" s="92"/>
      <c r="C356" s="92"/>
      <c r="D356" s="92"/>
      <c r="E356" s="92"/>
      <c r="F356" s="92"/>
      <c r="G356" s="92"/>
      <c r="I356" s="92"/>
    </row>
    <row r="357" ht="15.75" customHeight="1">
      <c r="A357" s="92"/>
      <c r="B357" s="92"/>
      <c r="C357" s="92"/>
      <c r="D357" s="92"/>
      <c r="E357" s="92"/>
      <c r="F357" s="92"/>
      <c r="G357" s="92"/>
      <c r="I357" s="92"/>
    </row>
    <row r="358" ht="15.75" customHeight="1">
      <c r="A358" s="92"/>
      <c r="B358" s="92"/>
      <c r="C358" s="92"/>
      <c r="D358" s="92"/>
      <c r="E358" s="92"/>
      <c r="F358" s="92"/>
      <c r="G358" s="92"/>
      <c r="I358" s="92"/>
    </row>
    <row r="359" ht="15.75" customHeight="1">
      <c r="A359" s="92"/>
      <c r="B359" s="92"/>
      <c r="C359" s="92"/>
      <c r="D359" s="92"/>
      <c r="E359" s="92"/>
      <c r="F359" s="92"/>
      <c r="G359" s="92"/>
      <c r="I359" s="92"/>
    </row>
    <row r="360" ht="15.75" customHeight="1">
      <c r="A360" s="92"/>
      <c r="B360" s="92"/>
      <c r="C360" s="92"/>
      <c r="D360" s="92"/>
      <c r="E360" s="92"/>
      <c r="F360" s="92"/>
      <c r="G360" s="92"/>
      <c r="I360" s="92"/>
    </row>
    <row r="361" ht="15.75" customHeight="1">
      <c r="A361" s="92"/>
      <c r="B361" s="92"/>
      <c r="C361" s="92"/>
      <c r="D361" s="92"/>
      <c r="E361" s="92"/>
      <c r="F361" s="92"/>
      <c r="G361" s="92"/>
      <c r="I361" s="92"/>
    </row>
    <row r="362" ht="15.75" customHeight="1">
      <c r="A362" s="92"/>
      <c r="B362" s="92"/>
      <c r="C362" s="92"/>
      <c r="D362" s="92"/>
      <c r="E362" s="92"/>
      <c r="F362" s="92"/>
      <c r="G362" s="92"/>
      <c r="I362" s="92"/>
    </row>
    <row r="363" ht="15.75" customHeight="1">
      <c r="A363" s="92"/>
      <c r="B363" s="92"/>
      <c r="C363" s="92"/>
      <c r="D363" s="92"/>
      <c r="E363" s="92"/>
      <c r="F363" s="92"/>
      <c r="G363" s="92"/>
      <c r="I363" s="92"/>
    </row>
    <row r="364" ht="15.75" customHeight="1">
      <c r="A364" s="92"/>
      <c r="B364" s="92"/>
      <c r="C364" s="92"/>
      <c r="D364" s="92"/>
      <c r="E364" s="92"/>
      <c r="F364" s="92"/>
      <c r="G364" s="92"/>
      <c r="I364" s="92"/>
    </row>
    <row r="365" ht="15.75" customHeight="1">
      <c r="A365" s="92"/>
      <c r="B365" s="92"/>
      <c r="C365" s="92"/>
      <c r="D365" s="92"/>
      <c r="E365" s="92"/>
      <c r="F365" s="92"/>
      <c r="G365" s="92"/>
      <c r="I365" s="92"/>
    </row>
    <row r="366" ht="15.75" customHeight="1">
      <c r="A366" s="92"/>
      <c r="B366" s="92"/>
      <c r="C366" s="92"/>
      <c r="D366" s="92"/>
      <c r="E366" s="92"/>
      <c r="F366" s="92"/>
      <c r="G366" s="92"/>
      <c r="I366" s="92"/>
    </row>
    <row r="367" ht="15.75" customHeight="1">
      <c r="A367" s="92"/>
      <c r="B367" s="92"/>
      <c r="C367" s="92"/>
      <c r="D367" s="92"/>
      <c r="E367" s="92"/>
      <c r="F367" s="92"/>
      <c r="G367" s="92"/>
      <c r="I367" s="92"/>
    </row>
    <row r="368" ht="15.75" customHeight="1">
      <c r="A368" s="92"/>
      <c r="B368" s="92"/>
      <c r="C368" s="92"/>
      <c r="D368" s="92"/>
      <c r="E368" s="92"/>
      <c r="F368" s="92"/>
      <c r="G368" s="92"/>
      <c r="I368" s="92"/>
    </row>
    <row r="369" ht="15.75" customHeight="1">
      <c r="A369" s="92"/>
      <c r="B369" s="92"/>
      <c r="C369" s="92"/>
      <c r="D369" s="92"/>
      <c r="E369" s="92"/>
      <c r="F369" s="92"/>
      <c r="G369" s="92"/>
      <c r="I369" s="92"/>
    </row>
    <row r="370" ht="15.75" customHeight="1">
      <c r="A370" s="92"/>
      <c r="B370" s="92"/>
      <c r="C370" s="92"/>
      <c r="D370" s="92"/>
      <c r="E370" s="92"/>
      <c r="F370" s="92"/>
      <c r="G370" s="92"/>
      <c r="I370" s="92"/>
    </row>
    <row r="371" ht="15.75" customHeight="1">
      <c r="A371" s="92"/>
      <c r="B371" s="92"/>
      <c r="C371" s="92"/>
      <c r="D371" s="92"/>
      <c r="E371" s="92"/>
      <c r="F371" s="92"/>
      <c r="G371" s="92"/>
      <c r="I371" s="92"/>
    </row>
    <row r="372" ht="15.75" customHeight="1">
      <c r="A372" s="92"/>
      <c r="B372" s="92"/>
      <c r="C372" s="92"/>
      <c r="D372" s="92"/>
      <c r="E372" s="92"/>
      <c r="F372" s="92"/>
      <c r="G372" s="92"/>
      <c r="I372" s="92"/>
    </row>
    <row r="373" ht="15.75" customHeight="1">
      <c r="A373" s="92"/>
      <c r="B373" s="92"/>
      <c r="C373" s="92"/>
      <c r="D373" s="92"/>
      <c r="E373" s="92"/>
      <c r="F373" s="92"/>
      <c r="G373" s="92"/>
      <c r="I373" s="92"/>
    </row>
    <row r="374" ht="15.75" customHeight="1">
      <c r="A374" s="92"/>
      <c r="B374" s="92"/>
      <c r="C374" s="92"/>
      <c r="D374" s="92"/>
      <c r="E374" s="92"/>
      <c r="F374" s="92"/>
      <c r="G374" s="92"/>
      <c r="I374" s="92"/>
    </row>
    <row r="375" ht="15.75" customHeight="1">
      <c r="A375" s="92"/>
      <c r="B375" s="92"/>
      <c r="C375" s="92"/>
      <c r="D375" s="92"/>
      <c r="E375" s="92"/>
      <c r="F375" s="92"/>
      <c r="G375" s="92"/>
      <c r="I375" s="92"/>
    </row>
    <row r="376" ht="15.75" customHeight="1">
      <c r="A376" s="92"/>
      <c r="B376" s="92"/>
      <c r="C376" s="92"/>
      <c r="D376" s="92"/>
      <c r="E376" s="92"/>
      <c r="F376" s="92"/>
      <c r="G376" s="92"/>
      <c r="I376" s="92"/>
    </row>
    <row r="377" ht="15.75" customHeight="1">
      <c r="A377" s="92"/>
      <c r="B377" s="92"/>
      <c r="C377" s="92"/>
      <c r="D377" s="92"/>
      <c r="E377" s="92"/>
      <c r="F377" s="92"/>
      <c r="G377" s="92"/>
      <c r="I377" s="92"/>
    </row>
    <row r="378" ht="15.75" customHeight="1">
      <c r="A378" s="92"/>
      <c r="B378" s="92"/>
      <c r="C378" s="92"/>
      <c r="D378" s="92"/>
      <c r="E378" s="92"/>
      <c r="F378" s="92"/>
      <c r="G378" s="92"/>
      <c r="I378" s="92"/>
    </row>
    <row r="379" ht="15.75" customHeight="1">
      <c r="A379" s="92"/>
      <c r="B379" s="92"/>
      <c r="C379" s="92"/>
      <c r="D379" s="92"/>
      <c r="E379" s="92"/>
      <c r="F379" s="92"/>
      <c r="G379" s="92"/>
      <c r="I379" s="92"/>
    </row>
    <row r="380" ht="15.75" customHeight="1">
      <c r="A380" s="92"/>
      <c r="B380" s="92"/>
      <c r="C380" s="92"/>
      <c r="D380" s="92"/>
      <c r="E380" s="92"/>
      <c r="F380" s="92"/>
      <c r="G380" s="92"/>
      <c r="I380" s="92"/>
    </row>
    <row r="381" ht="15.75" customHeight="1">
      <c r="A381" s="92"/>
      <c r="B381" s="92"/>
      <c r="C381" s="92"/>
      <c r="D381" s="92"/>
      <c r="E381" s="92"/>
      <c r="F381" s="92"/>
      <c r="G381" s="92"/>
      <c r="I381" s="92"/>
    </row>
    <row r="382" ht="15.75" customHeight="1">
      <c r="A382" s="92"/>
      <c r="B382" s="92"/>
      <c r="C382" s="92"/>
      <c r="D382" s="92"/>
      <c r="E382" s="92"/>
      <c r="F382" s="92"/>
      <c r="G382" s="92"/>
      <c r="I382" s="92"/>
    </row>
    <row r="383" ht="15.75" customHeight="1">
      <c r="A383" s="92"/>
      <c r="B383" s="92"/>
      <c r="C383" s="92"/>
      <c r="D383" s="92"/>
      <c r="E383" s="92"/>
      <c r="F383" s="92"/>
      <c r="G383" s="92"/>
      <c r="I383" s="92"/>
    </row>
    <row r="384" ht="15.75" customHeight="1">
      <c r="A384" s="92"/>
      <c r="B384" s="92"/>
      <c r="C384" s="92"/>
      <c r="D384" s="92"/>
      <c r="E384" s="92"/>
      <c r="F384" s="92"/>
      <c r="G384" s="92"/>
      <c r="I384" s="92"/>
    </row>
    <row r="385" ht="15.75" customHeight="1">
      <c r="A385" s="92"/>
      <c r="B385" s="92"/>
      <c r="C385" s="92"/>
      <c r="D385" s="92"/>
      <c r="E385" s="92"/>
      <c r="F385" s="92"/>
      <c r="G385" s="92"/>
      <c r="I385" s="92"/>
    </row>
    <row r="386" ht="15.75" customHeight="1">
      <c r="A386" s="92"/>
      <c r="B386" s="92"/>
      <c r="C386" s="92"/>
      <c r="D386" s="92"/>
      <c r="E386" s="92"/>
      <c r="F386" s="92"/>
      <c r="G386" s="92"/>
      <c r="I386" s="92"/>
    </row>
    <row r="387" ht="15.75" customHeight="1">
      <c r="A387" s="92"/>
      <c r="B387" s="92"/>
      <c r="C387" s="92"/>
      <c r="D387" s="92"/>
      <c r="E387" s="92"/>
      <c r="F387" s="92"/>
      <c r="G387" s="92"/>
      <c r="I387" s="92"/>
    </row>
    <row r="388" ht="15.75" customHeight="1">
      <c r="A388" s="92"/>
      <c r="B388" s="92"/>
      <c r="C388" s="92"/>
      <c r="D388" s="92"/>
      <c r="E388" s="92"/>
      <c r="F388" s="92"/>
      <c r="G388" s="92"/>
      <c r="I388" s="92"/>
    </row>
    <row r="389" ht="15.75" customHeight="1">
      <c r="A389" s="92"/>
      <c r="B389" s="92"/>
      <c r="C389" s="92"/>
      <c r="D389" s="92"/>
      <c r="E389" s="92"/>
      <c r="F389" s="92"/>
      <c r="G389" s="92"/>
      <c r="I389" s="92"/>
    </row>
    <row r="390" ht="15.75" customHeight="1">
      <c r="A390" s="92"/>
      <c r="B390" s="92"/>
      <c r="C390" s="92"/>
      <c r="D390" s="92"/>
      <c r="E390" s="92"/>
      <c r="F390" s="92"/>
      <c r="G390" s="92"/>
      <c r="I390" s="92"/>
    </row>
    <row r="391" ht="15.75" customHeight="1">
      <c r="A391" s="92"/>
      <c r="B391" s="92"/>
      <c r="C391" s="92"/>
      <c r="D391" s="92"/>
      <c r="E391" s="92"/>
      <c r="F391" s="92"/>
      <c r="G391" s="92"/>
      <c r="I391" s="92"/>
    </row>
    <row r="392" ht="15.75" customHeight="1">
      <c r="A392" s="92"/>
      <c r="B392" s="92"/>
      <c r="C392" s="92"/>
      <c r="D392" s="92"/>
      <c r="E392" s="92"/>
      <c r="F392" s="92"/>
      <c r="G392" s="92"/>
      <c r="I392" s="92"/>
    </row>
    <row r="393" ht="15.75" customHeight="1">
      <c r="A393" s="92"/>
      <c r="B393" s="92"/>
      <c r="C393" s="92"/>
      <c r="D393" s="92"/>
      <c r="E393" s="92"/>
      <c r="F393" s="92"/>
      <c r="G393" s="92"/>
      <c r="I393" s="92"/>
    </row>
    <row r="394" ht="15.75" customHeight="1">
      <c r="A394" s="92"/>
      <c r="B394" s="92"/>
      <c r="C394" s="92"/>
      <c r="D394" s="92"/>
      <c r="E394" s="92"/>
      <c r="F394" s="92"/>
      <c r="G394" s="92"/>
      <c r="I394" s="92"/>
    </row>
    <row r="395" ht="15.75" customHeight="1">
      <c r="A395" s="92"/>
      <c r="B395" s="92"/>
      <c r="C395" s="92"/>
      <c r="D395" s="92"/>
      <c r="E395" s="92"/>
      <c r="F395" s="92"/>
      <c r="G395" s="92"/>
      <c r="I395" s="92"/>
    </row>
    <row r="396" ht="15.75" customHeight="1">
      <c r="A396" s="92"/>
      <c r="B396" s="92"/>
      <c r="C396" s="92"/>
      <c r="D396" s="92"/>
      <c r="E396" s="92"/>
      <c r="F396" s="92"/>
      <c r="G396" s="92"/>
      <c r="I396" s="92"/>
    </row>
    <row r="397" ht="15.75" customHeight="1">
      <c r="A397" s="92"/>
      <c r="B397" s="92"/>
      <c r="C397" s="92"/>
      <c r="D397" s="92"/>
      <c r="E397" s="92"/>
      <c r="F397" s="92"/>
      <c r="G397" s="92"/>
      <c r="I397" s="92"/>
    </row>
    <row r="398" ht="15.75" customHeight="1">
      <c r="A398" s="92"/>
      <c r="B398" s="92"/>
      <c r="C398" s="92"/>
      <c r="D398" s="92"/>
      <c r="E398" s="92"/>
      <c r="F398" s="92"/>
      <c r="G398" s="92"/>
      <c r="I398" s="92"/>
    </row>
    <row r="399" ht="15.75" customHeight="1">
      <c r="A399" s="92"/>
      <c r="B399" s="92"/>
      <c r="C399" s="92"/>
      <c r="D399" s="92"/>
      <c r="E399" s="92"/>
      <c r="F399" s="92"/>
      <c r="G399" s="92"/>
      <c r="I399" s="92"/>
    </row>
    <row r="400" ht="15.75" customHeight="1">
      <c r="A400" s="92"/>
      <c r="B400" s="92"/>
      <c r="C400" s="92"/>
      <c r="D400" s="92"/>
      <c r="E400" s="92"/>
      <c r="F400" s="92"/>
      <c r="G400" s="92"/>
      <c r="I400" s="92"/>
    </row>
    <row r="401" ht="15.75" customHeight="1">
      <c r="A401" s="92"/>
      <c r="B401" s="92"/>
      <c r="C401" s="92"/>
      <c r="D401" s="92"/>
      <c r="E401" s="92"/>
      <c r="F401" s="92"/>
      <c r="G401" s="92"/>
      <c r="I401" s="92"/>
    </row>
    <row r="402" ht="15.75" customHeight="1">
      <c r="A402" s="92"/>
      <c r="B402" s="92"/>
      <c r="C402" s="92"/>
      <c r="D402" s="92"/>
      <c r="E402" s="92"/>
      <c r="F402" s="92"/>
      <c r="G402" s="92"/>
      <c r="I402" s="92"/>
    </row>
    <row r="403" ht="15.75" customHeight="1">
      <c r="A403" s="92"/>
      <c r="B403" s="92"/>
      <c r="C403" s="92"/>
      <c r="D403" s="92"/>
      <c r="E403" s="92"/>
      <c r="F403" s="92"/>
      <c r="G403" s="92"/>
      <c r="I403" s="92"/>
    </row>
    <row r="404" ht="15.75" customHeight="1">
      <c r="A404" s="92"/>
      <c r="B404" s="92"/>
      <c r="C404" s="92"/>
      <c r="D404" s="92"/>
      <c r="E404" s="92"/>
      <c r="F404" s="92"/>
      <c r="G404" s="92"/>
      <c r="I404" s="92"/>
    </row>
    <row r="405" ht="15.75" customHeight="1">
      <c r="A405" s="92"/>
      <c r="B405" s="92"/>
      <c r="C405" s="92"/>
      <c r="D405" s="92"/>
      <c r="E405" s="92"/>
      <c r="F405" s="92"/>
      <c r="G405" s="92"/>
      <c r="I405" s="92"/>
    </row>
    <row r="406" ht="15.75" customHeight="1">
      <c r="A406" s="92"/>
      <c r="B406" s="92"/>
      <c r="C406" s="92"/>
      <c r="D406" s="92"/>
      <c r="E406" s="92"/>
      <c r="F406" s="92"/>
      <c r="G406" s="92"/>
      <c r="I406" s="92"/>
    </row>
    <row r="407" ht="15.75" customHeight="1">
      <c r="A407" s="92"/>
      <c r="B407" s="92"/>
      <c r="C407" s="92"/>
      <c r="D407" s="92"/>
      <c r="E407" s="92"/>
      <c r="F407" s="92"/>
      <c r="G407" s="92"/>
      <c r="I407" s="92"/>
    </row>
    <row r="408" ht="15.75" customHeight="1">
      <c r="A408" s="92"/>
      <c r="B408" s="92"/>
      <c r="C408" s="92"/>
      <c r="D408" s="92"/>
      <c r="E408" s="92"/>
      <c r="F408" s="92"/>
      <c r="G408" s="92"/>
      <c r="I408" s="92"/>
    </row>
    <row r="409" ht="15.75" customHeight="1">
      <c r="A409" s="92"/>
      <c r="B409" s="92"/>
      <c r="C409" s="92"/>
      <c r="D409" s="92"/>
      <c r="E409" s="92"/>
      <c r="F409" s="92"/>
      <c r="G409" s="92"/>
      <c r="I409" s="92"/>
    </row>
    <row r="410" ht="15.75" customHeight="1">
      <c r="A410" s="92"/>
      <c r="B410" s="92"/>
      <c r="C410" s="92"/>
      <c r="D410" s="92"/>
      <c r="E410" s="92"/>
      <c r="F410" s="92"/>
      <c r="G410" s="92"/>
      <c r="I410" s="92"/>
    </row>
    <row r="411" ht="15.75" customHeight="1">
      <c r="A411" s="92"/>
      <c r="B411" s="92"/>
      <c r="C411" s="92"/>
      <c r="D411" s="92"/>
      <c r="E411" s="92"/>
      <c r="F411" s="92"/>
      <c r="G411" s="92"/>
      <c r="I411" s="92"/>
    </row>
    <row r="412" ht="15.75" customHeight="1">
      <c r="A412" s="92"/>
      <c r="B412" s="92"/>
      <c r="C412" s="92"/>
      <c r="D412" s="92"/>
      <c r="E412" s="92"/>
      <c r="F412" s="92"/>
      <c r="G412" s="92"/>
      <c r="I412" s="92"/>
    </row>
    <row r="413" ht="15.75" customHeight="1">
      <c r="A413" s="92"/>
      <c r="B413" s="92"/>
      <c r="C413" s="92"/>
      <c r="D413" s="92"/>
      <c r="E413" s="92"/>
      <c r="F413" s="92"/>
      <c r="G413" s="92"/>
      <c r="I413" s="92"/>
    </row>
    <row r="414" ht="15.75" customHeight="1">
      <c r="A414" s="92"/>
      <c r="B414" s="92"/>
      <c r="C414" s="92"/>
      <c r="D414" s="92"/>
      <c r="E414" s="92"/>
      <c r="F414" s="92"/>
      <c r="G414" s="92"/>
      <c r="I414" s="92"/>
    </row>
    <row r="415" ht="15.75" customHeight="1">
      <c r="A415" s="92"/>
      <c r="B415" s="92"/>
      <c r="C415" s="92"/>
      <c r="D415" s="92"/>
      <c r="E415" s="92"/>
      <c r="F415" s="92"/>
      <c r="G415" s="92"/>
      <c r="I415" s="92"/>
    </row>
    <row r="416" ht="15.75" customHeight="1">
      <c r="A416" s="92"/>
      <c r="B416" s="92"/>
      <c r="C416" s="92"/>
      <c r="D416" s="92"/>
      <c r="E416" s="92"/>
      <c r="F416" s="92"/>
      <c r="G416" s="92"/>
      <c r="I416" s="92"/>
    </row>
    <row r="417" ht="15.75" customHeight="1">
      <c r="A417" s="92"/>
      <c r="B417" s="92"/>
      <c r="C417" s="92"/>
      <c r="D417" s="92"/>
      <c r="E417" s="92"/>
      <c r="F417" s="92"/>
      <c r="G417" s="92"/>
      <c r="I417" s="92"/>
    </row>
    <row r="418" ht="15.75" customHeight="1">
      <c r="A418" s="92"/>
      <c r="B418" s="92"/>
      <c r="C418" s="92"/>
      <c r="D418" s="92"/>
      <c r="E418" s="92"/>
      <c r="F418" s="92"/>
      <c r="G418" s="92"/>
      <c r="I418" s="92"/>
    </row>
    <row r="419" ht="15.75" customHeight="1">
      <c r="A419" s="92"/>
      <c r="B419" s="92"/>
      <c r="C419" s="92"/>
      <c r="D419" s="92"/>
      <c r="E419" s="92"/>
      <c r="F419" s="92"/>
      <c r="G419" s="92"/>
      <c r="I419" s="92"/>
    </row>
    <row r="420" ht="15.75" customHeight="1">
      <c r="A420" s="92"/>
      <c r="B420" s="92"/>
      <c r="C420" s="92"/>
      <c r="D420" s="92"/>
      <c r="E420" s="92"/>
      <c r="F420" s="92"/>
      <c r="G420" s="92"/>
      <c r="I420" s="92"/>
    </row>
    <row r="421" ht="15.75" customHeight="1">
      <c r="A421" s="92"/>
      <c r="B421" s="92"/>
      <c r="C421" s="92"/>
      <c r="D421" s="92"/>
      <c r="E421" s="92"/>
      <c r="F421" s="92"/>
      <c r="G421" s="92"/>
      <c r="I421" s="92"/>
    </row>
    <row r="422" ht="15.75" customHeight="1">
      <c r="A422" s="92"/>
      <c r="B422" s="92"/>
      <c r="C422" s="92"/>
      <c r="D422" s="92"/>
      <c r="E422" s="92"/>
      <c r="F422" s="92"/>
      <c r="G422" s="92"/>
      <c r="I422" s="92"/>
    </row>
    <row r="423" ht="15.75" customHeight="1">
      <c r="A423" s="92"/>
      <c r="B423" s="92"/>
      <c r="C423" s="92"/>
      <c r="D423" s="92"/>
      <c r="E423" s="92"/>
      <c r="F423" s="92"/>
      <c r="G423" s="92"/>
      <c r="I423" s="92"/>
    </row>
    <row r="424" ht="15.75" customHeight="1">
      <c r="A424" s="92"/>
      <c r="B424" s="92"/>
      <c r="C424" s="92"/>
      <c r="D424" s="92"/>
      <c r="E424" s="92"/>
      <c r="F424" s="92"/>
      <c r="G424" s="92"/>
      <c r="I424" s="92"/>
    </row>
    <row r="425" ht="15.75" customHeight="1">
      <c r="A425" s="92"/>
      <c r="B425" s="92"/>
      <c r="C425" s="92"/>
      <c r="D425" s="92"/>
      <c r="E425" s="92"/>
      <c r="F425" s="92"/>
      <c r="G425" s="92"/>
      <c r="I425" s="92"/>
    </row>
    <row r="426" ht="15.75" customHeight="1">
      <c r="A426" s="92"/>
      <c r="B426" s="92"/>
      <c r="C426" s="92"/>
      <c r="D426" s="92"/>
      <c r="E426" s="92"/>
      <c r="F426" s="92"/>
      <c r="G426" s="92"/>
      <c r="I426" s="92"/>
    </row>
    <row r="427" ht="15.75" customHeight="1">
      <c r="A427" s="92"/>
      <c r="B427" s="92"/>
      <c r="C427" s="92"/>
      <c r="D427" s="92"/>
      <c r="E427" s="92"/>
      <c r="F427" s="92"/>
      <c r="G427" s="92"/>
      <c r="I427" s="92"/>
    </row>
    <row r="428" ht="15.75" customHeight="1">
      <c r="A428" s="92"/>
      <c r="B428" s="92"/>
      <c r="C428" s="92"/>
      <c r="D428" s="92"/>
      <c r="E428" s="92"/>
      <c r="F428" s="92"/>
      <c r="G428" s="92"/>
      <c r="I428" s="92"/>
    </row>
    <row r="429" ht="15.75" customHeight="1">
      <c r="A429" s="92"/>
      <c r="B429" s="92"/>
      <c r="C429" s="92"/>
      <c r="D429" s="92"/>
      <c r="E429" s="92"/>
      <c r="F429" s="92"/>
      <c r="G429" s="92"/>
      <c r="I429" s="92"/>
    </row>
    <row r="430" ht="15.75" customHeight="1">
      <c r="A430" s="92"/>
      <c r="B430" s="92"/>
      <c r="C430" s="92"/>
      <c r="D430" s="92"/>
      <c r="E430" s="92"/>
      <c r="F430" s="92"/>
      <c r="G430" s="92"/>
      <c r="I430" s="92"/>
    </row>
    <row r="431" ht="15.75" customHeight="1">
      <c r="A431" s="92"/>
      <c r="B431" s="92"/>
      <c r="C431" s="92"/>
      <c r="D431" s="92"/>
      <c r="E431" s="92"/>
      <c r="F431" s="92"/>
      <c r="G431" s="92"/>
      <c r="I431" s="92"/>
    </row>
    <row r="432" ht="15.75" customHeight="1">
      <c r="A432" s="92"/>
      <c r="B432" s="92"/>
      <c r="C432" s="92"/>
      <c r="D432" s="92"/>
      <c r="E432" s="92"/>
      <c r="F432" s="92"/>
      <c r="G432" s="92"/>
      <c r="I432" s="92"/>
    </row>
    <row r="433" ht="15.75" customHeight="1">
      <c r="A433" s="92"/>
      <c r="B433" s="92"/>
      <c r="C433" s="92"/>
      <c r="D433" s="92"/>
      <c r="E433" s="92"/>
      <c r="F433" s="92"/>
      <c r="G433" s="92"/>
      <c r="I433" s="92"/>
    </row>
    <row r="434" ht="15.75" customHeight="1">
      <c r="A434" s="92"/>
      <c r="B434" s="92"/>
      <c r="C434" s="92"/>
      <c r="D434" s="92"/>
      <c r="E434" s="92"/>
      <c r="F434" s="92"/>
      <c r="G434" s="92"/>
      <c r="I434" s="92"/>
    </row>
    <row r="435" ht="15.75" customHeight="1">
      <c r="A435" s="92"/>
      <c r="B435" s="92"/>
      <c r="C435" s="92"/>
      <c r="D435" s="92"/>
      <c r="E435" s="92"/>
      <c r="F435" s="92"/>
      <c r="G435" s="92"/>
      <c r="I435" s="92"/>
    </row>
    <row r="436" ht="15.75" customHeight="1">
      <c r="A436" s="92"/>
      <c r="B436" s="92"/>
      <c r="C436" s="92"/>
      <c r="D436" s="92"/>
      <c r="E436" s="92"/>
      <c r="F436" s="92"/>
      <c r="G436" s="92"/>
      <c r="I436" s="92"/>
    </row>
    <row r="437" ht="15.75" customHeight="1">
      <c r="A437" s="92"/>
      <c r="B437" s="92"/>
      <c r="C437" s="92"/>
      <c r="D437" s="92"/>
      <c r="E437" s="92"/>
      <c r="F437" s="92"/>
      <c r="G437" s="92"/>
      <c r="I437" s="92"/>
    </row>
    <row r="438" ht="15.75" customHeight="1">
      <c r="A438" s="92"/>
      <c r="B438" s="92"/>
      <c r="C438" s="92"/>
      <c r="D438" s="92"/>
      <c r="E438" s="92"/>
      <c r="F438" s="92"/>
      <c r="G438" s="92"/>
      <c r="I438" s="92"/>
    </row>
    <row r="439" ht="15.75" customHeight="1">
      <c r="A439" s="92"/>
      <c r="B439" s="92"/>
      <c r="C439" s="92"/>
      <c r="D439" s="92"/>
      <c r="E439" s="92"/>
      <c r="F439" s="92"/>
      <c r="G439" s="92"/>
      <c r="I439" s="92"/>
    </row>
    <row r="440" ht="15.75" customHeight="1">
      <c r="A440" s="92"/>
      <c r="B440" s="92"/>
      <c r="C440" s="92"/>
      <c r="D440" s="92"/>
      <c r="E440" s="92"/>
      <c r="F440" s="92"/>
      <c r="G440" s="92"/>
      <c r="I440" s="92"/>
    </row>
    <row r="441" ht="15.75" customHeight="1">
      <c r="A441" s="92"/>
      <c r="B441" s="92"/>
      <c r="C441" s="92"/>
      <c r="D441" s="92"/>
      <c r="E441" s="92"/>
      <c r="F441" s="92"/>
      <c r="G441" s="92"/>
      <c r="I441" s="92"/>
    </row>
    <row r="442" ht="15.75" customHeight="1">
      <c r="A442" s="92"/>
      <c r="B442" s="92"/>
      <c r="C442" s="92"/>
      <c r="D442" s="92"/>
      <c r="E442" s="92"/>
      <c r="F442" s="92"/>
      <c r="G442" s="92"/>
      <c r="I442" s="92"/>
    </row>
    <row r="443" ht="15.75" customHeight="1">
      <c r="A443" s="92"/>
      <c r="B443" s="92"/>
      <c r="C443" s="92"/>
      <c r="D443" s="92"/>
      <c r="E443" s="92"/>
      <c r="F443" s="92"/>
      <c r="G443" s="92"/>
      <c r="I443" s="92"/>
    </row>
    <row r="444" ht="15.75" customHeight="1">
      <c r="A444" s="92"/>
      <c r="B444" s="92"/>
      <c r="C444" s="92"/>
      <c r="D444" s="92"/>
      <c r="E444" s="92"/>
      <c r="F444" s="92"/>
      <c r="G444" s="92"/>
      <c r="I444" s="92"/>
    </row>
    <row r="445" ht="15.75" customHeight="1">
      <c r="A445" s="92"/>
      <c r="B445" s="92"/>
      <c r="C445" s="92"/>
      <c r="D445" s="92"/>
      <c r="E445" s="92"/>
      <c r="F445" s="92"/>
      <c r="G445" s="92"/>
      <c r="I445" s="92"/>
    </row>
    <row r="446" ht="15.75" customHeight="1">
      <c r="A446" s="92"/>
      <c r="B446" s="92"/>
      <c r="C446" s="92"/>
      <c r="D446" s="92"/>
      <c r="E446" s="92"/>
      <c r="F446" s="92"/>
      <c r="G446" s="92"/>
      <c r="I446" s="92"/>
    </row>
    <row r="447" ht="15.75" customHeight="1">
      <c r="A447" s="92"/>
      <c r="B447" s="92"/>
      <c r="C447" s="92"/>
      <c r="D447" s="92"/>
      <c r="E447" s="92"/>
      <c r="F447" s="92"/>
      <c r="G447" s="92"/>
      <c r="I447" s="92"/>
    </row>
    <row r="448" ht="15.75" customHeight="1">
      <c r="A448" s="92"/>
      <c r="B448" s="92"/>
      <c r="C448" s="92"/>
      <c r="D448" s="92"/>
      <c r="E448" s="92"/>
      <c r="F448" s="92"/>
      <c r="G448" s="92"/>
      <c r="I448" s="92"/>
    </row>
    <row r="449" ht="15.75" customHeight="1">
      <c r="A449" s="92"/>
      <c r="B449" s="92"/>
      <c r="C449" s="92"/>
      <c r="D449" s="92"/>
      <c r="E449" s="92"/>
      <c r="F449" s="92"/>
      <c r="G449" s="92"/>
      <c r="I449" s="92"/>
    </row>
    <row r="450" ht="15.75" customHeight="1">
      <c r="A450" s="92"/>
      <c r="B450" s="92"/>
      <c r="C450" s="92"/>
      <c r="D450" s="92"/>
      <c r="E450" s="92"/>
      <c r="F450" s="92"/>
      <c r="G450" s="92"/>
      <c r="I450" s="92"/>
    </row>
    <row r="451" ht="15.75" customHeight="1">
      <c r="A451" s="92"/>
      <c r="B451" s="92"/>
      <c r="C451" s="92"/>
      <c r="D451" s="92"/>
      <c r="E451" s="92"/>
      <c r="F451" s="92"/>
      <c r="G451" s="92"/>
      <c r="I451" s="92"/>
    </row>
    <row r="452" ht="15.75" customHeight="1">
      <c r="A452" s="92"/>
      <c r="B452" s="92"/>
      <c r="C452" s="92"/>
      <c r="D452" s="92"/>
      <c r="E452" s="92"/>
      <c r="F452" s="92"/>
      <c r="G452" s="92"/>
      <c r="I452" s="92"/>
    </row>
    <row r="453" ht="15.75" customHeight="1">
      <c r="A453" s="92"/>
      <c r="B453" s="92"/>
      <c r="C453" s="92"/>
      <c r="D453" s="92"/>
      <c r="E453" s="92"/>
      <c r="F453" s="92"/>
      <c r="G453" s="92"/>
      <c r="I453" s="92"/>
    </row>
    <row r="454" ht="15.75" customHeight="1">
      <c r="A454" s="92"/>
      <c r="B454" s="92"/>
      <c r="C454" s="92"/>
      <c r="D454" s="92"/>
      <c r="E454" s="92"/>
      <c r="F454" s="92"/>
      <c r="G454" s="92"/>
      <c r="I454" s="92"/>
    </row>
    <row r="455" ht="15.75" customHeight="1">
      <c r="A455" s="92"/>
      <c r="B455" s="92"/>
      <c r="C455" s="92"/>
      <c r="D455" s="92"/>
      <c r="E455" s="92"/>
      <c r="F455" s="92"/>
      <c r="G455" s="92"/>
      <c r="I455" s="92"/>
    </row>
    <row r="456" ht="15.75" customHeight="1">
      <c r="A456" s="92"/>
      <c r="B456" s="92"/>
      <c r="C456" s="92"/>
      <c r="D456" s="92"/>
      <c r="E456" s="92"/>
      <c r="F456" s="92"/>
      <c r="G456" s="92"/>
      <c r="I456" s="92"/>
    </row>
    <row r="457" ht="15.75" customHeight="1">
      <c r="A457" s="92"/>
      <c r="B457" s="92"/>
      <c r="C457" s="92"/>
      <c r="D457" s="92"/>
      <c r="E457" s="92"/>
      <c r="F457" s="92"/>
      <c r="G457" s="92"/>
      <c r="I457" s="92"/>
    </row>
    <row r="458" ht="15.75" customHeight="1">
      <c r="A458" s="92"/>
      <c r="B458" s="92"/>
      <c r="C458" s="92"/>
      <c r="D458" s="92"/>
      <c r="E458" s="92"/>
      <c r="F458" s="92"/>
      <c r="G458" s="92"/>
      <c r="I458" s="92"/>
    </row>
    <row r="459" ht="15.75" customHeight="1">
      <c r="A459" s="92"/>
      <c r="B459" s="92"/>
      <c r="C459" s="92"/>
      <c r="D459" s="92"/>
      <c r="E459" s="92"/>
      <c r="F459" s="92"/>
      <c r="G459" s="92"/>
      <c r="I459" s="92"/>
    </row>
    <row r="460" ht="15.75" customHeight="1">
      <c r="A460" s="92"/>
      <c r="B460" s="92"/>
      <c r="C460" s="92"/>
      <c r="D460" s="92"/>
      <c r="E460" s="92"/>
      <c r="F460" s="92"/>
      <c r="G460" s="92"/>
      <c r="I460" s="92"/>
    </row>
    <row r="461" ht="15.75" customHeight="1">
      <c r="A461" s="92"/>
      <c r="B461" s="92"/>
      <c r="C461" s="92"/>
      <c r="D461" s="92"/>
      <c r="E461" s="92"/>
      <c r="F461" s="92"/>
      <c r="G461" s="92"/>
      <c r="I461" s="92"/>
    </row>
    <row r="462" ht="15.75" customHeight="1">
      <c r="A462" s="92"/>
      <c r="B462" s="92"/>
      <c r="C462" s="92"/>
      <c r="D462" s="92"/>
      <c r="E462" s="92"/>
      <c r="F462" s="92"/>
      <c r="G462" s="92"/>
      <c r="I462" s="92"/>
    </row>
    <row r="463" ht="15.75" customHeight="1">
      <c r="A463" s="92"/>
      <c r="B463" s="92"/>
      <c r="C463" s="92"/>
      <c r="D463" s="92"/>
      <c r="E463" s="92"/>
      <c r="F463" s="92"/>
      <c r="G463" s="92"/>
      <c r="I463" s="92"/>
    </row>
    <row r="464" ht="15.75" customHeight="1">
      <c r="A464" s="92"/>
      <c r="B464" s="92"/>
      <c r="C464" s="92"/>
      <c r="D464" s="92"/>
      <c r="E464" s="92"/>
      <c r="F464" s="92"/>
      <c r="G464" s="92"/>
      <c r="I464" s="92"/>
    </row>
    <row r="465" ht="15.75" customHeight="1">
      <c r="A465" s="92"/>
      <c r="B465" s="92"/>
      <c r="C465" s="92"/>
      <c r="D465" s="92"/>
      <c r="E465" s="92"/>
      <c r="F465" s="92"/>
      <c r="G465" s="92"/>
      <c r="I465" s="92"/>
    </row>
    <row r="466" ht="15.75" customHeight="1">
      <c r="A466" s="92"/>
      <c r="B466" s="92"/>
      <c r="C466" s="92"/>
      <c r="D466" s="92"/>
      <c r="E466" s="92"/>
      <c r="F466" s="92"/>
      <c r="G466" s="92"/>
      <c r="I466" s="92"/>
    </row>
    <row r="467" ht="15.75" customHeight="1">
      <c r="A467" s="92"/>
      <c r="B467" s="92"/>
      <c r="C467" s="92"/>
      <c r="D467" s="92"/>
      <c r="E467" s="92"/>
      <c r="F467" s="92"/>
      <c r="G467" s="92"/>
      <c r="I467" s="92"/>
    </row>
    <row r="468" ht="15.75" customHeight="1">
      <c r="A468" s="92"/>
      <c r="B468" s="92"/>
      <c r="C468" s="92"/>
      <c r="D468" s="92"/>
      <c r="E468" s="92"/>
      <c r="F468" s="92"/>
      <c r="G468" s="92"/>
      <c r="I468" s="92"/>
    </row>
    <row r="469" ht="15.75" customHeight="1">
      <c r="A469" s="92"/>
      <c r="B469" s="92"/>
      <c r="C469" s="92"/>
      <c r="D469" s="92"/>
      <c r="E469" s="92"/>
      <c r="F469" s="92"/>
      <c r="G469" s="92"/>
      <c r="I469" s="92"/>
    </row>
    <row r="470" ht="15.75" customHeight="1">
      <c r="A470" s="92"/>
      <c r="B470" s="92"/>
      <c r="C470" s="92"/>
      <c r="D470" s="92"/>
      <c r="E470" s="92"/>
      <c r="F470" s="92"/>
      <c r="G470" s="92"/>
      <c r="I470" s="92"/>
    </row>
    <row r="471" ht="15.75" customHeight="1">
      <c r="A471" s="92"/>
      <c r="B471" s="92"/>
      <c r="C471" s="92"/>
      <c r="D471" s="92"/>
      <c r="E471" s="92"/>
      <c r="F471" s="92"/>
      <c r="G471" s="92"/>
      <c r="I471" s="92"/>
    </row>
    <row r="472" ht="15.75" customHeight="1">
      <c r="A472" s="92"/>
      <c r="B472" s="92"/>
      <c r="C472" s="92"/>
      <c r="D472" s="92"/>
      <c r="E472" s="92"/>
      <c r="F472" s="92"/>
      <c r="G472" s="92"/>
      <c r="I472" s="92"/>
    </row>
    <row r="473" ht="15.75" customHeight="1">
      <c r="A473" s="92"/>
      <c r="B473" s="92"/>
      <c r="C473" s="92"/>
      <c r="D473" s="92"/>
      <c r="E473" s="92"/>
      <c r="F473" s="92"/>
      <c r="G473" s="92"/>
      <c r="I473" s="92"/>
    </row>
    <row r="474" ht="15.75" customHeight="1">
      <c r="A474" s="92"/>
      <c r="B474" s="92"/>
      <c r="C474" s="92"/>
      <c r="D474" s="92"/>
      <c r="E474" s="92"/>
      <c r="F474" s="92"/>
      <c r="G474" s="92"/>
      <c r="I474" s="92"/>
    </row>
    <row r="475" ht="15.75" customHeight="1">
      <c r="A475" s="92"/>
      <c r="B475" s="92"/>
      <c r="C475" s="92"/>
      <c r="D475" s="92"/>
      <c r="E475" s="92"/>
      <c r="F475" s="92"/>
      <c r="G475" s="92"/>
      <c r="I475" s="92"/>
    </row>
    <row r="476" ht="15.75" customHeight="1">
      <c r="A476" s="92"/>
      <c r="B476" s="92"/>
      <c r="C476" s="92"/>
      <c r="D476" s="92"/>
      <c r="E476" s="92"/>
      <c r="F476" s="92"/>
      <c r="G476" s="92"/>
      <c r="I476" s="92"/>
    </row>
    <row r="477" ht="15.75" customHeight="1">
      <c r="A477" s="92"/>
      <c r="B477" s="92"/>
      <c r="C477" s="92"/>
      <c r="D477" s="92"/>
      <c r="E477" s="92"/>
      <c r="F477" s="92"/>
      <c r="G477" s="92"/>
      <c r="I477" s="92"/>
    </row>
    <row r="478" ht="15.75" customHeight="1">
      <c r="A478" s="92"/>
      <c r="B478" s="92"/>
      <c r="C478" s="92"/>
      <c r="D478" s="92"/>
      <c r="E478" s="92"/>
      <c r="F478" s="92"/>
      <c r="G478" s="92"/>
      <c r="I478" s="92"/>
    </row>
    <row r="479" ht="15.75" customHeight="1">
      <c r="A479" s="92"/>
      <c r="B479" s="92"/>
      <c r="C479" s="92"/>
      <c r="D479" s="92"/>
      <c r="E479" s="92"/>
      <c r="F479" s="92"/>
      <c r="G479" s="92"/>
      <c r="I479" s="92"/>
    </row>
    <row r="480" ht="15.75" customHeight="1">
      <c r="A480" s="92"/>
      <c r="B480" s="92"/>
      <c r="C480" s="92"/>
      <c r="D480" s="92"/>
      <c r="E480" s="92"/>
      <c r="F480" s="92"/>
      <c r="G480" s="92"/>
      <c r="I480" s="92"/>
    </row>
    <row r="481" ht="15.75" customHeight="1">
      <c r="A481" s="92"/>
      <c r="B481" s="92"/>
      <c r="C481" s="92"/>
      <c r="D481" s="92"/>
      <c r="E481" s="92"/>
      <c r="F481" s="92"/>
      <c r="G481" s="92"/>
      <c r="I481" s="92"/>
    </row>
    <row r="482" ht="15.75" customHeight="1">
      <c r="A482" s="92"/>
      <c r="B482" s="92"/>
      <c r="C482" s="92"/>
      <c r="D482" s="92"/>
      <c r="E482" s="92"/>
      <c r="F482" s="92"/>
      <c r="G482" s="92"/>
      <c r="I482" s="92"/>
    </row>
    <row r="483" ht="15.75" customHeight="1">
      <c r="A483" s="92"/>
      <c r="B483" s="92"/>
      <c r="C483" s="92"/>
      <c r="D483" s="92"/>
      <c r="E483" s="92"/>
      <c r="F483" s="92"/>
      <c r="G483" s="92"/>
      <c r="I483" s="92"/>
    </row>
    <row r="484" ht="15.75" customHeight="1">
      <c r="A484" s="92"/>
      <c r="B484" s="92"/>
      <c r="C484" s="92"/>
      <c r="D484" s="92"/>
      <c r="E484" s="92"/>
      <c r="F484" s="92"/>
      <c r="G484" s="92"/>
      <c r="I484" s="92"/>
    </row>
    <row r="485" ht="15.75" customHeight="1">
      <c r="A485" s="92"/>
      <c r="B485" s="92"/>
      <c r="C485" s="92"/>
      <c r="D485" s="92"/>
      <c r="E485" s="92"/>
      <c r="F485" s="92"/>
      <c r="G485" s="92"/>
      <c r="I485" s="92"/>
    </row>
    <row r="486" ht="15.75" customHeight="1">
      <c r="A486" s="92"/>
      <c r="B486" s="92"/>
      <c r="C486" s="92"/>
      <c r="D486" s="92"/>
      <c r="E486" s="92"/>
      <c r="F486" s="92"/>
      <c r="G486" s="92"/>
      <c r="I486" s="92"/>
    </row>
    <row r="487" ht="15.75" customHeight="1">
      <c r="A487" s="92"/>
      <c r="B487" s="92"/>
      <c r="C487" s="92"/>
      <c r="D487" s="92"/>
      <c r="E487" s="92"/>
      <c r="F487" s="92"/>
      <c r="G487" s="92"/>
      <c r="I487" s="92"/>
    </row>
    <row r="488" ht="15.75" customHeight="1">
      <c r="A488" s="92"/>
      <c r="B488" s="92"/>
      <c r="C488" s="92"/>
      <c r="D488" s="92"/>
      <c r="E488" s="92"/>
      <c r="F488" s="92"/>
      <c r="G488" s="92"/>
      <c r="I488" s="92"/>
    </row>
    <row r="489" ht="15.75" customHeight="1">
      <c r="A489" s="92"/>
      <c r="B489" s="92"/>
      <c r="C489" s="92"/>
      <c r="D489" s="92"/>
      <c r="E489" s="92"/>
      <c r="F489" s="92"/>
      <c r="G489" s="92"/>
      <c r="I489" s="92"/>
    </row>
    <row r="490" ht="15.75" customHeight="1">
      <c r="A490" s="92"/>
      <c r="B490" s="92"/>
      <c r="C490" s="92"/>
      <c r="D490" s="92"/>
      <c r="E490" s="92"/>
      <c r="F490" s="92"/>
      <c r="G490" s="92"/>
      <c r="I490" s="92"/>
    </row>
    <row r="491" ht="15.75" customHeight="1">
      <c r="A491" s="92"/>
      <c r="B491" s="92"/>
      <c r="C491" s="92"/>
      <c r="D491" s="92"/>
      <c r="E491" s="92"/>
      <c r="F491" s="92"/>
      <c r="G491" s="92"/>
      <c r="I491" s="92"/>
    </row>
    <row r="492" ht="15.75" customHeight="1">
      <c r="A492" s="92"/>
      <c r="B492" s="92"/>
      <c r="C492" s="92"/>
      <c r="D492" s="92"/>
      <c r="E492" s="92"/>
      <c r="F492" s="92"/>
      <c r="G492" s="92"/>
      <c r="I492" s="92"/>
    </row>
    <row r="493" ht="15.75" customHeight="1">
      <c r="A493" s="92"/>
      <c r="B493" s="92"/>
      <c r="C493" s="92"/>
      <c r="D493" s="92"/>
      <c r="E493" s="92"/>
      <c r="F493" s="92"/>
      <c r="G493" s="92"/>
      <c r="I493" s="92"/>
    </row>
    <row r="494" ht="15.75" customHeight="1">
      <c r="A494" s="92"/>
      <c r="B494" s="92"/>
      <c r="C494" s="92"/>
      <c r="D494" s="92"/>
      <c r="E494" s="92"/>
      <c r="F494" s="92"/>
      <c r="G494" s="92"/>
      <c r="I494" s="92"/>
    </row>
    <row r="495" ht="15.75" customHeight="1">
      <c r="A495" s="92"/>
      <c r="B495" s="92"/>
      <c r="C495" s="92"/>
      <c r="D495" s="92"/>
      <c r="E495" s="92"/>
      <c r="F495" s="92"/>
      <c r="G495" s="92"/>
      <c r="I495" s="92"/>
    </row>
    <row r="496" ht="15.75" customHeight="1">
      <c r="A496" s="92"/>
      <c r="B496" s="92"/>
      <c r="C496" s="92"/>
      <c r="D496" s="92"/>
      <c r="E496" s="92"/>
      <c r="F496" s="92"/>
      <c r="G496" s="92"/>
      <c r="I496" s="92"/>
    </row>
    <row r="497" ht="15.75" customHeight="1">
      <c r="A497" s="92"/>
      <c r="B497" s="92"/>
      <c r="C497" s="92"/>
      <c r="D497" s="92"/>
      <c r="E497" s="92"/>
      <c r="F497" s="92"/>
      <c r="G497" s="92"/>
      <c r="I497" s="92"/>
    </row>
    <row r="498" ht="15.75" customHeight="1">
      <c r="A498" s="92"/>
      <c r="B498" s="92"/>
      <c r="C498" s="92"/>
      <c r="D498" s="92"/>
      <c r="E498" s="92"/>
      <c r="F498" s="92"/>
      <c r="G498" s="92"/>
      <c r="I498" s="92"/>
    </row>
    <row r="499" ht="15.75" customHeight="1">
      <c r="A499" s="92"/>
      <c r="B499" s="92"/>
      <c r="C499" s="92"/>
      <c r="D499" s="92"/>
      <c r="E499" s="92"/>
      <c r="F499" s="92"/>
      <c r="G499" s="92"/>
      <c r="I499" s="92"/>
    </row>
    <row r="500" ht="15.75" customHeight="1">
      <c r="A500" s="92"/>
      <c r="B500" s="92"/>
      <c r="C500" s="92"/>
      <c r="D500" s="92"/>
      <c r="E500" s="92"/>
      <c r="F500" s="92"/>
      <c r="G500" s="92"/>
      <c r="I500" s="92"/>
    </row>
    <row r="501" ht="15.75" customHeight="1">
      <c r="A501" s="92"/>
      <c r="B501" s="92"/>
      <c r="C501" s="92"/>
      <c r="D501" s="92"/>
      <c r="E501" s="92"/>
      <c r="F501" s="92"/>
      <c r="G501" s="92"/>
      <c r="I501" s="92"/>
    </row>
    <row r="502" ht="15.75" customHeight="1">
      <c r="A502" s="92"/>
      <c r="B502" s="92"/>
      <c r="C502" s="92"/>
      <c r="D502" s="92"/>
      <c r="E502" s="92"/>
      <c r="F502" s="92"/>
      <c r="G502" s="92"/>
      <c r="I502" s="92"/>
    </row>
    <row r="503" ht="15.75" customHeight="1">
      <c r="A503" s="92"/>
      <c r="B503" s="92"/>
      <c r="C503" s="92"/>
      <c r="D503" s="92"/>
      <c r="E503" s="92"/>
      <c r="F503" s="92"/>
      <c r="G503" s="92"/>
      <c r="I503" s="92"/>
    </row>
    <row r="504" ht="15.75" customHeight="1">
      <c r="A504" s="92"/>
      <c r="B504" s="92"/>
      <c r="C504" s="92"/>
      <c r="D504" s="92"/>
      <c r="E504" s="92"/>
      <c r="F504" s="92"/>
      <c r="G504" s="92"/>
      <c r="I504" s="92"/>
    </row>
    <row r="505" ht="15.75" customHeight="1">
      <c r="A505" s="92"/>
      <c r="B505" s="92"/>
      <c r="C505" s="92"/>
      <c r="D505" s="92"/>
      <c r="E505" s="92"/>
      <c r="F505" s="92"/>
      <c r="G505" s="92"/>
      <c r="I505" s="92"/>
    </row>
    <row r="506" ht="15.75" customHeight="1">
      <c r="A506" s="92"/>
      <c r="B506" s="92"/>
      <c r="C506" s="92"/>
      <c r="D506" s="92"/>
      <c r="E506" s="92"/>
      <c r="F506" s="92"/>
      <c r="G506" s="92"/>
      <c r="I506" s="92"/>
    </row>
    <row r="507" ht="15.75" customHeight="1">
      <c r="A507" s="92"/>
      <c r="B507" s="92"/>
      <c r="C507" s="92"/>
      <c r="D507" s="92"/>
      <c r="E507" s="92"/>
      <c r="F507" s="92"/>
      <c r="G507" s="92"/>
      <c r="I507" s="92"/>
    </row>
    <row r="508" ht="15.75" customHeight="1">
      <c r="A508" s="92"/>
      <c r="B508" s="92"/>
      <c r="C508" s="92"/>
      <c r="D508" s="92"/>
      <c r="E508" s="92"/>
      <c r="F508" s="92"/>
      <c r="G508" s="92"/>
      <c r="I508" s="92"/>
    </row>
    <row r="509" ht="15.75" customHeight="1">
      <c r="A509" s="92"/>
      <c r="B509" s="92"/>
      <c r="C509" s="92"/>
      <c r="D509" s="92"/>
      <c r="E509" s="92"/>
      <c r="F509" s="92"/>
      <c r="G509" s="92"/>
      <c r="I509" s="92"/>
    </row>
    <row r="510" ht="15.75" customHeight="1">
      <c r="A510" s="92"/>
      <c r="B510" s="92"/>
      <c r="C510" s="92"/>
      <c r="D510" s="92"/>
      <c r="E510" s="92"/>
      <c r="F510" s="92"/>
      <c r="G510" s="92"/>
      <c r="I510" s="92"/>
    </row>
    <row r="511" ht="15.75" customHeight="1">
      <c r="A511" s="92"/>
      <c r="B511" s="92"/>
      <c r="C511" s="92"/>
      <c r="D511" s="92"/>
      <c r="E511" s="92"/>
      <c r="F511" s="92"/>
      <c r="G511" s="92"/>
      <c r="I511" s="92"/>
    </row>
    <row r="512" ht="15.75" customHeight="1">
      <c r="A512" s="92"/>
      <c r="B512" s="92"/>
      <c r="C512" s="92"/>
      <c r="D512" s="92"/>
      <c r="E512" s="92"/>
      <c r="F512" s="92"/>
      <c r="G512" s="92"/>
      <c r="I512" s="92"/>
    </row>
    <row r="513" ht="15.75" customHeight="1">
      <c r="A513" s="92"/>
      <c r="B513" s="92"/>
      <c r="C513" s="92"/>
      <c r="D513" s="92"/>
      <c r="E513" s="92"/>
      <c r="F513" s="92"/>
      <c r="G513" s="92"/>
      <c r="I513" s="92"/>
    </row>
    <row r="514" ht="15.75" customHeight="1">
      <c r="A514" s="92"/>
      <c r="B514" s="92"/>
      <c r="C514" s="92"/>
      <c r="D514" s="92"/>
      <c r="E514" s="92"/>
      <c r="F514" s="92"/>
      <c r="G514" s="92"/>
      <c r="I514" s="92"/>
    </row>
    <row r="515" ht="15.75" customHeight="1">
      <c r="A515" s="92"/>
      <c r="B515" s="92"/>
      <c r="C515" s="92"/>
      <c r="D515" s="92"/>
      <c r="E515" s="92"/>
      <c r="F515" s="92"/>
      <c r="G515" s="92"/>
      <c r="I515" s="92"/>
    </row>
    <row r="516" ht="15.75" customHeight="1">
      <c r="A516" s="92"/>
      <c r="B516" s="92"/>
      <c r="C516" s="92"/>
      <c r="D516" s="92"/>
      <c r="E516" s="92"/>
      <c r="F516" s="92"/>
      <c r="G516" s="92"/>
      <c r="I516" s="92"/>
    </row>
    <row r="517" ht="15.75" customHeight="1">
      <c r="A517" s="92"/>
      <c r="B517" s="92"/>
      <c r="C517" s="92"/>
      <c r="D517" s="92"/>
      <c r="E517" s="92"/>
      <c r="F517" s="92"/>
      <c r="G517" s="92"/>
      <c r="I517" s="92"/>
    </row>
    <row r="518" ht="15.75" customHeight="1">
      <c r="A518" s="92"/>
      <c r="B518" s="92"/>
      <c r="C518" s="92"/>
      <c r="D518" s="92"/>
      <c r="E518" s="92"/>
      <c r="F518" s="92"/>
      <c r="G518" s="92"/>
      <c r="I518" s="92"/>
    </row>
    <row r="519" ht="15.75" customHeight="1">
      <c r="A519" s="92"/>
      <c r="B519" s="92"/>
      <c r="C519" s="92"/>
      <c r="D519" s="92"/>
      <c r="E519" s="92"/>
      <c r="F519" s="92"/>
      <c r="G519" s="92"/>
      <c r="I519" s="92"/>
    </row>
    <row r="520" ht="15.75" customHeight="1">
      <c r="A520" s="92"/>
      <c r="B520" s="92"/>
      <c r="C520" s="92"/>
      <c r="D520" s="92"/>
      <c r="E520" s="92"/>
      <c r="F520" s="92"/>
      <c r="G520" s="92"/>
      <c r="I520" s="92"/>
    </row>
    <row r="521" ht="15.75" customHeight="1">
      <c r="A521" s="92"/>
      <c r="B521" s="92"/>
      <c r="C521" s="92"/>
      <c r="D521" s="92"/>
      <c r="E521" s="92"/>
      <c r="F521" s="92"/>
      <c r="G521" s="92"/>
      <c r="I521" s="92"/>
    </row>
    <row r="522" ht="15.75" customHeight="1">
      <c r="A522" s="92"/>
      <c r="B522" s="92"/>
      <c r="C522" s="92"/>
      <c r="D522" s="92"/>
      <c r="E522" s="92"/>
      <c r="F522" s="92"/>
      <c r="G522" s="92"/>
      <c r="I522" s="92"/>
    </row>
    <row r="523" ht="15.75" customHeight="1">
      <c r="A523" s="92"/>
      <c r="B523" s="92"/>
      <c r="C523" s="92"/>
      <c r="D523" s="92"/>
      <c r="E523" s="92"/>
      <c r="F523" s="92"/>
      <c r="G523" s="92"/>
      <c r="I523" s="92"/>
    </row>
    <row r="524" ht="15.75" customHeight="1">
      <c r="A524" s="92"/>
      <c r="B524" s="92"/>
      <c r="C524" s="92"/>
      <c r="D524" s="92"/>
      <c r="E524" s="92"/>
      <c r="F524" s="92"/>
      <c r="G524" s="92"/>
      <c r="I524" s="92"/>
    </row>
    <row r="525" ht="15.75" customHeight="1">
      <c r="A525" s="92"/>
      <c r="B525" s="92"/>
      <c r="C525" s="92"/>
      <c r="D525" s="92"/>
      <c r="E525" s="92"/>
      <c r="F525" s="92"/>
      <c r="G525" s="92"/>
      <c r="I525" s="92"/>
    </row>
    <row r="526" ht="15.75" customHeight="1">
      <c r="A526" s="92"/>
      <c r="B526" s="92"/>
      <c r="C526" s="92"/>
      <c r="D526" s="92"/>
      <c r="E526" s="92"/>
      <c r="F526" s="92"/>
      <c r="G526" s="92"/>
      <c r="I526" s="92"/>
    </row>
    <row r="527" ht="15.75" customHeight="1">
      <c r="A527" s="92"/>
      <c r="B527" s="92"/>
      <c r="C527" s="92"/>
      <c r="D527" s="92"/>
      <c r="E527" s="92"/>
      <c r="F527" s="92"/>
      <c r="G527" s="92"/>
      <c r="I527" s="92"/>
    </row>
    <row r="528" ht="15.75" customHeight="1">
      <c r="A528" s="92"/>
      <c r="B528" s="92"/>
      <c r="C528" s="92"/>
      <c r="D528" s="92"/>
      <c r="E528" s="92"/>
      <c r="F528" s="92"/>
      <c r="G528" s="92"/>
      <c r="I528" s="92"/>
    </row>
    <row r="529" ht="15.75" customHeight="1">
      <c r="A529" s="92"/>
      <c r="B529" s="92"/>
      <c r="C529" s="92"/>
      <c r="D529" s="92"/>
      <c r="E529" s="92"/>
      <c r="F529" s="92"/>
      <c r="G529" s="92"/>
      <c r="I529" s="92"/>
    </row>
    <row r="530" ht="15.75" customHeight="1">
      <c r="A530" s="92"/>
      <c r="B530" s="92"/>
      <c r="C530" s="92"/>
      <c r="D530" s="92"/>
      <c r="E530" s="92"/>
      <c r="F530" s="92"/>
      <c r="G530" s="92"/>
      <c r="I530" s="92"/>
    </row>
    <row r="531" ht="15.75" customHeight="1">
      <c r="A531" s="92"/>
      <c r="B531" s="92"/>
      <c r="C531" s="92"/>
      <c r="D531" s="92"/>
      <c r="E531" s="92"/>
      <c r="F531" s="92"/>
      <c r="G531" s="92"/>
      <c r="I531" s="92"/>
    </row>
    <row r="532" ht="15.75" customHeight="1">
      <c r="A532" s="92"/>
      <c r="B532" s="92"/>
      <c r="C532" s="92"/>
      <c r="D532" s="92"/>
      <c r="E532" s="92"/>
      <c r="F532" s="92"/>
      <c r="G532" s="92"/>
      <c r="I532" s="92"/>
    </row>
    <row r="533" ht="15.75" customHeight="1">
      <c r="A533" s="92"/>
      <c r="B533" s="92"/>
      <c r="C533" s="92"/>
      <c r="D533" s="92"/>
      <c r="E533" s="92"/>
      <c r="F533" s="92"/>
      <c r="G533" s="92"/>
      <c r="I533" s="92"/>
    </row>
    <row r="534" ht="15.75" customHeight="1">
      <c r="A534" s="92"/>
      <c r="B534" s="92"/>
      <c r="C534" s="92"/>
      <c r="D534" s="92"/>
      <c r="E534" s="92"/>
      <c r="F534" s="92"/>
      <c r="G534" s="92"/>
      <c r="I534" s="92"/>
    </row>
    <row r="535" ht="15.75" customHeight="1">
      <c r="A535" s="92"/>
      <c r="B535" s="92"/>
      <c r="C535" s="92"/>
      <c r="D535" s="92"/>
      <c r="E535" s="92"/>
      <c r="F535" s="92"/>
      <c r="G535" s="92"/>
      <c r="I535" s="92"/>
    </row>
    <row r="536" ht="15.75" customHeight="1">
      <c r="A536" s="92"/>
      <c r="B536" s="92"/>
      <c r="C536" s="92"/>
      <c r="D536" s="92"/>
      <c r="E536" s="92"/>
      <c r="F536" s="92"/>
      <c r="G536" s="92"/>
      <c r="I536" s="92"/>
    </row>
    <row r="537" ht="15.75" customHeight="1">
      <c r="A537" s="92"/>
      <c r="B537" s="92"/>
      <c r="C537" s="92"/>
      <c r="D537" s="92"/>
      <c r="E537" s="92"/>
      <c r="F537" s="92"/>
      <c r="G537" s="92"/>
      <c r="I537" s="92"/>
    </row>
    <row r="538" ht="15.75" customHeight="1">
      <c r="A538" s="92"/>
      <c r="B538" s="92"/>
      <c r="C538" s="92"/>
      <c r="D538" s="92"/>
      <c r="E538" s="92"/>
      <c r="F538" s="92"/>
      <c r="G538" s="92"/>
      <c r="I538" s="92"/>
    </row>
    <row r="539" ht="15.75" customHeight="1">
      <c r="A539" s="92"/>
      <c r="B539" s="92"/>
      <c r="C539" s="92"/>
      <c r="D539" s="92"/>
      <c r="E539" s="92"/>
      <c r="F539" s="92"/>
      <c r="G539" s="92"/>
      <c r="I539" s="92"/>
    </row>
    <row r="540" ht="15.75" customHeight="1">
      <c r="A540" s="92"/>
      <c r="B540" s="92"/>
      <c r="C540" s="92"/>
      <c r="D540" s="92"/>
      <c r="E540" s="92"/>
      <c r="F540" s="92"/>
      <c r="G540" s="92"/>
      <c r="I540" s="92"/>
    </row>
    <row r="541" ht="15.75" customHeight="1">
      <c r="A541" s="92"/>
      <c r="B541" s="92"/>
      <c r="C541" s="92"/>
      <c r="D541" s="92"/>
      <c r="E541" s="92"/>
      <c r="F541" s="92"/>
      <c r="G541" s="92"/>
      <c r="I541" s="92"/>
    </row>
    <row r="542" ht="15.75" customHeight="1">
      <c r="A542" s="92"/>
      <c r="B542" s="92"/>
      <c r="C542" s="92"/>
      <c r="D542" s="92"/>
      <c r="E542" s="92"/>
      <c r="F542" s="92"/>
      <c r="G542" s="92"/>
      <c r="I542" s="92"/>
    </row>
    <row r="543" ht="15.75" customHeight="1">
      <c r="A543" s="92"/>
      <c r="B543" s="92"/>
      <c r="C543" s="92"/>
      <c r="D543" s="92"/>
      <c r="E543" s="92"/>
      <c r="F543" s="92"/>
      <c r="G543" s="92"/>
      <c r="I543" s="92"/>
    </row>
    <row r="544" ht="15.75" customHeight="1">
      <c r="A544" s="92"/>
      <c r="B544" s="92"/>
      <c r="C544" s="92"/>
      <c r="D544" s="92"/>
      <c r="E544" s="92"/>
      <c r="F544" s="92"/>
      <c r="G544" s="92"/>
      <c r="I544" s="92"/>
    </row>
    <row r="545" ht="15.75" customHeight="1">
      <c r="A545" s="92"/>
      <c r="B545" s="92"/>
      <c r="C545" s="92"/>
      <c r="D545" s="92"/>
      <c r="E545" s="92"/>
      <c r="F545" s="92"/>
      <c r="G545" s="92"/>
      <c r="I545" s="92"/>
    </row>
    <row r="546" ht="15.75" customHeight="1">
      <c r="A546" s="92"/>
      <c r="B546" s="92"/>
      <c r="C546" s="92"/>
      <c r="D546" s="92"/>
      <c r="E546" s="92"/>
      <c r="F546" s="92"/>
      <c r="G546" s="92"/>
      <c r="I546" s="92"/>
    </row>
    <row r="547" ht="15.75" customHeight="1">
      <c r="A547" s="92"/>
      <c r="B547" s="92"/>
      <c r="C547" s="92"/>
      <c r="D547" s="92"/>
      <c r="E547" s="92"/>
      <c r="F547" s="92"/>
      <c r="G547" s="92"/>
      <c r="I547" s="92"/>
    </row>
    <row r="548" ht="15.75" customHeight="1">
      <c r="A548" s="92"/>
      <c r="B548" s="92"/>
      <c r="C548" s="92"/>
      <c r="D548" s="92"/>
      <c r="E548" s="92"/>
      <c r="F548" s="92"/>
      <c r="G548" s="92"/>
      <c r="I548" s="92"/>
    </row>
    <row r="549" ht="15.75" customHeight="1">
      <c r="A549" s="92"/>
      <c r="B549" s="92"/>
      <c r="C549" s="92"/>
      <c r="D549" s="92"/>
      <c r="E549" s="92"/>
      <c r="F549" s="92"/>
      <c r="G549" s="92"/>
      <c r="I549" s="92"/>
    </row>
    <row r="550" ht="15.75" customHeight="1">
      <c r="A550" s="92"/>
      <c r="B550" s="92"/>
      <c r="C550" s="92"/>
      <c r="D550" s="92"/>
      <c r="E550" s="92"/>
      <c r="F550" s="92"/>
      <c r="G550" s="92"/>
      <c r="I550" s="92"/>
    </row>
    <row r="551" ht="15.75" customHeight="1">
      <c r="A551" s="92"/>
      <c r="B551" s="92"/>
      <c r="C551" s="92"/>
      <c r="D551" s="92"/>
      <c r="E551" s="92"/>
      <c r="F551" s="92"/>
      <c r="G551" s="92"/>
      <c r="I551" s="92"/>
    </row>
    <row r="552" ht="15.75" customHeight="1">
      <c r="A552" s="92"/>
      <c r="B552" s="92"/>
      <c r="C552" s="92"/>
      <c r="D552" s="92"/>
      <c r="E552" s="92"/>
      <c r="F552" s="92"/>
      <c r="G552" s="92"/>
      <c r="I552" s="92"/>
    </row>
    <row r="553" ht="15.75" customHeight="1">
      <c r="A553" s="92"/>
      <c r="B553" s="92"/>
      <c r="C553" s="92"/>
      <c r="D553" s="92"/>
      <c r="E553" s="92"/>
      <c r="F553" s="92"/>
      <c r="G553" s="92"/>
      <c r="I553" s="92"/>
    </row>
    <row r="554" ht="15.75" customHeight="1">
      <c r="A554" s="92"/>
      <c r="B554" s="92"/>
      <c r="C554" s="92"/>
      <c r="D554" s="92"/>
      <c r="E554" s="92"/>
      <c r="F554" s="92"/>
      <c r="G554" s="92"/>
      <c r="I554" s="92"/>
    </row>
    <row r="555" ht="15.75" customHeight="1">
      <c r="A555" s="92"/>
      <c r="B555" s="92"/>
      <c r="C555" s="92"/>
      <c r="D555" s="92"/>
      <c r="E555" s="92"/>
      <c r="F555" s="92"/>
      <c r="G555" s="92"/>
      <c r="I555" s="92"/>
    </row>
    <row r="556" ht="15.75" customHeight="1">
      <c r="A556" s="92"/>
      <c r="B556" s="92"/>
      <c r="C556" s="92"/>
      <c r="D556" s="92"/>
      <c r="E556" s="92"/>
      <c r="F556" s="92"/>
      <c r="G556" s="92"/>
      <c r="I556" s="92"/>
    </row>
    <row r="557" ht="15.75" customHeight="1">
      <c r="A557" s="92"/>
      <c r="B557" s="92"/>
      <c r="C557" s="92"/>
      <c r="D557" s="92"/>
      <c r="E557" s="92"/>
      <c r="F557" s="92"/>
      <c r="G557" s="92"/>
      <c r="I557" s="92"/>
    </row>
    <row r="558" ht="15.75" customHeight="1">
      <c r="A558" s="92"/>
      <c r="B558" s="92"/>
      <c r="C558" s="92"/>
      <c r="D558" s="92"/>
      <c r="E558" s="92"/>
      <c r="F558" s="92"/>
      <c r="G558" s="92"/>
      <c r="I558" s="92"/>
    </row>
    <row r="559" ht="15.75" customHeight="1">
      <c r="A559" s="92"/>
      <c r="B559" s="92"/>
      <c r="C559" s="92"/>
      <c r="D559" s="92"/>
      <c r="E559" s="92"/>
      <c r="F559" s="92"/>
      <c r="G559" s="92"/>
      <c r="I559" s="92"/>
    </row>
    <row r="560" ht="15.75" customHeight="1">
      <c r="A560" s="92"/>
      <c r="B560" s="92"/>
      <c r="C560" s="92"/>
      <c r="D560" s="92"/>
      <c r="E560" s="92"/>
      <c r="F560" s="92"/>
      <c r="G560" s="92"/>
      <c r="I560" s="92"/>
    </row>
    <row r="561" ht="15.75" customHeight="1">
      <c r="A561" s="92"/>
      <c r="B561" s="92"/>
      <c r="C561" s="92"/>
      <c r="D561" s="92"/>
      <c r="E561" s="92"/>
      <c r="F561" s="92"/>
      <c r="G561" s="92"/>
      <c r="I561" s="92"/>
    </row>
    <row r="562" ht="15.75" customHeight="1">
      <c r="A562" s="92"/>
      <c r="B562" s="92"/>
      <c r="C562" s="92"/>
      <c r="D562" s="92"/>
      <c r="E562" s="92"/>
      <c r="F562" s="92"/>
      <c r="G562" s="92"/>
      <c r="I562" s="92"/>
    </row>
    <row r="563" ht="15.75" customHeight="1">
      <c r="A563" s="92"/>
      <c r="B563" s="92"/>
      <c r="C563" s="92"/>
      <c r="D563" s="92"/>
      <c r="E563" s="92"/>
      <c r="F563" s="92"/>
      <c r="G563" s="92"/>
      <c r="I563" s="92"/>
    </row>
    <row r="564" ht="15.75" customHeight="1">
      <c r="A564" s="92"/>
      <c r="B564" s="92"/>
      <c r="C564" s="92"/>
      <c r="D564" s="92"/>
      <c r="E564" s="92"/>
      <c r="F564" s="92"/>
      <c r="G564" s="92"/>
      <c r="I564" s="92"/>
    </row>
    <row r="565" ht="15.75" customHeight="1">
      <c r="A565" s="92"/>
      <c r="B565" s="92"/>
      <c r="C565" s="92"/>
      <c r="D565" s="92"/>
      <c r="E565" s="92"/>
      <c r="F565" s="92"/>
      <c r="G565" s="92"/>
      <c r="I565" s="92"/>
    </row>
    <row r="566" ht="15.75" customHeight="1">
      <c r="A566" s="92"/>
      <c r="B566" s="92"/>
      <c r="C566" s="92"/>
      <c r="D566" s="92"/>
      <c r="E566" s="92"/>
      <c r="F566" s="92"/>
      <c r="G566" s="92"/>
      <c r="I566" s="92"/>
    </row>
    <row r="567" ht="15.75" customHeight="1">
      <c r="A567" s="92"/>
      <c r="B567" s="92"/>
      <c r="C567" s="92"/>
      <c r="D567" s="92"/>
      <c r="E567" s="92"/>
      <c r="F567" s="92"/>
      <c r="G567" s="92"/>
      <c r="I567" s="92"/>
    </row>
    <row r="568" ht="15.75" customHeight="1">
      <c r="A568" s="92"/>
      <c r="B568" s="92"/>
      <c r="C568" s="92"/>
      <c r="D568" s="92"/>
      <c r="E568" s="92"/>
      <c r="F568" s="92"/>
      <c r="G568" s="92"/>
      <c r="I568" s="92"/>
    </row>
    <row r="569" ht="15.75" customHeight="1">
      <c r="A569" s="92"/>
      <c r="B569" s="92"/>
      <c r="C569" s="92"/>
      <c r="D569" s="92"/>
      <c r="E569" s="92"/>
      <c r="F569" s="92"/>
      <c r="G569" s="92"/>
      <c r="I569" s="92"/>
    </row>
    <row r="570" ht="15.75" customHeight="1">
      <c r="A570" s="92"/>
      <c r="B570" s="92"/>
      <c r="C570" s="92"/>
      <c r="D570" s="92"/>
      <c r="E570" s="92"/>
      <c r="F570" s="92"/>
      <c r="G570" s="92"/>
      <c r="I570" s="92"/>
    </row>
    <row r="571" ht="15.75" customHeight="1">
      <c r="A571" s="92"/>
      <c r="B571" s="92"/>
      <c r="C571" s="92"/>
      <c r="D571" s="92"/>
      <c r="E571" s="92"/>
      <c r="F571" s="92"/>
      <c r="G571" s="92"/>
      <c r="I571" s="92"/>
    </row>
    <row r="572" ht="15.75" customHeight="1">
      <c r="A572" s="92"/>
      <c r="B572" s="92"/>
      <c r="C572" s="92"/>
      <c r="D572" s="92"/>
      <c r="E572" s="92"/>
      <c r="F572" s="92"/>
      <c r="G572" s="92"/>
      <c r="I572" s="92"/>
    </row>
    <row r="573" ht="15.75" customHeight="1">
      <c r="A573" s="92"/>
      <c r="B573" s="92"/>
      <c r="C573" s="92"/>
      <c r="D573" s="92"/>
      <c r="E573" s="92"/>
      <c r="F573" s="92"/>
      <c r="G573" s="92"/>
      <c r="I573" s="92"/>
    </row>
    <row r="574" ht="15.75" customHeight="1">
      <c r="A574" s="92"/>
      <c r="B574" s="92"/>
      <c r="C574" s="92"/>
      <c r="D574" s="92"/>
      <c r="E574" s="92"/>
      <c r="F574" s="92"/>
      <c r="G574" s="92"/>
      <c r="I574" s="92"/>
    </row>
    <row r="575" ht="15.75" customHeight="1">
      <c r="A575" s="92"/>
      <c r="B575" s="92"/>
      <c r="C575" s="92"/>
      <c r="D575" s="92"/>
      <c r="E575" s="92"/>
      <c r="F575" s="92"/>
      <c r="G575" s="92"/>
      <c r="I575" s="92"/>
    </row>
    <row r="576" ht="15.75" customHeight="1">
      <c r="A576" s="92"/>
      <c r="B576" s="92"/>
      <c r="C576" s="92"/>
      <c r="D576" s="92"/>
      <c r="E576" s="92"/>
      <c r="F576" s="92"/>
      <c r="G576" s="92"/>
      <c r="I576" s="92"/>
    </row>
    <row r="577" ht="15.75" customHeight="1">
      <c r="A577" s="92"/>
      <c r="B577" s="92"/>
      <c r="C577" s="92"/>
      <c r="D577" s="92"/>
      <c r="E577" s="92"/>
      <c r="F577" s="92"/>
      <c r="G577" s="92"/>
      <c r="I577" s="92"/>
    </row>
    <row r="578" ht="15.75" customHeight="1">
      <c r="A578" s="92"/>
      <c r="B578" s="92"/>
      <c r="C578" s="92"/>
      <c r="D578" s="92"/>
      <c r="E578" s="92"/>
      <c r="F578" s="92"/>
      <c r="G578" s="92"/>
      <c r="I578" s="92"/>
    </row>
    <row r="579" ht="15.75" customHeight="1">
      <c r="A579" s="92"/>
      <c r="B579" s="92"/>
      <c r="C579" s="92"/>
      <c r="D579" s="92"/>
      <c r="E579" s="92"/>
      <c r="F579" s="92"/>
      <c r="G579" s="92"/>
      <c r="I579" s="92"/>
    </row>
    <row r="580" ht="15.75" customHeight="1">
      <c r="A580" s="92"/>
      <c r="B580" s="92"/>
      <c r="C580" s="92"/>
      <c r="D580" s="92"/>
      <c r="E580" s="92"/>
      <c r="F580" s="92"/>
      <c r="G580" s="92"/>
      <c r="I580" s="92"/>
    </row>
    <row r="581" ht="15.75" customHeight="1">
      <c r="A581" s="92"/>
      <c r="B581" s="92"/>
      <c r="C581" s="92"/>
      <c r="D581" s="92"/>
      <c r="E581" s="92"/>
      <c r="F581" s="92"/>
      <c r="G581" s="92"/>
      <c r="I581" s="92"/>
    </row>
    <row r="582" ht="15.75" customHeight="1">
      <c r="A582" s="92"/>
      <c r="B582" s="92"/>
      <c r="C582" s="92"/>
      <c r="D582" s="92"/>
      <c r="E582" s="92"/>
      <c r="F582" s="92"/>
      <c r="G582" s="92"/>
      <c r="I582" s="92"/>
    </row>
    <row r="583" ht="15.75" customHeight="1">
      <c r="A583" s="92"/>
      <c r="B583" s="92"/>
      <c r="C583" s="92"/>
      <c r="D583" s="92"/>
      <c r="E583" s="92"/>
      <c r="F583" s="92"/>
      <c r="G583" s="92"/>
      <c r="I583" s="92"/>
    </row>
    <row r="584" ht="15.75" customHeight="1">
      <c r="A584" s="92"/>
      <c r="B584" s="92"/>
      <c r="C584" s="92"/>
      <c r="D584" s="92"/>
      <c r="E584" s="92"/>
      <c r="F584" s="92"/>
      <c r="G584" s="92"/>
      <c r="I584" s="92"/>
    </row>
    <row r="585" ht="15.75" customHeight="1">
      <c r="A585" s="92"/>
      <c r="B585" s="92"/>
      <c r="C585" s="92"/>
      <c r="D585" s="92"/>
      <c r="E585" s="92"/>
      <c r="F585" s="92"/>
      <c r="G585" s="92"/>
      <c r="I585" s="92"/>
    </row>
    <row r="586" ht="15.75" customHeight="1">
      <c r="A586" s="92"/>
      <c r="B586" s="92"/>
      <c r="C586" s="92"/>
      <c r="D586" s="92"/>
      <c r="E586" s="92"/>
      <c r="F586" s="92"/>
      <c r="G586" s="92"/>
      <c r="I586" s="92"/>
    </row>
    <row r="587" ht="15.75" customHeight="1">
      <c r="A587" s="92"/>
      <c r="B587" s="92"/>
      <c r="C587" s="92"/>
      <c r="D587" s="92"/>
      <c r="E587" s="92"/>
      <c r="F587" s="92"/>
      <c r="G587" s="92"/>
      <c r="I587" s="92"/>
    </row>
    <row r="588" ht="15.75" customHeight="1">
      <c r="A588" s="92"/>
      <c r="B588" s="92"/>
      <c r="C588" s="92"/>
      <c r="D588" s="92"/>
      <c r="E588" s="92"/>
      <c r="F588" s="92"/>
      <c r="G588" s="92"/>
      <c r="I588" s="92"/>
    </row>
    <row r="589" ht="15.75" customHeight="1">
      <c r="A589" s="92"/>
      <c r="B589" s="92"/>
      <c r="C589" s="92"/>
      <c r="D589" s="92"/>
      <c r="E589" s="92"/>
      <c r="F589" s="92"/>
      <c r="G589" s="92"/>
      <c r="I589" s="92"/>
    </row>
    <row r="590" ht="15.75" customHeight="1">
      <c r="A590" s="92"/>
      <c r="B590" s="92"/>
      <c r="C590" s="92"/>
      <c r="D590" s="92"/>
      <c r="E590" s="92"/>
      <c r="F590" s="92"/>
      <c r="G590" s="92"/>
      <c r="I590" s="92"/>
    </row>
    <row r="591" ht="15.75" customHeight="1">
      <c r="A591" s="92"/>
      <c r="B591" s="92"/>
      <c r="C591" s="92"/>
      <c r="D591" s="92"/>
      <c r="E591" s="92"/>
      <c r="F591" s="92"/>
      <c r="G591" s="92"/>
      <c r="I591" s="92"/>
    </row>
    <row r="592" ht="15.75" customHeight="1">
      <c r="A592" s="92"/>
      <c r="B592" s="92"/>
      <c r="C592" s="92"/>
      <c r="D592" s="92"/>
      <c r="E592" s="92"/>
      <c r="F592" s="92"/>
      <c r="G592" s="92"/>
      <c r="I592" s="92"/>
    </row>
    <row r="593" ht="15.75" customHeight="1">
      <c r="A593" s="92"/>
      <c r="B593" s="92"/>
      <c r="C593" s="92"/>
      <c r="D593" s="92"/>
      <c r="E593" s="92"/>
      <c r="F593" s="92"/>
      <c r="G593" s="92"/>
      <c r="I593" s="92"/>
    </row>
    <row r="594" ht="15.75" customHeight="1">
      <c r="A594" s="92"/>
      <c r="B594" s="92"/>
      <c r="C594" s="92"/>
      <c r="D594" s="92"/>
      <c r="E594" s="92"/>
      <c r="F594" s="92"/>
      <c r="G594" s="92"/>
      <c r="I594" s="92"/>
    </row>
    <row r="595" ht="15.75" customHeight="1">
      <c r="A595" s="92"/>
      <c r="B595" s="92"/>
      <c r="C595" s="92"/>
      <c r="D595" s="92"/>
      <c r="E595" s="92"/>
      <c r="F595" s="92"/>
      <c r="G595" s="92"/>
      <c r="I595" s="92"/>
    </row>
    <row r="596" ht="15.75" customHeight="1">
      <c r="A596" s="92"/>
      <c r="B596" s="92"/>
      <c r="C596" s="92"/>
      <c r="D596" s="92"/>
      <c r="E596" s="92"/>
      <c r="F596" s="92"/>
      <c r="G596" s="92"/>
      <c r="I596" s="92"/>
    </row>
    <row r="597" ht="15.75" customHeight="1">
      <c r="A597" s="92"/>
      <c r="B597" s="92"/>
      <c r="C597" s="92"/>
      <c r="D597" s="92"/>
      <c r="E597" s="92"/>
      <c r="F597" s="92"/>
      <c r="G597" s="92"/>
      <c r="I597" s="92"/>
    </row>
    <row r="598" ht="15.75" customHeight="1">
      <c r="A598" s="92"/>
      <c r="B598" s="92"/>
      <c r="C598" s="92"/>
      <c r="D598" s="92"/>
      <c r="E598" s="92"/>
      <c r="F598" s="92"/>
      <c r="G598" s="92"/>
      <c r="I598" s="92"/>
    </row>
    <row r="599" ht="15.75" customHeight="1">
      <c r="A599" s="92"/>
      <c r="B599" s="92"/>
      <c r="C599" s="92"/>
      <c r="D599" s="92"/>
      <c r="E599" s="92"/>
      <c r="F599" s="92"/>
      <c r="G599" s="92"/>
      <c r="I599" s="92"/>
    </row>
    <row r="600" ht="15.75" customHeight="1">
      <c r="A600" s="92"/>
      <c r="B600" s="92"/>
      <c r="C600" s="92"/>
      <c r="D600" s="92"/>
      <c r="E600" s="92"/>
      <c r="F600" s="92"/>
      <c r="G600" s="92"/>
      <c r="I600" s="92"/>
    </row>
    <row r="601" ht="15.75" customHeight="1">
      <c r="A601" s="92"/>
      <c r="B601" s="92"/>
      <c r="C601" s="92"/>
      <c r="D601" s="92"/>
      <c r="E601" s="92"/>
      <c r="F601" s="92"/>
      <c r="G601" s="92"/>
      <c r="I601" s="92"/>
    </row>
    <row r="602" ht="15.75" customHeight="1">
      <c r="A602" s="92"/>
      <c r="B602" s="92"/>
      <c r="C602" s="92"/>
      <c r="D602" s="92"/>
      <c r="E602" s="92"/>
      <c r="F602" s="92"/>
      <c r="G602" s="92"/>
      <c r="I602" s="92"/>
    </row>
    <row r="603" ht="15.75" customHeight="1">
      <c r="A603" s="92"/>
      <c r="B603" s="92"/>
      <c r="C603" s="92"/>
      <c r="D603" s="92"/>
      <c r="E603" s="92"/>
      <c r="F603" s="92"/>
      <c r="G603" s="92"/>
      <c r="I603" s="92"/>
    </row>
    <row r="604" ht="15.75" customHeight="1">
      <c r="A604" s="92"/>
      <c r="B604" s="92"/>
      <c r="C604" s="92"/>
      <c r="D604" s="92"/>
      <c r="E604" s="92"/>
      <c r="F604" s="92"/>
      <c r="G604" s="92"/>
      <c r="I604" s="92"/>
    </row>
    <row r="605" ht="15.75" customHeight="1">
      <c r="A605" s="92"/>
      <c r="B605" s="92"/>
      <c r="C605" s="92"/>
      <c r="D605" s="92"/>
      <c r="E605" s="92"/>
      <c r="F605" s="92"/>
      <c r="G605" s="92"/>
      <c r="I605" s="92"/>
    </row>
    <row r="606" ht="15.75" customHeight="1">
      <c r="A606" s="92"/>
      <c r="B606" s="92"/>
      <c r="C606" s="92"/>
      <c r="D606" s="92"/>
      <c r="E606" s="92"/>
      <c r="F606" s="92"/>
      <c r="G606" s="92"/>
      <c r="I606" s="92"/>
    </row>
    <row r="607" ht="15.75" customHeight="1">
      <c r="A607" s="92"/>
      <c r="B607" s="92"/>
      <c r="C607" s="92"/>
      <c r="D607" s="92"/>
      <c r="E607" s="92"/>
      <c r="F607" s="92"/>
      <c r="G607" s="92"/>
      <c r="I607" s="92"/>
    </row>
    <row r="608" ht="15.75" customHeight="1">
      <c r="A608" s="92"/>
      <c r="B608" s="92"/>
      <c r="C608" s="92"/>
      <c r="D608" s="92"/>
      <c r="E608" s="92"/>
      <c r="F608" s="92"/>
      <c r="G608" s="92"/>
      <c r="I608" s="92"/>
    </row>
    <row r="609" ht="15.75" customHeight="1">
      <c r="A609" s="92"/>
      <c r="B609" s="92"/>
      <c r="C609" s="92"/>
      <c r="D609" s="92"/>
      <c r="E609" s="92"/>
      <c r="F609" s="92"/>
      <c r="G609" s="92"/>
      <c r="I609" s="92"/>
    </row>
    <row r="610" ht="15.75" customHeight="1">
      <c r="A610" s="92"/>
      <c r="B610" s="92"/>
      <c r="C610" s="92"/>
      <c r="D610" s="92"/>
      <c r="E610" s="92"/>
      <c r="F610" s="92"/>
      <c r="G610" s="92"/>
      <c r="I610" s="92"/>
    </row>
    <row r="611" ht="15.75" customHeight="1">
      <c r="A611" s="92"/>
      <c r="B611" s="92"/>
      <c r="C611" s="92"/>
      <c r="D611" s="92"/>
      <c r="E611" s="92"/>
      <c r="F611" s="92"/>
      <c r="G611" s="92"/>
      <c r="I611" s="92"/>
    </row>
    <row r="612" ht="15.75" customHeight="1">
      <c r="A612" s="92"/>
      <c r="B612" s="92"/>
      <c r="C612" s="92"/>
      <c r="D612" s="92"/>
      <c r="E612" s="92"/>
      <c r="F612" s="92"/>
      <c r="G612" s="92"/>
      <c r="I612" s="92"/>
    </row>
    <row r="613" ht="15.75" customHeight="1">
      <c r="A613" s="92"/>
      <c r="B613" s="92"/>
      <c r="C613" s="92"/>
      <c r="D613" s="92"/>
      <c r="E613" s="92"/>
      <c r="F613" s="92"/>
      <c r="G613" s="92"/>
      <c r="I613" s="92"/>
    </row>
    <row r="614" ht="15.75" customHeight="1">
      <c r="A614" s="92"/>
      <c r="B614" s="92"/>
      <c r="C614" s="92"/>
      <c r="D614" s="92"/>
      <c r="E614" s="92"/>
      <c r="F614" s="92"/>
      <c r="G614" s="92"/>
      <c r="I614" s="92"/>
    </row>
    <row r="615" ht="15.75" customHeight="1">
      <c r="A615" s="92"/>
      <c r="B615" s="92"/>
      <c r="C615" s="92"/>
      <c r="D615" s="92"/>
      <c r="E615" s="92"/>
      <c r="F615" s="92"/>
      <c r="G615" s="92"/>
      <c r="I615" s="92"/>
    </row>
    <row r="616" ht="15.75" customHeight="1">
      <c r="A616" s="92"/>
      <c r="B616" s="92"/>
      <c r="C616" s="92"/>
      <c r="D616" s="92"/>
      <c r="E616" s="92"/>
      <c r="F616" s="92"/>
      <c r="G616" s="92"/>
      <c r="I616" s="92"/>
    </row>
    <row r="617" ht="15.75" customHeight="1">
      <c r="A617" s="92"/>
      <c r="B617" s="92"/>
      <c r="C617" s="92"/>
      <c r="D617" s="92"/>
      <c r="E617" s="92"/>
      <c r="F617" s="92"/>
      <c r="G617" s="92"/>
      <c r="I617" s="92"/>
    </row>
    <row r="618" ht="15.75" customHeight="1">
      <c r="A618" s="92"/>
      <c r="B618" s="92"/>
      <c r="C618" s="92"/>
      <c r="D618" s="92"/>
      <c r="E618" s="92"/>
      <c r="F618" s="92"/>
      <c r="G618" s="92"/>
      <c r="I618" s="92"/>
    </row>
    <row r="619" ht="15.75" customHeight="1">
      <c r="A619" s="92"/>
      <c r="B619" s="92"/>
      <c r="C619" s="92"/>
      <c r="D619" s="92"/>
      <c r="E619" s="92"/>
      <c r="F619" s="92"/>
      <c r="G619" s="92"/>
      <c r="I619" s="92"/>
    </row>
    <row r="620" ht="15.75" customHeight="1">
      <c r="A620" s="92"/>
      <c r="B620" s="92"/>
      <c r="C620" s="92"/>
      <c r="D620" s="92"/>
      <c r="E620" s="92"/>
      <c r="F620" s="92"/>
      <c r="G620" s="92"/>
      <c r="I620" s="92"/>
    </row>
    <row r="621" ht="15.75" customHeight="1">
      <c r="A621" s="92"/>
      <c r="B621" s="92"/>
      <c r="C621" s="92"/>
      <c r="D621" s="92"/>
      <c r="E621" s="92"/>
      <c r="F621" s="92"/>
      <c r="G621" s="92"/>
      <c r="I621" s="92"/>
    </row>
    <row r="622" ht="15.75" customHeight="1">
      <c r="A622" s="92"/>
      <c r="B622" s="92"/>
      <c r="C622" s="92"/>
      <c r="D622" s="92"/>
      <c r="E622" s="92"/>
      <c r="F622" s="92"/>
      <c r="G622" s="92"/>
      <c r="I622" s="92"/>
    </row>
    <row r="623" ht="15.75" customHeight="1">
      <c r="A623" s="92"/>
      <c r="B623" s="92"/>
      <c r="C623" s="92"/>
      <c r="D623" s="92"/>
      <c r="E623" s="92"/>
      <c r="F623" s="92"/>
      <c r="G623" s="92"/>
      <c r="I623" s="92"/>
    </row>
    <row r="624" ht="15.75" customHeight="1">
      <c r="A624" s="92"/>
      <c r="B624" s="92"/>
      <c r="C624" s="92"/>
      <c r="D624" s="92"/>
      <c r="E624" s="92"/>
      <c r="F624" s="92"/>
      <c r="G624" s="92"/>
      <c r="I624" s="92"/>
    </row>
    <row r="625" ht="15.75" customHeight="1">
      <c r="A625" s="92"/>
      <c r="B625" s="92"/>
      <c r="C625" s="92"/>
      <c r="D625" s="92"/>
      <c r="E625" s="92"/>
      <c r="F625" s="92"/>
      <c r="G625" s="92"/>
      <c r="I625" s="92"/>
    </row>
    <row r="626" ht="15.75" customHeight="1">
      <c r="A626" s="92"/>
      <c r="B626" s="92"/>
      <c r="C626" s="92"/>
      <c r="D626" s="92"/>
      <c r="E626" s="92"/>
      <c r="F626" s="92"/>
      <c r="G626" s="92"/>
      <c r="I626" s="92"/>
    </row>
    <row r="627" ht="15.75" customHeight="1">
      <c r="A627" s="92"/>
      <c r="B627" s="92"/>
      <c r="C627" s="92"/>
      <c r="D627" s="92"/>
      <c r="E627" s="92"/>
      <c r="F627" s="92"/>
      <c r="G627" s="92"/>
      <c r="I627" s="92"/>
    </row>
    <row r="628" ht="15.75" customHeight="1">
      <c r="A628" s="92"/>
      <c r="B628" s="92"/>
      <c r="C628" s="92"/>
      <c r="D628" s="92"/>
      <c r="E628" s="92"/>
      <c r="F628" s="92"/>
      <c r="G628" s="92"/>
      <c r="I628" s="92"/>
    </row>
    <row r="629" ht="15.75" customHeight="1">
      <c r="A629" s="92"/>
      <c r="B629" s="92"/>
      <c r="C629" s="92"/>
      <c r="D629" s="92"/>
      <c r="E629" s="92"/>
      <c r="F629" s="92"/>
      <c r="G629" s="92"/>
      <c r="I629" s="92"/>
    </row>
    <row r="630" ht="15.75" customHeight="1">
      <c r="A630" s="92"/>
      <c r="B630" s="92"/>
      <c r="C630" s="92"/>
      <c r="D630" s="92"/>
      <c r="E630" s="92"/>
      <c r="F630" s="92"/>
      <c r="G630" s="92"/>
      <c r="I630" s="92"/>
    </row>
    <row r="631" ht="15.75" customHeight="1">
      <c r="A631" s="92"/>
      <c r="B631" s="92"/>
      <c r="C631" s="92"/>
      <c r="D631" s="92"/>
      <c r="E631" s="92"/>
      <c r="F631" s="92"/>
      <c r="G631" s="92"/>
      <c r="I631" s="92"/>
    </row>
    <row r="632" ht="15.75" customHeight="1">
      <c r="A632" s="92"/>
      <c r="B632" s="92"/>
      <c r="C632" s="92"/>
      <c r="D632" s="92"/>
      <c r="E632" s="92"/>
      <c r="F632" s="92"/>
      <c r="G632" s="92"/>
      <c r="I632" s="92"/>
    </row>
    <row r="633" ht="15.75" customHeight="1">
      <c r="A633" s="92"/>
      <c r="B633" s="92"/>
      <c r="C633" s="92"/>
      <c r="D633" s="92"/>
      <c r="E633" s="92"/>
      <c r="F633" s="92"/>
      <c r="G633" s="92"/>
      <c r="I633" s="92"/>
    </row>
    <row r="634" ht="15.75" customHeight="1">
      <c r="A634" s="92"/>
      <c r="B634" s="92"/>
      <c r="C634" s="92"/>
      <c r="D634" s="92"/>
      <c r="E634" s="92"/>
      <c r="F634" s="92"/>
      <c r="G634" s="92"/>
      <c r="I634" s="92"/>
    </row>
    <row r="635" ht="15.75" customHeight="1">
      <c r="A635" s="92"/>
      <c r="B635" s="92"/>
      <c r="C635" s="92"/>
      <c r="D635" s="92"/>
      <c r="E635" s="92"/>
      <c r="F635" s="92"/>
      <c r="G635" s="92"/>
      <c r="I635" s="92"/>
    </row>
    <row r="636" ht="15.75" customHeight="1">
      <c r="A636" s="92"/>
      <c r="B636" s="92"/>
      <c r="C636" s="92"/>
      <c r="D636" s="92"/>
      <c r="E636" s="92"/>
      <c r="F636" s="92"/>
      <c r="G636" s="92"/>
      <c r="I636" s="92"/>
    </row>
    <row r="637" ht="15.75" customHeight="1">
      <c r="A637" s="92"/>
      <c r="B637" s="92"/>
      <c r="C637" s="92"/>
      <c r="D637" s="92"/>
      <c r="E637" s="92"/>
      <c r="F637" s="92"/>
      <c r="G637" s="92"/>
      <c r="I637" s="92"/>
    </row>
    <row r="638" ht="15.75" customHeight="1">
      <c r="A638" s="92"/>
      <c r="B638" s="92"/>
      <c r="C638" s="92"/>
      <c r="D638" s="92"/>
      <c r="E638" s="92"/>
      <c r="F638" s="92"/>
      <c r="G638" s="92"/>
      <c r="I638" s="92"/>
    </row>
    <row r="639" ht="15.75" customHeight="1">
      <c r="A639" s="92"/>
      <c r="B639" s="92"/>
      <c r="C639" s="92"/>
      <c r="D639" s="92"/>
      <c r="E639" s="92"/>
      <c r="F639" s="92"/>
      <c r="G639" s="92"/>
      <c r="I639" s="92"/>
    </row>
    <row r="640" ht="15.75" customHeight="1">
      <c r="A640" s="92"/>
      <c r="B640" s="92"/>
      <c r="C640" s="92"/>
      <c r="D640" s="92"/>
      <c r="E640" s="92"/>
      <c r="F640" s="92"/>
      <c r="G640" s="92"/>
      <c r="I640" s="92"/>
    </row>
    <row r="641" ht="15.75" customHeight="1">
      <c r="A641" s="92"/>
      <c r="B641" s="92"/>
      <c r="C641" s="92"/>
      <c r="D641" s="92"/>
      <c r="E641" s="92"/>
      <c r="F641" s="92"/>
      <c r="G641" s="92"/>
      <c r="I641" s="92"/>
    </row>
    <row r="642" ht="15.75" customHeight="1">
      <c r="A642" s="92"/>
      <c r="B642" s="92"/>
      <c r="C642" s="92"/>
      <c r="D642" s="92"/>
      <c r="E642" s="92"/>
      <c r="F642" s="92"/>
      <c r="G642" s="92"/>
      <c r="I642" s="92"/>
    </row>
    <row r="643" ht="15.75" customHeight="1">
      <c r="A643" s="92"/>
      <c r="B643" s="92"/>
      <c r="C643" s="92"/>
      <c r="D643" s="92"/>
      <c r="E643" s="92"/>
      <c r="F643" s="92"/>
      <c r="G643" s="92"/>
      <c r="I643" s="92"/>
    </row>
    <row r="644" ht="15.75" customHeight="1">
      <c r="A644" s="92"/>
      <c r="B644" s="92"/>
      <c r="C644" s="92"/>
      <c r="D644" s="92"/>
      <c r="E644" s="92"/>
      <c r="F644" s="92"/>
      <c r="G644" s="92"/>
      <c r="I644" s="92"/>
    </row>
    <row r="645" ht="15.75" customHeight="1">
      <c r="A645" s="92"/>
      <c r="B645" s="92"/>
      <c r="C645" s="92"/>
      <c r="D645" s="92"/>
      <c r="E645" s="92"/>
      <c r="F645" s="92"/>
      <c r="G645" s="92"/>
      <c r="I645" s="92"/>
    </row>
    <row r="646" ht="15.75" customHeight="1">
      <c r="A646" s="92"/>
      <c r="B646" s="92"/>
      <c r="C646" s="92"/>
      <c r="D646" s="92"/>
      <c r="E646" s="92"/>
      <c r="F646" s="92"/>
      <c r="G646" s="92"/>
      <c r="I646" s="92"/>
    </row>
    <row r="647" ht="15.75" customHeight="1">
      <c r="A647" s="92"/>
      <c r="B647" s="92"/>
      <c r="C647" s="92"/>
      <c r="D647" s="92"/>
      <c r="E647" s="92"/>
      <c r="F647" s="92"/>
      <c r="G647" s="92"/>
      <c r="I647" s="92"/>
    </row>
    <row r="648" ht="15.75" customHeight="1">
      <c r="A648" s="92"/>
      <c r="B648" s="92"/>
      <c r="C648" s="92"/>
      <c r="D648" s="92"/>
      <c r="E648" s="92"/>
      <c r="F648" s="92"/>
      <c r="G648" s="92"/>
      <c r="I648" s="92"/>
    </row>
    <row r="649" ht="15.75" customHeight="1">
      <c r="A649" s="92"/>
      <c r="B649" s="92"/>
      <c r="C649" s="92"/>
      <c r="D649" s="92"/>
      <c r="E649" s="92"/>
      <c r="F649" s="92"/>
      <c r="G649" s="92"/>
      <c r="I649" s="92"/>
    </row>
    <row r="650" ht="15.75" customHeight="1">
      <c r="A650" s="92"/>
      <c r="B650" s="92"/>
      <c r="C650" s="92"/>
      <c r="D650" s="92"/>
      <c r="E650" s="92"/>
      <c r="F650" s="92"/>
      <c r="G650" s="92"/>
      <c r="I650" s="92"/>
    </row>
    <row r="651" ht="15.75" customHeight="1">
      <c r="A651" s="92"/>
      <c r="B651" s="92"/>
      <c r="C651" s="92"/>
      <c r="D651" s="92"/>
      <c r="E651" s="92"/>
      <c r="F651" s="92"/>
      <c r="G651" s="92"/>
      <c r="I651" s="92"/>
    </row>
    <row r="652" ht="15.75" customHeight="1">
      <c r="A652" s="92"/>
      <c r="B652" s="92"/>
      <c r="C652" s="92"/>
      <c r="D652" s="92"/>
      <c r="E652" s="92"/>
      <c r="F652" s="92"/>
      <c r="G652" s="92"/>
      <c r="I652" s="92"/>
    </row>
    <row r="653" ht="15.75" customHeight="1">
      <c r="A653" s="92"/>
      <c r="B653" s="92"/>
      <c r="C653" s="92"/>
      <c r="D653" s="92"/>
      <c r="E653" s="92"/>
      <c r="F653" s="92"/>
      <c r="G653" s="92"/>
      <c r="I653" s="92"/>
    </row>
    <row r="654" ht="15.75" customHeight="1">
      <c r="A654" s="92"/>
      <c r="B654" s="92"/>
      <c r="C654" s="92"/>
      <c r="D654" s="92"/>
      <c r="E654" s="92"/>
      <c r="F654" s="92"/>
      <c r="G654" s="92"/>
      <c r="I654" s="92"/>
    </row>
    <row r="655" ht="15.75" customHeight="1">
      <c r="A655" s="92"/>
      <c r="B655" s="92"/>
      <c r="C655" s="92"/>
      <c r="D655" s="92"/>
      <c r="E655" s="92"/>
      <c r="F655" s="92"/>
      <c r="G655" s="92"/>
      <c r="I655" s="92"/>
    </row>
    <row r="656" ht="15.75" customHeight="1">
      <c r="A656" s="92"/>
      <c r="B656" s="92"/>
      <c r="C656" s="92"/>
      <c r="D656" s="92"/>
      <c r="E656" s="92"/>
      <c r="F656" s="92"/>
      <c r="G656" s="92"/>
      <c r="I656" s="92"/>
    </row>
    <row r="657" ht="15.75" customHeight="1">
      <c r="A657" s="92"/>
      <c r="B657" s="92"/>
      <c r="C657" s="92"/>
      <c r="D657" s="92"/>
      <c r="E657" s="92"/>
      <c r="F657" s="92"/>
      <c r="G657" s="92"/>
      <c r="I657" s="92"/>
    </row>
    <row r="658" ht="15.75" customHeight="1">
      <c r="A658" s="92"/>
      <c r="B658" s="92"/>
      <c r="C658" s="92"/>
      <c r="D658" s="92"/>
      <c r="E658" s="92"/>
      <c r="F658" s="92"/>
      <c r="G658" s="92"/>
      <c r="I658" s="92"/>
    </row>
    <row r="659" ht="15.75" customHeight="1">
      <c r="A659" s="92"/>
      <c r="B659" s="92"/>
      <c r="C659" s="92"/>
      <c r="D659" s="92"/>
      <c r="E659" s="92"/>
      <c r="F659" s="92"/>
      <c r="G659" s="92"/>
      <c r="I659" s="92"/>
    </row>
    <row r="660" ht="15.75" customHeight="1">
      <c r="A660" s="92"/>
      <c r="B660" s="92"/>
      <c r="C660" s="92"/>
      <c r="D660" s="92"/>
      <c r="E660" s="92"/>
      <c r="F660" s="92"/>
      <c r="G660" s="92"/>
      <c r="I660" s="92"/>
    </row>
    <row r="661" ht="15.75" customHeight="1">
      <c r="A661" s="92"/>
      <c r="B661" s="92"/>
      <c r="C661" s="92"/>
      <c r="D661" s="92"/>
      <c r="E661" s="92"/>
      <c r="F661" s="92"/>
      <c r="G661" s="92"/>
      <c r="I661" s="92"/>
    </row>
    <row r="662" ht="15.75" customHeight="1">
      <c r="A662" s="92"/>
      <c r="B662" s="92"/>
      <c r="C662" s="92"/>
      <c r="D662" s="92"/>
      <c r="E662" s="92"/>
      <c r="F662" s="92"/>
      <c r="G662" s="92"/>
      <c r="I662" s="92"/>
    </row>
    <row r="663" ht="15.75" customHeight="1">
      <c r="A663" s="92"/>
      <c r="B663" s="92"/>
      <c r="C663" s="92"/>
      <c r="D663" s="92"/>
      <c r="E663" s="92"/>
      <c r="F663" s="92"/>
      <c r="G663" s="92"/>
      <c r="I663" s="92"/>
    </row>
    <row r="664" ht="15.75" customHeight="1">
      <c r="A664" s="92"/>
      <c r="B664" s="92"/>
      <c r="C664" s="92"/>
      <c r="D664" s="92"/>
      <c r="E664" s="92"/>
      <c r="F664" s="92"/>
      <c r="G664" s="92"/>
      <c r="I664" s="92"/>
    </row>
    <row r="665" ht="15.75" customHeight="1">
      <c r="A665" s="92"/>
      <c r="B665" s="92"/>
      <c r="C665" s="92"/>
      <c r="D665" s="92"/>
      <c r="E665" s="92"/>
      <c r="F665" s="92"/>
      <c r="G665" s="92"/>
      <c r="I665" s="92"/>
    </row>
    <row r="666" ht="15.75" customHeight="1">
      <c r="A666" s="92"/>
      <c r="B666" s="92"/>
      <c r="C666" s="92"/>
      <c r="D666" s="92"/>
      <c r="E666" s="92"/>
      <c r="F666" s="92"/>
      <c r="G666" s="92"/>
      <c r="I666" s="92"/>
    </row>
    <row r="667" ht="15.75" customHeight="1">
      <c r="A667" s="92"/>
      <c r="B667" s="92"/>
      <c r="C667" s="92"/>
      <c r="D667" s="92"/>
      <c r="E667" s="92"/>
      <c r="F667" s="92"/>
      <c r="G667" s="92"/>
      <c r="I667" s="92"/>
    </row>
    <row r="668" ht="15.75" customHeight="1">
      <c r="A668" s="92"/>
      <c r="B668" s="92"/>
      <c r="C668" s="92"/>
      <c r="D668" s="92"/>
      <c r="E668" s="92"/>
      <c r="F668" s="92"/>
      <c r="G668" s="92"/>
      <c r="I668" s="92"/>
    </row>
    <row r="669" ht="15.75" customHeight="1">
      <c r="A669" s="92"/>
      <c r="B669" s="92"/>
      <c r="C669" s="92"/>
      <c r="D669" s="92"/>
      <c r="E669" s="92"/>
      <c r="F669" s="92"/>
      <c r="G669" s="92"/>
      <c r="I669" s="92"/>
    </row>
    <row r="670" ht="15.75" customHeight="1">
      <c r="A670" s="92"/>
      <c r="B670" s="92"/>
      <c r="C670" s="92"/>
      <c r="D670" s="92"/>
      <c r="E670" s="92"/>
      <c r="F670" s="92"/>
      <c r="G670" s="92"/>
      <c r="I670" s="92"/>
    </row>
    <row r="671" ht="15.75" customHeight="1">
      <c r="A671" s="92"/>
      <c r="B671" s="92"/>
      <c r="C671" s="92"/>
      <c r="D671" s="92"/>
      <c r="E671" s="92"/>
      <c r="F671" s="92"/>
      <c r="G671" s="92"/>
      <c r="I671" s="92"/>
    </row>
    <row r="672" ht="15.75" customHeight="1">
      <c r="A672" s="92"/>
      <c r="B672" s="92"/>
      <c r="C672" s="92"/>
      <c r="D672" s="92"/>
      <c r="E672" s="92"/>
      <c r="F672" s="92"/>
      <c r="G672" s="92"/>
      <c r="I672" s="92"/>
    </row>
    <row r="673" ht="15.75" customHeight="1">
      <c r="A673" s="92"/>
      <c r="B673" s="92"/>
      <c r="C673" s="92"/>
      <c r="D673" s="92"/>
      <c r="E673" s="92"/>
      <c r="F673" s="92"/>
      <c r="G673" s="92"/>
      <c r="I673" s="92"/>
    </row>
    <row r="674" ht="15.75" customHeight="1">
      <c r="A674" s="92"/>
      <c r="B674" s="92"/>
      <c r="C674" s="92"/>
      <c r="D674" s="92"/>
      <c r="E674" s="92"/>
      <c r="F674" s="92"/>
      <c r="G674" s="92"/>
      <c r="I674" s="92"/>
    </row>
    <row r="675" ht="15.75" customHeight="1">
      <c r="A675" s="92"/>
      <c r="B675" s="92"/>
      <c r="C675" s="92"/>
      <c r="D675" s="92"/>
      <c r="E675" s="92"/>
      <c r="F675" s="92"/>
      <c r="G675" s="92"/>
      <c r="I675" s="92"/>
    </row>
    <row r="676" ht="15.75" customHeight="1">
      <c r="A676" s="92"/>
      <c r="B676" s="92"/>
      <c r="C676" s="92"/>
      <c r="D676" s="92"/>
      <c r="E676" s="92"/>
      <c r="F676" s="92"/>
      <c r="G676" s="92"/>
      <c r="I676" s="92"/>
    </row>
    <row r="677" ht="15.75" customHeight="1">
      <c r="A677" s="92"/>
      <c r="B677" s="92"/>
      <c r="C677" s="92"/>
      <c r="D677" s="92"/>
      <c r="E677" s="92"/>
      <c r="F677" s="92"/>
      <c r="G677" s="92"/>
      <c r="I677" s="92"/>
    </row>
    <row r="678" ht="15.75" customHeight="1">
      <c r="A678" s="92"/>
      <c r="B678" s="92"/>
      <c r="C678" s="92"/>
      <c r="D678" s="92"/>
      <c r="E678" s="92"/>
      <c r="F678" s="92"/>
      <c r="G678" s="92"/>
      <c r="I678" s="92"/>
    </row>
    <row r="679" ht="15.75" customHeight="1">
      <c r="A679" s="92"/>
      <c r="B679" s="92"/>
      <c r="C679" s="92"/>
      <c r="D679" s="92"/>
      <c r="E679" s="92"/>
      <c r="F679" s="92"/>
      <c r="G679" s="92"/>
      <c r="I679" s="92"/>
    </row>
    <row r="680" ht="15.75" customHeight="1">
      <c r="A680" s="92"/>
      <c r="B680" s="92"/>
      <c r="C680" s="92"/>
      <c r="D680" s="92"/>
      <c r="E680" s="92"/>
      <c r="F680" s="92"/>
      <c r="G680" s="92"/>
      <c r="I680" s="92"/>
    </row>
    <row r="681" ht="15.75" customHeight="1">
      <c r="A681" s="92"/>
      <c r="B681" s="92"/>
      <c r="C681" s="92"/>
      <c r="D681" s="92"/>
      <c r="E681" s="92"/>
      <c r="F681" s="92"/>
      <c r="G681" s="92"/>
      <c r="I681" s="92"/>
    </row>
    <row r="682" ht="15.75" customHeight="1">
      <c r="A682" s="92"/>
      <c r="B682" s="92"/>
      <c r="C682" s="92"/>
      <c r="D682" s="92"/>
      <c r="E682" s="92"/>
      <c r="F682" s="92"/>
      <c r="G682" s="92"/>
      <c r="I682" s="92"/>
    </row>
    <row r="683" ht="15.75" customHeight="1">
      <c r="A683" s="92"/>
      <c r="B683" s="92"/>
      <c r="C683" s="92"/>
      <c r="D683" s="92"/>
      <c r="E683" s="92"/>
      <c r="F683" s="92"/>
      <c r="G683" s="92"/>
      <c r="I683" s="92"/>
    </row>
    <row r="684" ht="15.75" customHeight="1">
      <c r="A684" s="92"/>
      <c r="B684" s="92"/>
      <c r="C684" s="92"/>
      <c r="D684" s="92"/>
      <c r="E684" s="92"/>
      <c r="F684" s="92"/>
      <c r="G684" s="92"/>
      <c r="I684" s="92"/>
    </row>
    <row r="685" ht="15.75" customHeight="1">
      <c r="A685" s="92"/>
      <c r="B685" s="92"/>
      <c r="C685" s="92"/>
      <c r="D685" s="92"/>
      <c r="E685" s="92"/>
      <c r="F685" s="92"/>
      <c r="G685" s="92"/>
      <c r="I685" s="92"/>
    </row>
    <row r="686" ht="15.75" customHeight="1">
      <c r="A686" s="92"/>
      <c r="B686" s="92"/>
      <c r="C686" s="92"/>
      <c r="D686" s="92"/>
      <c r="E686" s="92"/>
      <c r="F686" s="92"/>
      <c r="G686" s="92"/>
      <c r="I686" s="92"/>
    </row>
    <row r="687" ht="15.75" customHeight="1">
      <c r="A687" s="92"/>
      <c r="B687" s="92"/>
      <c r="C687" s="92"/>
      <c r="D687" s="92"/>
      <c r="E687" s="92"/>
      <c r="F687" s="92"/>
      <c r="G687" s="92"/>
      <c r="I687" s="92"/>
    </row>
    <row r="688" ht="15.75" customHeight="1">
      <c r="A688" s="92"/>
      <c r="B688" s="92"/>
      <c r="C688" s="92"/>
      <c r="D688" s="92"/>
      <c r="E688" s="92"/>
      <c r="F688" s="92"/>
      <c r="G688" s="92"/>
      <c r="I688" s="92"/>
    </row>
    <row r="689" ht="15.75" customHeight="1">
      <c r="A689" s="92"/>
      <c r="B689" s="92"/>
      <c r="C689" s="92"/>
      <c r="D689" s="92"/>
      <c r="E689" s="92"/>
      <c r="F689" s="92"/>
      <c r="G689" s="92"/>
      <c r="I689" s="92"/>
    </row>
    <row r="690" ht="15.75" customHeight="1">
      <c r="A690" s="92"/>
      <c r="B690" s="92"/>
      <c r="C690" s="92"/>
      <c r="D690" s="92"/>
      <c r="E690" s="92"/>
      <c r="F690" s="92"/>
      <c r="G690" s="92"/>
      <c r="I690" s="92"/>
    </row>
    <row r="691" ht="15.75" customHeight="1">
      <c r="A691" s="92"/>
      <c r="B691" s="92"/>
      <c r="C691" s="92"/>
      <c r="D691" s="92"/>
      <c r="E691" s="92"/>
      <c r="F691" s="92"/>
      <c r="G691" s="92"/>
      <c r="I691" s="92"/>
    </row>
    <row r="692" ht="15.75" customHeight="1">
      <c r="A692" s="92"/>
      <c r="B692" s="92"/>
      <c r="C692" s="92"/>
      <c r="D692" s="92"/>
      <c r="E692" s="92"/>
      <c r="F692" s="92"/>
      <c r="G692" s="92"/>
      <c r="I692" s="92"/>
    </row>
    <row r="693" ht="15.75" customHeight="1">
      <c r="A693" s="92"/>
      <c r="B693" s="92"/>
      <c r="C693" s="92"/>
      <c r="D693" s="92"/>
      <c r="E693" s="92"/>
      <c r="F693" s="92"/>
      <c r="G693" s="92"/>
      <c r="I693" s="92"/>
    </row>
    <row r="694" ht="15.75" customHeight="1">
      <c r="A694" s="92"/>
      <c r="B694" s="92"/>
      <c r="C694" s="92"/>
      <c r="D694" s="92"/>
      <c r="E694" s="92"/>
      <c r="F694" s="92"/>
      <c r="G694" s="92"/>
      <c r="I694" s="92"/>
    </row>
    <row r="695" ht="15.75" customHeight="1">
      <c r="A695" s="92"/>
      <c r="B695" s="92"/>
      <c r="C695" s="92"/>
      <c r="D695" s="92"/>
      <c r="E695" s="92"/>
      <c r="F695" s="92"/>
      <c r="G695" s="92"/>
      <c r="I695" s="92"/>
    </row>
    <row r="696" ht="15.75" customHeight="1">
      <c r="A696" s="92"/>
      <c r="B696" s="92"/>
      <c r="C696" s="92"/>
      <c r="D696" s="92"/>
      <c r="E696" s="92"/>
      <c r="F696" s="92"/>
      <c r="G696" s="92"/>
      <c r="I696" s="92"/>
    </row>
    <row r="697" ht="15.75" customHeight="1">
      <c r="A697" s="92"/>
      <c r="B697" s="92"/>
      <c r="C697" s="92"/>
      <c r="D697" s="92"/>
      <c r="E697" s="92"/>
      <c r="F697" s="92"/>
      <c r="G697" s="92"/>
      <c r="I697" s="92"/>
    </row>
    <row r="698" ht="15.75" customHeight="1">
      <c r="A698" s="92"/>
      <c r="B698" s="92"/>
      <c r="C698" s="92"/>
      <c r="D698" s="92"/>
      <c r="E698" s="92"/>
      <c r="F698" s="92"/>
      <c r="G698" s="92"/>
      <c r="I698" s="92"/>
    </row>
    <row r="699" ht="15.75" customHeight="1">
      <c r="A699" s="92"/>
      <c r="B699" s="92"/>
      <c r="C699" s="92"/>
      <c r="D699" s="92"/>
      <c r="E699" s="92"/>
      <c r="F699" s="92"/>
      <c r="G699" s="92"/>
      <c r="I699" s="92"/>
    </row>
    <row r="700" ht="15.75" customHeight="1">
      <c r="A700" s="92"/>
      <c r="B700" s="92"/>
      <c r="C700" s="92"/>
      <c r="D700" s="92"/>
      <c r="E700" s="92"/>
      <c r="F700" s="92"/>
      <c r="G700" s="92"/>
      <c r="I700" s="92"/>
    </row>
    <row r="701" ht="15.75" customHeight="1">
      <c r="A701" s="92"/>
      <c r="B701" s="92"/>
      <c r="C701" s="92"/>
      <c r="D701" s="92"/>
      <c r="E701" s="92"/>
      <c r="F701" s="92"/>
      <c r="G701" s="92"/>
      <c r="I701" s="92"/>
    </row>
    <row r="702" ht="15.75" customHeight="1">
      <c r="A702" s="92"/>
      <c r="B702" s="92"/>
      <c r="C702" s="92"/>
      <c r="D702" s="92"/>
      <c r="E702" s="92"/>
      <c r="F702" s="92"/>
      <c r="G702" s="92"/>
      <c r="I702" s="92"/>
    </row>
    <row r="703" ht="15.75" customHeight="1">
      <c r="A703" s="92"/>
      <c r="B703" s="92"/>
      <c r="C703" s="92"/>
      <c r="D703" s="92"/>
      <c r="E703" s="92"/>
      <c r="F703" s="92"/>
      <c r="G703" s="92"/>
      <c r="I703" s="92"/>
    </row>
    <row r="704" ht="15.75" customHeight="1">
      <c r="A704" s="92"/>
      <c r="B704" s="92"/>
      <c r="C704" s="92"/>
      <c r="D704" s="92"/>
      <c r="E704" s="92"/>
      <c r="F704" s="92"/>
      <c r="G704" s="92"/>
      <c r="I704" s="92"/>
    </row>
    <row r="705" ht="15.75" customHeight="1">
      <c r="A705" s="92"/>
      <c r="B705" s="92"/>
      <c r="C705" s="92"/>
      <c r="D705" s="92"/>
      <c r="E705" s="92"/>
      <c r="F705" s="92"/>
      <c r="G705" s="92"/>
      <c r="I705" s="92"/>
    </row>
    <row r="706" ht="15.75" customHeight="1">
      <c r="A706" s="92"/>
      <c r="B706" s="92"/>
      <c r="C706" s="92"/>
      <c r="D706" s="92"/>
      <c r="E706" s="92"/>
      <c r="F706" s="92"/>
      <c r="G706" s="92"/>
      <c r="I706" s="92"/>
    </row>
    <row r="707" ht="15.75" customHeight="1">
      <c r="A707" s="92"/>
      <c r="B707" s="92"/>
      <c r="C707" s="92"/>
      <c r="D707" s="92"/>
      <c r="E707" s="92"/>
      <c r="F707" s="92"/>
      <c r="G707" s="92"/>
      <c r="I707" s="92"/>
    </row>
    <row r="708" ht="15.75" customHeight="1">
      <c r="A708" s="92"/>
      <c r="B708" s="92"/>
      <c r="C708" s="92"/>
      <c r="D708" s="92"/>
      <c r="E708" s="92"/>
      <c r="F708" s="92"/>
      <c r="G708" s="92"/>
      <c r="I708" s="92"/>
    </row>
    <row r="709" ht="15.75" customHeight="1">
      <c r="A709" s="92"/>
      <c r="B709" s="92"/>
      <c r="C709" s="92"/>
      <c r="D709" s="92"/>
      <c r="E709" s="92"/>
      <c r="F709" s="92"/>
      <c r="G709" s="92"/>
      <c r="I709" s="92"/>
    </row>
    <row r="710" ht="15.75" customHeight="1">
      <c r="A710" s="92"/>
      <c r="B710" s="92"/>
      <c r="C710" s="92"/>
      <c r="D710" s="92"/>
      <c r="E710" s="92"/>
      <c r="F710" s="92"/>
      <c r="G710" s="92"/>
      <c r="I710" s="92"/>
    </row>
    <row r="711" ht="15.75" customHeight="1">
      <c r="A711" s="92"/>
      <c r="B711" s="92"/>
      <c r="C711" s="92"/>
      <c r="D711" s="92"/>
      <c r="E711" s="92"/>
      <c r="F711" s="92"/>
      <c r="G711" s="92"/>
      <c r="I711" s="92"/>
    </row>
    <row r="712" ht="15.75" customHeight="1">
      <c r="A712" s="92"/>
      <c r="B712" s="92"/>
      <c r="C712" s="92"/>
      <c r="D712" s="92"/>
      <c r="E712" s="92"/>
      <c r="F712" s="92"/>
      <c r="G712" s="92"/>
      <c r="I712" s="92"/>
    </row>
    <row r="713" ht="15.75" customHeight="1">
      <c r="A713" s="92"/>
      <c r="B713" s="92"/>
      <c r="C713" s="92"/>
      <c r="D713" s="92"/>
      <c r="E713" s="92"/>
      <c r="F713" s="92"/>
      <c r="G713" s="92"/>
      <c r="I713" s="92"/>
    </row>
    <row r="714" ht="15.75" customHeight="1">
      <c r="A714" s="92"/>
      <c r="B714" s="92"/>
      <c r="C714" s="92"/>
      <c r="D714" s="92"/>
      <c r="E714" s="92"/>
      <c r="F714" s="92"/>
      <c r="G714" s="92"/>
      <c r="I714" s="92"/>
    </row>
    <row r="715" ht="15.75" customHeight="1">
      <c r="A715" s="92"/>
      <c r="B715" s="92"/>
      <c r="C715" s="92"/>
      <c r="D715" s="92"/>
      <c r="E715" s="92"/>
      <c r="F715" s="92"/>
      <c r="G715" s="92"/>
      <c r="I715" s="92"/>
    </row>
    <row r="716" ht="15.75" customHeight="1">
      <c r="A716" s="92"/>
      <c r="B716" s="92"/>
      <c r="C716" s="92"/>
      <c r="D716" s="92"/>
      <c r="E716" s="92"/>
      <c r="F716" s="92"/>
      <c r="G716" s="92"/>
      <c r="I716" s="92"/>
    </row>
    <row r="717" ht="15.75" customHeight="1">
      <c r="A717" s="92"/>
      <c r="B717" s="92"/>
      <c r="C717" s="92"/>
      <c r="D717" s="92"/>
      <c r="E717" s="92"/>
      <c r="F717" s="92"/>
      <c r="G717" s="92"/>
      <c r="I717" s="92"/>
    </row>
    <row r="718" ht="15.75" customHeight="1">
      <c r="A718" s="92"/>
      <c r="B718" s="92"/>
      <c r="C718" s="92"/>
      <c r="D718" s="92"/>
      <c r="E718" s="92"/>
      <c r="F718" s="92"/>
      <c r="G718" s="92"/>
      <c r="I718" s="92"/>
    </row>
    <row r="719" ht="15.75" customHeight="1">
      <c r="A719" s="92"/>
      <c r="B719" s="92"/>
      <c r="C719" s="92"/>
      <c r="D719" s="92"/>
      <c r="E719" s="92"/>
      <c r="F719" s="92"/>
      <c r="G719" s="92"/>
      <c r="I719" s="92"/>
    </row>
    <row r="720" ht="15.75" customHeight="1">
      <c r="A720" s="92"/>
      <c r="B720" s="92"/>
      <c r="C720" s="92"/>
      <c r="D720" s="92"/>
      <c r="E720" s="92"/>
      <c r="F720" s="92"/>
      <c r="G720" s="92"/>
      <c r="I720" s="92"/>
    </row>
    <row r="721" ht="15.75" customHeight="1">
      <c r="A721" s="92"/>
      <c r="B721" s="92"/>
      <c r="C721" s="92"/>
      <c r="D721" s="92"/>
      <c r="E721" s="92"/>
      <c r="F721" s="92"/>
      <c r="G721" s="92"/>
      <c r="I721" s="92"/>
    </row>
    <row r="722" ht="15.75" customHeight="1">
      <c r="A722" s="92"/>
      <c r="B722" s="92"/>
      <c r="C722" s="92"/>
      <c r="D722" s="92"/>
      <c r="E722" s="92"/>
      <c r="F722" s="92"/>
      <c r="G722" s="92"/>
      <c r="I722" s="92"/>
    </row>
    <row r="723" ht="15.75" customHeight="1">
      <c r="A723" s="92"/>
      <c r="B723" s="92"/>
      <c r="C723" s="92"/>
      <c r="D723" s="92"/>
      <c r="E723" s="92"/>
      <c r="F723" s="92"/>
      <c r="G723" s="92"/>
      <c r="I723" s="92"/>
    </row>
    <row r="724" ht="15.75" customHeight="1">
      <c r="A724" s="92"/>
      <c r="B724" s="92"/>
      <c r="C724" s="92"/>
      <c r="D724" s="92"/>
      <c r="E724" s="92"/>
      <c r="F724" s="92"/>
      <c r="G724" s="92"/>
      <c r="I724" s="92"/>
    </row>
    <row r="725" ht="15.75" customHeight="1">
      <c r="A725" s="92"/>
      <c r="B725" s="92"/>
      <c r="C725" s="92"/>
      <c r="D725" s="92"/>
      <c r="E725" s="92"/>
      <c r="F725" s="92"/>
      <c r="G725" s="92"/>
      <c r="I725" s="92"/>
    </row>
    <row r="726" ht="15.75" customHeight="1">
      <c r="A726" s="92"/>
      <c r="B726" s="92"/>
      <c r="C726" s="92"/>
      <c r="D726" s="92"/>
      <c r="E726" s="92"/>
      <c r="F726" s="92"/>
      <c r="G726" s="92"/>
      <c r="I726" s="92"/>
    </row>
    <row r="727" ht="15.75" customHeight="1">
      <c r="A727" s="92"/>
      <c r="B727" s="92"/>
      <c r="C727" s="92"/>
      <c r="D727" s="92"/>
      <c r="E727" s="92"/>
      <c r="F727" s="92"/>
      <c r="G727" s="92"/>
      <c r="I727" s="92"/>
    </row>
    <row r="728" ht="15.75" customHeight="1">
      <c r="A728" s="92"/>
      <c r="B728" s="92"/>
      <c r="C728" s="92"/>
      <c r="D728" s="92"/>
      <c r="E728" s="92"/>
      <c r="F728" s="92"/>
      <c r="G728" s="92"/>
      <c r="I728" s="92"/>
    </row>
    <row r="729" ht="15.75" customHeight="1">
      <c r="A729" s="92"/>
      <c r="B729" s="92"/>
      <c r="C729" s="92"/>
      <c r="D729" s="92"/>
      <c r="E729" s="92"/>
      <c r="F729" s="92"/>
      <c r="G729" s="92"/>
      <c r="I729" s="92"/>
    </row>
    <row r="730" ht="15.75" customHeight="1">
      <c r="A730" s="92"/>
      <c r="B730" s="92"/>
      <c r="C730" s="92"/>
      <c r="D730" s="92"/>
      <c r="E730" s="92"/>
      <c r="F730" s="92"/>
      <c r="G730" s="92"/>
      <c r="I730" s="92"/>
    </row>
    <row r="731" ht="15.75" customHeight="1">
      <c r="A731" s="92"/>
      <c r="B731" s="92"/>
      <c r="C731" s="92"/>
      <c r="D731" s="92"/>
      <c r="E731" s="92"/>
      <c r="F731" s="92"/>
      <c r="G731" s="92"/>
      <c r="I731" s="92"/>
    </row>
    <row r="732" ht="15.75" customHeight="1">
      <c r="A732" s="92"/>
      <c r="B732" s="92"/>
      <c r="C732" s="92"/>
      <c r="D732" s="92"/>
      <c r="E732" s="92"/>
      <c r="F732" s="92"/>
      <c r="G732" s="92"/>
      <c r="I732" s="92"/>
    </row>
    <row r="733" ht="15.75" customHeight="1">
      <c r="A733" s="92"/>
      <c r="B733" s="92"/>
      <c r="C733" s="92"/>
      <c r="D733" s="92"/>
      <c r="E733" s="92"/>
      <c r="F733" s="92"/>
      <c r="G733" s="92"/>
      <c r="I733" s="92"/>
    </row>
    <row r="734" ht="15.75" customHeight="1">
      <c r="A734" s="92"/>
      <c r="B734" s="92"/>
      <c r="C734" s="92"/>
      <c r="D734" s="92"/>
      <c r="E734" s="92"/>
      <c r="F734" s="92"/>
      <c r="G734" s="92"/>
      <c r="I734" s="92"/>
    </row>
    <row r="735" ht="15.75" customHeight="1">
      <c r="A735" s="92"/>
      <c r="B735" s="92"/>
      <c r="C735" s="92"/>
      <c r="D735" s="92"/>
      <c r="E735" s="92"/>
      <c r="F735" s="92"/>
      <c r="G735" s="92"/>
      <c r="I735" s="92"/>
    </row>
    <row r="736" ht="15.75" customHeight="1">
      <c r="A736" s="92"/>
      <c r="B736" s="92"/>
      <c r="C736" s="92"/>
      <c r="D736" s="92"/>
      <c r="E736" s="92"/>
      <c r="F736" s="92"/>
      <c r="G736" s="92"/>
      <c r="I736" s="92"/>
    </row>
    <row r="737" ht="15.75" customHeight="1">
      <c r="A737" s="92"/>
      <c r="B737" s="92"/>
      <c r="C737" s="92"/>
      <c r="D737" s="92"/>
      <c r="E737" s="92"/>
      <c r="F737" s="92"/>
      <c r="G737" s="92"/>
      <c r="I737" s="92"/>
    </row>
    <row r="738" ht="15.75" customHeight="1">
      <c r="A738" s="92"/>
      <c r="B738" s="92"/>
      <c r="C738" s="92"/>
      <c r="D738" s="92"/>
      <c r="E738" s="92"/>
      <c r="F738" s="92"/>
      <c r="G738" s="92"/>
      <c r="I738" s="92"/>
    </row>
    <row r="739" ht="15.75" customHeight="1">
      <c r="A739" s="92"/>
      <c r="B739" s="92"/>
      <c r="C739" s="92"/>
      <c r="D739" s="92"/>
      <c r="E739" s="92"/>
      <c r="F739" s="92"/>
      <c r="G739" s="92"/>
      <c r="I739" s="92"/>
    </row>
    <row r="740" ht="15.75" customHeight="1">
      <c r="A740" s="92"/>
      <c r="B740" s="92"/>
      <c r="C740" s="92"/>
      <c r="D740" s="92"/>
      <c r="E740" s="92"/>
      <c r="F740" s="92"/>
      <c r="G740" s="92"/>
      <c r="I740" s="92"/>
    </row>
    <row r="741" ht="15.75" customHeight="1">
      <c r="A741" s="92"/>
      <c r="B741" s="92"/>
      <c r="C741" s="92"/>
      <c r="D741" s="92"/>
      <c r="E741" s="92"/>
      <c r="F741" s="92"/>
      <c r="G741" s="92"/>
      <c r="I741" s="92"/>
    </row>
    <row r="742" ht="15.75" customHeight="1">
      <c r="A742" s="92"/>
      <c r="B742" s="92"/>
      <c r="C742" s="92"/>
      <c r="D742" s="92"/>
      <c r="E742" s="92"/>
      <c r="F742" s="92"/>
      <c r="G742" s="92"/>
      <c r="I742" s="92"/>
    </row>
    <row r="743" ht="15.75" customHeight="1">
      <c r="A743" s="92"/>
      <c r="B743" s="92"/>
      <c r="C743" s="92"/>
      <c r="D743" s="92"/>
      <c r="E743" s="92"/>
      <c r="F743" s="92"/>
      <c r="G743" s="92"/>
      <c r="I743" s="92"/>
    </row>
    <row r="744" ht="15.75" customHeight="1">
      <c r="A744" s="92"/>
      <c r="B744" s="92"/>
      <c r="C744" s="92"/>
      <c r="D744" s="92"/>
      <c r="E744" s="92"/>
      <c r="F744" s="92"/>
      <c r="G744" s="92"/>
      <c r="I744" s="92"/>
    </row>
    <row r="745" ht="15.75" customHeight="1">
      <c r="A745" s="92"/>
      <c r="B745" s="92"/>
      <c r="C745" s="92"/>
      <c r="D745" s="92"/>
      <c r="E745" s="92"/>
      <c r="F745" s="92"/>
      <c r="G745" s="92"/>
      <c r="I745" s="92"/>
    </row>
    <row r="746" ht="15.75" customHeight="1">
      <c r="A746" s="92"/>
      <c r="B746" s="92"/>
      <c r="C746" s="92"/>
      <c r="D746" s="92"/>
      <c r="E746" s="92"/>
      <c r="F746" s="92"/>
      <c r="G746" s="92"/>
      <c r="I746" s="92"/>
    </row>
    <row r="747" ht="15.75" customHeight="1">
      <c r="A747" s="92"/>
      <c r="B747" s="92"/>
      <c r="C747" s="92"/>
      <c r="D747" s="92"/>
      <c r="E747" s="92"/>
      <c r="F747" s="92"/>
      <c r="G747" s="92"/>
      <c r="I747" s="92"/>
    </row>
    <row r="748" ht="15.75" customHeight="1">
      <c r="A748" s="92"/>
      <c r="B748" s="92"/>
      <c r="C748" s="92"/>
      <c r="D748" s="92"/>
      <c r="E748" s="92"/>
      <c r="F748" s="92"/>
      <c r="G748" s="92"/>
      <c r="I748" s="92"/>
    </row>
    <row r="749" ht="15.75" customHeight="1">
      <c r="A749" s="92"/>
      <c r="B749" s="92"/>
      <c r="C749" s="92"/>
      <c r="D749" s="92"/>
      <c r="E749" s="92"/>
      <c r="F749" s="92"/>
      <c r="G749" s="92"/>
      <c r="I749" s="92"/>
    </row>
    <row r="750" ht="15.75" customHeight="1">
      <c r="A750" s="92"/>
      <c r="B750" s="92"/>
      <c r="C750" s="92"/>
      <c r="D750" s="92"/>
      <c r="E750" s="92"/>
      <c r="F750" s="92"/>
      <c r="G750" s="92"/>
      <c r="I750" s="92"/>
    </row>
    <row r="751" ht="15.75" customHeight="1">
      <c r="A751" s="92"/>
      <c r="B751" s="92"/>
      <c r="C751" s="92"/>
      <c r="D751" s="92"/>
      <c r="E751" s="92"/>
      <c r="F751" s="92"/>
      <c r="G751" s="92"/>
      <c r="I751" s="92"/>
    </row>
    <row r="752" ht="15.75" customHeight="1">
      <c r="A752" s="92"/>
      <c r="B752" s="92"/>
      <c r="C752" s="92"/>
      <c r="D752" s="92"/>
      <c r="E752" s="92"/>
      <c r="F752" s="92"/>
      <c r="G752" s="92"/>
      <c r="I752" s="92"/>
    </row>
    <row r="753" ht="15.75" customHeight="1">
      <c r="A753" s="92"/>
      <c r="B753" s="92"/>
      <c r="C753" s="92"/>
      <c r="D753" s="92"/>
      <c r="E753" s="92"/>
      <c r="F753" s="92"/>
      <c r="G753" s="92"/>
      <c r="I753" s="92"/>
    </row>
    <row r="754" ht="15.75" customHeight="1">
      <c r="A754" s="92"/>
      <c r="B754" s="92"/>
      <c r="C754" s="92"/>
      <c r="D754" s="92"/>
      <c r="E754" s="92"/>
      <c r="F754" s="92"/>
      <c r="G754" s="92"/>
      <c r="I754" s="92"/>
    </row>
    <row r="755" ht="15.75" customHeight="1">
      <c r="A755" s="92"/>
      <c r="B755" s="92"/>
      <c r="C755" s="92"/>
      <c r="D755" s="92"/>
      <c r="E755" s="92"/>
      <c r="F755" s="92"/>
      <c r="G755" s="92"/>
      <c r="I755" s="92"/>
    </row>
    <row r="756" ht="15.75" customHeight="1">
      <c r="A756" s="92"/>
      <c r="B756" s="92"/>
      <c r="C756" s="92"/>
      <c r="D756" s="92"/>
      <c r="E756" s="92"/>
      <c r="F756" s="92"/>
      <c r="G756" s="92"/>
      <c r="I756" s="92"/>
    </row>
    <row r="757" ht="15.75" customHeight="1">
      <c r="A757" s="92"/>
      <c r="B757" s="92"/>
      <c r="C757" s="92"/>
      <c r="D757" s="92"/>
      <c r="E757" s="92"/>
      <c r="F757" s="92"/>
      <c r="G757" s="92"/>
      <c r="I757" s="92"/>
    </row>
    <row r="758" ht="15.75" customHeight="1">
      <c r="A758" s="92"/>
      <c r="B758" s="92"/>
      <c r="C758" s="92"/>
      <c r="D758" s="92"/>
      <c r="E758" s="92"/>
      <c r="F758" s="92"/>
      <c r="G758" s="92"/>
      <c r="I758" s="92"/>
    </row>
    <row r="759" ht="15.75" customHeight="1">
      <c r="A759" s="92"/>
      <c r="B759" s="92"/>
      <c r="C759" s="92"/>
      <c r="D759" s="92"/>
      <c r="E759" s="92"/>
      <c r="F759" s="92"/>
      <c r="G759" s="92"/>
      <c r="I759" s="92"/>
    </row>
    <row r="760" ht="15.75" customHeight="1">
      <c r="A760" s="92"/>
      <c r="B760" s="92"/>
      <c r="C760" s="92"/>
      <c r="D760" s="92"/>
      <c r="E760" s="92"/>
      <c r="F760" s="92"/>
      <c r="G760" s="92"/>
      <c r="I760" s="92"/>
    </row>
    <row r="761" ht="15.75" customHeight="1">
      <c r="A761" s="92"/>
      <c r="B761" s="92"/>
      <c r="C761" s="92"/>
      <c r="D761" s="92"/>
      <c r="E761" s="92"/>
      <c r="F761" s="92"/>
      <c r="G761" s="92"/>
      <c r="I761" s="92"/>
    </row>
    <row r="762" ht="15.75" customHeight="1">
      <c r="A762" s="92"/>
      <c r="B762" s="92"/>
      <c r="C762" s="92"/>
      <c r="D762" s="92"/>
      <c r="E762" s="92"/>
      <c r="F762" s="92"/>
      <c r="G762" s="92"/>
      <c r="I762" s="92"/>
    </row>
    <row r="763" ht="15.75" customHeight="1">
      <c r="A763" s="92"/>
      <c r="B763" s="92"/>
      <c r="C763" s="92"/>
      <c r="D763" s="92"/>
      <c r="E763" s="92"/>
      <c r="F763" s="92"/>
      <c r="G763" s="92"/>
      <c r="I763" s="92"/>
    </row>
    <row r="764" ht="15.75" customHeight="1">
      <c r="A764" s="92"/>
      <c r="B764" s="92"/>
      <c r="C764" s="92"/>
      <c r="D764" s="92"/>
      <c r="E764" s="92"/>
      <c r="F764" s="92"/>
      <c r="G764" s="92"/>
      <c r="I764" s="92"/>
    </row>
    <row r="765" ht="15.75" customHeight="1">
      <c r="A765" s="92"/>
      <c r="B765" s="92"/>
      <c r="C765" s="92"/>
      <c r="D765" s="92"/>
      <c r="E765" s="92"/>
      <c r="F765" s="92"/>
      <c r="G765" s="92"/>
      <c r="I765" s="92"/>
    </row>
    <row r="766" ht="15.75" customHeight="1">
      <c r="A766" s="92"/>
      <c r="B766" s="92"/>
      <c r="C766" s="92"/>
      <c r="D766" s="92"/>
      <c r="E766" s="92"/>
      <c r="F766" s="92"/>
      <c r="G766" s="92"/>
      <c r="I766" s="92"/>
    </row>
    <row r="767" ht="15.75" customHeight="1">
      <c r="A767" s="92"/>
      <c r="B767" s="92"/>
      <c r="C767" s="92"/>
      <c r="D767" s="92"/>
      <c r="E767" s="92"/>
      <c r="F767" s="92"/>
      <c r="G767" s="92"/>
      <c r="I767" s="92"/>
    </row>
    <row r="768" ht="15.75" customHeight="1">
      <c r="A768" s="92"/>
      <c r="B768" s="92"/>
      <c r="C768" s="92"/>
      <c r="D768" s="92"/>
      <c r="E768" s="92"/>
      <c r="F768" s="92"/>
      <c r="G768" s="92"/>
      <c r="I768" s="92"/>
    </row>
    <row r="769" ht="15.75" customHeight="1">
      <c r="A769" s="92"/>
      <c r="B769" s="92"/>
      <c r="C769" s="92"/>
      <c r="D769" s="92"/>
      <c r="E769" s="92"/>
      <c r="F769" s="92"/>
      <c r="G769" s="92"/>
      <c r="I769" s="92"/>
    </row>
    <row r="770" ht="15.75" customHeight="1">
      <c r="A770" s="92"/>
      <c r="B770" s="92"/>
      <c r="C770" s="92"/>
      <c r="D770" s="92"/>
      <c r="E770" s="92"/>
      <c r="F770" s="92"/>
      <c r="G770" s="92"/>
      <c r="I770" s="92"/>
    </row>
    <row r="771" ht="15.75" customHeight="1">
      <c r="A771" s="92"/>
      <c r="B771" s="92"/>
      <c r="C771" s="92"/>
      <c r="D771" s="92"/>
      <c r="E771" s="92"/>
      <c r="F771" s="92"/>
      <c r="G771" s="92"/>
      <c r="I771" s="92"/>
    </row>
    <row r="772" ht="15.75" customHeight="1">
      <c r="A772" s="92"/>
      <c r="B772" s="92"/>
      <c r="C772" s="92"/>
      <c r="D772" s="92"/>
      <c r="E772" s="92"/>
      <c r="F772" s="92"/>
      <c r="G772" s="92"/>
      <c r="I772" s="92"/>
    </row>
    <row r="773" ht="15.75" customHeight="1">
      <c r="A773" s="92"/>
      <c r="B773" s="92"/>
      <c r="C773" s="92"/>
      <c r="D773" s="92"/>
      <c r="E773" s="92"/>
      <c r="F773" s="92"/>
      <c r="G773" s="92"/>
      <c r="I773" s="92"/>
    </row>
    <row r="774" ht="15.75" customHeight="1">
      <c r="A774" s="92"/>
      <c r="B774" s="92"/>
      <c r="C774" s="92"/>
      <c r="D774" s="92"/>
      <c r="E774" s="92"/>
      <c r="F774" s="92"/>
      <c r="G774" s="92"/>
      <c r="I774" s="92"/>
    </row>
    <row r="775" ht="15.75" customHeight="1">
      <c r="A775" s="92"/>
      <c r="B775" s="92"/>
      <c r="C775" s="92"/>
      <c r="D775" s="92"/>
      <c r="E775" s="92"/>
      <c r="F775" s="92"/>
      <c r="G775" s="92"/>
      <c r="I775" s="92"/>
    </row>
    <row r="776" ht="15.75" customHeight="1">
      <c r="A776" s="92"/>
      <c r="B776" s="92"/>
      <c r="C776" s="92"/>
      <c r="D776" s="92"/>
      <c r="E776" s="92"/>
      <c r="F776" s="92"/>
      <c r="G776" s="92"/>
      <c r="I776" s="92"/>
    </row>
    <row r="777" ht="15.75" customHeight="1">
      <c r="A777" s="92"/>
      <c r="B777" s="92"/>
      <c r="C777" s="92"/>
      <c r="D777" s="92"/>
      <c r="E777" s="92"/>
      <c r="F777" s="92"/>
      <c r="G777" s="92"/>
      <c r="I777" s="92"/>
    </row>
    <row r="778" ht="15.75" customHeight="1">
      <c r="A778" s="92"/>
      <c r="B778" s="92"/>
      <c r="C778" s="92"/>
      <c r="D778" s="92"/>
      <c r="E778" s="92"/>
      <c r="F778" s="92"/>
      <c r="G778" s="92"/>
      <c r="I778" s="92"/>
    </row>
    <row r="779" ht="15.75" customHeight="1">
      <c r="A779" s="92"/>
      <c r="B779" s="92"/>
      <c r="C779" s="92"/>
      <c r="D779" s="92"/>
      <c r="E779" s="92"/>
      <c r="F779" s="92"/>
      <c r="G779" s="92"/>
      <c r="I779" s="92"/>
    </row>
    <row r="780" ht="15.75" customHeight="1">
      <c r="A780" s="92"/>
      <c r="B780" s="92"/>
      <c r="C780" s="92"/>
      <c r="D780" s="92"/>
      <c r="E780" s="92"/>
      <c r="F780" s="92"/>
      <c r="G780" s="92"/>
      <c r="I780" s="92"/>
    </row>
    <row r="781" ht="15.75" customHeight="1">
      <c r="A781" s="92"/>
      <c r="B781" s="92"/>
      <c r="C781" s="92"/>
      <c r="D781" s="92"/>
      <c r="E781" s="92"/>
      <c r="F781" s="92"/>
      <c r="G781" s="92"/>
      <c r="I781" s="92"/>
    </row>
    <row r="782" ht="15.75" customHeight="1">
      <c r="A782" s="92"/>
      <c r="B782" s="92"/>
      <c r="C782" s="92"/>
      <c r="D782" s="92"/>
      <c r="E782" s="92"/>
      <c r="F782" s="92"/>
      <c r="G782" s="92"/>
      <c r="I782" s="92"/>
    </row>
    <row r="783" ht="15.75" customHeight="1">
      <c r="A783" s="92"/>
      <c r="B783" s="92"/>
      <c r="C783" s="92"/>
      <c r="D783" s="92"/>
      <c r="E783" s="92"/>
      <c r="F783" s="92"/>
      <c r="G783" s="92"/>
      <c r="I783" s="92"/>
    </row>
    <row r="784" ht="15.75" customHeight="1">
      <c r="A784" s="92"/>
      <c r="B784" s="92"/>
      <c r="C784" s="92"/>
      <c r="D784" s="92"/>
      <c r="E784" s="92"/>
      <c r="F784" s="92"/>
      <c r="G784" s="92"/>
      <c r="I784" s="92"/>
    </row>
    <row r="785" ht="15.75" customHeight="1">
      <c r="A785" s="92"/>
      <c r="B785" s="92"/>
      <c r="C785" s="92"/>
      <c r="D785" s="92"/>
      <c r="E785" s="92"/>
      <c r="F785" s="92"/>
      <c r="G785" s="92"/>
      <c r="I785" s="92"/>
    </row>
    <row r="786" ht="15.75" customHeight="1">
      <c r="A786" s="92"/>
      <c r="B786" s="92"/>
      <c r="C786" s="92"/>
      <c r="D786" s="92"/>
      <c r="E786" s="92"/>
      <c r="F786" s="92"/>
      <c r="G786" s="92"/>
      <c r="I786" s="92"/>
    </row>
    <row r="787" ht="15.75" customHeight="1">
      <c r="A787" s="92"/>
      <c r="B787" s="92"/>
      <c r="C787" s="92"/>
      <c r="D787" s="92"/>
      <c r="E787" s="92"/>
      <c r="F787" s="92"/>
      <c r="G787" s="92"/>
      <c r="I787" s="92"/>
    </row>
    <row r="788" ht="15.75" customHeight="1">
      <c r="A788" s="92"/>
      <c r="B788" s="92"/>
      <c r="C788" s="92"/>
      <c r="D788" s="92"/>
      <c r="E788" s="92"/>
      <c r="F788" s="92"/>
      <c r="G788" s="92"/>
      <c r="I788" s="92"/>
    </row>
    <row r="789" ht="15.75" customHeight="1">
      <c r="A789" s="92"/>
      <c r="B789" s="92"/>
      <c r="C789" s="92"/>
      <c r="D789" s="92"/>
      <c r="E789" s="92"/>
      <c r="F789" s="92"/>
      <c r="G789" s="92"/>
      <c r="I789" s="92"/>
    </row>
    <row r="790" ht="15.75" customHeight="1">
      <c r="A790" s="92"/>
      <c r="B790" s="92"/>
      <c r="C790" s="92"/>
      <c r="D790" s="92"/>
      <c r="E790" s="92"/>
      <c r="F790" s="92"/>
      <c r="G790" s="92"/>
      <c r="I790" s="92"/>
    </row>
    <row r="791" ht="15.75" customHeight="1">
      <c r="A791" s="92"/>
      <c r="B791" s="92"/>
      <c r="C791" s="92"/>
      <c r="D791" s="92"/>
      <c r="E791" s="92"/>
      <c r="F791" s="92"/>
      <c r="G791" s="92"/>
      <c r="I791" s="92"/>
    </row>
    <row r="792" ht="15.75" customHeight="1">
      <c r="A792" s="92"/>
      <c r="B792" s="92"/>
      <c r="C792" s="92"/>
      <c r="D792" s="92"/>
      <c r="E792" s="92"/>
      <c r="F792" s="92"/>
      <c r="G792" s="92"/>
      <c r="I792" s="92"/>
    </row>
    <row r="793" ht="15.75" customHeight="1">
      <c r="A793" s="92"/>
      <c r="B793" s="92"/>
      <c r="C793" s="92"/>
      <c r="D793" s="92"/>
      <c r="E793" s="92"/>
      <c r="F793" s="92"/>
      <c r="G793" s="92"/>
      <c r="I793" s="92"/>
    </row>
    <row r="794" ht="15.75" customHeight="1">
      <c r="A794" s="92"/>
      <c r="B794" s="92"/>
      <c r="C794" s="92"/>
      <c r="D794" s="92"/>
      <c r="E794" s="92"/>
      <c r="F794" s="92"/>
      <c r="G794" s="92"/>
      <c r="I794" s="92"/>
    </row>
    <row r="795" ht="15.75" customHeight="1">
      <c r="A795" s="92"/>
      <c r="B795" s="92"/>
      <c r="C795" s="92"/>
      <c r="D795" s="92"/>
      <c r="E795" s="92"/>
      <c r="F795" s="92"/>
      <c r="G795" s="92"/>
      <c r="I795" s="92"/>
    </row>
    <row r="796" ht="15.75" customHeight="1">
      <c r="A796" s="92"/>
      <c r="B796" s="92"/>
      <c r="C796" s="92"/>
      <c r="D796" s="92"/>
      <c r="E796" s="92"/>
      <c r="F796" s="92"/>
      <c r="G796" s="92"/>
      <c r="I796" s="92"/>
    </row>
    <row r="797" ht="15.75" customHeight="1">
      <c r="A797" s="92"/>
      <c r="B797" s="92"/>
      <c r="C797" s="92"/>
      <c r="D797" s="92"/>
      <c r="E797" s="92"/>
      <c r="F797" s="92"/>
      <c r="G797" s="92"/>
      <c r="I797" s="92"/>
    </row>
    <row r="798" ht="15.75" customHeight="1">
      <c r="A798" s="92"/>
      <c r="B798" s="92"/>
      <c r="C798" s="92"/>
      <c r="D798" s="92"/>
      <c r="E798" s="92"/>
      <c r="F798" s="92"/>
      <c r="G798" s="92"/>
      <c r="I798" s="92"/>
    </row>
    <row r="799" ht="15.75" customHeight="1">
      <c r="A799" s="92"/>
      <c r="B799" s="92"/>
      <c r="C799" s="92"/>
      <c r="D799" s="92"/>
      <c r="E799" s="92"/>
      <c r="F799" s="92"/>
      <c r="G799" s="92"/>
      <c r="I799" s="92"/>
    </row>
    <row r="800" ht="15.75" customHeight="1">
      <c r="A800" s="92"/>
      <c r="B800" s="92"/>
      <c r="C800" s="92"/>
      <c r="D800" s="92"/>
      <c r="E800" s="92"/>
      <c r="F800" s="92"/>
      <c r="G800" s="92"/>
      <c r="I800" s="92"/>
    </row>
    <row r="801" ht="15.75" customHeight="1">
      <c r="A801" s="92"/>
      <c r="B801" s="92"/>
      <c r="C801" s="92"/>
      <c r="D801" s="92"/>
      <c r="E801" s="92"/>
      <c r="F801" s="92"/>
      <c r="G801" s="92"/>
      <c r="I801" s="92"/>
    </row>
    <row r="802" ht="15.75" customHeight="1">
      <c r="A802" s="92"/>
      <c r="B802" s="92"/>
      <c r="C802" s="92"/>
      <c r="D802" s="92"/>
      <c r="E802" s="92"/>
      <c r="F802" s="92"/>
      <c r="G802" s="92"/>
      <c r="I802" s="92"/>
    </row>
    <row r="803" ht="15.75" customHeight="1">
      <c r="A803" s="92"/>
      <c r="B803" s="92"/>
      <c r="C803" s="92"/>
      <c r="D803" s="92"/>
      <c r="E803" s="92"/>
      <c r="F803" s="92"/>
      <c r="G803" s="92"/>
      <c r="I803" s="92"/>
    </row>
    <row r="804" ht="15.75" customHeight="1">
      <c r="A804" s="92"/>
      <c r="B804" s="92"/>
      <c r="C804" s="92"/>
      <c r="D804" s="92"/>
      <c r="E804" s="92"/>
      <c r="F804" s="92"/>
      <c r="G804" s="92"/>
      <c r="I804" s="92"/>
    </row>
    <row r="805" ht="15.75" customHeight="1">
      <c r="A805" s="92"/>
      <c r="B805" s="92"/>
      <c r="C805" s="92"/>
      <c r="D805" s="92"/>
      <c r="E805" s="92"/>
      <c r="F805" s="92"/>
      <c r="G805" s="92"/>
      <c r="I805" s="92"/>
    </row>
    <row r="806" ht="15.75" customHeight="1">
      <c r="A806" s="92"/>
      <c r="B806" s="92"/>
      <c r="C806" s="92"/>
      <c r="D806" s="92"/>
      <c r="E806" s="92"/>
      <c r="F806" s="92"/>
      <c r="G806" s="92"/>
      <c r="I806" s="92"/>
    </row>
    <row r="807" ht="15.75" customHeight="1">
      <c r="A807" s="92"/>
      <c r="B807" s="92"/>
      <c r="C807" s="92"/>
      <c r="D807" s="92"/>
      <c r="E807" s="92"/>
      <c r="F807" s="92"/>
      <c r="G807" s="92"/>
      <c r="I807" s="92"/>
    </row>
    <row r="808" ht="15.75" customHeight="1">
      <c r="A808" s="92"/>
      <c r="B808" s="92"/>
      <c r="C808" s="92"/>
      <c r="D808" s="92"/>
      <c r="E808" s="92"/>
      <c r="F808" s="92"/>
      <c r="G808" s="92"/>
      <c r="I808" s="92"/>
    </row>
    <row r="809" ht="15.75" customHeight="1">
      <c r="A809" s="92"/>
      <c r="B809" s="92"/>
      <c r="C809" s="92"/>
      <c r="D809" s="92"/>
      <c r="E809" s="92"/>
      <c r="F809" s="92"/>
      <c r="G809" s="92"/>
      <c r="I809" s="92"/>
    </row>
    <row r="810" ht="15.75" customHeight="1">
      <c r="A810" s="92"/>
      <c r="B810" s="92"/>
      <c r="C810" s="92"/>
      <c r="D810" s="92"/>
      <c r="E810" s="92"/>
      <c r="F810" s="92"/>
      <c r="G810" s="92"/>
      <c r="I810" s="92"/>
    </row>
    <row r="811" ht="15.75" customHeight="1">
      <c r="A811" s="92"/>
      <c r="B811" s="92"/>
      <c r="C811" s="92"/>
      <c r="D811" s="92"/>
      <c r="E811" s="92"/>
      <c r="F811" s="92"/>
      <c r="G811" s="92"/>
      <c r="I811" s="92"/>
    </row>
    <row r="812" ht="15.75" customHeight="1">
      <c r="A812" s="92"/>
      <c r="B812" s="92"/>
      <c r="C812" s="92"/>
      <c r="D812" s="92"/>
      <c r="E812" s="92"/>
      <c r="F812" s="92"/>
      <c r="G812" s="92"/>
      <c r="I812" s="92"/>
    </row>
    <row r="813" ht="15.75" customHeight="1">
      <c r="A813" s="92"/>
      <c r="B813" s="92"/>
      <c r="C813" s="92"/>
      <c r="D813" s="92"/>
      <c r="E813" s="92"/>
      <c r="F813" s="92"/>
      <c r="G813" s="92"/>
      <c r="I813" s="92"/>
    </row>
    <row r="814" ht="15.75" customHeight="1">
      <c r="A814" s="92"/>
      <c r="B814" s="92"/>
      <c r="C814" s="92"/>
      <c r="D814" s="92"/>
      <c r="E814" s="92"/>
      <c r="F814" s="92"/>
      <c r="G814" s="92"/>
      <c r="I814" s="92"/>
    </row>
    <row r="815" ht="15.75" customHeight="1">
      <c r="A815" s="92"/>
      <c r="B815" s="92"/>
      <c r="C815" s="92"/>
      <c r="D815" s="92"/>
      <c r="E815" s="92"/>
      <c r="F815" s="92"/>
      <c r="G815" s="92"/>
      <c r="I815" s="92"/>
    </row>
    <row r="816" ht="15.75" customHeight="1">
      <c r="A816" s="92"/>
      <c r="B816" s="92"/>
      <c r="C816" s="92"/>
      <c r="D816" s="92"/>
      <c r="E816" s="92"/>
      <c r="F816" s="92"/>
      <c r="G816" s="92"/>
      <c r="I816" s="92"/>
    </row>
    <row r="817" ht="15.75" customHeight="1">
      <c r="A817" s="92"/>
      <c r="B817" s="92"/>
      <c r="C817" s="92"/>
      <c r="D817" s="92"/>
      <c r="E817" s="92"/>
      <c r="F817" s="92"/>
      <c r="G817" s="92"/>
      <c r="I817" s="92"/>
    </row>
    <row r="818" ht="15.75" customHeight="1">
      <c r="A818" s="92"/>
      <c r="B818" s="92"/>
      <c r="C818" s="92"/>
      <c r="D818" s="92"/>
      <c r="E818" s="92"/>
      <c r="F818" s="92"/>
      <c r="G818" s="92"/>
      <c r="I818" s="92"/>
    </row>
    <row r="819" ht="15.75" customHeight="1">
      <c r="A819" s="92"/>
      <c r="B819" s="92"/>
      <c r="C819" s="92"/>
      <c r="D819" s="92"/>
      <c r="E819" s="92"/>
      <c r="F819" s="92"/>
      <c r="G819" s="92"/>
      <c r="I819" s="92"/>
    </row>
    <row r="820" ht="15.75" customHeight="1">
      <c r="A820" s="92"/>
      <c r="B820" s="92"/>
      <c r="C820" s="92"/>
      <c r="D820" s="92"/>
      <c r="E820" s="92"/>
      <c r="F820" s="92"/>
      <c r="G820" s="92"/>
      <c r="I820" s="92"/>
    </row>
    <row r="821" ht="15.75" customHeight="1">
      <c r="A821" s="92"/>
      <c r="B821" s="92"/>
      <c r="C821" s="92"/>
      <c r="D821" s="92"/>
      <c r="E821" s="92"/>
      <c r="F821" s="92"/>
      <c r="G821" s="92"/>
      <c r="I821" s="92"/>
    </row>
    <row r="822" ht="15.75" customHeight="1">
      <c r="A822" s="92"/>
      <c r="B822" s="92"/>
      <c r="C822" s="92"/>
      <c r="D822" s="92"/>
      <c r="E822" s="92"/>
      <c r="F822" s="92"/>
      <c r="G822" s="92"/>
      <c r="I822" s="92"/>
    </row>
    <row r="823" ht="15.75" customHeight="1">
      <c r="A823" s="92"/>
      <c r="B823" s="92"/>
      <c r="C823" s="92"/>
      <c r="D823" s="92"/>
      <c r="E823" s="92"/>
      <c r="F823" s="92"/>
      <c r="G823" s="92"/>
      <c r="I823" s="92"/>
    </row>
    <row r="824" ht="15.75" customHeight="1">
      <c r="A824" s="92"/>
      <c r="B824" s="92"/>
      <c r="C824" s="92"/>
      <c r="D824" s="92"/>
      <c r="E824" s="92"/>
      <c r="F824" s="92"/>
      <c r="G824" s="92"/>
      <c r="I824" s="92"/>
    </row>
    <row r="825" ht="15.75" customHeight="1">
      <c r="A825" s="92"/>
      <c r="B825" s="92"/>
      <c r="C825" s="92"/>
      <c r="D825" s="92"/>
      <c r="E825" s="92"/>
      <c r="F825" s="92"/>
      <c r="G825" s="92"/>
      <c r="I825" s="92"/>
    </row>
    <row r="826" ht="15.75" customHeight="1">
      <c r="A826" s="92"/>
      <c r="B826" s="92"/>
      <c r="C826" s="92"/>
      <c r="D826" s="92"/>
      <c r="E826" s="92"/>
      <c r="F826" s="92"/>
      <c r="G826" s="92"/>
      <c r="I826" s="92"/>
    </row>
    <row r="827" ht="15.75" customHeight="1">
      <c r="A827" s="92"/>
      <c r="B827" s="92"/>
      <c r="C827" s="92"/>
      <c r="D827" s="92"/>
      <c r="E827" s="92"/>
      <c r="F827" s="92"/>
      <c r="G827" s="92"/>
      <c r="I827" s="92"/>
    </row>
    <row r="828" ht="15.75" customHeight="1">
      <c r="A828" s="92"/>
      <c r="B828" s="92"/>
      <c r="C828" s="92"/>
      <c r="D828" s="92"/>
      <c r="E828" s="92"/>
      <c r="F828" s="92"/>
      <c r="G828" s="92"/>
      <c r="I828" s="92"/>
    </row>
    <row r="829" ht="15.75" customHeight="1">
      <c r="A829" s="92"/>
      <c r="B829" s="92"/>
      <c r="C829" s="92"/>
      <c r="D829" s="92"/>
      <c r="E829" s="92"/>
      <c r="F829" s="92"/>
      <c r="G829" s="92"/>
      <c r="I829" s="92"/>
    </row>
    <row r="830" ht="15.75" customHeight="1">
      <c r="A830" s="92"/>
      <c r="B830" s="92"/>
      <c r="C830" s="92"/>
      <c r="D830" s="92"/>
      <c r="E830" s="92"/>
      <c r="F830" s="92"/>
      <c r="G830" s="92"/>
      <c r="I830" s="92"/>
    </row>
    <row r="831" ht="15.75" customHeight="1">
      <c r="A831" s="92"/>
      <c r="B831" s="92"/>
      <c r="C831" s="92"/>
      <c r="D831" s="92"/>
      <c r="E831" s="92"/>
      <c r="F831" s="92"/>
      <c r="G831" s="92"/>
      <c r="I831" s="92"/>
    </row>
    <row r="832" ht="15.75" customHeight="1">
      <c r="A832" s="92"/>
      <c r="B832" s="92"/>
      <c r="C832" s="92"/>
      <c r="D832" s="92"/>
      <c r="E832" s="92"/>
      <c r="F832" s="92"/>
      <c r="G832" s="92"/>
      <c r="I832" s="92"/>
    </row>
    <row r="833" ht="15.75" customHeight="1">
      <c r="A833" s="92"/>
      <c r="B833" s="92"/>
      <c r="C833" s="92"/>
      <c r="D833" s="92"/>
      <c r="E833" s="92"/>
      <c r="F833" s="92"/>
      <c r="G833" s="92"/>
      <c r="I833" s="92"/>
    </row>
    <row r="834" ht="15.75" customHeight="1">
      <c r="A834" s="92"/>
      <c r="B834" s="92"/>
      <c r="C834" s="92"/>
      <c r="D834" s="92"/>
      <c r="E834" s="92"/>
      <c r="F834" s="92"/>
      <c r="G834" s="92"/>
      <c r="I834" s="92"/>
    </row>
    <row r="835" ht="15.75" customHeight="1">
      <c r="A835" s="92"/>
      <c r="B835" s="92"/>
      <c r="C835" s="92"/>
      <c r="D835" s="92"/>
      <c r="E835" s="92"/>
      <c r="F835" s="92"/>
      <c r="G835" s="92"/>
      <c r="I835" s="92"/>
    </row>
    <row r="836" ht="15.75" customHeight="1">
      <c r="A836" s="92"/>
      <c r="B836" s="92"/>
      <c r="C836" s="92"/>
      <c r="D836" s="92"/>
      <c r="E836" s="92"/>
      <c r="F836" s="92"/>
      <c r="G836" s="92"/>
      <c r="I836" s="92"/>
    </row>
    <row r="837" ht="15.75" customHeight="1">
      <c r="A837" s="92"/>
      <c r="B837" s="92"/>
      <c r="C837" s="92"/>
      <c r="D837" s="92"/>
      <c r="E837" s="92"/>
      <c r="F837" s="92"/>
      <c r="G837" s="92"/>
      <c r="I837" s="92"/>
    </row>
    <row r="838" ht="15.75" customHeight="1">
      <c r="A838" s="92"/>
      <c r="B838" s="92"/>
      <c r="C838" s="92"/>
      <c r="D838" s="92"/>
      <c r="E838" s="92"/>
      <c r="F838" s="92"/>
      <c r="G838" s="92"/>
      <c r="I838" s="92"/>
    </row>
    <row r="839" ht="15.75" customHeight="1">
      <c r="A839" s="92"/>
      <c r="B839" s="92"/>
      <c r="C839" s="92"/>
      <c r="D839" s="92"/>
      <c r="E839" s="92"/>
      <c r="F839" s="92"/>
      <c r="G839" s="92"/>
      <c r="I839" s="92"/>
    </row>
    <row r="840" ht="15.75" customHeight="1">
      <c r="A840" s="92"/>
      <c r="B840" s="92"/>
      <c r="C840" s="92"/>
      <c r="D840" s="92"/>
      <c r="E840" s="92"/>
      <c r="F840" s="92"/>
      <c r="G840" s="92"/>
      <c r="I840" s="92"/>
    </row>
    <row r="841" ht="15.75" customHeight="1">
      <c r="A841" s="92"/>
      <c r="B841" s="92"/>
      <c r="C841" s="92"/>
      <c r="D841" s="92"/>
      <c r="E841" s="92"/>
      <c r="F841" s="92"/>
      <c r="G841" s="92"/>
      <c r="I841" s="92"/>
    </row>
    <row r="842" ht="15.75" customHeight="1">
      <c r="A842" s="92"/>
      <c r="B842" s="92"/>
      <c r="C842" s="92"/>
      <c r="D842" s="92"/>
      <c r="E842" s="92"/>
      <c r="F842" s="92"/>
      <c r="G842" s="92"/>
      <c r="I842" s="92"/>
    </row>
    <row r="843" ht="15.75" customHeight="1">
      <c r="A843" s="92"/>
      <c r="B843" s="92"/>
      <c r="C843" s="92"/>
      <c r="D843" s="92"/>
      <c r="E843" s="92"/>
      <c r="F843" s="92"/>
      <c r="G843" s="92"/>
      <c r="I843" s="92"/>
    </row>
    <row r="844" ht="15.75" customHeight="1">
      <c r="A844" s="92"/>
      <c r="B844" s="92"/>
      <c r="C844" s="92"/>
      <c r="D844" s="92"/>
      <c r="E844" s="92"/>
      <c r="F844" s="92"/>
      <c r="G844" s="92"/>
      <c r="I844" s="92"/>
    </row>
    <row r="845" ht="15.75" customHeight="1">
      <c r="A845" s="92"/>
      <c r="B845" s="92"/>
      <c r="C845" s="92"/>
      <c r="D845" s="92"/>
      <c r="E845" s="92"/>
      <c r="F845" s="92"/>
      <c r="G845" s="92"/>
      <c r="I845" s="92"/>
    </row>
    <row r="846" ht="15.75" customHeight="1">
      <c r="A846" s="92"/>
      <c r="B846" s="92"/>
      <c r="C846" s="92"/>
      <c r="D846" s="92"/>
      <c r="E846" s="92"/>
      <c r="F846" s="92"/>
      <c r="G846" s="92"/>
      <c r="I846" s="92"/>
    </row>
    <row r="847" ht="15.75" customHeight="1">
      <c r="A847" s="92"/>
      <c r="B847" s="92"/>
      <c r="C847" s="92"/>
      <c r="D847" s="92"/>
      <c r="E847" s="92"/>
      <c r="F847" s="92"/>
      <c r="G847" s="92"/>
      <c r="I847" s="92"/>
    </row>
    <row r="848" ht="15.75" customHeight="1">
      <c r="A848" s="92"/>
      <c r="B848" s="92"/>
      <c r="C848" s="92"/>
      <c r="D848" s="92"/>
      <c r="E848" s="92"/>
      <c r="F848" s="92"/>
      <c r="G848" s="92"/>
      <c r="I848" s="92"/>
    </row>
    <row r="849" ht="15.75" customHeight="1">
      <c r="A849" s="92"/>
      <c r="B849" s="92"/>
      <c r="C849" s="92"/>
      <c r="D849" s="92"/>
      <c r="E849" s="92"/>
      <c r="F849" s="92"/>
      <c r="G849" s="92"/>
      <c r="I849" s="92"/>
    </row>
    <row r="850" ht="15.75" customHeight="1">
      <c r="A850" s="92"/>
      <c r="B850" s="92"/>
      <c r="C850" s="92"/>
      <c r="D850" s="92"/>
      <c r="E850" s="92"/>
      <c r="F850" s="92"/>
      <c r="G850" s="92"/>
      <c r="I850" s="92"/>
    </row>
    <row r="851" ht="15.75" customHeight="1">
      <c r="A851" s="92"/>
      <c r="B851" s="92"/>
      <c r="C851" s="92"/>
      <c r="D851" s="92"/>
      <c r="E851" s="92"/>
      <c r="F851" s="92"/>
      <c r="G851" s="92"/>
      <c r="I851" s="92"/>
    </row>
    <row r="852" ht="15.75" customHeight="1">
      <c r="A852" s="92"/>
      <c r="B852" s="92"/>
      <c r="C852" s="92"/>
      <c r="D852" s="92"/>
      <c r="E852" s="92"/>
      <c r="F852" s="92"/>
      <c r="G852" s="92"/>
      <c r="I852" s="92"/>
    </row>
    <row r="853" ht="15.75" customHeight="1">
      <c r="A853" s="92"/>
      <c r="B853" s="92"/>
      <c r="C853" s="92"/>
      <c r="D853" s="92"/>
      <c r="E853" s="92"/>
      <c r="F853" s="92"/>
      <c r="G853" s="92"/>
      <c r="I853" s="92"/>
    </row>
    <row r="854" ht="15.75" customHeight="1">
      <c r="A854" s="92"/>
      <c r="B854" s="92"/>
      <c r="C854" s="92"/>
      <c r="D854" s="92"/>
      <c r="E854" s="92"/>
      <c r="F854" s="92"/>
      <c r="G854" s="92"/>
      <c r="I854" s="92"/>
    </row>
    <row r="855" ht="15.75" customHeight="1">
      <c r="A855" s="92"/>
      <c r="B855" s="92"/>
      <c r="C855" s="92"/>
      <c r="D855" s="92"/>
      <c r="E855" s="92"/>
      <c r="F855" s="92"/>
      <c r="G855" s="92"/>
      <c r="I855" s="92"/>
    </row>
    <row r="856" ht="15.75" customHeight="1">
      <c r="A856" s="92"/>
      <c r="B856" s="92"/>
      <c r="C856" s="92"/>
      <c r="D856" s="92"/>
      <c r="E856" s="92"/>
      <c r="F856" s="92"/>
      <c r="G856" s="92"/>
      <c r="I856" s="92"/>
    </row>
    <row r="857" ht="15.75" customHeight="1">
      <c r="A857" s="92"/>
      <c r="B857" s="92"/>
      <c r="C857" s="92"/>
      <c r="D857" s="92"/>
      <c r="E857" s="92"/>
      <c r="F857" s="92"/>
      <c r="G857" s="92"/>
      <c r="I857" s="92"/>
    </row>
    <row r="858" ht="15.75" customHeight="1">
      <c r="A858" s="92"/>
      <c r="B858" s="92"/>
      <c r="C858" s="92"/>
      <c r="D858" s="92"/>
      <c r="E858" s="92"/>
      <c r="F858" s="92"/>
      <c r="G858" s="92"/>
      <c r="I858" s="92"/>
    </row>
    <row r="859" ht="15.75" customHeight="1">
      <c r="A859" s="92"/>
      <c r="B859" s="92"/>
      <c r="C859" s="92"/>
      <c r="D859" s="92"/>
      <c r="E859" s="92"/>
      <c r="F859" s="92"/>
      <c r="G859" s="92"/>
      <c r="I859" s="92"/>
    </row>
    <row r="860" ht="15.75" customHeight="1">
      <c r="A860" s="92"/>
      <c r="B860" s="92"/>
      <c r="C860" s="92"/>
      <c r="D860" s="92"/>
      <c r="E860" s="92"/>
      <c r="F860" s="92"/>
      <c r="G860" s="92"/>
      <c r="I860" s="92"/>
    </row>
    <row r="861" ht="15.75" customHeight="1">
      <c r="A861" s="92"/>
      <c r="B861" s="92"/>
      <c r="C861" s="92"/>
      <c r="D861" s="92"/>
      <c r="E861" s="92"/>
      <c r="F861" s="92"/>
      <c r="G861" s="92"/>
      <c r="I861" s="92"/>
    </row>
    <row r="862" ht="15.75" customHeight="1">
      <c r="A862" s="92"/>
      <c r="B862" s="92"/>
      <c r="C862" s="92"/>
      <c r="D862" s="92"/>
      <c r="E862" s="92"/>
      <c r="F862" s="92"/>
      <c r="G862" s="92"/>
      <c r="I862" s="92"/>
    </row>
    <row r="863" ht="15.75" customHeight="1">
      <c r="A863" s="92"/>
      <c r="B863" s="92"/>
      <c r="C863" s="92"/>
      <c r="D863" s="92"/>
      <c r="E863" s="92"/>
      <c r="F863" s="92"/>
      <c r="G863" s="92"/>
      <c r="I863" s="92"/>
    </row>
    <row r="864" ht="15.75" customHeight="1">
      <c r="A864" s="92"/>
      <c r="B864" s="92"/>
      <c r="C864" s="92"/>
      <c r="D864" s="92"/>
      <c r="E864" s="92"/>
      <c r="F864" s="92"/>
      <c r="G864" s="92"/>
      <c r="I864" s="92"/>
    </row>
    <row r="865" ht="15.75" customHeight="1">
      <c r="A865" s="92"/>
      <c r="B865" s="92"/>
      <c r="C865" s="92"/>
      <c r="D865" s="92"/>
      <c r="E865" s="92"/>
      <c r="F865" s="92"/>
      <c r="G865" s="92"/>
      <c r="I865" s="92"/>
    </row>
    <row r="866" ht="15.75" customHeight="1">
      <c r="A866" s="92"/>
      <c r="B866" s="92"/>
      <c r="C866" s="92"/>
      <c r="D866" s="92"/>
      <c r="E866" s="92"/>
      <c r="F866" s="92"/>
      <c r="G866" s="92"/>
      <c r="I866" s="92"/>
    </row>
    <row r="867" ht="15.75" customHeight="1">
      <c r="A867" s="92"/>
      <c r="B867" s="92"/>
      <c r="C867" s="92"/>
      <c r="D867" s="92"/>
      <c r="E867" s="92"/>
      <c r="F867" s="92"/>
      <c r="G867" s="92"/>
      <c r="I867" s="92"/>
    </row>
    <row r="868" ht="15.75" customHeight="1">
      <c r="A868" s="92"/>
      <c r="B868" s="92"/>
      <c r="C868" s="92"/>
      <c r="D868" s="92"/>
      <c r="E868" s="92"/>
      <c r="F868" s="92"/>
      <c r="G868" s="92"/>
      <c r="I868" s="92"/>
    </row>
    <row r="869" ht="15.75" customHeight="1">
      <c r="A869" s="92"/>
      <c r="B869" s="92"/>
      <c r="C869" s="92"/>
      <c r="D869" s="92"/>
      <c r="E869" s="92"/>
      <c r="F869" s="92"/>
      <c r="G869" s="92"/>
      <c r="I869" s="92"/>
    </row>
    <row r="870" ht="15.75" customHeight="1">
      <c r="A870" s="92"/>
      <c r="B870" s="92"/>
      <c r="C870" s="92"/>
      <c r="D870" s="92"/>
      <c r="E870" s="92"/>
      <c r="F870" s="92"/>
      <c r="G870" s="92"/>
      <c r="I870" s="92"/>
    </row>
    <row r="871" ht="15.75" customHeight="1">
      <c r="A871" s="92"/>
      <c r="B871" s="92"/>
      <c r="C871" s="92"/>
      <c r="D871" s="92"/>
      <c r="E871" s="92"/>
      <c r="F871" s="92"/>
      <c r="G871" s="92"/>
      <c r="I871" s="92"/>
    </row>
    <row r="872" ht="15.75" customHeight="1">
      <c r="A872" s="92"/>
      <c r="B872" s="92"/>
      <c r="C872" s="92"/>
      <c r="D872" s="92"/>
      <c r="E872" s="92"/>
      <c r="F872" s="92"/>
      <c r="G872" s="92"/>
      <c r="I872" s="92"/>
    </row>
    <row r="873" ht="15.75" customHeight="1">
      <c r="A873" s="92"/>
      <c r="B873" s="92"/>
      <c r="C873" s="92"/>
      <c r="D873" s="92"/>
      <c r="E873" s="92"/>
      <c r="F873" s="92"/>
      <c r="G873" s="92"/>
      <c r="I873" s="92"/>
    </row>
    <row r="874" ht="15.75" customHeight="1">
      <c r="A874" s="92"/>
      <c r="B874" s="92"/>
      <c r="C874" s="92"/>
      <c r="D874" s="92"/>
      <c r="E874" s="92"/>
      <c r="F874" s="92"/>
      <c r="G874" s="92"/>
      <c r="I874" s="92"/>
    </row>
    <row r="875" ht="15.75" customHeight="1">
      <c r="A875" s="92"/>
      <c r="B875" s="92"/>
      <c r="C875" s="92"/>
      <c r="D875" s="92"/>
      <c r="E875" s="92"/>
      <c r="F875" s="92"/>
      <c r="G875" s="92"/>
      <c r="I875" s="92"/>
    </row>
    <row r="876" ht="15.75" customHeight="1">
      <c r="A876" s="92"/>
      <c r="B876" s="92"/>
      <c r="C876" s="92"/>
      <c r="D876" s="92"/>
      <c r="E876" s="92"/>
      <c r="F876" s="92"/>
      <c r="G876" s="92"/>
      <c r="I876" s="92"/>
    </row>
    <row r="877" ht="15.75" customHeight="1">
      <c r="A877" s="92"/>
      <c r="B877" s="92"/>
      <c r="C877" s="92"/>
      <c r="D877" s="92"/>
      <c r="E877" s="92"/>
      <c r="F877" s="92"/>
      <c r="G877" s="92"/>
      <c r="I877" s="92"/>
    </row>
    <row r="878" ht="15.75" customHeight="1">
      <c r="A878" s="92"/>
      <c r="B878" s="92"/>
      <c r="C878" s="92"/>
      <c r="D878" s="92"/>
      <c r="E878" s="92"/>
      <c r="F878" s="92"/>
      <c r="G878" s="92"/>
      <c r="I878" s="92"/>
    </row>
    <row r="879" ht="15.75" customHeight="1">
      <c r="A879" s="92"/>
      <c r="B879" s="92"/>
      <c r="C879" s="92"/>
      <c r="D879" s="92"/>
      <c r="E879" s="92"/>
      <c r="F879" s="92"/>
      <c r="G879" s="92"/>
      <c r="I879" s="92"/>
    </row>
    <row r="880" ht="15.75" customHeight="1">
      <c r="A880" s="92"/>
      <c r="B880" s="92"/>
      <c r="C880" s="92"/>
      <c r="D880" s="92"/>
      <c r="E880" s="92"/>
      <c r="F880" s="92"/>
      <c r="G880" s="92"/>
      <c r="I880" s="92"/>
    </row>
    <row r="881" ht="15.75" customHeight="1">
      <c r="A881" s="92"/>
      <c r="B881" s="92"/>
      <c r="C881" s="92"/>
      <c r="D881" s="92"/>
      <c r="E881" s="92"/>
      <c r="F881" s="92"/>
      <c r="G881" s="92"/>
      <c r="I881" s="92"/>
    </row>
    <row r="882" ht="15.75" customHeight="1">
      <c r="A882" s="92"/>
      <c r="B882" s="92"/>
      <c r="C882" s="92"/>
      <c r="D882" s="92"/>
      <c r="E882" s="92"/>
      <c r="F882" s="92"/>
      <c r="G882" s="92"/>
      <c r="I882" s="92"/>
    </row>
    <row r="883" ht="15.75" customHeight="1">
      <c r="A883" s="92"/>
      <c r="B883" s="92"/>
      <c r="C883" s="92"/>
      <c r="D883" s="92"/>
      <c r="E883" s="92"/>
      <c r="F883" s="92"/>
      <c r="G883" s="92"/>
      <c r="I883" s="92"/>
    </row>
    <row r="884" ht="15.75" customHeight="1">
      <c r="A884" s="92"/>
      <c r="B884" s="92"/>
      <c r="C884" s="92"/>
      <c r="D884" s="92"/>
      <c r="E884" s="92"/>
      <c r="F884" s="92"/>
      <c r="G884" s="92"/>
      <c r="I884" s="92"/>
    </row>
    <row r="885" ht="15.75" customHeight="1">
      <c r="A885" s="92"/>
      <c r="B885" s="92"/>
      <c r="C885" s="92"/>
      <c r="D885" s="92"/>
      <c r="E885" s="92"/>
      <c r="F885" s="92"/>
      <c r="G885" s="92"/>
      <c r="I885" s="92"/>
    </row>
    <row r="886" ht="15.75" customHeight="1">
      <c r="A886" s="92"/>
      <c r="B886" s="92"/>
      <c r="C886" s="92"/>
      <c r="D886" s="92"/>
      <c r="E886" s="92"/>
      <c r="F886" s="92"/>
      <c r="G886" s="92"/>
      <c r="I886" s="92"/>
    </row>
    <row r="887" ht="15.75" customHeight="1">
      <c r="A887" s="92"/>
      <c r="B887" s="92"/>
      <c r="C887" s="92"/>
      <c r="D887" s="92"/>
      <c r="E887" s="92"/>
      <c r="F887" s="92"/>
      <c r="G887" s="92"/>
      <c r="I887" s="92"/>
    </row>
    <row r="888" ht="15.75" customHeight="1">
      <c r="A888" s="92"/>
      <c r="B888" s="92"/>
      <c r="C888" s="92"/>
      <c r="D888" s="92"/>
      <c r="E888" s="92"/>
      <c r="F888" s="92"/>
      <c r="G888" s="92"/>
      <c r="I888" s="92"/>
    </row>
    <row r="889" ht="15.75" customHeight="1">
      <c r="A889" s="92"/>
      <c r="B889" s="92"/>
      <c r="C889" s="92"/>
      <c r="D889" s="92"/>
      <c r="E889" s="92"/>
      <c r="F889" s="92"/>
      <c r="G889" s="92"/>
      <c r="I889" s="92"/>
    </row>
    <row r="890" ht="15.75" customHeight="1">
      <c r="A890" s="92"/>
      <c r="B890" s="92"/>
      <c r="C890" s="92"/>
      <c r="D890" s="92"/>
      <c r="E890" s="92"/>
      <c r="F890" s="92"/>
      <c r="G890" s="92"/>
      <c r="I890" s="92"/>
    </row>
    <row r="891" ht="15.75" customHeight="1">
      <c r="A891" s="92"/>
      <c r="B891" s="92"/>
      <c r="C891" s="92"/>
      <c r="D891" s="92"/>
      <c r="E891" s="92"/>
      <c r="F891" s="92"/>
      <c r="G891" s="92"/>
      <c r="I891" s="92"/>
    </row>
    <row r="892" ht="15.75" customHeight="1">
      <c r="A892" s="92"/>
      <c r="B892" s="92"/>
      <c r="C892" s="92"/>
      <c r="D892" s="92"/>
      <c r="E892" s="92"/>
      <c r="F892" s="92"/>
      <c r="G892" s="92"/>
      <c r="I892" s="92"/>
    </row>
    <row r="893" ht="15.75" customHeight="1">
      <c r="A893" s="92"/>
      <c r="B893" s="92"/>
      <c r="C893" s="92"/>
      <c r="D893" s="92"/>
      <c r="E893" s="92"/>
      <c r="F893" s="92"/>
      <c r="G893" s="92"/>
      <c r="I893" s="92"/>
    </row>
    <row r="894" ht="15.75" customHeight="1">
      <c r="A894" s="92"/>
      <c r="B894" s="92"/>
      <c r="C894" s="92"/>
      <c r="D894" s="92"/>
      <c r="E894" s="92"/>
      <c r="F894" s="92"/>
      <c r="G894" s="92"/>
      <c r="I894" s="92"/>
    </row>
    <row r="895" ht="15.75" customHeight="1">
      <c r="A895" s="92"/>
      <c r="B895" s="92"/>
      <c r="C895" s="92"/>
      <c r="D895" s="92"/>
      <c r="E895" s="92"/>
      <c r="F895" s="92"/>
      <c r="G895" s="92"/>
      <c r="I895" s="92"/>
    </row>
    <row r="896" ht="15.75" customHeight="1">
      <c r="A896" s="92"/>
      <c r="B896" s="92"/>
      <c r="C896" s="92"/>
      <c r="D896" s="92"/>
      <c r="E896" s="92"/>
      <c r="F896" s="92"/>
      <c r="G896" s="92"/>
      <c r="I896" s="92"/>
    </row>
    <row r="897" ht="15.75" customHeight="1">
      <c r="A897" s="92"/>
      <c r="B897" s="92"/>
      <c r="C897" s="92"/>
      <c r="D897" s="92"/>
      <c r="E897" s="92"/>
      <c r="F897" s="92"/>
      <c r="G897" s="92"/>
      <c r="I897" s="92"/>
    </row>
    <row r="898" ht="15.75" customHeight="1">
      <c r="A898" s="92"/>
      <c r="B898" s="92"/>
      <c r="C898" s="92"/>
      <c r="D898" s="92"/>
      <c r="E898" s="92"/>
      <c r="F898" s="92"/>
      <c r="G898" s="92"/>
      <c r="I898" s="92"/>
    </row>
    <row r="899" ht="15.75" customHeight="1">
      <c r="A899" s="92"/>
      <c r="B899" s="92"/>
      <c r="C899" s="92"/>
      <c r="D899" s="92"/>
      <c r="E899" s="92"/>
      <c r="F899" s="92"/>
      <c r="G899" s="92"/>
      <c r="I899" s="92"/>
    </row>
    <row r="900" ht="15.75" customHeight="1">
      <c r="A900" s="92"/>
      <c r="B900" s="92"/>
      <c r="C900" s="92"/>
      <c r="D900" s="92"/>
      <c r="E900" s="92"/>
      <c r="F900" s="92"/>
      <c r="G900" s="92"/>
      <c r="I900" s="92"/>
    </row>
    <row r="901" ht="15.75" customHeight="1">
      <c r="A901" s="92"/>
      <c r="B901" s="92"/>
      <c r="C901" s="92"/>
      <c r="D901" s="92"/>
      <c r="E901" s="92"/>
      <c r="F901" s="92"/>
      <c r="G901" s="92"/>
      <c r="I901" s="92"/>
    </row>
    <row r="902" ht="15.75" customHeight="1">
      <c r="A902" s="92"/>
      <c r="B902" s="92"/>
      <c r="C902" s="92"/>
      <c r="D902" s="92"/>
      <c r="E902" s="92"/>
      <c r="F902" s="92"/>
      <c r="G902" s="92"/>
      <c r="I902" s="92"/>
    </row>
    <row r="903" ht="15.75" customHeight="1">
      <c r="A903" s="92"/>
      <c r="B903" s="92"/>
      <c r="C903" s="92"/>
      <c r="D903" s="92"/>
      <c r="E903" s="92"/>
      <c r="F903" s="92"/>
      <c r="G903" s="92"/>
      <c r="I903" s="92"/>
    </row>
    <row r="904" ht="15.75" customHeight="1">
      <c r="A904" s="92"/>
      <c r="B904" s="92"/>
      <c r="C904" s="92"/>
      <c r="D904" s="92"/>
      <c r="E904" s="92"/>
      <c r="F904" s="92"/>
      <c r="G904" s="92"/>
      <c r="I904" s="92"/>
    </row>
    <row r="905" ht="15.75" customHeight="1">
      <c r="A905" s="92"/>
      <c r="B905" s="92"/>
      <c r="C905" s="92"/>
      <c r="D905" s="92"/>
      <c r="E905" s="92"/>
      <c r="F905" s="92"/>
      <c r="G905" s="92"/>
      <c r="I905" s="92"/>
    </row>
    <row r="906" ht="15.75" customHeight="1">
      <c r="A906" s="92"/>
      <c r="B906" s="92"/>
      <c r="C906" s="92"/>
      <c r="D906" s="92"/>
      <c r="E906" s="92"/>
      <c r="F906" s="92"/>
      <c r="G906" s="92"/>
      <c r="I906" s="92"/>
    </row>
    <row r="907" ht="15.75" customHeight="1">
      <c r="A907" s="92"/>
      <c r="B907" s="92"/>
      <c r="C907" s="92"/>
      <c r="D907" s="92"/>
      <c r="E907" s="92"/>
      <c r="F907" s="92"/>
      <c r="G907" s="92"/>
      <c r="I907" s="92"/>
    </row>
    <row r="908" ht="15.75" customHeight="1">
      <c r="A908" s="92"/>
      <c r="B908" s="92"/>
      <c r="C908" s="92"/>
      <c r="D908" s="92"/>
      <c r="E908" s="92"/>
      <c r="F908" s="92"/>
      <c r="G908" s="92"/>
      <c r="I908" s="92"/>
    </row>
    <row r="909" ht="15.75" customHeight="1">
      <c r="A909" s="92"/>
      <c r="B909" s="92"/>
      <c r="C909" s="92"/>
      <c r="D909" s="92"/>
      <c r="E909" s="92"/>
      <c r="F909" s="92"/>
      <c r="G909" s="92"/>
      <c r="I909" s="92"/>
    </row>
    <row r="910" ht="15.75" customHeight="1">
      <c r="A910" s="92"/>
      <c r="B910" s="92"/>
      <c r="C910" s="92"/>
      <c r="D910" s="92"/>
      <c r="E910" s="92"/>
      <c r="F910" s="92"/>
      <c r="G910" s="92"/>
      <c r="I910" s="92"/>
    </row>
    <row r="911" ht="15.75" customHeight="1">
      <c r="A911" s="92"/>
      <c r="B911" s="92"/>
      <c r="C911" s="92"/>
      <c r="D911" s="92"/>
      <c r="E911" s="92"/>
      <c r="F911" s="92"/>
      <c r="G911" s="92"/>
      <c r="I911" s="92"/>
    </row>
    <row r="912" ht="15.75" customHeight="1">
      <c r="A912" s="92"/>
      <c r="B912" s="92"/>
      <c r="C912" s="92"/>
      <c r="D912" s="92"/>
      <c r="E912" s="92"/>
      <c r="F912" s="92"/>
      <c r="G912" s="92"/>
      <c r="I912" s="92"/>
    </row>
    <row r="913" ht="15.75" customHeight="1">
      <c r="A913" s="92"/>
      <c r="B913" s="92"/>
      <c r="C913" s="92"/>
      <c r="D913" s="92"/>
      <c r="E913" s="92"/>
      <c r="F913" s="92"/>
      <c r="G913" s="92"/>
      <c r="I913" s="92"/>
    </row>
    <row r="914" ht="15.75" customHeight="1">
      <c r="A914" s="92"/>
      <c r="B914" s="92"/>
      <c r="C914" s="92"/>
      <c r="D914" s="92"/>
      <c r="E914" s="92"/>
      <c r="F914" s="92"/>
      <c r="G914" s="92"/>
      <c r="I914" s="92"/>
    </row>
    <row r="915" ht="15.75" customHeight="1">
      <c r="A915" s="92"/>
      <c r="B915" s="92"/>
      <c r="C915" s="92"/>
      <c r="D915" s="92"/>
      <c r="E915" s="92"/>
      <c r="F915" s="92"/>
      <c r="G915" s="92"/>
      <c r="I915" s="92"/>
    </row>
    <row r="916" ht="15.75" customHeight="1">
      <c r="A916" s="92"/>
      <c r="B916" s="92"/>
      <c r="C916" s="92"/>
      <c r="D916" s="92"/>
      <c r="E916" s="92"/>
      <c r="F916" s="92"/>
      <c r="G916" s="92"/>
      <c r="I916" s="92"/>
    </row>
    <row r="917" ht="15.75" customHeight="1">
      <c r="A917" s="92"/>
      <c r="B917" s="92"/>
      <c r="C917" s="92"/>
      <c r="D917" s="92"/>
      <c r="E917" s="92"/>
      <c r="F917" s="92"/>
      <c r="G917" s="92"/>
      <c r="I917" s="92"/>
    </row>
    <row r="918" ht="15.75" customHeight="1">
      <c r="A918" s="92"/>
      <c r="B918" s="92"/>
      <c r="C918" s="92"/>
      <c r="D918" s="92"/>
      <c r="E918" s="92"/>
      <c r="F918" s="92"/>
      <c r="G918" s="92"/>
      <c r="I918" s="92"/>
    </row>
    <row r="919" ht="15.75" customHeight="1">
      <c r="A919" s="92"/>
      <c r="B919" s="92"/>
      <c r="C919" s="92"/>
      <c r="D919" s="92"/>
      <c r="E919" s="92"/>
      <c r="F919" s="92"/>
      <c r="G919" s="92"/>
      <c r="I919" s="92"/>
    </row>
    <row r="920" ht="15.75" customHeight="1">
      <c r="A920" s="92"/>
      <c r="B920" s="92"/>
      <c r="C920" s="92"/>
      <c r="D920" s="92"/>
      <c r="E920" s="92"/>
      <c r="F920" s="92"/>
      <c r="G920" s="92"/>
      <c r="I920" s="92"/>
    </row>
    <row r="921" ht="15.75" customHeight="1">
      <c r="A921" s="92"/>
      <c r="B921" s="92"/>
      <c r="C921" s="92"/>
      <c r="D921" s="92"/>
      <c r="E921" s="92"/>
      <c r="F921" s="92"/>
      <c r="G921" s="92"/>
      <c r="I921" s="92"/>
    </row>
    <row r="922" ht="15.75" customHeight="1">
      <c r="A922" s="92"/>
      <c r="B922" s="92"/>
      <c r="C922" s="92"/>
      <c r="D922" s="92"/>
      <c r="E922" s="92"/>
      <c r="F922" s="92"/>
      <c r="G922" s="92"/>
      <c r="I922" s="92"/>
    </row>
    <row r="923" ht="15.75" customHeight="1">
      <c r="A923" s="92"/>
      <c r="B923" s="92"/>
      <c r="C923" s="92"/>
      <c r="D923" s="92"/>
      <c r="E923" s="92"/>
      <c r="F923" s="92"/>
      <c r="G923" s="92"/>
      <c r="I923" s="92"/>
    </row>
    <row r="924" ht="15.75" customHeight="1">
      <c r="A924" s="92"/>
      <c r="B924" s="92"/>
      <c r="C924" s="92"/>
      <c r="D924" s="92"/>
      <c r="E924" s="92"/>
      <c r="F924" s="92"/>
      <c r="G924" s="92"/>
      <c r="I924" s="92"/>
    </row>
    <row r="925" ht="15.75" customHeight="1">
      <c r="A925" s="92"/>
      <c r="B925" s="92"/>
      <c r="C925" s="92"/>
      <c r="D925" s="92"/>
      <c r="E925" s="92"/>
      <c r="F925" s="92"/>
      <c r="G925" s="92"/>
      <c r="I925" s="92"/>
    </row>
    <row r="926" ht="15.75" customHeight="1">
      <c r="A926" s="92"/>
      <c r="B926" s="92"/>
      <c r="C926" s="92"/>
      <c r="D926" s="92"/>
      <c r="E926" s="92"/>
      <c r="F926" s="92"/>
      <c r="G926" s="92"/>
      <c r="I926" s="92"/>
    </row>
    <row r="927" ht="15.75" customHeight="1">
      <c r="A927" s="92"/>
      <c r="B927" s="92"/>
      <c r="C927" s="92"/>
      <c r="D927" s="92"/>
      <c r="E927" s="92"/>
      <c r="F927" s="92"/>
      <c r="G927" s="92"/>
      <c r="I927" s="92"/>
    </row>
    <row r="928" ht="15.75" customHeight="1">
      <c r="A928" s="92"/>
      <c r="B928" s="92"/>
      <c r="C928" s="92"/>
      <c r="D928" s="92"/>
      <c r="E928" s="92"/>
      <c r="F928" s="92"/>
      <c r="G928" s="92"/>
      <c r="I928" s="92"/>
    </row>
    <row r="929" ht="15.75" customHeight="1">
      <c r="A929" s="92"/>
      <c r="B929" s="92"/>
      <c r="C929" s="92"/>
      <c r="D929" s="92"/>
      <c r="E929" s="92"/>
      <c r="F929" s="92"/>
      <c r="G929" s="92"/>
      <c r="I929" s="92"/>
    </row>
    <row r="930" ht="15.75" customHeight="1">
      <c r="A930" s="92"/>
      <c r="B930" s="92"/>
      <c r="C930" s="92"/>
      <c r="D930" s="92"/>
      <c r="E930" s="92"/>
      <c r="F930" s="92"/>
      <c r="G930" s="92"/>
      <c r="I930" s="92"/>
    </row>
    <row r="931" ht="15.75" customHeight="1">
      <c r="A931" s="92"/>
      <c r="B931" s="92"/>
      <c r="C931" s="92"/>
      <c r="D931" s="92"/>
      <c r="E931" s="92"/>
      <c r="F931" s="92"/>
      <c r="G931" s="92"/>
      <c r="I931" s="92"/>
    </row>
    <row r="932" ht="15.75" customHeight="1">
      <c r="A932" s="92"/>
      <c r="B932" s="92"/>
      <c r="C932" s="92"/>
      <c r="D932" s="92"/>
      <c r="E932" s="92"/>
      <c r="F932" s="92"/>
      <c r="G932" s="92"/>
      <c r="I932" s="92"/>
    </row>
    <row r="933" ht="15.75" customHeight="1">
      <c r="A933" s="92"/>
      <c r="B933" s="92"/>
      <c r="C933" s="92"/>
      <c r="D933" s="92"/>
      <c r="E933" s="92"/>
      <c r="F933" s="92"/>
      <c r="G933" s="92"/>
      <c r="I933" s="92"/>
    </row>
    <row r="934" ht="15.75" customHeight="1">
      <c r="A934" s="92"/>
      <c r="B934" s="92"/>
      <c r="C934" s="92"/>
      <c r="D934" s="92"/>
      <c r="E934" s="92"/>
      <c r="F934" s="92"/>
      <c r="G934" s="92"/>
      <c r="I934" s="92"/>
    </row>
    <row r="935" ht="15.75" customHeight="1">
      <c r="A935" s="92"/>
      <c r="B935" s="92"/>
      <c r="C935" s="92"/>
      <c r="D935" s="92"/>
      <c r="E935" s="92"/>
      <c r="F935" s="92"/>
      <c r="G935" s="92"/>
      <c r="I935" s="92"/>
    </row>
    <row r="936" ht="15.75" customHeight="1">
      <c r="A936" s="92"/>
      <c r="B936" s="92"/>
      <c r="C936" s="92"/>
      <c r="D936" s="92"/>
      <c r="E936" s="92"/>
      <c r="F936" s="92"/>
      <c r="G936" s="92"/>
      <c r="I936" s="92"/>
    </row>
    <row r="937" ht="15.75" customHeight="1">
      <c r="A937" s="92"/>
      <c r="B937" s="92"/>
      <c r="C937" s="92"/>
      <c r="D937" s="92"/>
      <c r="E937" s="92"/>
      <c r="F937" s="92"/>
      <c r="G937" s="92"/>
      <c r="I937" s="92"/>
    </row>
    <row r="938" ht="15.75" customHeight="1">
      <c r="A938" s="92"/>
      <c r="B938" s="92"/>
      <c r="C938" s="92"/>
      <c r="D938" s="92"/>
      <c r="E938" s="92"/>
      <c r="F938" s="92"/>
      <c r="G938" s="92"/>
      <c r="I938" s="92"/>
    </row>
    <row r="939" ht="15.75" customHeight="1">
      <c r="A939" s="92"/>
      <c r="B939" s="92"/>
      <c r="C939" s="92"/>
      <c r="D939" s="92"/>
      <c r="E939" s="92"/>
      <c r="F939" s="92"/>
      <c r="G939" s="92"/>
      <c r="I939" s="92"/>
    </row>
    <row r="940" ht="15.75" customHeight="1">
      <c r="A940" s="92"/>
      <c r="B940" s="92"/>
      <c r="C940" s="92"/>
      <c r="D940" s="92"/>
      <c r="E940" s="92"/>
      <c r="F940" s="92"/>
      <c r="G940" s="92"/>
      <c r="I940" s="92"/>
    </row>
    <row r="941" ht="15.75" customHeight="1">
      <c r="A941" s="92"/>
      <c r="B941" s="92"/>
      <c r="C941" s="92"/>
      <c r="D941" s="92"/>
      <c r="E941" s="92"/>
      <c r="F941" s="92"/>
      <c r="G941" s="92"/>
      <c r="I941" s="92"/>
    </row>
    <row r="942" ht="15.75" customHeight="1">
      <c r="A942" s="92"/>
      <c r="B942" s="92"/>
      <c r="C942" s="92"/>
      <c r="D942" s="92"/>
      <c r="E942" s="92"/>
      <c r="F942" s="92"/>
      <c r="G942" s="92"/>
      <c r="I942" s="92"/>
    </row>
    <row r="943" ht="15.75" customHeight="1">
      <c r="A943" s="92"/>
      <c r="B943" s="92"/>
      <c r="C943" s="92"/>
      <c r="D943" s="92"/>
      <c r="E943" s="92"/>
      <c r="F943" s="92"/>
      <c r="G943" s="92"/>
      <c r="I943" s="92"/>
    </row>
    <row r="944" ht="15.75" customHeight="1">
      <c r="A944" s="92"/>
      <c r="B944" s="92"/>
      <c r="C944" s="92"/>
      <c r="D944" s="92"/>
      <c r="E944" s="92"/>
      <c r="F944" s="92"/>
      <c r="G944" s="92"/>
      <c r="I944" s="92"/>
    </row>
    <row r="945" ht="15.75" customHeight="1">
      <c r="A945" s="92"/>
      <c r="B945" s="92"/>
      <c r="C945" s="92"/>
      <c r="D945" s="92"/>
      <c r="E945" s="92"/>
      <c r="F945" s="92"/>
      <c r="G945" s="92"/>
      <c r="I945" s="92"/>
    </row>
    <row r="946" ht="15.75" customHeight="1">
      <c r="A946" s="92"/>
      <c r="B946" s="92"/>
      <c r="C946" s="92"/>
      <c r="D946" s="92"/>
      <c r="E946" s="92"/>
      <c r="F946" s="92"/>
      <c r="G946" s="92"/>
      <c r="I946" s="92"/>
    </row>
    <row r="947" ht="15.75" customHeight="1">
      <c r="A947" s="92"/>
      <c r="B947" s="92"/>
      <c r="C947" s="92"/>
      <c r="D947" s="92"/>
      <c r="E947" s="92"/>
      <c r="F947" s="92"/>
      <c r="G947" s="92"/>
      <c r="I947" s="92"/>
    </row>
    <row r="948" ht="15.75" customHeight="1">
      <c r="A948" s="92"/>
      <c r="B948" s="92"/>
      <c r="C948" s="92"/>
      <c r="D948" s="92"/>
      <c r="E948" s="92"/>
      <c r="F948" s="92"/>
      <c r="G948" s="92"/>
      <c r="I948" s="92"/>
    </row>
    <row r="949" ht="15.75" customHeight="1">
      <c r="A949" s="92"/>
      <c r="B949" s="92"/>
      <c r="C949" s="92"/>
      <c r="D949" s="92"/>
      <c r="E949" s="92"/>
      <c r="F949" s="92"/>
      <c r="G949" s="92"/>
      <c r="I949" s="92"/>
    </row>
    <row r="950" ht="15.75" customHeight="1">
      <c r="A950" s="92"/>
      <c r="B950" s="92"/>
      <c r="C950" s="92"/>
      <c r="D950" s="92"/>
      <c r="E950" s="92"/>
      <c r="F950" s="92"/>
      <c r="G950" s="92"/>
      <c r="I950" s="92"/>
    </row>
    <row r="951" ht="15.75" customHeight="1">
      <c r="A951" s="92"/>
      <c r="B951" s="92"/>
      <c r="C951" s="92"/>
      <c r="D951" s="92"/>
      <c r="E951" s="92"/>
      <c r="F951" s="92"/>
      <c r="G951" s="92"/>
      <c r="I951" s="92"/>
    </row>
    <row r="952" ht="15.75" customHeight="1">
      <c r="A952" s="92"/>
      <c r="B952" s="92"/>
      <c r="C952" s="92"/>
      <c r="D952" s="92"/>
      <c r="E952" s="92"/>
      <c r="F952" s="92"/>
      <c r="G952" s="92"/>
      <c r="I952" s="92"/>
    </row>
    <row r="953" ht="15.75" customHeight="1">
      <c r="A953" s="92"/>
      <c r="B953" s="92"/>
      <c r="C953" s="92"/>
      <c r="D953" s="92"/>
      <c r="E953" s="92"/>
      <c r="F953" s="92"/>
      <c r="G953" s="92"/>
      <c r="I953" s="92"/>
    </row>
    <row r="954" ht="15.75" customHeight="1">
      <c r="A954" s="92"/>
      <c r="B954" s="92"/>
      <c r="C954" s="92"/>
      <c r="D954" s="92"/>
      <c r="E954" s="92"/>
      <c r="F954" s="92"/>
      <c r="G954" s="92"/>
      <c r="I954" s="92"/>
    </row>
    <row r="955" ht="15.75" customHeight="1">
      <c r="A955" s="92"/>
      <c r="B955" s="92"/>
      <c r="C955" s="92"/>
      <c r="D955" s="92"/>
      <c r="E955" s="92"/>
      <c r="F955" s="92"/>
      <c r="G955" s="92"/>
      <c r="I955" s="92"/>
    </row>
    <row r="956" ht="15.75" customHeight="1">
      <c r="A956" s="92"/>
      <c r="B956" s="92"/>
      <c r="C956" s="92"/>
      <c r="D956" s="92"/>
      <c r="E956" s="92"/>
      <c r="F956" s="92"/>
      <c r="G956" s="92"/>
      <c r="I956" s="92"/>
    </row>
    <row r="957" ht="15.75" customHeight="1">
      <c r="A957" s="92"/>
      <c r="B957" s="92"/>
      <c r="C957" s="92"/>
      <c r="D957" s="92"/>
      <c r="E957" s="92"/>
      <c r="F957" s="92"/>
      <c r="G957" s="92"/>
      <c r="I957" s="92"/>
    </row>
    <row r="958" ht="15.75" customHeight="1">
      <c r="A958" s="92"/>
      <c r="B958" s="92"/>
      <c r="C958" s="92"/>
      <c r="D958" s="92"/>
      <c r="E958" s="92"/>
      <c r="F958" s="92"/>
      <c r="G958" s="92"/>
      <c r="I958" s="92"/>
    </row>
    <row r="959" ht="15.75" customHeight="1">
      <c r="A959" s="92"/>
      <c r="B959" s="92"/>
      <c r="C959" s="92"/>
      <c r="D959" s="92"/>
      <c r="E959" s="92"/>
      <c r="F959" s="92"/>
      <c r="G959" s="92"/>
      <c r="I959" s="92"/>
    </row>
    <row r="960" ht="15.75" customHeight="1">
      <c r="A960" s="92"/>
      <c r="B960" s="92"/>
      <c r="C960" s="92"/>
      <c r="D960" s="92"/>
      <c r="E960" s="92"/>
      <c r="F960" s="92"/>
      <c r="G960" s="92"/>
      <c r="I960" s="92"/>
    </row>
    <row r="961" ht="15.75" customHeight="1">
      <c r="A961" s="92"/>
      <c r="B961" s="92"/>
      <c r="C961" s="92"/>
      <c r="D961" s="92"/>
      <c r="E961" s="92"/>
      <c r="F961" s="92"/>
      <c r="G961" s="92"/>
      <c r="I961" s="92"/>
    </row>
    <row r="962" ht="15.75" customHeight="1">
      <c r="A962" s="92"/>
      <c r="B962" s="92"/>
      <c r="C962" s="92"/>
      <c r="D962" s="92"/>
      <c r="E962" s="92"/>
      <c r="F962" s="92"/>
      <c r="G962" s="92"/>
      <c r="I962" s="92"/>
    </row>
    <row r="963" ht="15.75" customHeight="1">
      <c r="A963" s="92"/>
      <c r="B963" s="92"/>
      <c r="C963" s="92"/>
      <c r="D963" s="92"/>
      <c r="E963" s="92"/>
      <c r="F963" s="92"/>
      <c r="G963" s="92"/>
      <c r="I963" s="92"/>
    </row>
    <row r="964" ht="15.75" customHeight="1">
      <c r="A964" s="92"/>
      <c r="B964" s="92"/>
      <c r="C964" s="92"/>
      <c r="D964" s="92"/>
      <c r="E964" s="92"/>
      <c r="F964" s="92"/>
      <c r="G964" s="92"/>
      <c r="I964" s="92"/>
    </row>
    <row r="965" ht="15.75" customHeight="1">
      <c r="A965" s="92"/>
      <c r="B965" s="92"/>
      <c r="C965" s="92"/>
      <c r="D965" s="92"/>
      <c r="E965" s="92"/>
      <c r="F965" s="92"/>
      <c r="G965" s="92"/>
      <c r="I965" s="92"/>
    </row>
    <row r="966" ht="15.75" customHeight="1">
      <c r="A966" s="92"/>
      <c r="B966" s="92"/>
      <c r="C966" s="92"/>
      <c r="D966" s="92"/>
      <c r="E966" s="92"/>
      <c r="F966" s="92"/>
      <c r="G966" s="92"/>
      <c r="I966" s="92"/>
    </row>
    <row r="967" ht="15.75" customHeight="1">
      <c r="A967" s="92"/>
      <c r="B967" s="92"/>
      <c r="C967" s="92"/>
      <c r="D967" s="92"/>
      <c r="E967" s="92"/>
      <c r="F967" s="92"/>
      <c r="G967" s="92"/>
      <c r="I967" s="92"/>
    </row>
    <row r="968" ht="15.75" customHeight="1">
      <c r="A968" s="92"/>
      <c r="B968" s="92"/>
      <c r="C968" s="92"/>
      <c r="D968" s="92"/>
      <c r="E968" s="92"/>
      <c r="F968" s="92"/>
      <c r="G968" s="92"/>
      <c r="I968" s="92"/>
    </row>
    <row r="969" ht="15.75" customHeight="1">
      <c r="A969" s="92"/>
      <c r="B969" s="92"/>
      <c r="C969" s="92"/>
      <c r="D969" s="92"/>
      <c r="E969" s="92"/>
      <c r="F969" s="92"/>
      <c r="G969" s="92"/>
      <c r="I969" s="92"/>
    </row>
    <row r="970" ht="15.75" customHeight="1">
      <c r="A970" s="92"/>
      <c r="B970" s="92"/>
      <c r="C970" s="92"/>
      <c r="D970" s="92"/>
      <c r="E970" s="92"/>
      <c r="F970" s="92"/>
      <c r="G970" s="92"/>
      <c r="I970" s="92"/>
    </row>
    <row r="971" ht="15.75" customHeight="1">
      <c r="A971" s="92"/>
      <c r="B971" s="92"/>
      <c r="C971" s="92"/>
      <c r="D971" s="92"/>
      <c r="E971" s="92"/>
      <c r="F971" s="92"/>
      <c r="G971" s="92"/>
      <c r="I971" s="92"/>
    </row>
    <row r="972" ht="15.75" customHeight="1">
      <c r="A972" s="92"/>
      <c r="B972" s="92"/>
      <c r="C972" s="92"/>
      <c r="D972" s="92"/>
      <c r="E972" s="92"/>
      <c r="F972" s="92"/>
      <c r="G972" s="92"/>
      <c r="I972" s="92"/>
    </row>
    <row r="973" ht="15.75" customHeight="1">
      <c r="A973" s="92"/>
      <c r="B973" s="92"/>
      <c r="C973" s="92"/>
      <c r="D973" s="92"/>
      <c r="E973" s="92"/>
      <c r="F973" s="92"/>
      <c r="G973" s="92"/>
      <c r="I973" s="92"/>
    </row>
    <row r="974" ht="15.75" customHeight="1">
      <c r="A974" s="92"/>
      <c r="B974" s="92"/>
      <c r="C974" s="92"/>
      <c r="D974" s="92"/>
      <c r="E974" s="92"/>
      <c r="F974" s="92"/>
      <c r="G974" s="92"/>
      <c r="I974" s="92"/>
    </row>
    <row r="975" ht="15.75" customHeight="1">
      <c r="A975" s="92"/>
      <c r="B975" s="92"/>
      <c r="C975" s="92"/>
      <c r="D975" s="92"/>
      <c r="E975" s="92"/>
      <c r="F975" s="92"/>
      <c r="G975" s="92"/>
      <c r="I975" s="92"/>
    </row>
    <row r="976" ht="15.75" customHeight="1">
      <c r="A976" s="92"/>
      <c r="B976" s="92"/>
      <c r="C976" s="92"/>
      <c r="D976" s="92"/>
      <c r="E976" s="92"/>
      <c r="F976" s="92"/>
      <c r="G976" s="92"/>
      <c r="I976" s="92"/>
    </row>
    <row r="977" ht="15.75" customHeight="1">
      <c r="A977" s="92"/>
      <c r="B977" s="92"/>
      <c r="C977" s="92"/>
      <c r="D977" s="92"/>
      <c r="E977" s="92"/>
      <c r="F977" s="92"/>
      <c r="G977" s="92"/>
      <c r="I977" s="92"/>
    </row>
    <row r="978" ht="15.75" customHeight="1">
      <c r="A978" s="92"/>
      <c r="B978" s="92"/>
      <c r="C978" s="92"/>
      <c r="D978" s="92"/>
      <c r="E978" s="92"/>
      <c r="F978" s="92"/>
      <c r="G978" s="92"/>
      <c r="I978" s="92"/>
    </row>
    <row r="979" ht="15.75" customHeight="1">
      <c r="A979" s="92"/>
      <c r="B979" s="92"/>
      <c r="C979" s="92"/>
      <c r="D979" s="92"/>
      <c r="E979" s="92"/>
      <c r="F979" s="92"/>
      <c r="G979" s="92"/>
      <c r="I979" s="92"/>
    </row>
    <row r="980" ht="15.75" customHeight="1">
      <c r="A980" s="92"/>
      <c r="B980" s="92"/>
      <c r="C980" s="92"/>
      <c r="D980" s="92"/>
      <c r="E980" s="92"/>
      <c r="F980" s="92"/>
      <c r="G980" s="92"/>
      <c r="I980" s="92"/>
    </row>
    <row r="981" ht="15.75" customHeight="1">
      <c r="A981" s="92"/>
      <c r="B981" s="92"/>
      <c r="C981" s="92"/>
      <c r="D981" s="92"/>
      <c r="E981" s="92"/>
      <c r="F981" s="92"/>
      <c r="G981" s="92"/>
      <c r="I981" s="92"/>
    </row>
    <row r="982" ht="15.75" customHeight="1">
      <c r="A982" s="92"/>
      <c r="B982" s="92"/>
      <c r="C982" s="92"/>
      <c r="D982" s="92"/>
      <c r="E982" s="92"/>
      <c r="F982" s="92"/>
      <c r="G982" s="92"/>
      <c r="I982" s="92"/>
    </row>
    <row r="983" ht="15.75" customHeight="1">
      <c r="A983" s="92"/>
      <c r="B983" s="92"/>
      <c r="C983" s="92"/>
      <c r="D983" s="92"/>
      <c r="E983" s="92"/>
      <c r="F983" s="92"/>
      <c r="G983" s="92"/>
      <c r="I983" s="92"/>
    </row>
    <row r="984" ht="15.75" customHeight="1">
      <c r="A984" s="92"/>
      <c r="B984" s="92"/>
      <c r="C984" s="92"/>
      <c r="D984" s="92"/>
      <c r="E984" s="92"/>
      <c r="F984" s="92"/>
      <c r="G984" s="92"/>
      <c r="I984" s="92"/>
    </row>
    <row r="985" ht="15.75" customHeight="1">
      <c r="A985" s="92"/>
      <c r="B985" s="92"/>
      <c r="C985" s="92"/>
      <c r="D985" s="92"/>
      <c r="E985" s="92"/>
      <c r="F985" s="92"/>
      <c r="G985" s="92"/>
      <c r="I985" s="92"/>
    </row>
    <row r="986" ht="15.75" customHeight="1">
      <c r="A986" s="92"/>
      <c r="B986" s="92"/>
      <c r="C986" s="92"/>
      <c r="D986" s="92"/>
      <c r="E986" s="92"/>
      <c r="F986" s="92"/>
      <c r="G986" s="92"/>
      <c r="I986" s="92"/>
    </row>
    <row r="987" ht="15.75" customHeight="1">
      <c r="A987" s="92"/>
      <c r="B987" s="92"/>
      <c r="C987" s="92"/>
      <c r="D987" s="92"/>
      <c r="E987" s="92"/>
      <c r="F987" s="92"/>
      <c r="G987" s="92"/>
      <c r="I987" s="92"/>
    </row>
    <row r="988" ht="15.75" customHeight="1">
      <c r="A988" s="92"/>
      <c r="B988" s="92"/>
      <c r="C988" s="92"/>
      <c r="D988" s="92"/>
      <c r="E988" s="92"/>
      <c r="F988" s="92"/>
      <c r="G988" s="92"/>
      <c r="I988" s="92"/>
    </row>
    <row r="989" ht="15.75" customHeight="1">
      <c r="A989" s="92"/>
      <c r="B989" s="92"/>
      <c r="C989" s="92"/>
      <c r="D989" s="92"/>
      <c r="E989" s="92"/>
      <c r="F989" s="92"/>
      <c r="G989" s="92"/>
      <c r="I989" s="92"/>
    </row>
    <row r="990" ht="15.75" customHeight="1">
      <c r="A990" s="92"/>
      <c r="B990" s="92"/>
      <c r="C990" s="92"/>
      <c r="D990" s="92"/>
      <c r="E990" s="92"/>
      <c r="F990" s="92"/>
      <c r="G990" s="92"/>
      <c r="I990" s="92"/>
    </row>
    <row r="991" ht="15.75" customHeight="1">
      <c r="A991" s="92"/>
      <c r="B991" s="92"/>
      <c r="C991" s="92"/>
      <c r="D991" s="92"/>
      <c r="E991" s="92"/>
      <c r="F991" s="92"/>
      <c r="G991" s="92"/>
      <c r="I991" s="92"/>
    </row>
    <row r="992" ht="15.75" customHeight="1">
      <c r="A992" s="92"/>
      <c r="B992" s="92"/>
      <c r="C992" s="92"/>
      <c r="D992" s="92"/>
      <c r="E992" s="92"/>
      <c r="F992" s="92"/>
      <c r="G992" s="92"/>
      <c r="I992" s="92"/>
    </row>
    <row r="993" ht="15.75" customHeight="1">
      <c r="A993" s="92"/>
      <c r="B993" s="92"/>
      <c r="C993" s="92"/>
      <c r="D993" s="92"/>
      <c r="E993" s="92"/>
      <c r="F993" s="92"/>
      <c r="G993" s="92"/>
      <c r="I993" s="92"/>
    </row>
    <row r="994" ht="15.75" customHeight="1">
      <c r="A994" s="92"/>
      <c r="B994" s="92"/>
      <c r="C994" s="92"/>
      <c r="D994" s="92"/>
      <c r="E994" s="92"/>
      <c r="F994" s="92"/>
      <c r="G994" s="92"/>
      <c r="I994" s="92"/>
    </row>
    <row r="995" ht="15.75" customHeight="1">
      <c r="A995" s="92"/>
      <c r="B995" s="92"/>
      <c r="C995" s="92"/>
      <c r="D995" s="92"/>
      <c r="E995" s="92"/>
      <c r="F995" s="92"/>
      <c r="G995" s="92"/>
      <c r="I995" s="92"/>
    </row>
    <row r="996" ht="15.75" customHeight="1">
      <c r="A996" s="92"/>
      <c r="B996" s="92"/>
      <c r="C996" s="92"/>
      <c r="D996" s="92"/>
      <c r="E996" s="92"/>
      <c r="F996" s="92"/>
      <c r="G996" s="92"/>
      <c r="I996" s="92"/>
    </row>
    <row r="997" ht="15.75" customHeight="1">
      <c r="A997" s="92"/>
      <c r="B997" s="92"/>
      <c r="C997" s="92"/>
      <c r="D997" s="92"/>
      <c r="E997" s="92"/>
      <c r="F997" s="92"/>
      <c r="G997" s="92"/>
      <c r="I997" s="92"/>
    </row>
    <row r="998" ht="15.75" customHeight="1">
      <c r="A998" s="92"/>
      <c r="B998" s="92"/>
      <c r="C998" s="92"/>
      <c r="D998" s="92"/>
      <c r="E998" s="92"/>
      <c r="F998" s="92"/>
      <c r="G998" s="92"/>
      <c r="I998" s="92"/>
    </row>
    <row r="999" ht="15.75" customHeight="1">
      <c r="A999" s="92"/>
      <c r="B999" s="92"/>
      <c r="C999" s="92"/>
      <c r="D999" s="92"/>
      <c r="E999" s="92"/>
      <c r="F999" s="92"/>
      <c r="G999" s="92"/>
      <c r="I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I1000" s="92"/>
    </row>
  </sheetData>
  <mergeCells count="30">
    <mergeCell ref="A1:B2"/>
    <mergeCell ref="C1:C2"/>
    <mergeCell ref="D1:D2"/>
    <mergeCell ref="E1:E2"/>
    <mergeCell ref="F1:I2"/>
    <mergeCell ref="A3:B3"/>
    <mergeCell ref="C3:C4"/>
    <mergeCell ref="A27:A32"/>
    <mergeCell ref="A33:A34"/>
    <mergeCell ref="A35:A36"/>
    <mergeCell ref="A37:A55"/>
    <mergeCell ref="D3:D4"/>
    <mergeCell ref="E3:E4"/>
    <mergeCell ref="A5:A10"/>
    <mergeCell ref="A11:A14"/>
    <mergeCell ref="A15:A18"/>
    <mergeCell ref="A19:A23"/>
    <mergeCell ref="A24:A26"/>
    <mergeCell ref="H27:H32"/>
    <mergeCell ref="H33:H34"/>
    <mergeCell ref="H35:H36"/>
    <mergeCell ref="H37:H55"/>
    <mergeCell ref="A56:I60"/>
    <mergeCell ref="H3:H4"/>
    <mergeCell ref="I3:I4"/>
    <mergeCell ref="H5:H8"/>
    <mergeCell ref="H9:H14"/>
    <mergeCell ref="H15:H18"/>
    <mergeCell ref="H19:H23"/>
    <mergeCell ref="H24:H26"/>
  </mergeCells>
  <printOptions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106.71"/>
    <col customWidth="1" min="3" max="3" width="20.43"/>
    <col customWidth="1" min="4" max="4" width="17.43"/>
    <col customWidth="1" min="5" max="5" width="11.71"/>
    <col customWidth="1" min="6" max="6" width="21.14"/>
    <col customWidth="1" min="7" max="7" width="21.57"/>
    <col customWidth="1" min="9" max="9" width="49.71"/>
  </cols>
  <sheetData>
    <row r="1" ht="16.5" customHeight="1">
      <c r="A1" s="1" t="s">
        <v>153</v>
      </c>
      <c r="B1" s="2"/>
      <c r="C1" s="154" t="s">
        <v>66</v>
      </c>
      <c r="D1" s="155" t="s">
        <v>154</v>
      </c>
      <c r="E1" s="156" t="s">
        <v>155</v>
      </c>
      <c r="F1" s="6"/>
      <c r="G1" s="2"/>
      <c r="H1" s="2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2"/>
    </row>
    <row r="2" ht="16.5" customHeight="1">
      <c r="A2" s="10"/>
      <c r="C2" s="11"/>
      <c r="D2" s="36"/>
      <c r="E2" s="11"/>
      <c r="F2" s="13"/>
      <c r="I2" s="1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2"/>
    </row>
    <row r="3" ht="16.5" customHeight="1">
      <c r="A3" s="15"/>
      <c r="B3" s="16"/>
      <c r="C3" s="21"/>
      <c r="D3" s="22"/>
      <c r="E3" s="157"/>
      <c r="F3" s="19" t="s">
        <v>4</v>
      </c>
      <c r="G3" s="20" t="s">
        <v>5</v>
      </c>
      <c r="H3" s="21" t="s">
        <v>6</v>
      </c>
      <c r="I3" s="22" t="s">
        <v>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2"/>
    </row>
    <row r="4" ht="16.5" customHeight="1">
      <c r="A4" s="23" t="s">
        <v>8</v>
      </c>
      <c r="B4" s="24" t="s">
        <v>9</v>
      </c>
      <c r="C4" s="28"/>
      <c r="D4" s="25"/>
      <c r="E4" s="26"/>
      <c r="F4" s="27" t="s">
        <v>10</v>
      </c>
      <c r="G4" s="27" t="s">
        <v>11</v>
      </c>
      <c r="H4" s="28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2"/>
    </row>
    <row r="5" ht="16.5" customHeight="1">
      <c r="A5" s="158" t="s">
        <v>156</v>
      </c>
      <c r="B5" s="94" t="s">
        <v>157</v>
      </c>
      <c r="C5" s="128">
        <v>390000.0</v>
      </c>
      <c r="D5" s="125">
        <f t="shared" ref="D5:D15" si="1">E5*2-1000</f>
        <v>697000</v>
      </c>
      <c r="E5" s="159">
        <v>349000.0</v>
      </c>
      <c r="F5" s="143"/>
      <c r="G5" s="96"/>
      <c r="H5" s="65"/>
      <c r="I5" s="3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2"/>
    </row>
    <row r="6" ht="16.5" customHeight="1">
      <c r="A6" s="36"/>
      <c r="B6" s="97" t="s">
        <v>158</v>
      </c>
      <c r="C6" s="74">
        <v>489000.0</v>
      </c>
      <c r="D6" s="99">
        <f t="shared" si="1"/>
        <v>797000</v>
      </c>
      <c r="E6" s="160">
        <v>399000.0</v>
      </c>
      <c r="F6" s="143"/>
      <c r="G6" s="40"/>
      <c r="H6" s="26"/>
      <c r="I6" s="4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2"/>
    </row>
    <row r="7" ht="16.5" customHeight="1">
      <c r="A7" s="36"/>
      <c r="B7" s="97" t="s">
        <v>159</v>
      </c>
      <c r="C7" s="161">
        <v>559000.0</v>
      </c>
      <c r="D7" s="99">
        <f t="shared" si="1"/>
        <v>997000</v>
      </c>
      <c r="E7" s="160">
        <v>499000.0</v>
      </c>
      <c r="F7" s="127"/>
      <c r="G7" s="80"/>
      <c r="H7" s="26"/>
      <c r="I7" s="4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2"/>
    </row>
    <row r="8" ht="16.5" customHeight="1">
      <c r="A8" s="36"/>
      <c r="B8" s="97" t="s">
        <v>160</v>
      </c>
      <c r="C8" s="161">
        <v>597000.0</v>
      </c>
      <c r="D8" s="99">
        <f t="shared" si="1"/>
        <v>997000</v>
      </c>
      <c r="E8" s="160">
        <v>499000.0</v>
      </c>
      <c r="F8" s="105"/>
      <c r="G8" s="80"/>
      <c r="H8" s="26"/>
      <c r="I8" s="4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2"/>
    </row>
    <row r="9" ht="16.5" customHeight="1">
      <c r="A9" s="36"/>
      <c r="B9" s="97" t="s">
        <v>161</v>
      </c>
      <c r="C9" s="161">
        <v>629000.0</v>
      </c>
      <c r="D9" s="99">
        <f t="shared" si="1"/>
        <v>1097000</v>
      </c>
      <c r="E9" s="160">
        <v>549000.0</v>
      </c>
      <c r="F9" s="105"/>
      <c r="G9" s="80"/>
      <c r="H9" s="12"/>
      <c r="I9" s="4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2"/>
    </row>
    <row r="10" ht="16.5" customHeight="1">
      <c r="A10" s="36"/>
      <c r="B10" s="97" t="s">
        <v>162</v>
      </c>
      <c r="C10" s="161">
        <v>749000.0</v>
      </c>
      <c r="D10" s="99">
        <f t="shared" si="1"/>
        <v>1397000</v>
      </c>
      <c r="E10" s="160">
        <v>699000.0</v>
      </c>
      <c r="F10" s="105"/>
      <c r="G10" s="46"/>
      <c r="H10" s="100"/>
      <c r="I10" s="4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2"/>
    </row>
    <row r="11" ht="16.5" customHeight="1">
      <c r="A11" s="48"/>
      <c r="B11" s="97" t="s">
        <v>163</v>
      </c>
      <c r="C11" s="162">
        <v>2000000.0</v>
      </c>
      <c r="D11" s="102">
        <f t="shared" si="1"/>
        <v>3297000</v>
      </c>
      <c r="E11" s="103">
        <v>1649000.0</v>
      </c>
      <c r="F11" s="127"/>
      <c r="G11" s="80"/>
      <c r="H11" s="26"/>
      <c r="I11" s="4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2"/>
    </row>
    <row r="12" ht="16.5" customHeight="1">
      <c r="A12" s="142" t="s">
        <v>164</v>
      </c>
      <c r="B12" s="107" t="s">
        <v>51</v>
      </c>
      <c r="C12" s="163">
        <v>129000.0</v>
      </c>
      <c r="D12" s="125">
        <f t="shared" si="1"/>
        <v>197000</v>
      </c>
      <c r="E12" s="163">
        <v>99000.0</v>
      </c>
      <c r="F12" s="105"/>
      <c r="G12" s="80"/>
      <c r="H12" s="26"/>
      <c r="I12" s="4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2"/>
    </row>
    <row r="13" ht="16.5" customHeight="1">
      <c r="A13" s="10"/>
      <c r="B13" s="109" t="s">
        <v>165</v>
      </c>
      <c r="C13" s="163">
        <v>248000.0</v>
      </c>
      <c r="D13" s="99">
        <f t="shared" si="1"/>
        <v>397000</v>
      </c>
      <c r="E13" s="88">
        <v>199000.0</v>
      </c>
      <c r="F13" s="105"/>
      <c r="G13" s="80"/>
      <c r="H13" s="26"/>
      <c r="I13" s="4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2"/>
    </row>
    <row r="14" ht="16.5" customHeight="1">
      <c r="A14" s="10"/>
      <c r="B14" s="109" t="s">
        <v>166</v>
      </c>
      <c r="C14" s="163">
        <v>268000.0</v>
      </c>
      <c r="D14" s="99">
        <f t="shared" si="1"/>
        <v>437000</v>
      </c>
      <c r="E14" s="88">
        <v>219000.0</v>
      </c>
      <c r="F14" s="105"/>
      <c r="G14" s="80"/>
      <c r="H14" s="26"/>
      <c r="I14" s="4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2"/>
    </row>
    <row r="15" ht="16.5" customHeight="1">
      <c r="A15" s="58"/>
      <c r="B15" s="110" t="s">
        <v>167</v>
      </c>
      <c r="C15" s="164">
        <f>360000+39000*3</f>
        <v>477000</v>
      </c>
      <c r="D15" s="102">
        <f t="shared" si="1"/>
        <v>717000</v>
      </c>
      <c r="E15" s="126">
        <v>359000.0</v>
      </c>
      <c r="F15" s="105"/>
      <c r="G15" s="80"/>
      <c r="H15" s="12"/>
      <c r="I15" s="4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2"/>
    </row>
    <row r="16" ht="16.5" customHeight="1">
      <c r="A16" s="142" t="s">
        <v>168</v>
      </c>
      <c r="B16" s="109" t="s">
        <v>169</v>
      </c>
      <c r="C16" s="108">
        <v>256000.0</v>
      </c>
      <c r="D16" s="125">
        <v>397000.0</v>
      </c>
      <c r="E16" s="108">
        <v>199000.0</v>
      </c>
      <c r="F16" s="105"/>
      <c r="G16" s="80"/>
      <c r="H16" s="47"/>
      <c r="I16" s="4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2"/>
    </row>
    <row r="17" ht="16.5" customHeight="1">
      <c r="A17" s="10"/>
      <c r="B17" s="109" t="s">
        <v>170</v>
      </c>
      <c r="C17" s="88">
        <v>398000.0</v>
      </c>
      <c r="D17" s="99">
        <v>637000.0</v>
      </c>
      <c r="E17" s="88">
        <v>319000.0</v>
      </c>
      <c r="F17" s="105"/>
      <c r="G17" s="46"/>
      <c r="H17" s="26"/>
      <c r="I17" s="4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2"/>
    </row>
    <row r="18" ht="16.5" customHeight="1">
      <c r="A18" s="10"/>
      <c r="B18" s="109" t="s">
        <v>171</v>
      </c>
      <c r="C18" s="88">
        <v>500000.0</v>
      </c>
      <c r="D18" s="99">
        <v>799000.0</v>
      </c>
      <c r="E18" s="88">
        <v>400000.0</v>
      </c>
      <c r="F18" s="127"/>
      <c r="G18" s="80"/>
      <c r="H18" s="26"/>
      <c r="I18" s="4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2"/>
    </row>
    <row r="19" ht="16.5" customHeight="1">
      <c r="A19" s="58"/>
      <c r="B19" s="110" t="s">
        <v>172</v>
      </c>
      <c r="C19" s="163">
        <v>658000.0</v>
      </c>
      <c r="D19" s="102">
        <v>1097000.0</v>
      </c>
      <c r="E19" s="88">
        <v>549000.0</v>
      </c>
      <c r="F19" s="105"/>
      <c r="G19" s="80"/>
      <c r="H19" s="26"/>
      <c r="I19" s="4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2"/>
    </row>
    <row r="20" ht="16.5" customHeight="1">
      <c r="A20" s="60" t="s">
        <v>28</v>
      </c>
      <c r="B20" s="66" t="s">
        <v>173</v>
      </c>
      <c r="C20" s="112">
        <v>79000.0</v>
      </c>
      <c r="D20" s="125">
        <v>97000.0</v>
      </c>
      <c r="E20" s="112">
        <v>49000.0</v>
      </c>
      <c r="F20" s="113"/>
      <c r="G20" s="64"/>
      <c r="H20" s="65"/>
      <c r="I20" s="4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2"/>
    </row>
    <row r="21" ht="16.5" customHeight="1">
      <c r="A21" s="10"/>
      <c r="B21" s="66" t="s">
        <v>174</v>
      </c>
      <c r="C21" s="114">
        <v>179000.0</v>
      </c>
      <c r="D21" s="99">
        <v>257000.0</v>
      </c>
      <c r="E21" s="114">
        <v>129000.0</v>
      </c>
      <c r="F21" s="113"/>
      <c r="G21" s="64"/>
      <c r="H21" s="26"/>
      <c r="I21" s="4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2"/>
    </row>
    <row r="22" ht="16.5" customHeight="1">
      <c r="A22" s="10"/>
      <c r="B22" s="66" t="s">
        <v>175</v>
      </c>
      <c r="C22" s="114">
        <v>179000.0</v>
      </c>
      <c r="D22" s="99">
        <v>257000.0</v>
      </c>
      <c r="E22" s="114">
        <v>129000.0</v>
      </c>
      <c r="F22" s="113"/>
      <c r="G22" s="64"/>
      <c r="H22" s="26"/>
      <c r="I22" s="4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2"/>
    </row>
    <row r="23" ht="16.5" customHeight="1">
      <c r="A23" s="10"/>
      <c r="B23" s="66" t="s">
        <v>176</v>
      </c>
      <c r="C23" s="114">
        <v>199000.0</v>
      </c>
      <c r="D23" s="99">
        <v>297000.0</v>
      </c>
      <c r="E23" s="114">
        <v>149000.0</v>
      </c>
      <c r="F23" s="113"/>
      <c r="G23" s="72"/>
      <c r="H23" s="26"/>
      <c r="I23" s="4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2"/>
    </row>
    <row r="24" ht="16.5" customHeight="1">
      <c r="A24" s="10"/>
      <c r="B24" s="66" t="s">
        <v>177</v>
      </c>
      <c r="C24" s="114">
        <v>240000.0</v>
      </c>
      <c r="D24" s="99">
        <v>377000.0</v>
      </c>
      <c r="E24" s="114">
        <v>189000.0</v>
      </c>
      <c r="F24" s="113"/>
      <c r="G24" s="64"/>
      <c r="H24" s="26"/>
      <c r="I24" s="4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2"/>
    </row>
    <row r="25" ht="16.5" customHeight="1">
      <c r="A25" s="10"/>
      <c r="B25" s="66" t="s">
        <v>178</v>
      </c>
      <c r="C25" s="114">
        <v>267000.0</v>
      </c>
      <c r="D25" s="99">
        <v>397000.0</v>
      </c>
      <c r="E25" s="114">
        <v>199000.0</v>
      </c>
      <c r="F25" s="113"/>
      <c r="G25" s="64"/>
      <c r="H25" s="26"/>
      <c r="I25" s="4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2"/>
    </row>
    <row r="26" ht="16.5" customHeight="1">
      <c r="A26" s="58"/>
      <c r="B26" s="59" t="s">
        <v>179</v>
      </c>
      <c r="C26" s="146">
        <v>308000.0</v>
      </c>
      <c r="D26" s="102">
        <v>537000.0</v>
      </c>
      <c r="E26" s="146">
        <v>269000.0</v>
      </c>
      <c r="F26" s="113"/>
      <c r="G26" s="64"/>
      <c r="H26" s="26"/>
      <c r="I26" s="4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2"/>
    </row>
    <row r="27" ht="16.5" customHeight="1">
      <c r="A27" s="117" t="s">
        <v>91</v>
      </c>
      <c r="B27" s="66" t="s">
        <v>142</v>
      </c>
      <c r="C27" s="112">
        <v>70000.0</v>
      </c>
      <c r="D27" s="125">
        <f t="shared" ref="D27:D68" si="2">E27*2-1000</f>
        <v>117000</v>
      </c>
      <c r="E27" s="112">
        <v>59000.0</v>
      </c>
      <c r="F27" s="121"/>
      <c r="G27" s="75"/>
      <c r="H27" s="76"/>
      <c r="I27" s="4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2"/>
    </row>
    <row r="28" ht="16.5" customHeight="1">
      <c r="A28" s="25"/>
      <c r="B28" s="66" t="s">
        <v>143</v>
      </c>
      <c r="C28" s="114">
        <v>99000.0</v>
      </c>
      <c r="D28" s="99">
        <f t="shared" si="2"/>
        <v>177000</v>
      </c>
      <c r="E28" s="114">
        <v>89000.0</v>
      </c>
      <c r="F28" s="121"/>
      <c r="G28" s="75"/>
      <c r="H28" s="26"/>
      <c r="I28" s="4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2"/>
    </row>
    <row r="29" ht="16.5" customHeight="1">
      <c r="A29" s="11"/>
      <c r="B29" s="66" t="s">
        <v>144</v>
      </c>
      <c r="C29" s="146">
        <v>157000.0</v>
      </c>
      <c r="D29" s="102">
        <f t="shared" si="2"/>
        <v>197000</v>
      </c>
      <c r="E29" s="146">
        <v>99000.0</v>
      </c>
      <c r="F29" s="105"/>
      <c r="G29" s="80"/>
      <c r="H29" s="12"/>
      <c r="I29" s="4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2"/>
    </row>
    <row r="30" ht="16.5" customHeight="1">
      <c r="A30" s="165" t="s">
        <v>180</v>
      </c>
      <c r="B30" s="166" t="s">
        <v>181</v>
      </c>
      <c r="C30" s="167">
        <v>1190000.0</v>
      </c>
      <c r="D30" s="125">
        <f t="shared" si="2"/>
        <v>2179000</v>
      </c>
      <c r="E30" s="168">
        <v>1090000.0</v>
      </c>
      <c r="F30" s="105"/>
      <c r="G30" s="80"/>
      <c r="H30" s="169"/>
      <c r="I30" s="13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2"/>
    </row>
    <row r="31" ht="16.5" customHeight="1">
      <c r="A31" s="25"/>
      <c r="B31" s="170" t="s">
        <v>182</v>
      </c>
      <c r="C31" s="171">
        <v>1440000.0</v>
      </c>
      <c r="D31" s="99">
        <f t="shared" si="2"/>
        <v>2779000</v>
      </c>
      <c r="E31" s="172">
        <v>1390000.0</v>
      </c>
      <c r="F31" s="80"/>
      <c r="G31" s="80"/>
      <c r="H31" s="169"/>
      <c r="I31" s="132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2"/>
    </row>
    <row r="32" ht="16.5" customHeight="1">
      <c r="A32" s="25"/>
      <c r="B32" s="170" t="s">
        <v>183</v>
      </c>
      <c r="C32" s="171">
        <v>2100000.0</v>
      </c>
      <c r="D32" s="99">
        <f t="shared" si="2"/>
        <v>3979000</v>
      </c>
      <c r="E32" s="172">
        <v>1990000.0</v>
      </c>
      <c r="F32" s="80"/>
      <c r="G32" s="80"/>
      <c r="H32" s="169"/>
      <c r="I32" s="132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2"/>
    </row>
    <row r="33" ht="16.5" customHeight="1">
      <c r="A33" s="25"/>
      <c r="B33" s="170" t="s">
        <v>184</v>
      </c>
      <c r="C33" s="171">
        <v>1900000.0</v>
      </c>
      <c r="D33" s="99">
        <f t="shared" si="2"/>
        <v>3599000</v>
      </c>
      <c r="E33" s="172">
        <v>1800000.0</v>
      </c>
      <c r="F33" s="80"/>
      <c r="G33" s="80"/>
      <c r="H33" s="169"/>
      <c r="I33" s="13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2"/>
    </row>
    <row r="34" ht="16.5" customHeight="1">
      <c r="A34" s="25"/>
      <c r="B34" s="170" t="s">
        <v>185</v>
      </c>
      <c r="C34" s="171">
        <v>2700000.0</v>
      </c>
      <c r="D34" s="99">
        <f t="shared" si="2"/>
        <v>5199000</v>
      </c>
      <c r="E34" s="172">
        <v>2600000.0</v>
      </c>
      <c r="F34" s="80"/>
      <c r="G34" s="80"/>
      <c r="H34" s="169"/>
      <c r="I34" s="13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2"/>
    </row>
    <row r="35" ht="16.5" customHeight="1">
      <c r="A35" s="25"/>
      <c r="B35" s="170" t="s">
        <v>186</v>
      </c>
      <c r="C35" s="171">
        <v>1750000.0</v>
      </c>
      <c r="D35" s="99">
        <f t="shared" si="2"/>
        <v>3299000</v>
      </c>
      <c r="E35" s="172">
        <v>1650000.0</v>
      </c>
      <c r="F35" s="80"/>
      <c r="G35" s="80"/>
      <c r="H35" s="169"/>
      <c r="I35" s="13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2"/>
    </row>
    <row r="36" ht="16.5" customHeight="1">
      <c r="A36" s="25"/>
      <c r="B36" s="170" t="s">
        <v>187</v>
      </c>
      <c r="C36" s="171">
        <v>2450000.0</v>
      </c>
      <c r="D36" s="99">
        <f t="shared" si="2"/>
        <v>4699000</v>
      </c>
      <c r="E36" s="172">
        <v>2350000.0</v>
      </c>
      <c r="F36" s="80"/>
      <c r="G36" s="80"/>
      <c r="H36" s="169"/>
      <c r="I36" s="13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2"/>
    </row>
    <row r="37" ht="16.5" customHeight="1">
      <c r="A37" s="25"/>
      <c r="B37" s="170" t="s">
        <v>188</v>
      </c>
      <c r="C37" s="171">
        <v>276000.0</v>
      </c>
      <c r="D37" s="99">
        <f t="shared" si="2"/>
        <v>499000</v>
      </c>
      <c r="E37" s="172">
        <v>250000.0</v>
      </c>
      <c r="F37" s="80"/>
      <c r="G37" s="80"/>
      <c r="H37" s="169"/>
      <c r="I37" s="13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2"/>
    </row>
    <row r="38" ht="16.5" customHeight="1">
      <c r="A38" s="25"/>
      <c r="B38" s="170" t="s">
        <v>189</v>
      </c>
      <c r="C38" s="173"/>
      <c r="D38" s="99">
        <f t="shared" si="2"/>
        <v>399000</v>
      </c>
      <c r="E38" s="172">
        <v>200000.0</v>
      </c>
      <c r="F38" s="80"/>
      <c r="G38" s="80"/>
      <c r="H38" s="169"/>
      <c r="I38" s="13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2"/>
    </row>
    <row r="39" ht="16.5" customHeight="1">
      <c r="A39" s="25"/>
      <c r="B39" s="174" t="s">
        <v>190</v>
      </c>
      <c r="C39" s="173"/>
      <c r="D39" s="99">
        <f t="shared" si="2"/>
        <v>299000</v>
      </c>
      <c r="E39" s="172">
        <v>150000.0</v>
      </c>
      <c r="F39" s="105"/>
      <c r="G39" s="80"/>
      <c r="H39" s="169"/>
      <c r="I39" s="132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2"/>
    </row>
    <row r="40" ht="16.5" customHeight="1">
      <c r="A40" s="25"/>
      <c r="B40" s="174" t="s">
        <v>191</v>
      </c>
      <c r="C40" s="173"/>
      <c r="D40" s="99">
        <f t="shared" si="2"/>
        <v>199000</v>
      </c>
      <c r="E40" s="172">
        <v>100000.0</v>
      </c>
      <c r="F40" s="105"/>
      <c r="G40" s="80"/>
      <c r="H40" s="169"/>
      <c r="I40" s="13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2"/>
    </row>
    <row r="41" ht="16.5" customHeight="1">
      <c r="A41" s="25"/>
      <c r="B41" s="174" t="s">
        <v>192</v>
      </c>
      <c r="C41" s="173"/>
      <c r="D41" s="99">
        <f t="shared" si="2"/>
        <v>359000</v>
      </c>
      <c r="E41" s="172">
        <v>180000.0</v>
      </c>
      <c r="F41" s="105"/>
      <c r="G41" s="80"/>
      <c r="H41" s="169"/>
      <c r="I41" s="13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2"/>
    </row>
    <row r="42" ht="16.5" customHeight="1">
      <c r="A42" s="25"/>
      <c r="B42" s="174" t="s">
        <v>193</v>
      </c>
      <c r="C42" s="173"/>
      <c r="D42" s="99">
        <f t="shared" si="2"/>
        <v>399000</v>
      </c>
      <c r="E42" s="172">
        <v>200000.0</v>
      </c>
      <c r="F42" s="105"/>
      <c r="G42" s="80"/>
      <c r="H42" s="169"/>
      <c r="I42" s="13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2"/>
    </row>
    <row r="43" ht="16.5" customHeight="1">
      <c r="A43" s="11"/>
      <c r="B43" s="174" t="s">
        <v>194</v>
      </c>
      <c r="C43" s="175"/>
      <c r="D43" s="102">
        <f t="shared" si="2"/>
        <v>799000</v>
      </c>
      <c r="E43" s="176">
        <v>400000.0</v>
      </c>
      <c r="F43" s="105"/>
      <c r="G43" s="80"/>
      <c r="H43" s="177"/>
      <c r="I43" s="13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2"/>
    </row>
    <row r="44" ht="16.5" customHeight="1">
      <c r="A44" s="178" t="s">
        <v>145</v>
      </c>
      <c r="B44" s="166" t="s">
        <v>146</v>
      </c>
      <c r="C44" s="144">
        <v>500000.0</v>
      </c>
      <c r="D44" s="125">
        <f t="shared" si="2"/>
        <v>899000</v>
      </c>
      <c r="E44" s="134">
        <v>450000.0</v>
      </c>
      <c r="F44" s="105"/>
      <c r="G44" s="80"/>
      <c r="H44" s="169"/>
      <c r="I44" s="13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2"/>
    </row>
    <row r="45" ht="16.5" customHeight="1">
      <c r="A45" s="28"/>
      <c r="B45" s="174" t="s">
        <v>147</v>
      </c>
      <c r="C45" s="145">
        <v>1400000.0</v>
      </c>
      <c r="D45" s="99">
        <f t="shared" si="2"/>
        <v>2399000</v>
      </c>
      <c r="E45" s="131">
        <v>1200000.0</v>
      </c>
      <c r="F45" s="105"/>
      <c r="G45" s="80"/>
      <c r="H45" s="169"/>
      <c r="I45" s="13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2"/>
    </row>
    <row r="46" ht="16.5" customHeight="1">
      <c r="A46" s="28"/>
      <c r="B46" s="174" t="s">
        <v>148</v>
      </c>
      <c r="C46" s="145">
        <v>650000.0</v>
      </c>
      <c r="D46" s="99">
        <f t="shared" si="2"/>
        <v>1199000</v>
      </c>
      <c r="E46" s="131">
        <v>600000.0</v>
      </c>
      <c r="F46" s="105"/>
      <c r="G46" s="80"/>
      <c r="H46" s="169"/>
      <c r="I46" s="13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2"/>
    </row>
    <row r="47" ht="16.5" customHeight="1">
      <c r="A47" s="28"/>
      <c r="B47" s="174" t="s">
        <v>149</v>
      </c>
      <c r="C47" s="145">
        <v>1100000.0</v>
      </c>
      <c r="D47" s="99">
        <f t="shared" si="2"/>
        <v>1999000</v>
      </c>
      <c r="E47" s="131">
        <v>1000000.0</v>
      </c>
      <c r="F47" s="105"/>
      <c r="G47" s="80"/>
      <c r="H47" s="169"/>
      <c r="I47" s="13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2"/>
    </row>
    <row r="48" ht="16.5" customHeight="1">
      <c r="A48" s="28"/>
      <c r="B48" s="174" t="s">
        <v>150</v>
      </c>
      <c r="C48" s="145">
        <v>650000.0</v>
      </c>
      <c r="D48" s="99">
        <f t="shared" si="2"/>
        <v>1199000</v>
      </c>
      <c r="E48" s="131">
        <v>600000.0</v>
      </c>
      <c r="F48" s="105"/>
      <c r="G48" s="80"/>
      <c r="H48" s="169"/>
      <c r="I48" s="132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2"/>
    </row>
    <row r="49" ht="16.5" customHeight="1">
      <c r="A49" s="149"/>
      <c r="B49" s="179" t="s">
        <v>151</v>
      </c>
      <c r="C49" s="147">
        <v>650000.0</v>
      </c>
      <c r="D49" s="102">
        <f t="shared" si="2"/>
        <v>1199000</v>
      </c>
      <c r="E49" s="140">
        <v>600000.0</v>
      </c>
      <c r="F49" s="105"/>
      <c r="G49" s="80"/>
      <c r="H49" s="177"/>
      <c r="I49" s="13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2"/>
    </row>
    <row r="50" ht="16.5" customHeight="1">
      <c r="A50" s="52" t="s">
        <v>98</v>
      </c>
      <c r="B50" s="135" t="s">
        <v>99</v>
      </c>
      <c r="C50" s="180"/>
      <c r="D50" s="99">
        <f t="shared" si="2"/>
        <v>1199000</v>
      </c>
      <c r="E50" s="181">
        <v>600000.0</v>
      </c>
      <c r="F50" s="105"/>
      <c r="G50" s="46"/>
      <c r="H50" s="47"/>
      <c r="I50" s="132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2"/>
    </row>
    <row r="51" ht="16.5" customHeight="1">
      <c r="A51" s="10"/>
      <c r="B51" s="137" t="s">
        <v>100</v>
      </c>
      <c r="C51" s="182"/>
      <c r="D51" s="99">
        <f t="shared" si="2"/>
        <v>1799000</v>
      </c>
      <c r="E51" s="183">
        <v>900000.0</v>
      </c>
      <c r="F51" s="105"/>
      <c r="G51" s="80"/>
      <c r="H51" s="26"/>
      <c r="I51" s="132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2"/>
    </row>
    <row r="52" ht="16.5" customHeight="1">
      <c r="A52" s="10"/>
      <c r="B52" s="137" t="s">
        <v>101</v>
      </c>
      <c r="C52" s="182"/>
      <c r="D52" s="99">
        <f t="shared" si="2"/>
        <v>2199000</v>
      </c>
      <c r="E52" s="183">
        <v>1100000.0</v>
      </c>
      <c r="F52" s="105"/>
      <c r="G52" s="80"/>
      <c r="H52" s="26"/>
      <c r="I52" s="132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2"/>
    </row>
    <row r="53" ht="16.5" customHeight="1">
      <c r="A53" s="10"/>
      <c r="B53" s="137" t="s">
        <v>102</v>
      </c>
      <c r="C53" s="182"/>
      <c r="D53" s="99">
        <f t="shared" si="2"/>
        <v>899000</v>
      </c>
      <c r="E53" s="183">
        <v>450000.0</v>
      </c>
      <c r="F53" s="105"/>
      <c r="G53" s="80"/>
      <c r="H53" s="26"/>
      <c r="I53" s="132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2"/>
    </row>
    <row r="54" ht="16.5" customHeight="1">
      <c r="A54" s="10"/>
      <c r="B54" s="137" t="s">
        <v>103</v>
      </c>
      <c r="C54" s="182"/>
      <c r="D54" s="99">
        <f t="shared" si="2"/>
        <v>1599000</v>
      </c>
      <c r="E54" s="183">
        <v>800000.0</v>
      </c>
      <c r="F54" s="105"/>
      <c r="G54" s="80"/>
      <c r="H54" s="26"/>
      <c r="I54" s="13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2"/>
    </row>
    <row r="55" ht="16.5" customHeight="1">
      <c r="A55" s="10"/>
      <c r="B55" s="137" t="s">
        <v>104</v>
      </c>
      <c r="C55" s="182"/>
      <c r="D55" s="99">
        <f t="shared" si="2"/>
        <v>2199000</v>
      </c>
      <c r="E55" s="183">
        <v>1100000.0</v>
      </c>
      <c r="F55" s="105"/>
      <c r="G55" s="80"/>
      <c r="H55" s="26"/>
      <c r="I55" s="132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2"/>
    </row>
    <row r="56" ht="16.5" customHeight="1">
      <c r="A56" s="10"/>
      <c r="B56" s="137" t="s">
        <v>105</v>
      </c>
      <c r="C56" s="182"/>
      <c r="D56" s="99">
        <f t="shared" si="2"/>
        <v>1799000</v>
      </c>
      <c r="E56" s="183">
        <v>900000.0</v>
      </c>
      <c r="F56" s="105"/>
      <c r="G56" s="80"/>
      <c r="H56" s="26"/>
      <c r="I56" s="13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2"/>
    </row>
    <row r="57" ht="16.5" customHeight="1">
      <c r="A57" s="10"/>
      <c r="B57" s="111" t="s">
        <v>106</v>
      </c>
      <c r="C57" s="182"/>
      <c r="D57" s="99">
        <f t="shared" si="2"/>
        <v>3399000</v>
      </c>
      <c r="E57" s="183">
        <v>1700000.0</v>
      </c>
      <c r="F57" s="105"/>
      <c r="G57" s="80"/>
      <c r="H57" s="26"/>
      <c r="I57" s="13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2"/>
    </row>
    <row r="58" ht="16.5" customHeight="1">
      <c r="A58" s="10"/>
      <c r="B58" s="111" t="s">
        <v>107</v>
      </c>
      <c r="C58" s="182"/>
      <c r="D58" s="99">
        <f t="shared" si="2"/>
        <v>1599000</v>
      </c>
      <c r="E58" s="183">
        <v>800000.0</v>
      </c>
      <c r="F58" s="105"/>
      <c r="G58" s="80"/>
      <c r="H58" s="26"/>
      <c r="I58" s="132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2"/>
    </row>
    <row r="59" ht="16.5" customHeight="1">
      <c r="A59" s="10"/>
      <c r="B59" s="111" t="s">
        <v>108</v>
      </c>
      <c r="C59" s="182"/>
      <c r="D59" s="99">
        <f t="shared" si="2"/>
        <v>2999000</v>
      </c>
      <c r="E59" s="183">
        <v>1500000.0</v>
      </c>
      <c r="F59" s="105"/>
      <c r="G59" s="80"/>
      <c r="H59" s="26"/>
      <c r="I59" s="132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2"/>
    </row>
    <row r="60" ht="16.5" customHeight="1">
      <c r="A60" s="10"/>
      <c r="B60" s="111" t="s">
        <v>109</v>
      </c>
      <c r="C60" s="182"/>
      <c r="D60" s="99">
        <f t="shared" si="2"/>
        <v>1399000</v>
      </c>
      <c r="E60" s="183">
        <v>700000.0</v>
      </c>
      <c r="F60" s="105"/>
      <c r="G60" s="80"/>
      <c r="H60" s="26"/>
      <c r="I60" s="132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2"/>
    </row>
    <row r="61" ht="16.5" customHeight="1">
      <c r="A61" s="10"/>
      <c r="B61" s="111" t="s">
        <v>110</v>
      </c>
      <c r="C61" s="182"/>
      <c r="D61" s="99">
        <f t="shared" si="2"/>
        <v>1799000</v>
      </c>
      <c r="E61" s="183">
        <v>900000.0</v>
      </c>
      <c r="F61" s="105"/>
      <c r="G61" s="80"/>
      <c r="H61" s="26"/>
      <c r="I61" s="13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2"/>
    </row>
    <row r="62" ht="16.5" customHeight="1">
      <c r="A62" s="10"/>
      <c r="B62" s="111" t="s">
        <v>111</v>
      </c>
      <c r="C62" s="111"/>
      <c r="D62" s="99">
        <f t="shared" si="2"/>
        <v>499000</v>
      </c>
      <c r="E62" s="183">
        <v>250000.0</v>
      </c>
      <c r="F62" s="105"/>
      <c r="G62" s="80"/>
      <c r="H62" s="26"/>
      <c r="I62" s="13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2"/>
    </row>
    <row r="63" ht="16.5" customHeight="1">
      <c r="A63" s="10"/>
      <c r="B63" s="111" t="s">
        <v>112</v>
      </c>
      <c r="C63" s="111"/>
      <c r="D63" s="99">
        <f t="shared" si="2"/>
        <v>399000</v>
      </c>
      <c r="E63" s="183">
        <v>200000.0</v>
      </c>
      <c r="F63" s="105"/>
      <c r="G63" s="80"/>
      <c r="H63" s="26"/>
      <c r="I63" s="132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2"/>
    </row>
    <row r="64" ht="16.5" customHeight="1">
      <c r="A64" s="10"/>
      <c r="B64" s="111" t="s">
        <v>113</v>
      </c>
      <c r="C64" s="111"/>
      <c r="D64" s="99">
        <f t="shared" si="2"/>
        <v>299000</v>
      </c>
      <c r="E64" s="183">
        <v>150000.0</v>
      </c>
      <c r="F64" s="105"/>
      <c r="G64" s="80"/>
      <c r="H64" s="26"/>
      <c r="I64" s="13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2"/>
    </row>
    <row r="65" ht="16.5" customHeight="1">
      <c r="A65" s="10"/>
      <c r="B65" s="111" t="s">
        <v>114</v>
      </c>
      <c r="C65" s="111"/>
      <c r="D65" s="99">
        <f t="shared" si="2"/>
        <v>199000</v>
      </c>
      <c r="E65" s="183">
        <v>100000.0</v>
      </c>
      <c r="F65" s="105"/>
      <c r="G65" s="80"/>
      <c r="H65" s="26"/>
      <c r="I65" s="132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2"/>
    </row>
    <row r="66" ht="16.5" customHeight="1">
      <c r="A66" s="10"/>
      <c r="B66" s="111" t="s">
        <v>115</v>
      </c>
      <c r="C66" s="111"/>
      <c r="D66" s="99">
        <f t="shared" si="2"/>
        <v>319000</v>
      </c>
      <c r="E66" s="183">
        <v>160000.0</v>
      </c>
      <c r="F66" s="105"/>
      <c r="G66" s="80"/>
      <c r="H66" s="26"/>
      <c r="I66" s="132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2"/>
    </row>
    <row r="67" ht="16.5" customHeight="1">
      <c r="A67" s="10"/>
      <c r="B67" s="111" t="s">
        <v>116</v>
      </c>
      <c r="C67" s="111"/>
      <c r="D67" s="99">
        <f t="shared" si="2"/>
        <v>359000</v>
      </c>
      <c r="E67" s="183">
        <v>180000.0</v>
      </c>
      <c r="F67" s="105"/>
      <c r="G67" s="80"/>
      <c r="H67" s="26"/>
      <c r="I67" s="13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2"/>
    </row>
    <row r="68" ht="16.5" customHeight="1">
      <c r="A68" s="58"/>
      <c r="B68" s="115" t="s">
        <v>117</v>
      </c>
      <c r="C68" s="115"/>
      <c r="D68" s="102">
        <f t="shared" si="2"/>
        <v>799000</v>
      </c>
      <c r="E68" s="184">
        <v>400000.0</v>
      </c>
      <c r="F68" s="105"/>
      <c r="G68" s="80"/>
      <c r="H68" s="26"/>
      <c r="I68" s="13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2"/>
    </row>
    <row r="69" ht="16.5" customHeight="1">
      <c r="A69" s="142" t="s">
        <v>195</v>
      </c>
      <c r="B69" s="2"/>
      <c r="C69" s="2"/>
      <c r="D69" s="2"/>
      <c r="E69" s="2"/>
      <c r="F69" s="2"/>
      <c r="G69" s="2"/>
      <c r="H69" s="2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2"/>
    </row>
    <row r="70" ht="16.5" customHeight="1">
      <c r="A70" s="10"/>
      <c r="I70" s="14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2"/>
    </row>
    <row r="71" ht="16.5" customHeight="1">
      <c r="A71" s="10"/>
      <c r="I71" s="14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2"/>
    </row>
    <row r="72" ht="16.5" customHeight="1">
      <c r="A72" s="10"/>
      <c r="I72" s="14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2"/>
    </row>
    <row r="73" ht="16.5" customHeight="1">
      <c r="A73" s="58"/>
      <c r="B73" s="82"/>
      <c r="C73" s="82"/>
      <c r="D73" s="82"/>
      <c r="E73" s="82"/>
      <c r="F73" s="82"/>
      <c r="G73" s="82"/>
      <c r="H73" s="82"/>
      <c r="I73" s="8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2"/>
    </row>
    <row r="74" ht="16.5" customHeight="1">
      <c r="A74" s="8"/>
      <c r="B74" s="8"/>
      <c r="C74" s="85"/>
      <c r="D74" s="85"/>
      <c r="E74" s="85"/>
      <c r="F74" s="85"/>
      <c r="G74" s="86"/>
      <c r="H74" s="86"/>
      <c r="I74" s="86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2"/>
    </row>
    <row r="75" ht="16.5" customHeight="1">
      <c r="A75" s="185" t="s">
        <v>95</v>
      </c>
      <c r="B75" s="8" t="s">
        <v>196</v>
      </c>
      <c r="C75" s="184">
        <v>600000.0</v>
      </c>
      <c r="D75" s="186">
        <f t="shared" ref="D75:D76" si="3">E75*2-1000</f>
        <v>1099000</v>
      </c>
      <c r="E75" s="184">
        <v>550000.0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2"/>
    </row>
    <row r="76" ht="16.5" customHeight="1">
      <c r="A76" s="8"/>
      <c r="B76" s="8" t="s">
        <v>197</v>
      </c>
      <c r="C76" s="184">
        <v>1600000.0</v>
      </c>
      <c r="D76" s="186">
        <f t="shared" si="3"/>
        <v>2999000</v>
      </c>
      <c r="E76" s="184">
        <v>1500000.0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2"/>
    </row>
    <row r="77" ht="16.5" customHeight="1">
      <c r="A77" s="8"/>
      <c r="B77" s="8"/>
      <c r="C77" s="85"/>
      <c r="D77" s="85"/>
      <c r="E77" s="85"/>
      <c r="F77" s="85"/>
      <c r="G77" s="86"/>
      <c r="H77" s="86"/>
      <c r="I77" s="86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2"/>
    </row>
    <row r="78" ht="16.5" customHeight="1">
      <c r="A78" s="8"/>
      <c r="B78" s="8"/>
      <c r="C78" s="85"/>
      <c r="D78" s="85"/>
      <c r="E78" s="85"/>
      <c r="F78" s="85"/>
      <c r="G78" s="86"/>
      <c r="H78" s="86"/>
      <c r="I78" s="86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2"/>
    </row>
    <row r="79" ht="16.5" customHeight="1">
      <c r="A79" s="8"/>
      <c r="B79" s="8"/>
      <c r="C79" s="85"/>
      <c r="D79" s="85"/>
      <c r="E79" s="85"/>
      <c r="F79" s="85"/>
      <c r="G79" s="86"/>
      <c r="H79" s="86"/>
      <c r="I79" s="86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2"/>
    </row>
    <row r="80" ht="16.5" customHeight="1">
      <c r="A80" s="8"/>
      <c r="B80" s="8"/>
      <c r="C80" s="85"/>
      <c r="D80" s="85"/>
      <c r="E80" s="85"/>
      <c r="F80" s="85"/>
      <c r="G80" s="86"/>
      <c r="H80" s="86"/>
      <c r="I80" s="86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2"/>
    </row>
    <row r="81" ht="16.5" customHeight="1">
      <c r="A81" s="8"/>
      <c r="B81" s="8"/>
      <c r="C81" s="85"/>
      <c r="D81" s="85"/>
      <c r="E81" s="85"/>
      <c r="F81" s="85"/>
      <c r="G81" s="86"/>
      <c r="H81" s="86"/>
      <c r="I81" s="86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2"/>
    </row>
    <row r="82" ht="16.5" customHeight="1">
      <c r="A82" s="8"/>
      <c r="B82" s="8"/>
      <c r="C82" s="85"/>
      <c r="D82" s="85"/>
      <c r="E82" s="85"/>
      <c r="F82" s="85"/>
      <c r="G82" s="86"/>
      <c r="H82" s="86"/>
      <c r="I82" s="86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2"/>
    </row>
    <row r="83" ht="16.5" customHeight="1">
      <c r="A83" s="8"/>
      <c r="B83" s="8"/>
      <c r="C83" s="85"/>
      <c r="D83" s="85"/>
      <c r="E83" s="85"/>
      <c r="F83" s="85"/>
      <c r="G83" s="86"/>
      <c r="H83" s="86"/>
      <c r="I83" s="86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2"/>
    </row>
    <row r="84" ht="16.5" customHeight="1">
      <c r="A84" s="8"/>
      <c r="B84" s="8"/>
      <c r="C84" s="85"/>
      <c r="D84" s="85"/>
      <c r="E84" s="85"/>
      <c r="F84" s="85"/>
      <c r="G84" s="86"/>
      <c r="H84" s="86"/>
      <c r="I84" s="86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2"/>
    </row>
    <row r="85" ht="16.5" customHeight="1">
      <c r="A85" s="8"/>
      <c r="B85" s="8"/>
      <c r="C85" s="85"/>
      <c r="D85" s="85"/>
      <c r="E85" s="85"/>
      <c r="F85" s="85"/>
      <c r="G85" s="86"/>
      <c r="H85" s="86"/>
      <c r="I85" s="86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2"/>
    </row>
    <row r="86" ht="16.5" customHeight="1">
      <c r="A86" s="8"/>
      <c r="B86" s="8"/>
      <c r="C86" s="85"/>
      <c r="D86" s="85"/>
      <c r="E86" s="85"/>
      <c r="F86" s="85"/>
      <c r="G86" s="86"/>
      <c r="H86" s="86"/>
      <c r="I86" s="86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2"/>
    </row>
    <row r="87" ht="16.5" customHeight="1">
      <c r="A87" s="8"/>
      <c r="B87" s="8"/>
      <c r="C87" s="85"/>
      <c r="D87" s="85"/>
      <c r="E87" s="85"/>
      <c r="F87" s="85"/>
      <c r="G87" s="86"/>
      <c r="H87" s="86"/>
      <c r="I87" s="86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2"/>
    </row>
    <row r="88" ht="16.5" customHeight="1">
      <c r="A88" s="8"/>
      <c r="B88" s="8"/>
      <c r="C88" s="85"/>
      <c r="D88" s="85"/>
      <c r="E88" s="85"/>
      <c r="F88" s="85"/>
      <c r="G88" s="86"/>
      <c r="H88" s="86"/>
      <c r="I88" s="86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2"/>
    </row>
    <row r="89" ht="16.5" customHeight="1">
      <c r="A89" s="8"/>
      <c r="B89" s="8"/>
      <c r="C89" s="85"/>
      <c r="D89" s="85"/>
      <c r="E89" s="85"/>
      <c r="F89" s="85"/>
      <c r="G89" s="86"/>
      <c r="H89" s="86"/>
      <c r="I89" s="86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2"/>
    </row>
    <row r="90" ht="16.5" customHeight="1">
      <c r="A90" s="8"/>
      <c r="B90" s="8"/>
      <c r="C90" s="85"/>
      <c r="D90" s="85"/>
      <c r="E90" s="85"/>
      <c r="F90" s="85"/>
      <c r="G90" s="86"/>
      <c r="H90" s="86"/>
      <c r="I90" s="86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2"/>
    </row>
    <row r="91" ht="16.5" customHeight="1">
      <c r="A91" s="8"/>
      <c r="B91" s="8"/>
      <c r="C91" s="85"/>
      <c r="D91" s="85"/>
      <c r="E91" s="85"/>
      <c r="F91" s="85"/>
      <c r="G91" s="86"/>
      <c r="H91" s="86"/>
      <c r="I91" s="86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2"/>
    </row>
    <row r="92" ht="16.5" customHeight="1">
      <c r="A92" s="8"/>
      <c r="B92" s="8"/>
      <c r="C92" s="85"/>
      <c r="D92" s="85"/>
      <c r="E92" s="85"/>
      <c r="F92" s="85"/>
      <c r="G92" s="86"/>
      <c r="H92" s="86"/>
      <c r="I92" s="86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2"/>
    </row>
    <row r="93" ht="16.5" customHeight="1">
      <c r="A93" s="8"/>
      <c r="B93" s="8"/>
      <c r="C93" s="85"/>
      <c r="D93" s="85"/>
      <c r="E93" s="85"/>
      <c r="F93" s="85"/>
      <c r="G93" s="86"/>
      <c r="H93" s="86"/>
      <c r="I93" s="86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2"/>
    </row>
    <row r="94" ht="16.5" customHeight="1">
      <c r="A94" s="8"/>
      <c r="B94" s="8"/>
      <c r="C94" s="85"/>
      <c r="D94" s="85"/>
      <c r="E94" s="85"/>
      <c r="F94" s="85"/>
      <c r="G94" s="86"/>
      <c r="H94" s="86"/>
      <c r="I94" s="86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2"/>
    </row>
    <row r="95" ht="16.5" customHeight="1">
      <c r="A95" s="8"/>
      <c r="B95" s="8"/>
      <c r="C95" s="85"/>
      <c r="D95" s="85"/>
      <c r="E95" s="85"/>
      <c r="F95" s="85"/>
      <c r="G95" s="86"/>
      <c r="H95" s="86"/>
      <c r="I95" s="86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2"/>
    </row>
    <row r="96" ht="16.5" customHeight="1">
      <c r="A96" s="8"/>
      <c r="B96" s="8"/>
      <c r="C96" s="85"/>
      <c r="D96" s="85"/>
      <c r="E96" s="85"/>
      <c r="F96" s="85"/>
      <c r="G96" s="86"/>
      <c r="H96" s="86"/>
      <c r="I96" s="86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2"/>
    </row>
    <row r="97" ht="16.5" customHeight="1">
      <c r="A97" s="8"/>
      <c r="B97" s="8"/>
      <c r="C97" s="85"/>
      <c r="D97" s="85"/>
      <c r="E97" s="85"/>
      <c r="F97" s="85"/>
      <c r="G97" s="86"/>
      <c r="H97" s="86"/>
      <c r="I97" s="86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2"/>
    </row>
    <row r="98" ht="16.5" customHeight="1">
      <c r="A98" s="8"/>
      <c r="B98" s="8"/>
      <c r="C98" s="85"/>
      <c r="D98" s="85"/>
      <c r="E98" s="85"/>
      <c r="F98" s="85"/>
      <c r="G98" s="86"/>
      <c r="H98" s="86"/>
      <c r="I98" s="8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2"/>
    </row>
    <row r="99" ht="16.5" customHeight="1">
      <c r="A99" s="8"/>
      <c r="B99" s="8"/>
      <c r="C99" s="85"/>
      <c r="D99" s="85"/>
      <c r="E99" s="85"/>
      <c r="F99" s="85"/>
      <c r="G99" s="86"/>
      <c r="H99" s="86"/>
      <c r="I99" s="86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2"/>
    </row>
    <row r="100" ht="16.5" customHeight="1">
      <c r="A100" s="8"/>
      <c r="B100" s="8"/>
      <c r="C100" s="85"/>
      <c r="D100" s="85"/>
      <c r="E100" s="85"/>
      <c r="F100" s="85"/>
      <c r="G100" s="86"/>
      <c r="H100" s="86"/>
      <c r="I100" s="86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2"/>
    </row>
    <row r="101" ht="16.5" customHeight="1">
      <c r="A101" s="8"/>
      <c r="B101" s="8"/>
      <c r="C101" s="85"/>
      <c r="D101" s="85"/>
      <c r="E101" s="85"/>
      <c r="F101" s="85"/>
      <c r="G101" s="86"/>
      <c r="H101" s="86"/>
      <c r="I101" s="86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2"/>
    </row>
    <row r="102" ht="16.5" customHeight="1">
      <c r="A102" s="8"/>
      <c r="B102" s="8"/>
      <c r="C102" s="85"/>
      <c r="D102" s="85"/>
      <c r="E102" s="85"/>
      <c r="F102" s="85"/>
      <c r="G102" s="86"/>
      <c r="H102" s="86"/>
      <c r="I102" s="86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2"/>
    </row>
    <row r="103" ht="16.5" customHeight="1">
      <c r="A103" s="8"/>
      <c r="B103" s="8"/>
      <c r="C103" s="85"/>
      <c r="D103" s="85"/>
      <c r="E103" s="85"/>
      <c r="F103" s="85"/>
      <c r="G103" s="86"/>
      <c r="H103" s="86"/>
      <c r="I103" s="86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2"/>
    </row>
    <row r="104" ht="16.5" customHeight="1">
      <c r="A104" s="8"/>
      <c r="B104" s="8"/>
      <c r="C104" s="85"/>
      <c r="D104" s="85"/>
      <c r="E104" s="85"/>
      <c r="F104" s="85"/>
      <c r="G104" s="86"/>
      <c r="H104" s="86"/>
      <c r="I104" s="8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2"/>
    </row>
    <row r="105" ht="16.5" customHeight="1">
      <c r="A105" s="8"/>
      <c r="B105" s="8"/>
      <c r="C105" s="85"/>
      <c r="D105" s="85"/>
      <c r="E105" s="85"/>
      <c r="F105" s="85"/>
      <c r="G105" s="86"/>
      <c r="H105" s="86"/>
      <c r="I105" s="86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2"/>
    </row>
    <row r="106" ht="16.5" customHeight="1">
      <c r="A106" s="8"/>
      <c r="B106" s="8"/>
      <c r="C106" s="85"/>
      <c r="D106" s="85"/>
      <c r="E106" s="85"/>
      <c r="F106" s="85"/>
      <c r="G106" s="86"/>
      <c r="H106" s="86"/>
      <c r="I106" s="86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2"/>
    </row>
    <row r="107" ht="16.5" customHeight="1">
      <c r="A107" s="8"/>
      <c r="B107" s="8"/>
      <c r="C107" s="85"/>
      <c r="D107" s="85"/>
      <c r="E107" s="85"/>
      <c r="F107" s="85"/>
      <c r="G107" s="86"/>
      <c r="H107" s="86"/>
      <c r="I107" s="8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2"/>
    </row>
    <row r="108" ht="16.5" customHeight="1">
      <c r="A108" s="8"/>
      <c r="B108" s="8"/>
      <c r="C108" s="85"/>
      <c r="D108" s="85"/>
      <c r="E108" s="85"/>
      <c r="F108" s="85"/>
      <c r="G108" s="86"/>
      <c r="H108" s="86"/>
      <c r="I108" s="86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2"/>
    </row>
    <row r="109" ht="16.5" customHeight="1">
      <c r="A109" s="8"/>
      <c r="B109" s="8"/>
      <c r="C109" s="85"/>
      <c r="D109" s="85"/>
      <c r="E109" s="85"/>
      <c r="F109" s="85"/>
      <c r="G109" s="86"/>
      <c r="H109" s="86"/>
      <c r="I109" s="86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2"/>
    </row>
    <row r="110" ht="16.5" customHeight="1">
      <c r="A110" s="8"/>
      <c r="B110" s="8"/>
      <c r="C110" s="85"/>
      <c r="D110" s="85"/>
      <c r="E110" s="85"/>
      <c r="F110" s="85"/>
      <c r="G110" s="86"/>
      <c r="H110" s="86"/>
      <c r="I110" s="8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2"/>
    </row>
    <row r="111" ht="16.5" customHeight="1">
      <c r="A111" s="8"/>
      <c r="B111" s="8"/>
      <c r="C111" s="85"/>
      <c r="D111" s="85"/>
      <c r="E111" s="85"/>
      <c r="F111" s="85"/>
      <c r="G111" s="86"/>
      <c r="H111" s="86"/>
      <c r="I111" s="86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2"/>
    </row>
    <row r="112" ht="16.5" customHeight="1">
      <c r="A112" s="8"/>
      <c r="B112" s="8"/>
      <c r="C112" s="85"/>
      <c r="D112" s="85"/>
      <c r="E112" s="85"/>
      <c r="F112" s="85"/>
      <c r="G112" s="86"/>
      <c r="H112" s="86"/>
      <c r="I112" s="86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2"/>
    </row>
    <row r="113" ht="16.5" customHeight="1">
      <c r="A113" s="8"/>
      <c r="B113" s="8"/>
      <c r="C113" s="85"/>
      <c r="D113" s="85"/>
      <c r="E113" s="85"/>
      <c r="F113" s="85"/>
      <c r="G113" s="86"/>
      <c r="H113" s="86"/>
      <c r="I113" s="8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2"/>
    </row>
    <row r="114" ht="16.5" customHeight="1">
      <c r="A114" s="8"/>
      <c r="B114" s="8"/>
      <c r="C114" s="85"/>
      <c r="D114" s="85"/>
      <c r="E114" s="85"/>
      <c r="F114" s="85"/>
      <c r="G114" s="86"/>
      <c r="H114" s="86"/>
      <c r="I114" s="86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2"/>
    </row>
    <row r="115" ht="16.5" customHeight="1">
      <c r="A115" s="8"/>
      <c r="B115" s="8"/>
      <c r="C115" s="85"/>
      <c r="D115" s="85"/>
      <c r="E115" s="85"/>
      <c r="F115" s="85"/>
      <c r="G115" s="86"/>
      <c r="H115" s="86"/>
      <c r="I115" s="86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2"/>
    </row>
    <row r="116" ht="16.5" customHeight="1">
      <c r="A116" s="8"/>
      <c r="B116" s="8"/>
      <c r="C116" s="85"/>
      <c r="D116" s="85"/>
      <c r="E116" s="85"/>
      <c r="F116" s="85"/>
      <c r="G116" s="86"/>
      <c r="H116" s="86"/>
      <c r="I116" s="8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2"/>
    </row>
    <row r="117" ht="16.5" customHeight="1">
      <c r="A117" s="8"/>
      <c r="B117" s="8"/>
      <c r="C117" s="85"/>
      <c r="D117" s="85"/>
      <c r="E117" s="85"/>
      <c r="F117" s="85"/>
      <c r="G117" s="86"/>
      <c r="H117" s="86"/>
      <c r="I117" s="86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2"/>
    </row>
    <row r="118" ht="16.5" customHeight="1">
      <c r="A118" s="8"/>
      <c r="B118" s="8"/>
      <c r="C118" s="85"/>
      <c r="D118" s="85"/>
      <c r="E118" s="85"/>
      <c r="F118" s="85"/>
      <c r="G118" s="86"/>
      <c r="H118" s="86"/>
      <c r="I118" s="86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2"/>
    </row>
    <row r="119" ht="16.5" customHeight="1">
      <c r="A119" s="8"/>
      <c r="B119" s="8"/>
      <c r="C119" s="85"/>
      <c r="D119" s="85"/>
      <c r="E119" s="85"/>
      <c r="F119" s="85"/>
      <c r="G119" s="86"/>
      <c r="H119" s="86"/>
      <c r="I119" s="86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2"/>
    </row>
    <row r="120" ht="16.5" customHeight="1">
      <c r="A120" s="8"/>
      <c r="B120" s="8"/>
      <c r="C120" s="85"/>
      <c r="D120" s="85"/>
      <c r="E120" s="85"/>
      <c r="F120" s="85"/>
      <c r="G120" s="86"/>
      <c r="H120" s="86"/>
      <c r="I120" s="86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2"/>
    </row>
    <row r="121" ht="16.5" customHeight="1">
      <c r="A121" s="8"/>
      <c r="B121" s="8"/>
      <c r="C121" s="85"/>
      <c r="D121" s="85"/>
      <c r="E121" s="85"/>
      <c r="F121" s="85"/>
      <c r="G121" s="86"/>
      <c r="H121" s="86"/>
      <c r="I121" s="86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2"/>
    </row>
    <row r="122" ht="16.5" customHeight="1">
      <c r="A122" s="8"/>
      <c r="B122" s="8"/>
      <c r="C122" s="85"/>
      <c r="D122" s="85"/>
      <c r="E122" s="85"/>
      <c r="F122" s="85"/>
      <c r="G122" s="86"/>
      <c r="H122" s="86"/>
      <c r="I122" s="86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2"/>
    </row>
    <row r="123" ht="16.5" customHeight="1">
      <c r="A123" s="8"/>
      <c r="B123" s="8"/>
      <c r="C123" s="85"/>
      <c r="D123" s="85"/>
      <c r="E123" s="85"/>
      <c r="F123" s="85"/>
      <c r="G123" s="86"/>
      <c r="H123" s="86"/>
      <c r="I123" s="86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2"/>
    </row>
    <row r="124" ht="16.5" customHeight="1">
      <c r="A124" s="8"/>
      <c r="B124" s="8"/>
      <c r="C124" s="85"/>
      <c r="D124" s="85"/>
      <c r="E124" s="85"/>
      <c r="F124" s="85"/>
      <c r="G124" s="86"/>
      <c r="H124" s="86"/>
      <c r="I124" s="86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2"/>
    </row>
    <row r="125" ht="16.5" customHeight="1">
      <c r="A125" s="8"/>
      <c r="B125" s="8"/>
      <c r="C125" s="85"/>
      <c r="D125" s="85"/>
      <c r="E125" s="85"/>
      <c r="F125" s="85"/>
      <c r="G125" s="86"/>
      <c r="H125" s="86"/>
      <c r="I125" s="86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2"/>
    </row>
    <row r="126" ht="16.5" customHeight="1">
      <c r="A126" s="8"/>
      <c r="B126" s="8"/>
      <c r="C126" s="85"/>
      <c r="D126" s="85"/>
      <c r="E126" s="85"/>
      <c r="F126" s="85"/>
      <c r="G126" s="86"/>
      <c r="H126" s="86"/>
      <c r="I126" s="86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2"/>
    </row>
    <row r="127" ht="16.5" customHeight="1">
      <c r="A127" s="8"/>
      <c r="B127" s="8"/>
      <c r="C127" s="85"/>
      <c r="D127" s="85"/>
      <c r="E127" s="85"/>
      <c r="F127" s="85"/>
      <c r="G127" s="86"/>
      <c r="H127" s="86"/>
      <c r="I127" s="86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2"/>
    </row>
    <row r="128" ht="16.5" customHeight="1">
      <c r="A128" s="8"/>
      <c r="B128" s="8"/>
      <c r="C128" s="85"/>
      <c r="D128" s="85"/>
      <c r="E128" s="85"/>
      <c r="F128" s="85"/>
      <c r="G128" s="86"/>
      <c r="H128" s="86"/>
      <c r="I128" s="86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2"/>
    </row>
    <row r="129" ht="16.5" customHeight="1">
      <c r="A129" s="8"/>
      <c r="B129" s="8"/>
      <c r="C129" s="85"/>
      <c r="D129" s="85"/>
      <c r="E129" s="85"/>
      <c r="F129" s="85"/>
      <c r="G129" s="86"/>
      <c r="H129" s="86"/>
      <c r="I129" s="8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2"/>
    </row>
    <row r="130" ht="16.5" customHeight="1">
      <c r="A130" s="8"/>
      <c r="B130" s="8"/>
      <c r="C130" s="85"/>
      <c r="D130" s="85"/>
      <c r="E130" s="85"/>
      <c r="F130" s="85"/>
      <c r="G130" s="86"/>
      <c r="H130" s="86"/>
      <c r="I130" s="8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2"/>
    </row>
    <row r="131" ht="16.5" customHeight="1">
      <c r="A131" s="8"/>
      <c r="B131" s="8"/>
      <c r="C131" s="85"/>
      <c r="D131" s="85"/>
      <c r="E131" s="85"/>
      <c r="F131" s="85"/>
      <c r="G131" s="86"/>
      <c r="H131" s="86"/>
      <c r="I131" s="86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2"/>
    </row>
    <row r="132" ht="16.5" customHeight="1">
      <c r="A132" s="8"/>
      <c r="B132" s="8"/>
      <c r="C132" s="85"/>
      <c r="D132" s="85"/>
      <c r="E132" s="85"/>
      <c r="F132" s="85"/>
      <c r="G132" s="86"/>
      <c r="H132" s="86"/>
      <c r="I132" s="86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2"/>
    </row>
    <row r="133" ht="16.5" customHeight="1">
      <c r="A133" s="8"/>
      <c r="B133" s="8"/>
      <c r="C133" s="85"/>
      <c r="D133" s="85"/>
      <c r="E133" s="85"/>
      <c r="F133" s="85"/>
      <c r="G133" s="86"/>
      <c r="H133" s="86"/>
      <c r="I133" s="8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2"/>
    </row>
    <row r="134" ht="16.5" customHeight="1">
      <c r="A134" s="8"/>
      <c r="B134" s="8"/>
      <c r="C134" s="85"/>
      <c r="D134" s="85"/>
      <c r="E134" s="85"/>
      <c r="F134" s="85"/>
      <c r="G134" s="86"/>
      <c r="H134" s="86"/>
      <c r="I134" s="86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2"/>
    </row>
    <row r="135" ht="16.5" customHeight="1">
      <c r="A135" s="8"/>
      <c r="B135" s="8"/>
      <c r="C135" s="85"/>
      <c r="D135" s="85"/>
      <c r="E135" s="85"/>
      <c r="F135" s="85"/>
      <c r="G135" s="86"/>
      <c r="H135" s="86"/>
      <c r="I135" s="86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2"/>
    </row>
    <row r="136" ht="16.5" customHeight="1">
      <c r="A136" s="8"/>
      <c r="B136" s="8"/>
      <c r="C136" s="85"/>
      <c r="D136" s="85"/>
      <c r="E136" s="85"/>
      <c r="F136" s="85"/>
      <c r="G136" s="86"/>
      <c r="H136" s="86"/>
      <c r="I136" s="8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2"/>
    </row>
    <row r="137" ht="16.5" customHeight="1">
      <c r="A137" s="8"/>
      <c r="B137" s="8"/>
      <c r="C137" s="85"/>
      <c r="D137" s="85"/>
      <c r="E137" s="85"/>
      <c r="F137" s="85"/>
      <c r="G137" s="86"/>
      <c r="H137" s="86"/>
      <c r="I137" s="86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2"/>
    </row>
    <row r="138" ht="16.5" customHeight="1">
      <c r="A138" s="8"/>
      <c r="B138" s="8"/>
      <c r="C138" s="85"/>
      <c r="D138" s="85"/>
      <c r="E138" s="85"/>
      <c r="F138" s="85"/>
      <c r="G138" s="86"/>
      <c r="H138" s="86"/>
      <c r="I138" s="8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2"/>
    </row>
    <row r="139" ht="16.5" customHeight="1">
      <c r="A139" s="8"/>
      <c r="B139" s="8"/>
      <c r="C139" s="85"/>
      <c r="D139" s="85"/>
      <c r="E139" s="85"/>
      <c r="F139" s="85"/>
      <c r="G139" s="86"/>
      <c r="H139" s="86"/>
      <c r="I139" s="8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2"/>
    </row>
    <row r="140" ht="16.5" customHeight="1">
      <c r="A140" s="8"/>
      <c r="B140" s="8"/>
      <c r="C140" s="85"/>
      <c r="D140" s="85"/>
      <c r="E140" s="85"/>
      <c r="F140" s="85"/>
      <c r="G140" s="86"/>
      <c r="H140" s="86"/>
      <c r="I140" s="86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2"/>
    </row>
    <row r="141" ht="15.75" customHeight="1">
      <c r="A141" s="8"/>
      <c r="B141" s="8"/>
      <c r="C141" s="85"/>
      <c r="D141" s="85"/>
      <c r="E141" s="85"/>
      <c r="F141" s="85"/>
      <c r="G141" s="86"/>
      <c r="H141" s="86"/>
      <c r="I141" s="86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2"/>
    </row>
    <row r="142" ht="15.75" customHeight="1">
      <c r="A142" s="8"/>
      <c r="B142" s="8"/>
      <c r="C142" s="85"/>
      <c r="D142" s="85"/>
      <c r="E142" s="85"/>
      <c r="F142" s="85"/>
      <c r="G142" s="86"/>
      <c r="H142" s="86"/>
      <c r="I142" s="86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2"/>
    </row>
    <row r="143" ht="15.75" customHeight="1">
      <c r="A143" s="8"/>
      <c r="B143" s="8"/>
      <c r="C143" s="85"/>
      <c r="D143" s="85"/>
      <c r="E143" s="85"/>
      <c r="F143" s="85"/>
      <c r="G143" s="86"/>
      <c r="H143" s="86"/>
      <c r="I143" s="86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2"/>
    </row>
    <row r="144" ht="15.75" customHeight="1">
      <c r="A144" s="8"/>
      <c r="B144" s="8"/>
      <c r="C144" s="85"/>
      <c r="D144" s="85"/>
      <c r="E144" s="85"/>
      <c r="F144" s="85"/>
      <c r="G144" s="86"/>
      <c r="H144" s="86"/>
      <c r="I144" s="86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2"/>
    </row>
    <row r="145" ht="15.75" customHeight="1">
      <c r="A145" s="8"/>
      <c r="B145" s="8"/>
      <c r="C145" s="85"/>
      <c r="D145" s="85"/>
      <c r="E145" s="85"/>
      <c r="F145" s="85"/>
      <c r="G145" s="86"/>
      <c r="H145" s="86"/>
      <c r="I145" s="86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2"/>
    </row>
    <row r="146" ht="15.75" customHeight="1">
      <c r="A146" s="8"/>
      <c r="B146" s="8"/>
      <c r="C146" s="86"/>
      <c r="D146" s="86"/>
      <c r="E146" s="86"/>
      <c r="F146" s="86"/>
      <c r="G146" s="86"/>
      <c r="H146" s="86"/>
      <c r="I146" s="8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2"/>
    </row>
    <row r="147" ht="15.75" customHeight="1">
      <c r="A147" s="8"/>
      <c r="B147" s="8"/>
      <c r="C147" s="86"/>
      <c r="D147" s="86"/>
      <c r="E147" s="86"/>
      <c r="F147" s="86"/>
      <c r="G147" s="86"/>
      <c r="H147" s="86"/>
      <c r="I147" s="86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2"/>
    </row>
    <row r="148" ht="15.75" customHeight="1">
      <c r="A148" s="8"/>
      <c r="B148" s="8"/>
      <c r="C148" s="86"/>
      <c r="D148" s="86"/>
      <c r="E148" s="86"/>
      <c r="F148" s="86"/>
      <c r="G148" s="86"/>
      <c r="H148" s="86"/>
      <c r="I148" s="8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2"/>
    </row>
    <row r="149" ht="15.75" customHeight="1">
      <c r="A149" s="8"/>
      <c r="B149" s="8"/>
      <c r="C149" s="86"/>
      <c r="D149" s="86"/>
      <c r="E149" s="86"/>
      <c r="F149" s="86"/>
      <c r="G149" s="86"/>
      <c r="H149" s="86"/>
      <c r="I149" s="86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2"/>
    </row>
    <row r="150" ht="15.75" customHeight="1">
      <c r="A150" s="8"/>
      <c r="B150" s="8"/>
      <c r="C150" s="86"/>
      <c r="D150" s="86"/>
      <c r="E150" s="86"/>
      <c r="F150" s="86"/>
      <c r="G150" s="86"/>
      <c r="H150" s="86"/>
      <c r="I150" s="86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2"/>
    </row>
    <row r="151" ht="15.75" customHeight="1">
      <c r="A151" s="8"/>
      <c r="B151" s="8"/>
      <c r="C151" s="86"/>
      <c r="D151" s="86"/>
      <c r="E151" s="86"/>
      <c r="F151" s="86"/>
      <c r="G151" s="86"/>
      <c r="H151" s="86"/>
      <c r="I151" s="86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2"/>
    </row>
    <row r="152" ht="15.75" customHeight="1">
      <c r="A152" s="8"/>
      <c r="B152" s="8"/>
      <c r="C152" s="86"/>
      <c r="D152" s="86"/>
      <c r="E152" s="86"/>
      <c r="F152" s="86"/>
      <c r="G152" s="86"/>
      <c r="H152" s="86"/>
      <c r="I152" s="86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2"/>
    </row>
    <row r="153" ht="15.75" customHeight="1">
      <c r="A153" s="8"/>
      <c r="B153" s="8"/>
      <c r="C153" s="86"/>
      <c r="D153" s="86"/>
      <c r="E153" s="86"/>
      <c r="F153" s="86"/>
      <c r="G153" s="86"/>
      <c r="H153" s="86"/>
      <c r="I153" s="86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2"/>
    </row>
    <row r="154" ht="15.75" customHeight="1">
      <c r="A154" s="8"/>
      <c r="B154" s="8"/>
      <c r="C154" s="86"/>
      <c r="D154" s="86"/>
      <c r="E154" s="86"/>
      <c r="F154" s="86"/>
      <c r="G154" s="86"/>
      <c r="H154" s="86"/>
      <c r="I154" s="86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2"/>
    </row>
    <row r="155" ht="15.75" customHeight="1">
      <c r="A155" s="8"/>
      <c r="B155" s="8"/>
      <c r="C155" s="86"/>
      <c r="D155" s="86"/>
      <c r="E155" s="86"/>
      <c r="F155" s="86"/>
      <c r="G155" s="86"/>
      <c r="H155" s="86"/>
      <c r="I155" s="86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2"/>
    </row>
    <row r="156" ht="15.75" customHeight="1">
      <c r="A156" s="8"/>
      <c r="B156" s="8"/>
      <c r="C156" s="86"/>
      <c r="D156" s="86"/>
      <c r="E156" s="86"/>
      <c r="F156" s="86"/>
      <c r="G156" s="86"/>
      <c r="H156" s="86"/>
      <c r="I156" s="8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2"/>
    </row>
    <row r="157" ht="15.75" customHeight="1">
      <c r="A157" s="8"/>
      <c r="B157" s="8"/>
      <c r="C157" s="86"/>
      <c r="D157" s="86"/>
      <c r="E157" s="86"/>
      <c r="F157" s="86"/>
      <c r="G157" s="86"/>
      <c r="H157" s="86"/>
      <c r="I157" s="86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2"/>
    </row>
    <row r="158" ht="15.75" customHeight="1">
      <c r="A158" s="8"/>
      <c r="B158" s="8"/>
      <c r="C158" s="86"/>
      <c r="D158" s="86"/>
      <c r="E158" s="86"/>
      <c r="F158" s="86"/>
      <c r="G158" s="86"/>
      <c r="H158" s="86"/>
      <c r="I158" s="8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2"/>
    </row>
    <row r="159" ht="15.75" customHeight="1">
      <c r="A159" s="8"/>
      <c r="B159" s="8"/>
      <c r="C159" s="86"/>
      <c r="D159" s="86"/>
      <c r="E159" s="86"/>
      <c r="F159" s="86"/>
      <c r="G159" s="86"/>
      <c r="H159" s="86"/>
      <c r="I159" s="86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2"/>
    </row>
    <row r="160" ht="15.75" customHeight="1">
      <c r="A160" s="8"/>
      <c r="B160" s="8"/>
      <c r="C160" s="86"/>
      <c r="D160" s="86"/>
      <c r="E160" s="86"/>
      <c r="F160" s="86"/>
      <c r="G160" s="86"/>
      <c r="H160" s="86"/>
      <c r="I160" s="8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2"/>
    </row>
    <row r="161" ht="15.75" customHeight="1">
      <c r="A161" s="8"/>
      <c r="B161" s="8"/>
      <c r="C161" s="86"/>
      <c r="D161" s="86"/>
      <c r="E161" s="86"/>
      <c r="F161" s="86"/>
      <c r="G161" s="86"/>
      <c r="H161" s="86"/>
      <c r="I161" s="86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2"/>
    </row>
    <row r="162" ht="15.75" customHeight="1">
      <c r="A162" s="8"/>
      <c r="B162" s="8"/>
      <c r="C162" s="86"/>
      <c r="D162" s="86"/>
      <c r="E162" s="86"/>
      <c r="F162" s="86"/>
      <c r="G162" s="86"/>
      <c r="H162" s="86"/>
      <c r="I162" s="86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2"/>
    </row>
    <row r="163" ht="15.75" customHeight="1">
      <c r="A163" s="8"/>
      <c r="B163" s="8"/>
      <c r="C163" s="86"/>
      <c r="D163" s="86"/>
      <c r="E163" s="86"/>
      <c r="F163" s="86"/>
      <c r="G163" s="86"/>
      <c r="H163" s="86"/>
      <c r="I163" s="8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2"/>
    </row>
    <row r="164" ht="15.75" customHeight="1">
      <c r="A164" s="8"/>
      <c r="B164" s="8"/>
      <c r="C164" s="86"/>
      <c r="D164" s="86"/>
      <c r="E164" s="86"/>
      <c r="F164" s="86"/>
      <c r="G164" s="86"/>
      <c r="H164" s="86"/>
      <c r="I164" s="8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2"/>
    </row>
    <row r="165" ht="15.75" customHeight="1">
      <c r="A165" s="8"/>
      <c r="B165" s="8"/>
      <c r="C165" s="86"/>
      <c r="D165" s="86"/>
      <c r="E165" s="86"/>
      <c r="F165" s="86"/>
      <c r="G165" s="86"/>
      <c r="H165" s="86"/>
      <c r="I165" s="8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2"/>
    </row>
    <row r="166" ht="15.75" customHeight="1">
      <c r="A166" s="8"/>
      <c r="B166" s="8"/>
      <c r="C166" s="86"/>
      <c r="D166" s="86"/>
      <c r="E166" s="86"/>
      <c r="F166" s="86"/>
      <c r="G166" s="86"/>
      <c r="H166" s="86"/>
      <c r="I166" s="86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2"/>
    </row>
    <row r="167" ht="15.75" customHeight="1">
      <c r="A167" s="8"/>
      <c r="B167" s="8"/>
      <c r="C167" s="86"/>
      <c r="D167" s="86"/>
      <c r="E167" s="86"/>
      <c r="F167" s="86"/>
      <c r="G167" s="86"/>
      <c r="H167" s="86"/>
      <c r="I167" s="86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2"/>
    </row>
    <row r="168" ht="15.75" customHeight="1">
      <c r="A168" s="8"/>
      <c r="B168" s="8"/>
      <c r="C168" s="86"/>
      <c r="D168" s="86"/>
      <c r="E168" s="86"/>
      <c r="F168" s="86"/>
      <c r="G168" s="86"/>
      <c r="H168" s="86"/>
      <c r="I168" s="86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2"/>
    </row>
    <row r="169" ht="15.75" customHeight="1">
      <c r="A169" s="8"/>
      <c r="B169" s="8"/>
      <c r="C169" s="86"/>
      <c r="D169" s="86"/>
      <c r="E169" s="86"/>
      <c r="F169" s="86"/>
      <c r="G169" s="86"/>
      <c r="H169" s="86"/>
      <c r="I169" s="8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2"/>
    </row>
    <row r="170" ht="15.75" customHeight="1">
      <c r="A170" s="8"/>
      <c r="B170" s="8"/>
      <c r="C170" s="86"/>
      <c r="D170" s="86"/>
      <c r="E170" s="86"/>
      <c r="F170" s="86"/>
      <c r="G170" s="86"/>
      <c r="H170" s="86"/>
      <c r="I170" s="8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2"/>
    </row>
    <row r="171" ht="15.75" customHeight="1">
      <c r="A171" s="8"/>
      <c r="B171" s="8"/>
      <c r="C171" s="86"/>
      <c r="D171" s="86"/>
      <c r="E171" s="86"/>
      <c r="F171" s="86"/>
      <c r="G171" s="86"/>
      <c r="H171" s="86"/>
      <c r="I171" s="86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2"/>
    </row>
    <row r="172" ht="15.75" customHeight="1">
      <c r="A172" s="8"/>
      <c r="B172" s="8"/>
      <c r="C172" s="86"/>
      <c r="D172" s="86"/>
      <c r="E172" s="86"/>
      <c r="F172" s="86"/>
      <c r="G172" s="86"/>
      <c r="H172" s="86"/>
      <c r="I172" s="86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2"/>
    </row>
    <row r="173" ht="15.75" customHeight="1">
      <c r="A173" s="8"/>
      <c r="B173" s="8"/>
      <c r="C173" s="86"/>
      <c r="D173" s="86"/>
      <c r="E173" s="86"/>
      <c r="F173" s="86"/>
      <c r="G173" s="86"/>
      <c r="H173" s="86"/>
      <c r="I173" s="86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2"/>
    </row>
    <row r="174" ht="15.75" customHeight="1">
      <c r="A174" s="8"/>
      <c r="B174" s="8"/>
      <c r="C174" s="86"/>
      <c r="D174" s="86"/>
      <c r="E174" s="86"/>
      <c r="F174" s="86"/>
      <c r="G174" s="86"/>
      <c r="H174" s="86"/>
      <c r="I174" s="86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2"/>
    </row>
    <row r="175" ht="15.75" customHeight="1">
      <c r="A175" s="8"/>
      <c r="B175" s="8"/>
      <c r="C175" s="86"/>
      <c r="D175" s="86"/>
      <c r="E175" s="86"/>
      <c r="F175" s="86"/>
      <c r="G175" s="86"/>
      <c r="H175" s="86"/>
      <c r="I175" s="86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2"/>
    </row>
    <row r="176" ht="15.75" customHeight="1">
      <c r="A176" s="8"/>
      <c r="B176" s="8"/>
      <c r="C176" s="86"/>
      <c r="D176" s="86"/>
      <c r="E176" s="86"/>
      <c r="F176" s="86"/>
      <c r="G176" s="86"/>
      <c r="H176" s="86"/>
      <c r="I176" s="8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2"/>
    </row>
    <row r="177" ht="15.75" customHeight="1">
      <c r="A177" s="8"/>
      <c r="B177" s="8"/>
      <c r="C177" s="86"/>
      <c r="D177" s="86"/>
      <c r="E177" s="86"/>
      <c r="F177" s="86"/>
      <c r="G177" s="86"/>
      <c r="H177" s="86"/>
      <c r="I177" s="8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2"/>
    </row>
    <row r="178" ht="15.75" customHeight="1">
      <c r="A178" s="8"/>
      <c r="B178" s="8"/>
      <c r="C178" s="86"/>
      <c r="D178" s="86"/>
      <c r="E178" s="86"/>
      <c r="F178" s="86"/>
      <c r="G178" s="86"/>
      <c r="H178" s="86"/>
      <c r="I178" s="86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2"/>
    </row>
    <row r="179" ht="15.75" customHeight="1">
      <c r="A179" s="8"/>
      <c r="B179" s="8"/>
      <c r="C179" s="86"/>
      <c r="D179" s="86"/>
      <c r="E179" s="86"/>
      <c r="F179" s="86"/>
      <c r="G179" s="86"/>
      <c r="H179" s="86"/>
      <c r="I179" s="86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2"/>
    </row>
    <row r="180" ht="15.75" customHeight="1">
      <c r="A180" s="8"/>
      <c r="B180" s="8"/>
      <c r="C180" s="86"/>
      <c r="D180" s="86"/>
      <c r="E180" s="86"/>
      <c r="F180" s="86"/>
      <c r="G180" s="86"/>
      <c r="H180" s="86"/>
      <c r="I180" s="8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2"/>
    </row>
    <row r="181" ht="15.75" customHeight="1">
      <c r="A181" s="8"/>
      <c r="B181" s="8"/>
      <c r="C181" s="86"/>
      <c r="D181" s="86"/>
      <c r="E181" s="86"/>
      <c r="F181" s="86"/>
      <c r="G181" s="86"/>
      <c r="H181" s="86"/>
      <c r="I181" s="86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2"/>
    </row>
    <row r="182" ht="15.75" customHeight="1">
      <c r="A182" s="8"/>
      <c r="B182" s="8"/>
      <c r="C182" s="86"/>
      <c r="D182" s="86"/>
      <c r="E182" s="86"/>
      <c r="F182" s="86"/>
      <c r="G182" s="86"/>
      <c r="H182" s="86"/>
      <c r="I182" s="86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2"/>
    </row>
    <row r="183" ht="15.75" customHeight="1">
      <c r="A183" s="8"/>
      <c r="B183" s="8"/>
      <c r="C183" s="86"/>
      <c r="D183" s="86"/>
      <c r="E183" s="86"/>
      <c r="F183" s="86"/>
      <c r="G183" s="86"/>
      <c r="H183" s="86"/>
      <c r="I183" s="8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2"/>
    </row>
    <row r="184" ht="15.75" customHeight="1">
      <c r="A184" s="8"/>
      <c r="B184" s="8"/>
      <c r="C184" s="86"/>
      <c r="D184" s="86"/>
      <c r="E184" s="86"/>
      <c r="F184" s="86"/>
      <c r="G184" s="86"/>
      <c r="H184" s="86"/>
      <c r="I184" s="8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2"/>
    </row>
    <row r="185" ht="15.75" customHeight="1">
      <c r="A185" s="8"/>
      <c r="B185" s="8"/>
      <c r="C185" s="86"/>
      <c r="D185" s="86"/>
      <c r="E185" s="86"/>
      <c r="F185" s="86"/>
      <c r="G185" s="86"/>
      <c r="H185" s="86"/>
      <c r="I185" s="86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2"/>
    </row>
    <row r="186" ht="15.75" customHeight="1">
      <c r="A186" s="8"/>
      <c r="B186" s="8"/>
      <c r="C186" s="86"/>
      <c r="D186" s="86"/>
      <c r="E186" s="86"/>
      <c r="F186" s="86"/>
      <c r="G186" s="86"/>
      <c r="H186" s="86"/>
      <c r="I186" s="8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2"/>
    </row>
    <row r="187" ht="15.75" customHeight="1">
      <c r="A187" s="8"/>
      <c r="B187" s="8"/>
      <c r="C187" s="86"/>
      <c r="D187" s="86"/>
      <c r="E187" s="86"/>
      <c r="F187" s="86"/>
      <c r="G187" s="86"/>
      <c r="H187" s="86"/>
      <c r="I187" s="86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2"/>
    </row>
    <row r="188" ht="15.75" customHeight="1">
      <c r="A188" s="8"/>
      <c r="B188" s="8"/>
      <c r="C188" s="86"/>
      <c r="D188" s="86"/>
      <c r="E188" s="86"/>
      <c r="F188" s="86"/>
      <c r="G188" s="86"/>
      <c r="H188" s="86"/>
      <c r="I188" s="8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2"/>
    </row>
    <row r="189" ht="15.75" customHeight="1">
      <c r="A189" s="8"/>
      <c r="B189" s="8"/>
      <c r="C189" s="86"/>
      <c r="D189" s="86"/>
      <c r="E189" s="86"/>
      <c r="F189" s="86"/>
      <c r="G189" s="86"/>
      <c r="H189" s="86"/>
      <c r="I189" s="86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2"/>
    </row>
    <row r="190" ht="15.75" customHeight="1">
      <c r="A190" s="8"/>
      <c r="B190" s="8"/>
      <c r="C190" s="86"/>
      <c r="D190" s="86"/>
      <c r="E190" s="86"/>
      <c r="F190" s="86"/>
      <c r="G190" s="86"/>
      <c r="H190" s="86"/>
      <c r="I190" s="8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2"/>
    </row>
    <row r="191" ht="15.75" customHeight="1">
      <c r="A191" s="8"/>
      <c r="B191" s="8"/>
      <c r="C191" s="86"/>
      <c r="D191" s="86"/>
      <c r="E191" s="86"/>
      <c r="F191" s="86"/>
      <c r="G191" s="86"/>
      <c r="H191" s="86"/>
      <c r="I191" s="86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2"/>
    </row>
    <row r="192" ht="15.75" customHeight="1">
      <c r="A192" s="8"/>
      <c r="B192" s="8"/>
      <c r="C192" s="86"/>
      <c r="D192" s="86"/>
      <c r="E192" s="86"/>
      <c r="F192" s="86"/>
      <c r="G192" s="86"/>
      <c r="H192" s="86"/>
      <c r="I192" s="86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2"/>
    </row>
    <row r="193" ht="15.75" customHeight="1">
      <c r="A193" s="8"/>
      <c r="B193" s="8"/>
      <c r="C193" s="86"/>
      <c r="D193" s="86"/>
      <c r="E193" s="86"/>
      <c r="F193" s="86"/>
      <c r="G193" s="86"/>
      <c r="H193" s="86"/>
      <c r="I193" s="86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2"/>
    </row>
    <row r="194" ht="15.75" customHeight="1">
      <c r="A194" s="8"/>
      <c r="B194" s="8"/>
      <c r="C194" s="86"/>
      <c r="D194" s="86"/>
      <c r="E194" s="86"/>
      <c r="F194" s="86"/>
      <c r="G194" s="86"/>
      <c r="H194" s="86"/>
      <c r="I194" s="86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2"/>
    </row>
    <row r="195" ht="15.75" customHeight="1">
      <c r="A195" s="8"/>
      <c r="B195" s="8"/>
      <c r="C195" s="86"/>
      <c r="D195" s="86"/>
      <c r="E195" s="86"/>
      <c r="F195" s="86"/>
      <c r="G195" s="86"/>
      <c r="H195" s="86"/>
      <c r="I195" s="86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2"/>
    </row>
    <row r="196" ht="15.75" customHeight="1">
      <c r="A196" s="8"/>
      <c r="B196" s="8"/>
      <c r="C196" s="86"/>
      <c r="D196" s="86"/>
      <c r="E196" s="86"/>
      <c r="F196" s="86"/>
      <c r="G196" s="86"/>
      <c r="H196" s="86"/>
      <c r="I196" s="86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2"/>
    </row>
    <row r="197" ht="15.75" customHeight="1">
      <c r="A197" s="8"/>
      <c r="B197" s="8"/>
      <c r="C197" s="86"/>
      <c r="D197" s="86"/>
      <c r="E197" s="86"/>
      <c r="F197" s="86"/>
      <c r="G197" s="86"/>
      <c r="H197" s="86"/>
      <c r="I197" s="86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2"/>
    </row>
    <row r="198" ht="15.75" customHeight="1">
      <c r="A198" s="8"/>
      <c r="B198" s="8"/>
      <c r="C198" s="86"/>
      <c r="D198" s="86"/>
      <c r="E198" s="86"/>
      <c r="F198" s="86"/>
      <c r="G198" s="86"/>
      <c r="H198" s="86"/>
      <c r="I198" s="86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2"/>
    </row>
    <row r="199" ht="15.75" customHeight="1">
      <c r="A199" s="8"/>
      <c r="B199" s="8"/>
      <c r="C199" s="86"/>
      <c r="D199" s="86"/>
      <c r="E199" s="86"/>
      <c r="F199" s="86"/>
      <c r="G199" s="86"/>
      <c r="H199" s="86"/>
      <c r="I199" s="86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2"/>
    </row>
    <row r="200" ht="15.75" customHeight="1">
      <c r="A200" s="8"/>
      <c r="B200" s="8"/>
      <c r="C200" s="86"/>
      <c r="D200" s="86"/>
      <c r="E200" s="86"/>
      <c r="F200" s="86"/>
      <c r="G200" s="86"/>
      <c r="H200" s="86"/>
      <c r="I200" s="86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2"/>
    </row>
    <row r="201" ht="15.75" customHeight="1">
      <c r="A201" s="8"/>
      <c r="B201" s="8"/>
      <c r="C201" s="86"/>
      <c r="D201" s="86"/>
      <c r="E201" s="86"/>
      <c r="F201" s="86"/>
      <c r="G201" s="86"/>
      <c r="H201" s="86"/>
      <c r="I201" s="86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2"/>
    </row>
    <row r="202" ht="15.75" customHeight="1">
      <c r="A202" s="8"/>
      <c r="B202" s="8"/>
      <c r="C202" s="86"/>
      <c r="D202" s="86"/>
      <c r="E202" s="86"/>
      <c r="F202" s="86"/>
      <c r="G202" s="86"/>
      <c r="H202" s="86"/>
      <c r="I202" s="86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2"/>
    </row>
    <row r="203" ht="15.75" customHeight="1">
      <c r="A203" s="8"/>
      <c r="B203" s="8"/>
      <c r="C203" s="86"/>
      <c r="D203" s="86"/>
      <c r="E203" s="86"/>
      <c r="F203" s="86"/>
      <c r="G203" s="86"/>
      <c r="H203" s="86"/>
      <c r="I203" s="86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2"/>
    </row>
    <row r="204" ht="15.75" customHeight="1">
      <c r="A204" s="8"/>
      <c r="B204" s="8"/>
      <c r="C204" s="86"/>
      <c r="D204" s="86"/>
      <c r="E204" s="86"/>
      <c r="F204" s="86"/>
      <c r="G204" s="86"/>
      <c r="H204" s="86"/>
      <c r="I204" s="86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2"/>
    </row>
    <row r="205" ht="15.75" customHeight="1">
      <c r="A205" s="8"/>
      <c r="B205" s="8"/>
      <c r="C205" s="86"/>
      <c r="D205" s="86"/>
      <c r="E205" s="86"/>
      <c r="F205" s="86"/>
      <c r="G205" s="86"/>
      <c r="H205" s="86"/>
      <c r="I205" s="86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2"/>
    </row>
    <row r="206" ht="15.75" customHeight="1">
      <c r="A206" s="8"/>
      <c r="B206" s="8"/>
      <c r="C206" s="86"/>
      <c r="D206" s="86"/>
      <c r="E206" s="86"/>
      <c r="F206" s="86"/>
      <c r="G206" s="86"/>
      <c r="H206" s="86"/>
      <c r="I206" s="86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2"/>
    </row>
    <row r="207" ht="15.75" customHeight="1">
      <c r="A207" s="8"/>
      <c r="B207" s="8"/>
      <c r="C207" s="86"/>
      <c r="D207" s="86"/>
      <c r="E207" s="86"/>
      <c r="F207" s="86"/>
      <c r="G207" s="86"/>
      <c r="H207" s="86"/>
      <c r="I207" s="86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2"/>
    </row>
    <row r="208" ht="15.75" customHeight="1">
      <c r="A208" s="8"/>
      <c r="B208" s="8"/>
      <c r="C208" s="86"/>
      <c r="D208" s="86"/>
      <c r="E208" s="86"/>
      <c r="F208" s="86"/>
      <c r="G208" s="86"/>
      <c r="H208" s="86"/>
      <c r="I208" s="86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2"/>
    </row>
    <row r="209" ht="15.75" customHeight="1">
      <c r="A209" s="8"/>
      <c r="B209" s="8"/>
      <c r="C209" s="86"/>
      <c r="D209" s="86"/>
      <c r="E209" s="86"/>
      <c r="F209" s="86"/>
      <c r="G209" s="86"/>
      <c r="H209" s="86"/>
      <c r="I209" s="86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2"/>
    </row>
    <row r="210" ht="15.75" customHeight="1">
      <c r="A210" s="8"/>
      <c r="B210" s="8"/>
      <c r="C210" s="86"/>
      <c r="D210" s="86"/>
      <c r="E210" s="86"/>
      <c r="F210" s="86"/>
      <c r="G210" s="86"/>
      <c r="H210" s="86"/>
      <c r="I210" s="86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2"/>
    </row>
    <row r="211" ht="15.75" customHeight="1">
      <c r="A211" s="8"/>
      <c r="B211" s="8"/>
      <c r="C211" s="86"/>
      <c r="D211" s="86"/>
      <c r="E211" s="86"/>
      <c r="F211" s="86"/>
      <c r="G211" s="86"/>
      <c r="H211" s="86"/>
      <c r="I211" s="86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2"/>
    </row>
    <row r="212" ht="15.75" customHeight="1">
      <c r="A212" s="8"/>
      <c r="B212" s="8"/>
      <c r="C212" s="86"/>
      <c r="D212" s="86"/>
      <c r="E212" s="86"/>
      <c r="F212" s="86"/>
      <c r="G212" s="86"/>
      <c r="H212" s="86"/>
      <c r="I212" s="86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2"/>
    </row>
    <row r="213" ht="15.75" customHeight="1">
      <c r="A213" s="8"/>
      <c r="B213" s="8"/>
      <c r="C213" s="86"/>
      <c r="D213" s="86"/>
      <c r="E213" s="86"/>
      <c r="F213" s="86"/>
      <c r="G213" s="86"/>
      <c r="H213" s="86"/>
      <c r="I213" s="86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2"/>
    </row>
    <row r="214" ht="15.75" customHeight="1">
      <c r="A214" s="8"/>
      <c r="B214" s="8"/>
      <c r="C214" s="86"/>
      <c r="D214" s="86"/>
      <c r="E214" s="86"/>
      <c r="F214" s="86"/>
      <c r="G214" s="86"/>
      <c r="H214" s="86"/>
      <c r="I214" s="86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2"/>
    </row>
    <row r="215" ht="15.75" customHeight="1">
      <c r="A215" s="8"/>
      <c r="B215" s="8"/>
      <c r="C215" s="86"/>
      <c r="D215" s="86"/>
      <c r="E215" s="86"/>
      <c r="F215" s="86"/>
      <c r="G215" s="86"/>
      <c r="H215" s="86"/>
      <c r="I215" s="86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2"/>
    </row>
    <row r="216" ht="15.75" customHeight="1">
      <c r="A216" s="8"/>
      <c r="B216" s="8"/>
      <c r="C216" s="86"/>
      <c r="D216" s="86"/>
      <c r="E216" s="86"/>
      <c r="F216" s="86"/>
      <c r="G216" s="86"/>
      <c r="H216" s="86"/>
      <c r="I216" s="86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2"/>
    </row>
    <row r="217" ht="15.75" customHeight="1">
      <c r="A217" s="8"/>
      <c r="B217" s="8"/>
      <c r="C217" s="86"/>
      <c r="D217" s="86"/>
      <c r="E217" s="86"/>
      <c r="F217" s="86"/>
      <c r="G217" s="86"/>
      <c r="H217" s="86"/>
      <c r="I217" s="86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2"/>
    </row>
    <row r="218" ht="15.75" customHeight="1">
      <c r="A218" s="8"/>
      <c r="B218" s="8"/>
      <c r="C218" s="86"/>
      <c r="D218" s="86"/>
      <c r="E218" s="86"/>
      <c r="F218" s="86"/>
      <c r="G218" s="86"/>
      <c r="H218" s="86"/>
      <c r="I218" s="86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2"/>
    </row>
    <row r="219" ht="15.75" customHeight="1">
      <c r="A219" s="8"/>
      <c r="B219" s="8"/>
      <c r="C219" s="86"/>
      <c r="D219" s="86"/>
      <c r="E219" s="86"/>
      <c r="F219" s="86"/>
      <c r="G219" s="86"/>
      <c r="H219" s="86"/>
      <c r="I219" s="86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2"/>
    </row>
    <row r="220" ht="15.75" customHeight="1">
      <c r="A220" s="8"/>
      <c r="B220" s="8"/>
      <c r="C220" s="86"/>
      <c r="D220" s="86"/>
      <c r="E220" s="86"/>
      <c r="F220" s="86"/>
      <c r="G220" s="86"/>
      <c r="H220" s="86"/>
      <c r="I220" s="86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2"/>
    </row>
    <row r="221" ht="15.75" customHeight="1">
      <c r="A221" s="8"/>
      <c r="B221" s="8"/>
      <c r="C221" s="86"/>
      <c r="D221" s="86"/>
      <c r="E221" s="86"/>
      <c r="F221" s="86"/>
      <c r="G221" s="86"/>
      <c r="H221" s="86"/>
      <c r="I221" s="86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2"/>
    </row>
    <row r="222" ht="15.75" customHeight="1">
      <c r="A222" s="8"/>
      <c r="B222" s="8"/>
      <c r="C222" s="86"/>
      <c r="D222" s="86"/>
      <c r="E222" s="86"/>
      <c r="F222" s="86"/>
      <c r="G222" s="86"/>
      <c r="H222" s="86"/>
      <c r="I222" s="86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2"/>
    </row>
    <row r="223" ht="15.75" customHeight="1">
      <c r="A223" s="8"/>
      <c r="B223" s="8"/>
      <c r="C223" s="86"/>
      <c r="D223" s="86"/>
      <c r="E223" s="86"/>
      <c r="F223" s="86"/>
      <c r="G223" s="86"/>
      <c r="H223" s="86"/>
      <c r="I223" s="86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2"/>
    </row>
    <row r="224" ht="15.75" customHeight="1">
      <c r="A224" s="8"/>
      <c r="B224" s="8"/>
      <c r="C224" s="86"/>
      <c r="D224" s="86"/>
      <c r="E224" s="86"/>
      <c r="F224" s="86"/>
      <c r="G224" s="86"/>
      <c r="H224" s="86"/>
      <c r="I224" s="86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2"/>
    </row>
    <row r="225" ht="15.75" customHeight="1">
      <c r="A225" s="8"/>
      <c r="B225" s="8"/>
      <c r="C225" s="86"/>
      <c r="D225" s="86"/>
      <c r="E225" s="86"/>
      <c r="F225" s="86"/>
      <c r="G225" s="86"/>
      <c r="H225" s="86"/>
      <c r="I225" s="86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2"/>
    </row>
    <row r="226" ht="15.75" customHeight="1">
      <c r="A226" s="8"/>
      <c r="B226" s="8"/>
      <c r="C226" s="86"/>
      <c r="D226" s="86"/>
      <c r="E226" s="86"/>
      <c r="F226" s="86"/>
      <c r="G226" s="86"/>
      <c r="H226" s="86"/>
      <c r="I226" s="86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2"/>
    </row>
    <row r="227" ht="15.75" customHeight="1">
      <c r="A227" s="8"/>
      <c r="B227" s="8"/>
      <c r="C227" s="86"/>
      <c r="D227" s="86"/>
      <c r="E227" s="86"/>
      <c r="F227" s="86"/>
      <c r="G227" s="86"/>
      <c r="H227" s="86"/>
      <c r="I227" s="86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2"/>
    </row>
    <row r="228" ht="15.75" customHeight="1">
      <c r="A228" s="8"/>
      <c r="B228" s="8"/>
      <c r="C228" s="86"/>
      <c r="D228" s="86"/>
      <c r="E228" s="86"/>
      <c r="F228" s="86"/>
      <c r="G228" s="86"/>
      <c r="H228" s="86"/>
      <c r="I228" s="86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2"/>
    </row>
    <row r="229" ht="15.75" customHeight="1">
      <c r="A229" s="8"/>
      <c r="B229" s="8"/>
      <c r="C229" s="86"/>
      <c r="D229" s="86"/>
      <c r="E229" s="86"/>
      <c r="F229" s="86"/>
      <c r="G229" s="86"/>
      <c r="H229" s="86"/>
      <c r="I229" s="86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2"/>
    </row>
    <row r="230" ht="15.75" customHeight="1">
      <c r="A230" s="8"/>
      <c r="B230" s="8"/>
      <c r="C230" s="86"/>
      <c r="D230" s="86"/>
      <c r="E230" s="86"/>
      <c r="F230" s="86"/>
      <c r="G230" s="86"/>
      <c r="H230" s="86"/>
      <c r="I230" s="86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2"/>
    </row>
    <row r="231" ht="15.75" customHeight="1">
      <c r="A231" s="8"/>
      <c r="B231" s="8"/>
      <c r="C231" s="86"/>
      <c r="D231" s="86"/>
      <c r="E231" s="86"/>
      <c r="F231" s="86"/>
      <c r="G231" s="86"/>
      <c r="H231" s="86"/>
      <c r="I231" s="86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2"/>
    </row>
    <row r="232" ht="15.75" customHeight="1">
      <c r="A232" s="8"/>
      <c r="B232" s="8"/>
      <c r="C232" s="86"/>
      <c r="D232" s="86"/>
      <c r="E232" s="86"/>
      <c r="F232" s="86"/>
      <c r="G232" s="86"/>
      <c r="H232" s="86"/>
      <c r="I232" s="86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2"/>
    </row>
    <row r="233" ht="15.75" customHeight="1">
      <c r="A233" s="8"/>
      <c r="B233" s="8"/>
      <c r="C233" s="86"/>
      <c r="D233" s="86"/>
      <c r="E233" s="86"/>
      <c r="F233" s="86"/>
      <c r="G233" s="86"/>
      <c r="H233" s="86"/>
      <c r="I233" s="86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2"/>
    </row>
    <row r="234" ht="15.75" customHeight="1">
      <c r="A234" s="8"/>
      <c r="B234" s="8"/>
      <c r="C234" s="86"/>
      <c r="D234" s="86"/>
      <c r="E234" s="86"/>
      <c r="F234" s="86"/>
      <c r="G234" s="86"/>
      <c r="H234" s="86"/>
      <c r="I234" s="86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2"/>
    </row>
    <row r="235" ht="15.75" customHeight="1">
      <c r="A235" s="8"/>
      <c r="B235" s="8"/>
      <c r="C235" s="86"/>
      <c r="D235" s="86"/>
      <c r="E235" s="86"/>
      <c r="F235" s="86"/>
      <c r="G235" s="86"/>
      <c r="H235" s="86"/>
      <c r="I235" s="86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2"/>
    </row>
    <row r="236" ht="15.75" customHeight="1">
      <c r="A236" s="8"/>
      <c r="B236" s="8"/>
      <c r="C236" s="86"/>
      <c r="D236" s="86"/>
      <c r="E236" s="86"/>
      <c r="F236" s="86"/>
      <c r="G236" s="86"/>
      <c r="H236" s="86"/>
      <c r="I236" s="86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2"/>
    </row>
    <row r="237" ht="15.75" customHeight="1">
      <c r="A237" s="8"/>
      <c r="B237" s="8"/>
      <c r="C237" s="86"/>
      <c r="D237" s="86"/>
      <c r="E237" s="86"/>
      <c r="F237" s="86"/>
      <c r="G237" s="86"/>
      <c r="H237" s="86"/>
      <c r="I237" s="86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2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2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2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2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2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2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2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2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2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2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2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2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2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2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2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2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2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2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2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2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2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2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2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2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2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2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2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2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2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2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2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2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2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2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2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2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2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2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2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2"/>
    </row>
    <row r="277" ht="15.75" customHeight="1">
      <c r="A277" s="92"/>
      <c r="B277" s="92"/>
      <c r="C277" s="92"/>
      <c r="D277" s="92"/>
      <c r="E277" s="92"/>
      <c r="F277" s="92"/>
      <c r="G277" s="92"/>
      <c r="I277" s="92"/>
    </row>
    <row r="278" ht="15.75" customHeight="1">
      <c r="A278" s="92"/>
      <c r="B278" s="92"/>
      <c r="C278" s="92"/>
      <c r="D278" s="92"/>
      <c r="E278" s="92"/>
      <c r="F278" s="92"/>
      <c r="G278" s="92"/>
      <c r="I278" s="92"/>
    </row>
    <row r="279" ht="15.75" customHeight="1">
      <c r="A279" s="92"/>
      <c r="B279" s="92"/>
      <c r="C279" s="92"/>
      <c r="D279" s="92"/>
      <c r="E279" s="92"/>
      <c r="F279" s="92"/>
      <c r="G279" s="92"/>
      <c r="I279" s="92"/>
    </row>
    <row r="280" ht="15.75" customHeight="1">
      <c r="A280" s="92"/>
      <c r="B280" s="92"/>
      <c r="C280" s="92"/>
      <c r="D280" s="92"/>
      <c r="E280" s="92"/>
      <c r="F280" s="92"/>
      <c r="G280" s="92"/>
      <c r="I280" s="92"/>
    </row>
    <row r="281" ht="15.75" customHeight="1">
      <c r="A281" s="92"/>
      <c r="B281" s="92"/>
      <c r="C281" s="92"/>
      <c r="D281" s="92"/>
      <c r="E281" s="92"/>
      <c r="F281" s="92"/>
      <c r="G281" s="92"/>
      <c r="I281" s="92"/>
    </row>
    <row r="282" ht="15.75" customHeight="1">
      <c r="A282" s="92"/>
      <c r="B282" s="92"/>
      <c r="C282" s="92"/>
      <c r="D282" s="92"/>
      <c r="E282" s="92"/>
      <c r="F282" s="92"/>
      <c r="G282" s="92"/>
      <c r="I282" s="92"/>
    </row>
    <row r="283" ht="15.75" customHeight="1">
      <c r="A283" s="92"/>
      <c r="B283" s="92"/>
      <c r="C283" s="92"/>
      <c r="D283" s="92"/>
      <c r="E283" s="92"/>
      <c r="F283" s="92"/>
      <c r="G283" s="92"/>
      <c r="I283" s="92"/>
    </row>
    <row r="284" ht="15.75" customHeight="1">
      <c r="A284" s="92"/>
      <c r="B284" s="92"/>
      <c r="C284" s="92"/>
      <c r="D284" s="92"/>
      <c r="E284" s="92"/>
      <c r="F284" s="92"/>
      <c r="G284" s="92"/>
      <c r="I284" s="92"/>
    </row>
    <row r="285" ht="15.75" customHeight="1">
      <c r="A285" s="92"/>
      <c r="B285" s="92"/>
      <c r="C285" s="92"/>
      <c r="D285" s="92"/>
      <c r="E285" s="92"/>
      <c r="F285" s="92"/>
      <c r="G285" s="92"/>
      <c r="I285" s="92"/>
    </row>
    <row r="286" ht="15.75" customHeight="1">
      <c r="A286" s="92"/>
      <c r="B286" s="92"/>
      <c r="C286" s="92"/>
      <c r="D286" s="92"/>
      <c r="E286" s="92"/>
      <c r="F286" s="92"/>
      <c r="G286" s="92"/>
      <c r="I286" s="92"/>
    </row>
    <row r="287" ht="15.75" customHeight="1">
      <c r="A287" s="92"/>
      <c r="B287" s="92"/>
      <c r="C287" s="92"/>
      <c r="D287" s="92"/>
      <c r="E287" s="92"/>
      <c r="F287" s="92"/>
      <c r="G287" s="92"/>
      <c r="I287" s="92"/>
    </row>
    <row r="288" ht="15.75" customHeight="1">
      <c r="A288" s="92"/>
      <c r="B288" s="92"/>
      <c r="C288" s="92"/>
      <c r="D288" s="92"/>
      <c r="E288" s="92"/>
      <c r="F288" s="92"/>
      <c r="G288" s="92"/>
      <c r="I288" s="92"/>
    </row>
    <row r="289" ht="15.75" customHeight="1">
      <c r="A289" s="92"/>
      <c r="B289" s="92"/>
      <c r="C289" s="92"/>
      <c r="D289" s="92"/>
      <c r="E289" s="92"/>
      <c r="F289" s="92"/>
      <c r="G289" s="92"/>
      <c r="I289" s="92"/>
    </row>
    <row r="290" ht="15.75" customHeight="1">
      <c r="A290" s="92"/>
      <c r="B290" s="92"/>
      <c r="C290" s="92"/>
      <c r="D290" s="92"/>
      <c r="E290" s="92"/>
      <c r="F290" s="92"/>
      <c r="G290" s="92"/>
      <c r="I290" s="92"/>
    </row>
    <row r="291" ht="15.75" customHeight="1">
      <c r="A291" s="92"/>
      <c r="B291" s="92"/>
      <c r="C291" s="92"/>
      <c r="D291" s="92"/>
      <c r="E291" s="92"/>
      <c r="F291" s="92"/>
      <c r="G291" s="92"/>
      <c r="I291" s="92"/>
    </row>
    <row r="292" ht="15.75" customHeight="1">
      <c r="A292" s="92"/>
      <c r="B292" s="92"/>
      <c r="C292" s="92"/>
      <c r="D292" s="92"/>
      <c r="E292" s="92"/>
      <c r="F292" s="92"/>
      <c r="G292" s="92"/>
      <c r="I292" s="92"/>
    </row>
    <row r="293" ht="15.75" customHeight="1">
      <c r="A293" s="92"/>
      <c r="B293" s="92"/>
      <c r="C293" s="92"/>
      <c r="D293" s="92"/>
      <c r="E293" s="92"/>
      <c r="F293" s="92"/>
      <c r="G293" s="92"/>
      <c r="I293" s="92"/>
    </row>
    <row r="294" ht="15.75" customHeight="1">
      <c r="A294" s="92"/>
      <c r="B294" s="92"/>
      <c r="C294" s="92"/>
      <c r="D294" s="92"/>
      <c r="E294" s="92"/>
      <c r="F294" s="92"/>
      <c r="G294" s="92"/>
      <c r="I294" s="92"/>
    </row>
    <row r="295" ht="15.75" customHeight="1">
      <c r="A295" s="92"/>
      <c r="B295" s="92"/>
      <c r="C295" s="92"/>
      <c r="D295" s="92"/>
      <c r="E295" s="92"/>
      <c r="F295" s="92"/>
      <c r="G295" s="92"/>
      <c r="I295" s="92"/>
    </row>
    <row r="296" ht="15.75" customHeight="1">
      <c r="A296" s="92"/>
      <c r="B296" s="92"/>
      <c r="C296" s="92"/>
      <c r="D296" s="92"/>
      <c r="E296" s="92"/>
      <c r="F296" s="92"/>
      <c r="G296" s="92"/>
      <c r="I296" s="92"/>
    </row>
    <row r="297" ht="15.75" customHeight="1">
      <c r="A297" s="92"/>
      <c r="B297" s="92"/>
      <c r="C297" s="92"/>
      <c r="D297" s="92"/>
      <c r="E297" s="92"/>
      <c r="F297" s="92"/>
      <c r="G297" s="92"/>
      <c r="I297" s="92"/>
    </row>
    <row r="298" ht="15.75" customHeight="1">
      <c r="A298" s="92"/>
      <c r="B298" s="92"/>
      <c r="C298" s="92"/>
      <c r="D298" s="92"/>
      <c r="E298" s="92"/>
      <c r="F298" s="92"/>
      <c r="G298" s="92"/>
      <c r="I298" s="92"/>
    </row>
    <row r="299" ht="15.75" customHeight="1">
      <c r="A299" s="92"/>
      <c r="B299" s="92"/>
      <c r="C299" s="92"/>
      <c r="D299" s="92"/>
      <c r="E299" s="92"/>
      <c r="F299" s="92"/>
      <c r="G299" s="92"/>
      <c r="I299" s="92"/>
    </row>
    <row r="300" ht="15.75" customHeight="1">
      <c r="A300" s="92"/>
      <c r="B300" s="92"/>
      <c r="C300" s="92"/>
      <c r="D300" s="92"/>
      <c r="E300" s="92"/>
      <c r="F300" s="92"/>
      <c r="G300" s="92"/>
      <c r="I300" s="92"/>
    </row>
    <row r="301" ht="15.75" customHeight="1">
      <c r="A301" s="92"/>
      <c r="B301" s="92"/>
      <c r="C301" s="92"/>
      <c r="D301" s="92"/>
      <c r="E301" s="92"/>
      <c r="F301" s="92"/>
      <c r="G301" s="92"/>
      <c r="I301" s="92"/>
    </row>
    <row r="302" ht="15.75" customHeight="1">
      <c r="A302" s="92"/>
      <c r="B302" s="92"/>
      <c r="C302" s="92"/>
      <c r="D302" s="92"/>
      <c r="E302" s="92"/>
      <c r="F302" s="92"/>
      <c r="G302" s="92"/>
      <c r="I302" s="92"/>
    </row>
    <row r="303" ht="15.75" customHeight="1">
      <c r="A303" s="92"/>
      <c r="B303" s="92"/>
      <c r="C303" s="92"/>
      <c r="D303" s="92"/>
      <c r="E303" s="92"/>
      <c r="F303" s="92"/>
      <c r="G303" s="92"/>
      <c r="I303" s="92"/>
    </row>
    <row r="304" ht="15.75" customHeight="1">
      <c r="A304" s="92"/>
      <c r="B304" s="92"/>
      <c r="C304" s="92"/>
      <c r="D304" s="92"/>
      <c r="E304" s="92"/>
      <c r="F304" s="92"/>
      <c r="G304" s="92"/>
      <c r="I304" s="92"/>
    </row>
    <row r="305" ht="15.75" customHeight="1">
      <c r="A305" s="92"/>
      <c r="B305" s="92"/>
      <c r="C305" s="92"/>
      <c r="D305" s="92"/>
      <c r="E305" s="92"/>
      <c r="F305" s="92"/>
      <c r="G305" s="92"/>
      <c r="I305" s="92"/>
    </row>
    <row r="306" ht="15.75" customHeight="1">
      <c r="A306" s="92"/>
      <c r="B306" s="92"/>
      <c r="C306" s="92"/>
      <c r="D306" s="92"/>
      <c r="E306" s="92"/>
      <c r="F306" s="92"/>
      <c r="G306" s="92"/>
      <c r="I306" s="92"/>
    </row>
    <row r="307" ht="15.75" customHeight="1">
      <c r="A307" s="92"/>
      <c r="B307" s="92"/>
      <c r="C307" s="92"/>
      <c r="D307" s="92"/>
      <c r="E307" s="92"/>
      <c r="F307" s="92"/>
      <c r="G307" s="92"/>
      <c r="I307" s="92"/>
    </row>
    <row r="308" ht="15.75" customHeight="1">
      <c r="A308" s="92"/>
      <c r="B308" s="92"/>
      <c r="C308" s="92"/>
      <c r="D308" s="92"/>
      <c r="E308" s="92"/>
      <c r="F308" s="92"/>
      <c r="G308" s="92"/>
      <c r="I308" s="92"/>
    </row>
    <row r="309" ht="15.75" customHeight="1">
      <c r="A309" s="92"/>
      <c r="B309" s="92"/>
      <c r="C309" s="92"/>
      <c r="D309" s="92"/>
      <c r="E309" s="92"/>
      <c r="F309" s="92"/>
      <c r="G309" s="92"/>
      <c r="I309" s="92"/>
    </row>
    <row r="310" ht="15.75" customHeight="1">
      <c r="A310" s="92"/>
      <c r="B310" s="92"/>
      <c r="C310" s="92"/>
      <c r="D310" s="92"/>
      <c r="E310" s="92"/>
      <c r="F310" s="92"/>
      <c r="G310" s="92"/>
      <c r="I310" s="92"/>
    </row>
    <row r="311" ht="15.75" customHeight="1">
      <c r="A311" s="92"/>
      <c r="B311" s="92"/>
      <c r="C311" s="92"/>
      <c r="D311" s="92"/>
      <c r="E311" s="92"/>
      <c r="F311" s="92"/>
      <c r="G311" s="92"/>
      <c r="I311" s="92"/>
    </row>
    <row r="312" ht="15.75" customHeight="1">
      <c r="A312" s="92"/>
      <c r="B312" s="92"/>
      <c r="C312" s="92"/>
      <c r="D312" s="92"/>
      <c r="E312" s="92"/>
      <c r="F312" s="92"/>
      <c r="G312" s="92"/>
      <c r="I312" s="92"/>
    </row>
    <row r="313" ht="15.75" customHeight="1">
      <c r="A313" s="92"/>
      <c r="B313" s="92"/>
      <c r="C313" s="92"/>
      <c r="D313" s="92"/>
      <c r="E313" s="92"/>
      <c r="F313" s="92"/>
      <c r="G313" s="92"/>
      <c r="I313" s="92"/>
    </row>
    <row r="314" ht="15.75" customHeight="1">
      <c r="A314" s="92"/>
      <c r="B314" s="92"/>
      <c r="C314" s="92"/>
      <c r="D314" s="92"/>
      <c r="E314" s="92"/>
      <c r="F314" s="92"/>
      <c r="G314" s="92"/>
      <c r="I314" s="92"/>
    </row>
    <row r="315" ht="15.75" customHeight="1">
      <c r="A315" s="92"/>
      <c r="B315" s="92"/>
      <c r="C315" s="92"/>
      <c r="D315" s="92"/>
      <c r="E315" s="92"/>
      <c r="F315" s="92"/>
      <c r="G315" s="92"/>
      <c r="I315" s="92"/>
    </row>
    <row r="316" ht="15.75" customHeight="1">
      <c r="A316" s="92"/>
      <c r="B316" s="92"/>
      <c r="C316" s="92"/>
      <c r="D316" s="92"/>
      <c r="E316" s="92"/>
      <c r="F316" s="92"/>
      <c r="G316" s="92"/>
      <c r="I316" s="92"/>
    </row>
    <row r="317" ht="15.75" customHeight="1">
      <c r="A317" s="92"/>
      <c r="B317" s="92"/>
      <c r="C317" s="92"/>
      <c r="D317" s="92"/>
      <c r="E317" s="92"/>
      <c r="F317" s="92"/>
      <c r="G317" s="92"/>
      <c r="I317" s="92"/>
    </row>
    <row r="318" ht="15.75" customHeight="1">
      <c r="A318" s="92"/>
      <c r="B318" s="92"/>
      <c r="C318" s="92"/>
      <c r="D318" s="92"/>
      <c r="E318" s="92"/>
      <c r="F318" s="92"/>
      <c r="G318" s="92"/>
      <c r="I318" s="92"/>
    </row>
    <row r="319" ht="15.75" customHeight="1">
      <c r="A319" s="92"/>
      <c r="B319" s="92"/>
      <c r="C319" s="92"/>
      <c r="D319" s="92"/>
      <c r="E319" s="92"/>
      <c r="F319" s="92"/>
      <c r="G319" s="92"/>
      <c r="I319" s="92"/>
    </row>
    <row r="320" ht="15.75" customHeight="1">
      <c r="A320" s="92"/>
      <c r="B320" s="92"/>
      <c r="C320" s="92"/>
      <c r="D320" s="92"/>
      <c r="E320" s="92"/>
      <c r="F320" s="92"/>
      <c r="G320" s="92"/>
      <c r="I320" s="92"/>
    </row>
    <row r="321" ht="15.75" customHeight="1">
      <c r="A321" s="92"/>
      <c r="B321" s="92"/>
      <c r="C321" s="92"/>
      <c r="D321" s="92"/>
      <c r="E321" s="92"/>
      <c r="F321" s="92"/>
      <c r="G321" s="92"/>
      <c r="I321" s="92"/>
    </row>
    <row r="322" ht="15.75" customHeight="1">
      <c r="A322" s="92"/>
      <c r="B322" s="92"/>
      <c r="C322" s="92"/>
      <c r="D322" s="92"/>
      <c r="E322" s="92"/>
      <c r="F322" s="92"/>
      <c r="G322" s="92"/>
      <c r="I322" s="92"/>
    </row>
    <row r="323" ht="15.75" customHeight="1">
      <c r="A323" s="92"/>
      <c r="B323" s="92"/>
      <c r="C323" s="92"/>
      <c r="D323" s="92"/>
      <c r="E323" s="92"/>
      <c r="F323" s="92"/>
      <c r="G323" s="92"/>
      <c r="I323" s="92"/>
    </row>
    <row r="324" ht="15.75" customHeight="1">
      <c r="A324" s="92"/>
      <c r="B324" s="92"/>
      <c r="C324" s="92"/>
      <c r="D324" s="92"/>
      <c r="E324" s="92"/>
      <c r="F324" s="92"/>
      <c r="G324" s="92"/>
      <c r="I324" s="92"/>
    </row>
    <row r="325" ht="15.75" customHeight="1">
      <c r="A325" s="92"/>
      <c r="B325" s="92"/>
      <c r="C325" s="92"/>
      <c r="D325" s="92"/>
      <c r="E325" s="92"/>
      <c r="F325" s="92"/>
      <c r="G325" s="92"/>
      <c r="I325" s="92"/>
    </row>
    <row r="326" ht="15.75" customHeight="1">
      <c r="A326" s="92"/>
      <c r="B326" s="92"/>
      <c r="C326" s="92"/>
      <c r="D326" s="92"/>
      <c r="E326" s="92"/>
      <c r="F326" s="92"/>
      <c r="G326" s="92"/>
      <c r="I326" s="92"/>
    </row>
    <row r="327" ht="15.75" customHeight="1">
      <c r="A327" s="92"/>
      <c r="B327" s="92"/>
      <c r="C327" s="92"/>
      <c r="D327" s="92"/>
      <c r="E327" s="92"/>
      <c r="F327" s="92"/>
      <c r="G327" s="92"/>
      <c r="I327" s="92"/>
    </row>
    <row r="328" ht="15.75" customHeight="1">
      <c r="A328" s="92"/>
      <c r="B328" s="92"/>
      <c r="C328" s="92"/>
      <c r="D328" s="92"/>
      <c r="E328" s="92"/>
      <c r="F328" s="92"/>
      <c r="G328" s="92"/>
      <c r="I328" s="92"/>
    </row>
    <row r="329" ht="15.75" customHeight="1">
      <c r="A329" s="92"/>
      <c r="B329" s="92"/>
      <c r="C329" s="92"/>
      <c r="D329" s="92"/>
      <c r="E329" s="92"/>
      <c r="F329" s="92"/>
      <c r="G329" s="92"/>
      <c r="I329" s="92"/>
    </row>
    <row r="330" ht="15.75" customHeight="1">
      <c r="A330" s="92"/>
      <c r="B330" s="92"/>
      <c r="C330" s="92"/>
      <c r="D330" s="92"/>
      <c r="E330" s="92"/>
      <c r="F330" s="92"/>
      <c r="G330" s="92"/>
      <c r="I330" s="92"/>
    </row>
    <row r="331" ht="15.75" customHeight="1">
      <c r="A331" s="92"/>
      <c r="B331" s="92"/>
      <c r="C331" s="92"/>
      <c r="D331" s="92"/>
      <c r="E331" s="92"/>
      <c r="F331" s="92"/>
      <c r="G331" s="92"/>
      <c r="I331" s="92"/>
    </row>
    <row r="332" ht="15.75" customHeight="1">
      <c r="A332" s="92"/>
      <c r="B332" s="92"/>
      <c r="C332" s="92"/>
      <c r="D332" s="92"/>
      <c r="E332" s="92"/>
      <c r="F332" s="92"/>
      <c r="G332" s="92"/>
      <c r="I332" s="92"/>
    </row>
    <row r="333" ht="15.75" customHeight="1">
      <c r="A333" s="92"/>
      <c r="B333" s="92"/>
      <c r="C333" s="92"/>
      <c r="D333" s="92"/>
      <c r="E333" s="92"/>
      <c r="F333" s="92"/>
      <c r="G333" s="92"/>
      <c r="I333" s="92"/>
    </row>
    <row r="334" ht="15.75" customHeight="1">
      <c r="A334" s="92"/>
      <c r="B334" s="92"/>
      <c r="C334" s="92"/>
      <c r="D334" s="92"/>
      <c r="E334" s="92"/>
      <c r="F334" s="92"/>
      <c r="G334" s="92"/>
      <c r="I334" s="92"/>
    </row>
    <row r="335" ht="15.75" customHeight="1">
      <c r="A335" s="92"/>
      <c r="B335" s="92"/>
      <c r="C335" s="92"/>
      <c r="D335" s="92"/>
      <c r="E335" s="92"/>
      <c r="F335" s="92"/>
      <c r="G335" s="92"/>
      <c r="I335" s="92"/>
    </row>
    <row r="336" ht="15.75" customHeight="1">
      <c r="A336" s="92"/>
      <c r="B336" s="92"/>
      <c r="C336" s="92"/>
      <c r="D336" s="92"/>
      <c r="E336" s="92"/>
      <c r="F336" s="92"/>
      <c r="G336" s="92"/>
      <c r="I336" s="92"/>
    </row>
    <row r="337" ht="15.75" customHeight="1">
      <c r="A337" s="92"/>
      <c r="B337" s="92"/>
      <c r="C337" s="92"/>
      <c r="D337" s="92"/>
      <c r="E337" s="92"/>
      <c r="F337" s="92"/>
      <c r="G337" s="92"/>
      <c r="I337" s="92"/>
    </row>
    <row r="338" ht="15.75" customHeight="1">
      <c r="A338" s="92"/>
      <c r="B338" s="92"/>
      <c r="C338" s="92"/>
      <c r="D338" s="92"/>
      <c r="E338" s="92"/>
      <c r="F338" s="92"/>
      <c r="G338" s="92"/>
      <c r="I338" s="92"/>
    </row>
    <row r="339" ht="15.75" customHeight="1">
      <c r="A339" s="92"/>
      <c r="B339" s="92"/>
      <c r="C339" s="92"/>
      <c r="D339" s="92"/>
      <c r="E339" s="92"/>
      <c r="F339" s="92"/>
      <c r="G339" s="92"/>
      <c r="I339" s="92"/>
    </row>
    <row r="340" ht="15.75" customHeight="1">
      <c r="A340" s="92"/>
      <c r="B340" s="92"/>
      <c r="C340" s="92"/>
      <c r="D340" s="92"/>
      <c r="E340" s="92"/>
      <c r="F340" s="92"/>
      <c r="G340" s="92"/>
      <c r="I340" s="92"/>
    </row>
    <row r="341" ht="15.75" customHeight="1">
      <c r="A341" s="92"/>
      <c r="B341" s="92"/>
      <c r="C341" s="92"/>
      <c r="D341" s="92"/>
      <c r="E341" s="92"/>
      <c r="F341" s="92"/>
      <c r="G341" s="92"/>
      <c r="I341" s="92"/>
    </row>
    <row r="342" ht="15.75" customHeight="1">
      <c r="A342" s="92"/>
      <c r="B342" s="92"/>
      <c r="C342" s="92"/>
      <c r="D342" s="92"/>
      <c r="E342" s="92"/>
      <c r="F342" s="92"/>
      <c r="G342" s="92"/>
      <c r="I342" s="92"/>
    </row>
    <row r="343" ht="15.75" customHeight="1">
      <c r="A343" s="92"/>
      <c r="B343" s="92"/>
      <c r="C343" s="92"/>
      <c r="D343" s="92"/>
      <c r="E343" s="92"/>
      <c r="F343" s="92"/>
      <c r="G343" s="92"/>
      <c r="I343" s="92"/>
    </row>
    <row r="344" ht="15.75" customHeight="1">
      <c r="A344" s="92"/>
      <c r="B344" s="92"/>
      <c r="C344" s="92"/>
      <c r="D344" s="92"/>
      <c r="E344" s="92"/>
      <c r="F344" s="92"/>
      <c r="G344" s="92"/>
      <c r="I344" s="92"/>
    </row>
    <row r="345" ht="15.75" customHeight="1">
      <c r="A345" s="92"/>
      <c r="B345" s="92"/>
      <c r="C345" s="92"/>
      <c r="D345" s="92"/>
      <c r="E345" s="92"/>
      <c r="F345" s="92"/>
      <c r="G345" s="92"/>
      <c r="I345" s="92"/>
    </row>
    <row r="346" ht="15.75" customHeight="1">
      <c r="A346" s="92"/>
      <c r="B346" s="92"/>
      <c r="C346" s="92"/>
      <c r="D346" s="92"/>
      <c r="E346" s="92"/>
      <c r="F346" s="92"/>
      <c r="G346" s="92"/>
      <c r="I346" s="92"/>
    </row>
    <row r="347" ht="15.75" customHeight="1">
      <c r="A347" s="92"/>
      <c r="B347" s="92"/>
      <c r="C347" s="92"/>
      <c r="D347" s="92"/>
      <c r="E347" s="92"/>
      <c r="F347" s="92"/>
      <c r="G347" s="92"/>
      <c r="I347" s="92"/>
    </row>
    <row r="348" ht="15.75" customHeight="1">
      <c r="A348" s="92"/>
      <c r="B348" s="92"/>
      <c r="C348" s="92"/>
      <c r="D348" s="92"/>
      <c r="E348" s="92"/>
      <c r="F348" s="92"/>
      <c r="G348" s="92"/>
      <c r="I348" s="92"/>
    </row>
    <row r="349" ht="15.75" customHeight="1">
      <c r="A349" s="92"/>
      <c r="B349" s="92"/>
      <c r="C349" s="92"/>
      <c r="D349" s="92"/>
      <c r="E349" s="92"/>
      <c r="F349" s="92"/>
      <c r="G349" s="92"/>
      <c r="I349" s="92"/>
    </row>
    <row r="350" ht="15.75" customHeight="1">
      <c r="A350" s="92"/>
      <c r="B350" s="92"/>
      <c r="C350" s="92"/>
      <c r="D350" s="92"/>
      <c r="E350" s="92"/>
      <c r="F350" s="92"/>
      <c r="G350" s="92"/>
      <c r="I350" s="92"/>
    </row>
    <row r="351" ht="15.75" customHeight="1">
      <c r="A351" s="92"/>
      <c r="B351" s="92"/>
      <c r="C351" s="92"/>
      <c r="D351" s="92"/>
      <c r="E351" s="92"/>
      <c r="F351" s="92"/>
      <c r="G351" s="92"/>
      <c r="I351" s="92"/>
    </row>
    <row r="352" ht="15.75" customHeight="1">
      <c r="A352" s="92"/>
      <c r="B352" s="92"/>
      <c r="C352" s="92"/>
      <c r="D352" s="92"/>
      <c r="E352" s="92"/>
      <c r="F352" s="92"/>
      <c r="G352" s="92"/>
      <c r="I352" s="92"/>
    </row>
    <row r="353" ht="15.75" customHeight="1">
      <c r="A353" s="92"/>
      <c r="B353" s="92"/>
      <c r="C353" s="92"/>
      <c r="D353" s="92"/>
      <c r="E353" s="92"/>
      <c r="F353" s="92"/>
      <c r="G353" s="92"/>
      <c r="I353" s="92"/>
    </row>
    <row r="354" ht="15.75" customHeight="1">
      <c r="A354" s="92"/>
      <c r="B354" s="92"/>
      <c r="C354" s="92"/>
      <c r="D354" s="92"/>
      <c r="E354" s="92"/>
      <c r="F354" s="92"/>
      <c r="G354" s="92"/>
      <c r="I354" s="92"/>
    </row>
    <row r="355" ht="15.75" customHeight="1">
      <c r="A355" s="92"/>
      <c r="B355" s="92"/>
      <c r="C355" s="92"/>
      <c r="D355" s="92"/>
      <c r="E355" s="92"/>
      <c r="F355" s="92"/>
      <c r="G355" s="92"/>
      <c r="I355" s="92"/>
    </row>
    <row r="356" ht="15.75" customHeight="1">
      <c r="A356" s="92"/>
      <c r="B356" s="92"/>
      <c r="C356" s="92"/>
      <c r="D356" s="92"/>
      <c r="E356" s="92"/>
      <c r="F356" s="92"/>
      <c r="G356" s="92"/>
      <c r="I356" s="92"/>
    </row>
    <row r="357" ht="15.75" customHeight="1">
      <c r="A357" s="92"/>
      <c r="B357" s="92"/>
      <c r="C357" s="92"/>
      <c r="D357" s="92"/>
      <c r="E357" s="92"/>
      <c r="F357" s="92"/>
      <c r="G357" s="92"/>
      <c r="I357" s="92"/>
    </row>
    <row r="358" ht="15.75" customHeight="1">
      <c r="A358" s="92"/>
      <c r="B358" s="92"/>
      <c r="C358" s="92"/>
      <c r="D358" s="92"/>
      <c r="E358" s="92"/>
      <c r="F358" s="92"/>
      <c r="G358" s="92"/>
      <c r="I358" s="92"/>
    </row>
    <row r="359" ht="15.75" customHeight="1">
      <c r="A359" s="92"/>
      <c r="B359" s="92"/>
      <c r="C359" s="92"/>
      <c r="D359" s="92"/>
      <c r="E359" s="92"/>
      <c r="F359" s="92"/>
      <c r="G359" s="92"/>
      <c r="I359" s="92"/>
    </row>
    <row r="360" ht="15.75" customHeight="1">
      <c r="A360" s="92"/>
      <c r="B360" s="92"/>
      <c r="C360" s="92"/>
      <c r="D360" s="92"/>
      <c r="E360" s="92"/>
      <c r="F360" s="92"/>
      <c r="G360" s="92"/>
      <c r="I360" s="92"/>
    </row>
    <row r="361" ht="15.75" customHeight="1">
      <c r="A361" s="92"/>
      <c r="B361" s="92"/>
      <c r="C361" s="92"/>
      <c r="D361" s="92"/>
      <c r="E361" s="92"/>
      <c r="F361" s="92"/>
      <c r="G361" s="92"/>
      <c r="I361" s="92"/>
    </row>
    <row r="362" ht="15.75" customHeight="1">
      <c r="A362" s="92"/>
      <c r="B362" s="92"/>
      <c r="C362" s="92"/>
      <c r="D362" s="92"/>
      <c r="E362" s="92"/>
      <c r="F362" s="92"/>
      <c r="G362" s="92"/>
      <c r="I362" s="92"/>
    </row>
    <row r="363" ht="15.75" customHeight="1">
      <c r="A363" s="92"/>
      <c r="B363" s="92"/>
      <c r="C363" s="92"/>
      <c r="D363" s="92"/>
      <c r="E363" s="92"/>
      <c r="F363" s="92"/>
      <c r="G363" s="92"/>
      <c r="I363" s="92"/>
    </row>
    <row r="364" ht="15.75" customHeight="1">
      <c r="A364" s="92"/>
      <c r="B364" s="92"/>
      <c r="C364" s="92"/>
      <c r="D364" s="92"/>
      <c r="E364" s="92"/>
      <c r="F364" s="92"/>
      <c r="G364" s="92"/>
      <c r="I364" s="92"/>
    </row>
    <row r="365" ht="15.75" customHeight="1">
      <c r="A365" s="92"/>
      <c r="B365" s="92"/>
      <c r="C365" s="92"/>
      <c r="D365" s="92"/>
      <c r="E365" s="92"/>
      <c r="F365" s="92"/>
      <c r="G365" s="92"/>
      <c r="I365" s="92"/>
    </row>
    <row r="366" ht="15.75" customHeight="1">
      <c r="A366" s="92"/>
      <c r="B366" s="92"/>
      <c r="C366" s="92"/>
      <c r="D366" s="92"/>
      <c r="E366" s="92"/>
      <c r="F366" s="92"/>
      <c r="G366" s="92"/>
      <c r="I366" s="92"/>
    </row>
    <row r="367" ht="15.75" customHeight="1">
      <c r="A367" s="92"/>
      <c r="B367" s="92"/>
      <c r="C367" s="92"/>
      <c r="D367" s="92"/>
      <c r="E367" s="92"/>
      <c r="F367" s="92"/>
      <c r="G367" s="92"/>
      <c r="I367" s="92"/>
    </row>
    <row r="368" ht="15.75" customHeight="1">
      <c r="A368" s="92"/>
      <c r="B368" s="92"/>
      <c r="C368" s="92"/>
      <c r="D368" s="92"/>
      <c r="E368" s="92"/>
      <c r="F368" s="92"/>
      <c r="G368" s="92"/>
      <c r="I368" s="92"/>
    </row>
    <row r="369" ht="15.75" customHeight="1">
      <c r="A369" s="92"/>
      <c r="B369" s="92"/>
      <c r="C369" s="92"/>
      <c r="D369" s="92"/>
      <c r="E369" s="92"/>
      <c r="F369" s="92"/>
      <c r="G369" s="92"/>
      <c r="I369" s="92"/>
    </row>
    <row r="370" ht="15.75" customHeight="1">
      <c r="A370" s="92"/>
      <c r="B370" s="92"/>
      <c r="C370" s="92"/>
      <c r="D370" s="92"/>
      <c r="E370" s="92"/>
      <c r="F370" s="92"/>
      <c r="G370" s="92"/>
      <c r="I370" s="92"/>
    </row>
    <row r="371" ht="15.75" customHeight="1">
      <c r="A371" s="92"/>
      <c r="B371" s="92"/>
      <c r="C371" s="92"/>
      <c r="D371" s="92"/>
      <c r="E371" s="92"/>
      <c r="F371" s="92"/>
      <c r="G371" s="92"/>
      <c r="I371" s="92"/>
    </row>
    <row r="372" ht="15.75" customHeight="1">
      <c r="A372" s="92"/>
      <c r="B372" s="92"/>
      <c r="C372" s="92"/>
      <c r="D372" s="92"/>
      <c r="E372" s="92"/>
      <c r="F372" s="92"/>
      <c r="G372" s="92"/>
      <c r="I372" s="92"/>
    </row>
    <row r="373" ht="15.75" customHeight="1">
      <c r="A373" s="92"/>
      <c r="B373" s="92"/>
      <c r="C373" s="92"/>
      <c r="D373" s="92"/>
      <c r="E373" s="92"/>
      <c r="F373" s="92"/>
      <c r="G373" s="92"/>
      <c r="I373" s="92"/>
    </row>
    <row r="374" ht="15.75" customHeight="1">
      <c r="A374" s="92"/>
      <c r="B374" s="92"/>
      <c r="C374" s="92"/>
      <c r="D374" s="92"/>
      <c r="E374" s="92"/>
      <c r="F374" s="92"/>
      <c r="G374" s="92"/>
      <c r="I374" s="92"/>
    </row>
    <row r="375" ht="15.75" customHeight="1">
      <c r="A375" s="92"/>
      <c r="B375" s="92"/>
      <c r="C375" s="92"/>
      <c r="D375" s="92"/>
      <c r="E375" s="92"/>
      <c r="F375" s="92"/>
      <c r="G375" s="92"/>
      <c r="I375" s="92"/>
    </row>
    <row r="376" ht="15.75" customHeight="1">
      <c r="A376" s="92"/>
      <c r="B376" s="92"/>
      <c r="C376" s="92"/>
      <c r="D376" s="92"/>
      <c r="E376" s="92"/>
      <c r="F376" s="92"/>
      <c r="G376" s="92"/>
      <c r="I376" s="92"/>
    </row>
    <row r="377" ht="15.75" customHeight="1">
      <c r="A377" s="92"/>
      <c r="B377" s="92"/>
      <c r="C377" s="92"/>
      <c r="D377" s="92"/>
      <c r="E377" s="92"/>
      <c r="F377" s="92"/>
      <c r="G377" s="92"/>
      <c r="I377" s="92"/>
    </row>
    <row r="378" ht="15.75" customHeight="1">
      <c r="A378" s="92"/>
      <c r="B378" s="92"/>
      <c r="C378" s="92"/>
      <c r="D378" s="92"/>
      <c r="E378" s="92"/>
      <c r="F378" s="92"/>
      <c r="G378" s="92"/>
      <c r="I378" s="92"/>
    </row>
    <row r="379" ht="15.75" customHeight="1">
      <c r="A379" s="92"/>
      <c r="B379" s="92"/>
      <c r="C379" s="92"/>
      <c r="D379" s="92"/>
      <c r="E379" s="92"/>
      <c r="F379" s="92"/>
      <c r="G379" s="92"/>
      <c r="I379" s="92"/>
    </row>
    <row r="380" ht="15.75" customHeight="1">
      <c r="A380" s="92"/>
      <c r="B380" s="92"/>
      <c r="C380" s="92"/>
      <c r="D380" s="92"/>
      <c r="E380" s="92"/>
      <c r="F380" s="92"/>
      <c r="G380" s="92"/>
      <c r="I380" s="92"/>
    </row>
    <row r="381" ht="15.75" customHeight="1">
      <c r="A381" s="92"/>
      <c r="B381" s="92"/>
      <c r="C381" s="92"/>
      <c r="D381" s="92"/>
      <c r="E381" s="92"/>
      <c r="F381" s="92"/>
      <c r="G381" s="92"/>
      <c r="I381" s="92"/>
    </row>
    <row r="382" ht="15.75" customHeight="1">
      <c r="A382" s="92"/>
      <c r="B382" s="92"/>
      <c r="C382" s="92"/>
      <c r="D382" s="92"/>
      <c r="E382" s="92"/>
      <c r="F382" s="92"/>
      <c r="G382" s="92"/>
      <c r="I382" s="92"/>
    </row>
    <row r="383" ht="15.75" customHeight="1">
      <c r="A383" s="92"/>
      <c r="B383" s="92"/>
      <c r="C383" s="92"/>
      <c r="D383" s="92"/>
      <c r="E383" s="92"/>
      <c r="F383" s="92"/>
      <c r="G383" s="92"/>
      <c r="I383" s="92"/>
    </row>
    <row r="384" ht="15.75" customHeight="1">
      <c r="A384" s="92"/>
      <c r="B384" s="92"/>
      <c r="C384" s="92"/>
      <c r="D384" s="92"/>
      <c r="E384" s="92"/>
      <c r="F384" s="92"/>
      <c r="G384" s="92"/>
      <c r="I384" s="92"/>
    </row>
    <row r="385" ht="15.75" customHeight="1">
      <c r="A385" s="92"/>
      <c r="B385" s="92"/>
      <c r="C385" s="92"/>
      <c r="D385" s="92"/>
      <c r="E385" s="92"/>
      <c r="F385" s="92"/>
      <c r="G385" s="92"/>
      <c r="I385" s="92"/>
    </row>
    <row r="386" ht="15.75" customHeight="1">
      <c r="A386" s="92"/>
      <c r="B386" s="92"/>
      <c r="C386" s="92"/>
      <c r="D386" s="92"/>
      <c r="E386" s="92"/>
      <c r="F386" s="92"/>
      <c r="G386" s="92"/>
      <c r="I386" s="92"/>
    </row>
    <row r="387" ht="15.75" customHeight="1">
      <c r="A387" s="92"/>
      <c r="B387" s="92"/>
      <c r="C387" s="92"/>
      <c r="D387" s="92"/>
      <c r="E387" s="92"/>
      <c r="F387" s="92"/>
      <c r="G387" s="92"/>
      <c r="I387" s="92"/>
    </row>
    <row r="388" ht="15.75" customHeight="1">
      <c r="A388" s="92"/>
      <c r="B388" s="92"/>
      <c r="C388" s="92"/>
      <c r="D388" s="92"/>
      <c r="E388" s="92"/>
      <c r="F388" s="92"/>
      <c r="G388" s="92"/>
      <c r="I388" s="92"/>
    </row>
    <row r="389" ht="15.75" customHeight="1">
      <c r="A389" s="92"/>
      <c r="B389" s="92"/>
      <c r="C389" s="92"/>
      <c r="D389" s="92"/>
      <c r="E389" s="92"/>
      <c r="F389" s="92"/>
      <c r="G389" s="92"/>
      <c r="I389" s="92"/>
    </row>
    <row r="390" ht="15.75" customHeight="1">
      <c r="A390" s="92"/>
      <c r="B390" s="92"/>
      <c r="C390" s="92"/>
      <c r="D390" s="92"/>
      <c r="E390" s="92"/>
      <c r="F390" s="92"/>
      <c r="G390" s="92"/>
      <c r="I390" s="92"/>
    </row>
    <row r="391" ht="15.75" customHeight="1">
      <c r="A391" s="92"/>
      <c r="B391" s="92"/>
      <c r="C391" s="92"/>
      <c r="D391" s="92"/>
      <c r="E391" s="92"/>
      <c r="F391" s="92"/>
      <c r="G391" s="92"/>
      <c r="I391" s="92"/>
    </row>
    <row r="392" ht="15.75" customHeight="1">
      <c r="A392" s="92"/>
      <c r="B392" s="92"/>
      <c r="C392" s="92"/>
      <c r="D392" s="92"/>
      <c r="E392" s="92"/>
      <c r="F392" s="92"/>
      <c r="G392" s="92"/>
      <c r="I392" s="92"/>
    </row>
    <row r="393" ht="15.75" customHeight="1">
      <c r="A393" s="92"/>
      <c r="B393" s="92"/>
      <c r="C393" s="92"/>
      <c r="D393" s="92"/>
      <c r="E393" s="92"/>
      <c r="F393" s="92"/>
      <c r="G393" s="92"/>
      <c r="I393" s="92"/>
    </row>
    <row r="394" ht="15.75" customHeight="1">
      <c r="A394" s="92"/>
      <c r="B394" s="92"/>
      <c r="C394" s="92"/>
      <c r="D394" s="92"/>
      <c r="E394" s="92"/>
      <c r="F394" s="92"/>
      <c r="G394" s="92"/>
      <c r="I394" s="92"/>
    </row>
    <row r="395" ht="15.75" customHeight="1">
      <c r="A395" s="92"/>
      <c r="B395" s="92"/>
      <c r="C395" s="92"/>
      <c r="D395" s="92"/>
      <c r="E395" s="92"/>
      <c r="F395" s="92"/>
      <c r="G395" s="92"/>
      <c r="I395" s="92"/>
    </row>
    <row r="396" ht="15.75" customHeight="1">
      <c r="A396" s="92"/>
      <c r="B396" s="92"/>
      <c r="C396" s="92"/>
      <c r="D396" s="92"/>
      <c r="E396" s="92"/>
      <c r="F396" s="92"/>
      <c r="G396" s="92"/>
      <c r="I396" s="92"/>
    </row>
    <row r="397" ht="15.75" customHeight="1">
      <c r="A397" s="92"/>
      <c r="B397" s="92"/>
      <c r="C397" s="92"/>
      <c r="D397" s="92"/>
      <c r="E397" s="92"/>
      <c r="F397" s="92"/>
      <c r="G397" s="92"/>
      <c r="I397" s="92"/>
    </row>
    <row r="398" ht="15.75" customHeight="1">
      <c r="A398" s="92"/>
      <c r="B398" s="92"/>
      <c r="C398" s="92"/>
      <c r="D398" s="92"/>
      <c r="E398" s="92"/>
      <c r="F398" s="92"/>
      <c r="G398" s="92"/>
      <c r="I398" s="92"/>
    </row>
    <row r="399" ht="15.75" customHeight="1">
      <c r="A399" s="92"/>
      <c r="B399" s="92"/>
      <c r="C399" s="92"/>
      <c r="D399" s="92"/>
      <c r="E399" s="92"/>
      <c r="F399" s="92"/>
      <c r="G399" s="92"/>
      <c r="I399" s="92"/>
    </row>
    <row r="400" ht="15.75" customHeight="1">
      <c r="A400" s="92"/>
      <c r="B400" s="92"/>
      <c r="C400" s="92"/>
      <c r="D400" s="92"/>
      <c r="E400" s="92"/>
      <c r="F400" s="92"/>
      <c r="G400" s="92"/>
      <c r="I400" s="92"/>
    </row>
    <row r="401" ht="15.75" customHeight="1">
      <c r="A401" s="92"/>
      <c r="B401" s="92"/>
      <c r="C401" s="92"/>
      <c r="D401" s="92"/>
      <c r="E401" s="92"/>
      <c r="F401" s="92"/>
      <c r="G401" s="92"/>
      <c r="I401" s="92"/>
    </row>
    <row r="402" ht="15.75" customHeight="1">
      <c r="A402" s="92"/>
      <c r="B402" s="92"/>
      <c r="C402" s="92"/>
      <c r="D402" s="92"/>
      <c r="E402" s="92"/>
      <c r="F402" s="92"/>
      <c r="G402" s="92"/>
      <c r="I402" s="92"/>
    </row>
    <row r="403" ht="15.75" customHeight="1">
      <c r="A403" s="92"/>
      <c r="B403" s="92"/>
      <c r="C403" s="92"/>
      <c r="D403" s="92"/>
      <c r="E403" s="92"/>
      <c r="F403" s="92"/>
      <c r="G403" s="92"/>
      <c r="I403" s="92"/>
    </row>
    <row r="404" ht="15.75" customHeight="1">
      <c r="A404" s="92"/>
      <c r="B404" s="92"/>
      <c r="C404" s="92"/>
      <c r="D404" s="92"/>
      <c r="E404" s="92"/>
      <c r="F404" s="92"/>
      <c r="G404" s="92"/>
      <c r="I404" s="92"/>
    </row>
    <row r="405" ht="15.75" customHeight="1">
      <c r="A405" s="92"/>
      <c r="B405" s="92"/>
      <c r="C405" s="92"/>
      <c r="D405" s="92"/>
      <c r="E405" s="92"/>
      <c r="F405" s="92"/>
      <c r="G405" s="92"/>
      <c r="I405" s="92"/>
    </row>
    <row r="406" ht="15.75" customHeight="1">
      <c r="A406" s="92"/>
      <c r="B406" s="92"/>
      <c r="C406" s="92"/>
      <c r="D406" s="92"/>
      <c r="E406" s="92"/>
      <c r="F406" s="92"/>
      <c r="G406" s="92"/>
      <c r="I406" s="92"/>
    </row>
    <row r="407" ht="15.75" customHeight="1">
      <c r="A407" s="92"/>
      <c r="B407" s="92"/>
      <c r="C407" s="92"/>
      <c r="D407" s="92"/>
      <c r="E407" s="92"/>
      <c r="F407" s="92"/>
      <c r="G407" s="92"/>
      <c r="I407" s="92"/>
    </row>
    <row r="408" ht="15.75" customHeight="1">
      <c r="A408" s="92"/>
      <c r="B408" s="92"/>
      <c r="C408" s="92"/>
      <c r="D408" s="92"/>
      <c r="E408" s="92"/>
      <c r="F408" s="92"/>
      <c r="G408" s="92"/>
      <c r="I408" s="92"/>
    </row>
    <row r="409" ht="15.75" customHeight="1">
      <c r="A409" s="92"/>
      <c r="B409" s="92"/>
      <c r="C409" s="92"/>
      <c r="D409" s="92"/>
      <c r="E409" s="92"/>
      <c r="F409" s="92"/>
      <c r="G409" s="92"/>
      <c r="I409" s="92"/>
    </row>
    <row r="410" ht="15.75" customHeight="1">
      <c r="A410" s="92"/>
      <c r="B410" s="92"/>
      <c r="C410" s="92"/>
      <c r="D410" s="92"/>
      <c r="E410" s="92"/>
      <c r="F410" s="92"/>
      <c r="G410" s="92"/>
      <c r="I410" s="92"/>
    </row>
    <row r="411" ht="15.75" customHeight="1">
      <c r="A411" s="92"/>
      <c r="B411" s="92"/>
      <c r="C411" s="92"/>
      <c r="D411" s="92"/>
      <c r="E411" s="92"/>
      <c r="F411" s="92"/>
      <c r="G411" s="92"/>
      <c r="I411" s="92"/>
    </row>
    <row r="412" ht="15.75" customHeight="1">
      <c r="A412" s="92"/>
      <c r="B412" s="92"/>
      <c r="C412" s="92"/>
      <c r="D412" s="92"/>
      <c r="E412" s="92"/>
      <c r="F412" s="92"/>
      <c r="G412" s="92"/>
      <c r="I412" s="92"/>
    </row>
    <row r="413" ht="15.75" customHeight="1">
      <c r="A413" s="92"/>
      <c r="B413" s="92"/>
      <c r="C413" s="92"/>
      <c r="D413" s="92"/>
      <c r="E413" s="92"/>
      <c r="F413" s="92"/>
      <c r="G413" s="92"/>
      <c r="I413" s="92"/>
    </row>
    <row r="414" ht="15.75" customHeight="1">
      <c r="A414" s="92"/>
      <c r="B414" s="92"/>
      <c r="C414" s="92"/>
      <c r="D414" s="92"/>
      <c r="E414" s="92"/>
      <c r="F414" s="92"/>
      <c r="G414" s="92"/>
      <c r="I414" s="92"/>
    </row>
    <row r="415" ht="15.75" customHeight="1">
      <c r="A415" s="92"/>
      <c r="B415" s="92"/>
      <c r="C415" s="92"/>
      <c r="D415" s="92"/>
      <c r="E415" s="92"/>
      <c r="F415" s="92"/>
      <c r="G415" s="92"/>
      <c r="I415" s="92"/>
    </row>
    <row r="416" ht="15.75" customHeight="1">
      <c r="A416" s="92"/>
      <c r="B416" s="92"/>
      <c r="C416" s="92"/>
      <c r="D416" s="92"/>
      <c r="E416" s="92"/>
      <c r="F416" s="92"/>
      <c r="G416" s="92"/>
      <c r="I416" s="92"/>
    </row>
    <row r="417" ht="15.75" customHeight="1">
      <c r="A417" s="92"/>
      <c r="B417" s="92"/>
      <c r="C417" s="92"/>
      <c r="D417" s="92"/>
      <c r="E417" s="92"/>
      <c r="F417" s="92"/>
      <c r="G417" s="92"/>
      <c r="I417" s="92"/>
    </row>
    <row r="418" ht="15.75" customHeight="1">
      <c r="A418" s="92"/>
      <c r="B418" s="92"/>
      <c r="C418" s="92"/>
      <c r="D418" s="92"/>
      <c r="E418" s="92"/>
      <c r="F418" s="92"/>
      <c r="G418" s="92"/>
      <c r="I418" s="92"/>
    </row>
    <row r="419" ht="15.75" customHeight="1">
      <c r="A419" s="92"/>
      <c r="B419" s="92"/>
      <c r="C419" s="92"/>
      <c r="D419" s="92"/>
      <c r="E419" s="92"/>
      <c r="F419" s="92"/>
      <c r="G419" s="92"/>
      <c r="I419" s="92"/>
    </row>
    <row r="420" ht="15.75" customHeight="1">
      <c r="A420" s="92"/>
      <c r="B420" s="92"/>
      <c r="C420" s="92"/>
      <c r="D420" s="92"/>
      <c r="E420" s="92"/>
      <c r="F420" s="92"/>
      <c r="G420" s="92"/>
      <c r="I420" s="92"/>
    </row>
    <row r="421" ht="15.75" customHeight="1">
      <c r="A421" s="92"/>
      <c r="B421" s="92"/>
      <c r="C421" s="92"/>
      <c r="D421" s="92"/>
      <c r="E421" s="92"/>
      <c r="F421" s="92"/>
      <c r="G421" s="92"/>
      <c r="I421" s="92"/>
    </row>
    <row r="422" ht="15.75" customHeight="1">
      <c r="A422" s="92"/>
      <c r="B422" s="92"/>
      <c r="C422" s="92"/>
      <c r="D422" s="92"/>
      <c r="E422" s="92"/>
      <c r="F422" s="92"/>
      <c r="G422" s="92"/>
      <c r="I422" s="92"/>
    </row>
    <row r="423" ht="15.75" customHeight="1">
      <c r="A423" s="92"/>
      <c r="B423" s="92"/>
      <c r="C423" s="92"/>
      <c r="D423" s="92"/>
      <c r="E423" s="92"/>
      <c r="F423" s="92"/>
      <c r="G423" s="92"/>
      <c r="I423" s="92"/>
    </row>
    <row r="424" ht="15.75" customHeight="1">
      <c r="A424" s="92"/>
      <c r="B424" s="92"/>
      <c r="C424" s="92"/>
      <c r="D424" s="92"/>
      <c r="E424" s="92"/>
      <c r="F424" s="92"/>
      <c r="G424" s="92"/>
      <c r="I424" s="92"/>
    </row>
    <row r="425" ht="15.75" customHeight="1">
      <c r="A425" s="92"/>
      <c r="B425" s="92"/>
      <c r="C425" s="92"/>
      <c r="D425" s="92"/>
      <c r="E425" s="92"/>
      <c r="F425" s="92"/>
      <c r="G425" s="92"/>
      <c r="I425" s="92"/>
    </row>
    <row r="426" ht="15.75" customHeight="1">
      <c r="A426" s="92"/>
      <c r="B426" s="92"/>
      <c r="C426" s="92"/>
      <c r="D426" s="92"/>
      <c r="E426" s="92"/>
      <c r="F426" s="92"/>
      <c r="G426" s="92"/>
      <c r="I426" s="92"/>
    </row>
    <row r="427" ht="15.75" customHeight="1">
      <c r="A427" s="92"/>
      <c r="B427" s="92"/>
      <c r="C427" s="92"/>
      <c r="D427" s="92"/>
      <c r="E427" s="92"/>
      <c r="F427" s="92"/>
      <c r="G427" s="92"/>
      <c r="I427" s="92"/>
    </row>
    <row r="428" ht="15.75" customHeight="1">
      <c r="A428" s="92"/>
      <c r="B428" s="92"/>
      <c r="C428" s="92"/>
      <c r="D428" s="92"/>
      <c r="E428" s="92"/>
      <c r="F428" s="92"/>
      <c r="G428" s="92"/>
      <c r="I428" s="92"/>
    </row>
    <row r="429" ht="15.75" customHeight="1">
      <c r="A429" s="92"/>
      <c r="B429" s="92"/>
      <c r="C429" s="92"/>
      <c r="D429" s="92"/>
      <c r="E429" s="92"/>
      <c r="F429" s="92"/>
      <c r="G429" s="92"/>
      <c r="I429" s="92"/>
    </row>
    <row r="430" ht="15.75" customHeight="1">
      <c r="A430" s="92"/>
      <c r="B430" s="92"/>
      <c r="C430" s="92"/>
      <c r="D430" s="92"/>
      <c r="E430" s="92"/>
      <c r="F430" s="92"/>
      <c r="G430" s="92"/>
      <c r="I430" s="92"/>
    </row>
    <row r="431" ht="15.75" customHeight="1">
      <c r="A431" s="92"/>
      <c r="B431" s="92"/>
      <c r="C431" s="92"/>
      <c r="D431" s="92"/>
      <c r="E431" s="92"/>
      <c r="F431" s="92"/>
      <c r="G431" s="92"/>
      <c r="I431" s="92"/>
    </row>
    <row r="432" ht="15.75" customHeight="1">
      <c r="A432" s="92"/>
      <c r="B432" s="92"/>
      <c r="C432" s="92"/>
      <c r="D432" s="92"/>
      <c r="E432" s="92"/>
      <c r="F432" s="92"/>
      <c r="G432" s="92"/>
      <c r="I432" s="92"/>
    </row>
    <row r="433" ht="15.75" customHeight="1">
      <c r="A433" s="92"/>
      <c r="B433" s="92"/>
      <c r="C433" s="92"/>
      <c r="D433" s="92"/>
      <c r="E433" s="92"/>
      <c r="F433" s="92"/>
      <c r="G433" s="92"/>
      <c r="I433" s="92"/>
    </row>
    <row r="434" ht="15.75" customHeight="1">
      <c r="A434" s="92"/>
      <c r="B434" s="92"/>
      <c r="C434" s="92"/>
      <c r="D434" s="92"/>
      <c r="E434" s="92"/>
      <c r="F434" s="92"/>
      <c r="G434" s="92"/>
      <c r="I434" s="92"/>
    </row>
    <row r="435" ht="15.75" customHeight="1">
      <c r="A435" s="92"/>
      <c r="B435" s="92"/>
      <c r="C435" s="92"/>
      <c r="D435" s="92"/>
      <c r="E435" s="92"/>
      <c r="F435" s="92"/>
      <c r="G435" s="92"/>
      <c r="I435" s="92"/>
    </row>
    <row r="436" ht="15.75" customHeight="1">
      <c r="A436" s="92"/>
      <c r="B436" s="92"/>
      <c r="C436" s="92"/>
      <c r="D436" s="92"/>
      <c r="E436" s="92"/>
      <c r="F436" s="92"/>
      <c r="G436" s="92"/>
      <c r="I436" s="92"/>
    </row>
    <row r="437" ht="15.75" customHeight="1">
      <c r="A437" s="92"/>
      <c r="B437" s="92"/>
      <c r="C437" s="92"/>
      <c r="D437" s="92"/>
      <c r="E437" s="92"/>
      <c r="F437" s="92"/>
      <c r="G437" s="92"/>
      <c r="I437" s="92"/>
    </row>
    <row r="438" ht="15.75" customHeight="1">
      <c r="A438" s="92"/>
      <c r="B438" s="92"/>
      <c r="C438" s="92"/>
      <c r="D438" s="92"/>
      <c r="E438" s="92"/>
      <c r="F438" s="92"/>
      <c r="G438" s="92"/>
      <c r="I438" s="92"/>
    </row>
    <row r="439" ht="15.75" customHeight="1">
      <c r="A439" s="92"/>
      <c r="B439" s="92"/>
      <c r="C439" s="92"/>
      <c r="D439" s="92"/>
      <c r="E439" s="92"/>
      <c r="F439" s="92"/>
      <c r="G439" s="92"/>
      <c r="I439" s="92"/>
    </row>
    <row r="440" ht="15.75" customHeight="1">
      <c r="A440" s="92"/>
      <c r="B440" s="92"/>
      <c r="C440" s="92"/>
      <c r="D440" s="92"/>
      <c r="E440" s="92"/>
      <c r="F440" s="92"/>
      <c r="G440" s="92"/>
      <c r="I440" s="92"/>
    </row>
    <row r="441" ht="15.75" customHeight="1">
      <c r="A441" s="92"/>
      <c r="B441" s="92"/>
      <c r="C441" s="92"/>
      <c r="D441" s="92"/>
      <c r="E441" s="92"/>
      <c r="F441" s="92"/>
      <c r="G441" s="92"/>
      <c r="I441" s="92"/>
    </row>
    <row r="442" ht="15.75" customHeight="1">
      <c r="A442" s="92"/>
      <c r="B442" s="92"/>
      <c r="C442" s="92"/>
      <c r="D442" s="92"/>
      <c r="E442" s="92"/>
      <c r="F442" s="92"/>
      <c r="G442" s="92"/>
      <c r="I442" s="92"/>
    </row>
    <row r="443" ht="15.75" customHeight="1">
      <c r="A443" s="92"/>
      <c r="B443" s="92"/>
      <c r="C443" s="92"/>
      <c r="D443" s="92"/>
      <c r="E443" s="92"/>
      <c r="F443" s="92"/>
      <c r="G443" s="92"/>
      <c r="I443" s="92"/>
    </row>
    <row r="444" ht="15.75" customHeight="1">
      <c r="A444" s="92"/>
      <c r="B444" s="92"/>
      <c r="C444" s="92"/>
      <c r="D444" s="92"/>
      <c r="E444" s="92"/>
      <c r="F444" s="92"/>
      <c r="G444" s="92"/>
      <c r="I444" s="92"/>
    </row>
    <row r="445" ht="15.75" customHeight="1">
      <c r="A445" s="92"/>
      <c r="B445" s="92"/>
      <c r="C445" s="92"/>
      <c r="D445" s="92"/>
      <c r="E445" s="92"/>
      <c r="F445" s="92"/>
      <c r="G445" s="92"/>
      <c r="I445" s="92"/>
    </row>
    <row r="446" ht="15.75" customHeight="1">
      <c r="A446" s="92"/>
      <c r="B446" s="92"/>
      <c r="C446" s="92"/>
      <c r="D446" s="92"/>
      <c r="E446" s="92"/>
      <c r="F446" s="92"/>
      <c r="G446" s="92"/>
      <c r="I446" s="92"/>
    </row>
    <row r="447" ht="15.75" customHeight="1">
      <c r="A447" s="92"/>
      <c r="B447" s="92"/>
      <c r="C447" s="92"/>
      <c r="D447" s="92"/>
      <c r="E447" s="92"/>
      <c r="F447" s="92"/>
      <c r="G447" s="92"/>
      <c r="I447" s="92"/>
    </row>
    <row r="448" ht="15.75" customHeight="1">
      <c r="A448" s="92"/>
      <c r="B448" s="92"/>
      <c r="C448" s="92"/>
      <c r="D448" s="92"/>
      <c r="E448" s="92"/>
      <c r="F448" s="92"/>
      <c r="G448" s="92"/>
      <c r="I448" s="92"/>
    </row>
    <row r="449" ht="15.75" customHeight="1">
      <c r="A449" s="92"/>
      <c r="B449" s="92"/>
      <c r="C449" s="92"/>
      <c r="D449" s="92"/>
      <c r="E449" s="92"/>
      <c r="F449" s="92"/>
      <c r="G449" s="92"/>
      <c r="I449" s="92"/>
    </row>
    <row r="450" ht="15.75" customHeight="1">
      <c r="A450" s="92"/>
      <c r="B450" s="92"/>
      <c r="C450" s="92"/>
      <c r="D450" s="92"/>
      <c r="E450" s="92"/>
      <c r="F450" s="92"/>
      <c r="G450" s="92"/>
      <c r="I450" s="92"/>
    </row>
    <row r="451" ht="15.75" customHeight="1">
      <c r="A451" s="92"/>
      <c r="B451" s="92"/>
      <c r="C451" s="92"/>
      <c r="D451" s="92"/>
      <c r="E451" s="92"/>
      <c r="F451" s="92"/>
      <c r="G451" s="92"/>
      <c r="I451" s="92"/>
    </row>
    <row r="452" ht="15.75" customHeight="1">
      <c r="A452" s="92"/>
      <c r="B452" s="92"/>
      <c r="C452" s="92"/>
      <c r="D452" s="92"/>
      <c r="E452" s="92"/>
      <c r="F452" s="92"/>
      <c r="G452" s="92"/>
      <c r="I452" s="92"/>
    </row>
    <row r="453" ht="15.75" customHeight="1">
      <c r="A453" s="92"/>
      <c r="B453" s="92"/>
      <c r="C453" s="92"/>
      <c r="D453" s="92"/>
      <c r="E453" s="92"/>
      <c r="F453" s="92"/>
      <c r="G453" s="92"/>
      <c r="I453" s="92"/>
    </row>
    <row r="454" ht="15.75" customHeight="1">
      <c r="A454" s="92"/>
      <c r="B454" s="92"/>
      <c r="C454" s="92"/>
      <c r="D454" s="92"/>
      <c r="E454" s="92"/>
      <c r="F454" s="92"/>
      <c r="G454" s="92"/>
      <c r="I454" s="92"/>
    </row>
    <row r="455" ht="15.75" customHeight="1">
      <c r="A455" s="92"/>
      <c r="B455" s="92"/>
      <c r="C455" s="92"/>
      <c r="D455" s="92"/>
      <c r="E455" s="92"/>
      <c r="F455" s="92"/>
      <c r="G455" s="92"/>
      <c r="I455" s="92"/>
    </row>
    <row r="456" ht="15.75" customHeight="1">
      <c r="A456" s="92"/>
      <c r="B456" s="92"/>
      <c r="C456" s="92"/>
      <c r="D456" s="92"/>
      <c r="E456" s="92"/>
      <c r="F456" s="92"/>
      <c r="G456" s="92"/>
      <c r="I456" s="92"/>
    </row>
    <row r="457" ht="15.75" customHeight="1">
      <c r="A457" s="92"/>
      <c r="B457" s="92"/>
      <c r="C457" s="92"/>
      <c r="D457" s="92"/>
      <c r="E457" s="92"/>
      <c r="F457" s="92"/>
      <c r="G457" s="92"/>
      <c r="I457" s="92"/>
    </row>
    <row r="458" ht="15.75" customHeight="1">
      <c r="A458" s="92"/>
      <c r="B458" s="92"/>
      <c r="C458" s="92"/>
      <c r="D458" s="92"/>
      <c r="E458" s="92"/>
      <c r="F458" s="92"/>
      <c r="G458" s="92"/>
      <c r="I458" s="92"/>
    </row>
    <row r="459" ht="15.75" customHeight="1">
      <c r="A459" s="92"/>
      <c r="B459" s="92"/>
      <c r="C459" s="92"/>
      <c r="D459" s="92"/>
      <c r="E459" s="92"/>
      <c r="F459" s="92"/>
      <c r="G459" s="92"/>
      <c r="I459" s="92"/>
    </row>
    <row r="460" ht="15.75" customHeight="1">
      <c r="A460" s="92"/>
      <c r="B460" s="92"/>
      <c r="C460" s="92"/>
      <c r="D460" s="92"/>
      <c r="E460" s="92"/>
      <c r="F460" s="92"/>
      <c r="G460" s="92"/>
      <c r="I460" s="92"/>
    </row>
    <row r="461" ht="15.75" customHeight="1">
      <c r="A461" s="92"/>
      <c r="B461" s="92"/>
      <c r="C461" s="92"/>
      <c r="D461" s="92"/>
      <c r="E461" s="92"/>
      <c r="F461" s="92"/>
      <c r="G461" s="92"/>
      <c r="I461" s="92"/>
    </row>
    <row r="462" ht="15.75" customHeight="1">
      <c r="A462" s="92"/>
      <c r="B462" s="92"/>
      <c r="C462" s="92"/>
      <c r="D462" s="92"/>
      <c r="E462" s="92"/>
      <c r="F462" s="92"/>
      <c r="G462" s="92"/>
      <c r="I462" s="92"/>
    </row>
    <row r="463" ht="15.75" customHeight="1">
      <c r="A463" s="92"/>
      <c r="B463" s="92"/>
      <c r="C463" s="92"/>
      <c r="D463" s="92"/>
      <c r="E463" s="92"/>
      <c r="F463" s="92"/>
      <c r="G463" s="92"/>
      <c r="I463" s="92"/>
    </row>
    <row r="464" ht="15.75" customHeight="1">
      <c r="A464" s="92"/>
      <c r="B464" s="92"/>
      <c r="C464" s="92"/>
      <c r="D464" s="92"/>
      <c r="E464" s="92"/>
      <c r="F464" s="92"/>
      <c r="G464" s="92"/>
      <c r="I464" s="92"/>
    </row>
    <row r="465" ht="15.75" customHeight="1">
      <c r="A465" s="92"/>
      <c r="B465" s="92"/>
      <c r="C465" s="92"/>
      <c r="D465" s="92"/>
      <c r="E465" s="92"/>
      <c r="F465" s="92"/>
      <c r="G465" s="92"/>
      <c r="I465" s="92"/>
    </row>
    <row r="466" ht="15.75" customHeight="1">
      <c r="A466" s="92"/>
      <c r="B466" s="92"/>
      <c r="C466" s="92"/>
      <c r="D466" s="92"/>
      <c r="E466" s="92"/>
      <c r="F466" s="92"/>
      <c r="G466" s="92"/>
      <c r="I466" s="92"/>
    </row>
    <row r="467" ht="15.75" customHeight="1">
      <c r="A467" s="92"/>
      <c r="B467" s="92"/>
      <c r="C467" s="92"/>
      <c r="D467" s="92"/>
      <c r="E467" s="92"/>
      <c r="F467" s="92"/>
      <c r="G467" s="92"/>
      <c r="I467" s="92"/>
    </row>
    <row r="468" ht="15.75" customHeight="1">
      <c r="A468" s="92"/>
      <c r="B468" s="92"/>
      <c r="C468" s="92"/>
      <c r="D468" s="92"/>
      <c r="E468" s="92"/>
      <c r="F468" s="92"/>
      <c r="G468" s="92"/>
      <c r="I468" s="92"/>
    </row>
    <row r="469" ht="15.75" customHeight="1">
      <c r="A469" s="92"/>
      <c r="B469" s="92"/>
      <c r="C469" s="92"/>
      <c r="D469" s="92"/>
      <c r="E469" s="92"/>
      <c r="F469" s="92"/>
      <c r="G469" s="92"/>
      <c r="I469" s="92"/>
    </row>
    <row r="470" ht="15.75" customHeight="1">
      <c r="A470" s="92"/>
      <c r="B470" s="92"/>
      <c r="C470" s="92"/>
      <c r="D470" s="92"/>
      <c r="E470" s="92"/>
      <c r="F470" s="92"/>
      <c r="G470" s="92"/>
      <c r="I470" s="92"/>
    </row>
    <row r="471" ht="15.75" customHeight="1">
      <c r="A471" s="92"/>
      <c r="B471" s="92"/>
      <c r="C471" s="92"/>
      <c r="D471" s="92"/>
      <c r="E471" s="92"/>
      <c r="F471" s="92"/>
      <c r="G471" s="92"/>
      <c r="I471" s="92"/>
    </row>
    <row r="472" ht="15.75" customHeight="1">
      <c r="A472" s="92"/>
      <c r="B472" s="92"/>
      <c r="C472" s="92"/>
      <c r="D472" s="92"/>
      <c r="E472" s="92"/>
      <c r="F472" s="92"/>
      <c r="G472" s="92"/>
      <c r="I472" s="92"/>
    </row>
    <row r="473" ht="15.75" customHeight="1">
      <c r="A473" s="92"/>
      <c r="B473" s="92"/>
      <c r="C473" s="92"/>
      <c r="D473" s="92"/>
      <c r="E473" s="92"/>
      <c r="F473" s="92"/>
      <c r="G473" s="92"/>
      <c r="I473" s="92"/>
    </row>
    <row r="474" ht="15.75" customHeight="1">
      <c r="A474" s="92"/>
      <c r="B474" s="92"/>
      <c r="C474" s="92"/>
      <c r="D474" s="92"/>
      <c r="E474" s="92"/>
      <c r="F474" s="92"/>
      <c r="G474" s="92"/>
      <c r="I474" s="92"/>
    </row>
    <row r="475" ht="15.75" customHeight="1">
      <c r="A475" s="92"/>
      <c r="B475" s="92"/>
      <c r="C475" s="92"/>
      <c r="D475" s="92"/>
      <c r="E475" s="92"/>
      <c r="F475" s="92"/>
      <c r="G475" s="92"/>
      <c r="I475" s="92"/>
    </row>
    <row r="476" ht="15.75" customHeight="1">
      <c r="A476" s="92"/>
      <c r="B476" s="92"/>
      <c r="C476" s="92"/>
      <c r="D476" s="92"/>
      <c r="E476" s="92"/>
      <c r="F476" s="92"/>
      <c r="G476" s="92"/>
      <c r="I476" s="92"/>
    </row>
    <row r="477" ht="15.75" customHeight="1">
      <c r="A477" s="92"/>
      <c r="B477" s="92"/>
      <c r="C477" s="92"/>
      <c r="D477" s="92"/>
      <c r="E477" s="92"/>
      <c r="F477" s="92"/>
      <c r="G477" s="92"/>
      <c r="I477" s="92"/>
    </row>
    <row r="478" ht="15.75" customHeight="1">
      <c r="A478" s="92"/>
      <c r="B478" s="92"/>
      <c r="C478" s="92"/>
      <c r="D478" s="92"/>
      <c r="E478" s="92"/>
      <c r="F478" s="92"/>
      <c r="G478" s="92"/>
      <c r="I478" s="92"/>
    </row>
    <row r="479" ht="15.75" customHeight="1">
      <c r="A479" s="92"/>
      <c r="B479" s="92"/>
      <c r="C479" s="92"/>
      <c r="D479" s="92"/>
      <c r="E479" s="92"/>
      <c r="F479" s="92"/>
      <c r="G479" s="92"/>
      <c r="I479" s="92"/>
    </row>
    <row r="480" ht="15.75" customHeight="1">
      <c r="A480" s="92"/>
      <c r="B480" s="92"/>
      <c r="C480" s="92"/>
      <c r="D480" s="92"/>
      <c r="E480" s="92"/>
      <c r="F480" s="92"/>
      <c r="G480" s="92"/>
      <c r="I480" s="92"/>
    </row>
    <row r="481" ht="15.75" customHeight="1">
      <c r="A481" s="92"/>
      <c r="B481" s="92"/>
      <c r="C481" s="92"/>
      <c r="D481" s="92"/>
      <c r="E481" s="92"/>
      <c r="F481" s="92"/>
      <c r="G481" s="92"/>
      <c r="I481" s="92"/>
    </row>
    <row r="482" ht="15.75" customHeight="1">
      <c r="A482" s="92"/>
      <c r="B482" s="92"/>
      <c r="C482" s="92"/>
      <c r="D482" s="92"/>
      <c r="E482" s="92"/>
      <c r="F482" s="92"/>
      <c r="G482" s="92"/>
      <c r="I482" s="92"/>
    </row>
    <row r="483" ht="15.75" customHeight="1">
      <c r="A483" s="92"/>
      <c r="B483" s="92"/>
      <c r="C483" s="92"/>
      <c r="D483" s="92"/>
      <c r="E483" s="92"/>
      <c r="F483" s="92"/>
      <c r="G483" s="92"/>
      <c r="I483" s="92"/>
    </row>
    <row r="484" ht="15.75" customHeight="1">
      <c r="A484" s="92"/>
      <c r="B484" s="92"/>
      <c r="C484" s="92"/>
      <c r="D484" s="92"/>
      <c r="E484" s="92"/>
      <c r="F484" s="92"/>
      <c r="G484" s="92"/>
      <c r="I484" s="92"/>
    </row>
    <row r="485" ht="15.75" customHeight="1">
      <c r="A485" s="92"/>
      <c r="B485" s="92"/>
      <c r="C485" s="92"/>
      <c r="D485" s="92"/>
      <c r="E485" s="92"/>
      <c r="F485" s="92"/>
      <c r="G485" s="92"/>
      <c r="I485" s="92"/>
    </row>
    <row r="486" ht="15.75" customHeight="1">
      <c r="A486" s="92"/>
      <c r="B486" s="92"/>
      <c r="C486" s="92"/>
      <c r="D486" s="92"/>
      <c r="E486" s="92"/>
      <c r="F486" s="92"/>
      <c r="G486" s="92"/>
      <c r="I486" s="92"/>
    </row>
    <row r="487" ht="15.75" customHeight="1">
      <c r="A487" s="92"/>
      <c r="B487" s="92"/>
      <c r="C487" s="92"/>
      <c r="D487" s="92"/>
      <c r="E487" s="92"/>
      <c r="F487" s="92"/>
      <c r="G487" s="92"/>
      <c r="I487" s="92"/>
    </row>
    <row r="488" ht="15.75" customHeight="1">
      <c r="A488" s="92"/>
      <c r="B488" s="92"/>
      <c r="C488" s="92"/>
      <c r="D488" s="92"/>
      <c r="E488" s="92"/>
      <c r="F488" s="92"/>
      <c r="G488" s="92"/>
      <c r="I488" s="92"/>
    </row>
    <row r="489" ht="15.75" customHeight="1">
      <c r="A489" s="92"/>
      <c r="B489" s="92"/>
      <c r="C489" s="92"/>
      <c r="D489" s="92"/>
      <c r="E489" s="92"/>
      <c r="F489" s="92"/>
      <c r="G489" s="92"/>
      <c r="I489" s="92"/>
    </row>
    <row r="490" ht="15.75" customHeight="1">
      <c r="A490" s="92"/>
      <c r="B490" s="92"/>
      <c r="C490" s="92"/>
      <c r="D490" s="92"/>
      <c r="E490" s="92"/>
      <c r="F490" s="92"/>
      <c r="G490" s="92"/>
      <c r="I490" s="92"/>
    </row>
    <row r="491" ht="15.75" customHeight="1">
      <c r="A491" s="92"/>
      <c r="B491" s="92"/>
      <c r="C491" s="92"/>
      <c r="D491" s="92"/>
      <c r="E491" s="92"/>
      <c r="F491" s="92"/>
      <c r="G491" s="92"/>
      <c r="I491" s="92"/>
    </row>
    <row r="492" ht="15.75" customHeight="1">
      <c r="A492" s="92"/>
      <c r="B492" s="92"/>
      <c r="C492" s="92"/>
      <c r="D492" s="92"/>
      <c r="E492" s="92"/>
      <c r="F492" s="92"/>
      <c r="G492" s="92"/>
      <c r="I492" s="92"/>
    </row>
    <row r="493" ht="15.75" customHeight="1">
      <c r="A493" s="92"/>
      <c r="B493" s="92"/>
      <c r="C493" s="92"/>
      <c r="D493" s="92"/>
      <c r="E493" s="92"/>
      <c r="F493" s="92"/>
      <c r="G493" s="92"/>
      <c r="I493" s="92"/>
    </row>
    <row r="494" ht="15.75" customHeight="1">
      <c r="A494" s="92"/>
      <c r="B494" s="92"/>
      <c r="C494" s="92"/>
      <c r="D494" s="92"/>
      <c r="E494" s="92"/>
      <c r="F494" s="92"/>
      <c r="G494" s="92"/>
      <c r="I494" s="92"/>
    </row>
    <row r="495" ht="15.75" customHeight="1">
      <c r="A495" s="92"/>
      <c r="B495" s="92"/>
      <c r="C495" s="92"/>
      <c r="D495" s="92"/>
      <c r="E495" s="92"/>
      <c r="F495" s="92"/>
      <c r="G495" s="92"/>
      <c r="I495" s="92"/>
    </row>
    <row r="496" ht="15.75" customHeight="1">
      <c r="A496" s="92"/>
      <c r="B496" s="92"/>
      <c r="C496" s="92"/>
      <c r="D496" s="92"/>
      <c r="E496" s="92"/>
      <c r="F496" s="92"/>
      <c r="G496" s="92"/>
      <c r="I496" s="92"/>
    </row>
    <row r="497" ht="15.75" customHeight="1">
      <c r="A497" s="92"/>
      <c r="B497" s="92"/>
      <c r="C497" s="92"/>
      <c r="D497" s="92"/>
      <c r="E497" s="92"/>
      <c r="F497" s="92"/>
      <c r="G497" s="92"/>
      <c r="I497" s="92"/>
    </row>
    <row r="498" ht="15.75" customHeight="1">
      <c r="A498" s="92"/>
      <c r="B498" s="92"/>
      <c r="C498" s="92"/>
      <c r="D498" s="92"/>
      <c r="E498" s="92"/>
      <c r="F498" s="92"/>
      <c r="G498" s="92"/>
      <c r="I498" s="92"/>
    </row>
    <row r="499" ht="15.75" customHeight="1">
      <c r="A499" s="92"/>
      <c r="B499" s="92"/>
      <c r="C499" s="92"/>
      <c r="D499" s="92"/>
      <c r="E499" s="92"/>
      <c r="F499" s="92"/>
      <c r="G499" s="92"/>
      <c r="I499" s="92"/>
    </row>
    <row r="500" ht="15.75" customHeight="1">
      <c r="A500" s="92"/>
      <c r="B500" s="92"/>
      <c r="C500" s="92"/>
      <c r="D500" s="92"/>
      <c r="E500" s="92"/>
      <c r="F500" s="92"/>
      <c r="G500" s="92"/>
      <c r="I500" s="92"/>
    </row>
    <row r="501" ht="15.75" customHeight="1">
      <c r="A501" s="92"/>
      <c r="B501" s="92"/>
      <c r="C501" s="92"/>
      <c r="D501" s="92"/>
      <c r="E501" s="92"/>
      <c r="F501" s="92"/>
      <c r="G501" s="92"/>
      <c r="I501" s="92"/>
    </row>
    <row r="502" ht="15.75" customHeight="1">
      <c r="A502" s="92"/>
      <c r="B502" s="92"/>
      <c r="C502" s="92"/>
      <c r="D502" s="92"/>
      <c r="E502" s="92"/>
      <c r="F502" s="92"/>
      <c r="G502" s="92"/>
      <c r="I502" s="92"/>
    </row>
    <row r="503" ht="15.75" customHeight="1">
      <c r="A503" s="92"/>
      <c r="B503" s="92"/>
      <c r="C503" s="92"/>
      <c r="D503" s="92"/>
      <c r="E503" s="92"/>
      <c r="F503" s="92"/>
      <c r="G503" s="92"/>
      <c r="I503" s="92"/>
    </row>
    <row r="504" ht="15.75" customHeight="1">
      <c r="A504" s="92"/>
      <c r="B504" s="92"/>
      <c r="C504" s="92"/>
      <c r="D504" s="92"/>
      <c r="E504" s="92"/>
      <c r="F504" s="92"/>
      <c r="G504" s="92"/>
      <c r="I504" s="92"/>
    </row>
    <row r="505" ht="15.75" customHeight="1">
      <c r="A505" s="92"/>
      <c r="B505" s="92"/>
      <c r="C505" s="92"/>
      <c r="D505" s="92"/>
      <c r="E505" s="92"/>
      <c r="F505" s="92"/>
      <c r="G505" s="92"/>
      <c r="I505" s="92"/>
    </row>
    <row r="506" ht="15.75" customHeight="1">
      <c r="A506" s="92"/>
      <c r="B506" s="92"/>
      <c r="C506" s="92"/>
      <c r="D506" s="92"/>
      <c r="E506" s="92"/>
      <c r="F506" s="92"/>
      <c r="G506" s="92"/>
      <c r="I506" s="92"/>
    </row>
    <row r="507" ht="15.75" customHeight="1">
      <c r="A507" s="92"/>
      <c r="B507" s="92"/>
      <c r="C507" s="92"/>
      <c r="D507" s="92"/>
      <c r="E507" s="92"/>
      <c r="F507" s="92"/>
      <c r="G507" s="92"/>
      <c r="I507" s="92"/>
    </row>
    <row r="508" ht="15.75" customHeight="1">
      <c r="A508" s="92"/>
      <c r="B508" s="92"/>
      <c r="C508" s="92"/>
      <c r="D508" s="92"/>
      <c r="E508" s="92"/>
      <c r="F508" s="92"/>
      <c r="G508" s="92"/>
      <c r="I508" s="92"/>
    </row>
    <row r="509" ht="15.75" customHeight="1">
      <c r="A509" s="92"/>
      <c r="B509" s="92"/>
      <c r="C509" s="92"/>
      <c r="D509" s="92"/>
      <c r="E509" s="92"/>
      <c r="F509" s="92"/>
      <c r="G509" s="92"/>
      <c r="I509" s="92"/>
    </row>
    <row r="510" ht="15.75" customHeight="1">
      <c r="A510" s="92"/>
      <c r="B510" s="92"/>
      <c r="C510" s="92"/>
      <c r="D510" s="92"/>
      <c r="E510" s="92"/>
      <c r="F510" s="92"/>
      <c r="G510" s="92"/>
      <c r="I510" s="92"/>
    </row>
    <row r="511" ht="15.75" customHeight="1">
      <c r="A511" s="92"/>
      <c r="B511" s="92"/>
      <c r="C511" s="92"/>
      <c r="D511" s="92"/>
      <c r="E511" s="92"/>
      <c r="F511" s="92"/>
      <c r="G511" s="92"/>
      <c r="I511" s="92"/>
    </row>
    <row r="512" ht="15.75" customHeight="1">
      <c r="A512" s="92"/>
      <c r="B512" s="92"/>
      <c r="C512" s="92"/>
      <c r="D512" s="92"/>
      <c r="E512" s="92"/>
      <c r="F512" s="92"/>
      <c r="G512" s="92"/>
      <c r="I512" s="92"/>
    </row>
    <row r="513" ht="15.75" customHeight="1">
      <c r="A513" s="92"/>
      <c r="B513" s="92"/>
      <c r="C513" s="92"/>
      <c r="D513" s="92"/>
      <c r="E513" s="92"/>
      <c r="F513" s="92"/>
      <c r="G513" s="92"/>
      <c r="I513" s="92"/>
    </row>
    <row r="514" ht="15.75" customHeight="1">
      <c r="A514" s="92"/>
      <c r="B514" s="92"/>
      <c r="C514" s="92"/>
      <c r="D514" s="92"/>
      <c r="E514" s="92"/>
      <c r="F514" s="92"/>
      <c r="G514" s="92"/>
      <c r="I514" s="92"/>
    </row>
    <row r="515" ht="15.75" customHeight="1">
      <c r="A515" s="92"/>
      <c r="B515" s="92"/>
      <c r="C515" s="92"/>
      <c r="D515" s="92"/>
      <c r="E515" s="92"/>
      <c r="F515" s="92"/>
      <c r="G515" s="92"/>
      <c r="I515" s="92"/>
    </row>
    <row r="516" ht="15.75" customHeight="1">
      <c r="A516" s="92"/>
      <c r="B516" s="92"/>
      <c r="C516" s="92"/>
      <c r="D516" s="92"/>
      <c r="E516" s="92"/>
      <c r="F516" s="92"/>
      <c r="G516" s="92"/>
      <c r="I516" s="92"/>
    </row>
    <row r="517" ht="15.75" customHeight="1">
      <c r="A517" s="92"/>
      <c r="B517" s="92"/>
      <c r="C517" s="92"/>
      <c r="D517" s="92"/>
      <c r="E517" s="92"/>
      <c r="F517" s="92"/>
      <c r="G517" s="92"/>
      <c r="I517" s="92"/>
    </row>
    <row r="518" ht="15.75" customHeight="1">
      <c r="A518" s="92"/>
      <c r="B518" s="92"/>
      <c r="C518" s="92"/>
      <c r="D518" s="92"/>
      <c r="E518" s="92"/>
      <c r="F518" s="92"/>
      <c r="G518" s="92"/>
      <c r="I518" s="92"/>
    </row>
    <row r="519" ht="15.75" customHeight="1">
      <c r="A519" s="92"/>
      <c r="B519" s="92"/>
      <c r="C519" s="92"/>
      <c r="D519" s="92"/>
      <c r="E519" s="92"/>
      <c r="F519" s="92"/>
      <c r="G519" s="92"/>
      <c r="I519" s="92"/>
    </row>
    <row r="520" ht="15.75" customHeight="1">
      <c r="A520" s="92"/>
      <c r="B520" s="92"/>
      <c r="C520" s="92"/>
      <c r="D520" s="92"/>
      <c r="E520" s="92"/>
      <c r="F520" s="92"/>
      <c r="G520" s="92"/>
      <c r="I520" s="92"/>
    </row>
    <row r="521" ht="15.75" customHeight="1">
      <c r="A521" s="92"/>
      <c r="B521" s="92"/>
      <c r="C521" s="92"/>
      <c r="D521" s="92"/>
      <c r="E521" s="92"/>
      <c r="F521" s="92"/>
      <c r="G521" s="92"/>
      <c r="I521" s="92"/>
    </row>
    <row r="522" ht="15.75" customHeight="1">
      <c r="A522" s="92"/>
      <c r="B522" s="92"/>
      <c r="C522" s="92"/>
      <c r="D522" s="92"/>
      <c r="E522" s="92"/>
      <c r="F522" s="92"/>
      <c r="G522" s="92"/>
      <c r="I522" s="92"/>
    </row>
    <row r="523" ht="15.75" customHeight="1">
      <c r="A523" s="92"/>
      <c r="B523" s="92"/>
      <c r="C523" s="92"/>
      <c r="D523" s="92"/>
      <c r="E523" s="92"/>
      <c r="F523" s="92"/>
      <c r="G523" s="92"/>
      <c r="I523" s="92"/>
    </row>
    <row r="524" ht="15.75" customHeight="1">
      <c r="A524" s="92"/>
      <c r="B524" s="92"/>
      <c r="C524" s="92"/>
      <c r="D524" s="92"/>
      <c r="E524" s="92"/>
      <c r="F524" s="92"/>
      <c r="G524" s="92"/>
      <c r="I524" s="92"/>
    </row>
    <row r="525" ht="15.75" customHeight="1">
      <c r="A525" s="92"/>
      <c r="B525" s="92"/>
      <c r="C525" s="92"/>
      <c r="D525" s="92"/>
      <c r="E525" s="92"/>
      <c r="F525" s="92"/>
      <c r="G525" s="92"/>
      <c r="I525" s="92"/>
    </row>
    <row r="526" ht="15.75" customHeight="1">
      <c r="A526" s="92"/>
      <c r="B526" s="92"/>
      <c r="C526" s="92"/>
      <c r="D526" s="92"/>
      <c r="E526" s="92"/>
      <c r="F526" s="92"/>
      <c r="G526" s="92"/>
      <c r="I526" s="92"/>
    </row>
    <row r="527" ht="15.75" customHeight="1">
      <c r="A527" s="92"/>
      <c r="B527" s="92"/>
      <c r="C527" s="92"/>
      <c r="D527" s="92"/>
      <c r="E527" s="92"/>
      <c r="F527" s="92"/>
      <c r="G527" s="92"/>
      <c r="I527" s="92"/>
    </row>
    <row r="528" ht="15.75" customHeight="1">
      <c r="A528" s="92"/>
      <c r="B528" s="92"/>
      <c r="C528" s="92"/>
      <c r="D528" s="92"/>
      <c r="E528" s="92"/>
      <c r="F528" s="92"/>
      <c r="G528" s="92"/>
      <c r="I528" s="92"/>
    </row>
    <row r="529" ht="15.75" customHeight="1">
      <c r="A529" s="92"/>
      <c r="B529" s="92"/>
      <c r="C529" s="92"/>
      <c r="D529" s="92"/>
      <c r="E529" s="92"/>
      <c r="F529" s="92"/>
      <c r="G529" s="92"/>
      <c r="I529" s="92"/>
    </row>
    <row r="530" ht="15.75" customHeight="1">
      <c r="A530" s="92"/>
      <c r="B530" s="92"/>
      <c r="C530" s="92"/>
      <c r="D530" s="92"/>
      <c r="E530" s="92"/>
      <c r="F530" s="92"/>
      <c r="G530" s="92"/>
      <c r="I530" s="92"/>
    </row>
    <row r="531" ht="15.75" customHeight="1">
      <c r="A531" s="92"/>
      <c r="B531" s="92"/>
      <c r="C531" s="92"/>
      <c r="D531" s="92"/>
      <c r="E531" s="92"/>
      <c r="F531" s="92"/>
      <c r="G531" s="92"/>
      <c r="I531" s="92"/>
    </row>
    <row r="532" ht="15.75" customHeight="1">
      <c r="A532" s="92"/>
      <c r="B532" s="92"/>
      <c r="C532" s="92"/>
      <c r="D532" s="92"/>
      <c r="E532" s="92"/>
      <c r="F532" s="92"/>
      <c r="G532" s="92"/>
      <c r="I532" s="92"/>
    </row>
    <row r="533" ht="15.75" customHeight="1">
      <c r="A533" s="92"/>
      <c r="B533" s="92"/>
      <c r="C533" s="92"/>
      <c r="D533" s="92"/>
      <c r="E533" s="92"/>
      <c r="F533" s="92"/>
      <c r="G533" s="92"/>
      <c r="I533" s="92"/>
    </row>
    <row r="534" ht="15.75" customHeight="1">
      <c r="A534" s="92"/>
      <c r="B534" s="92"/>
      <c r="C534" s="92"/>
      <c r="D534" s="92"/>
      <c r="E534" s="92"/>
      <c r="F534" s="92"/>
      <c r="G534" s="92"/>
      <c r="I534" s="92"/>
    </row>
    <row r="535" ht="15.75" customHeight="1">
      <c r="A535" s="92"/>
      <c r="B535" s="92"/>
      <c r="C535" s="92"/>
      <c r="D535" s="92"/>
      <c r="E535" s="92"/>
      <c r="F535" s="92"/>
      <c r="G535" s="92"/>
      <c r="I535" s="92"/>
    </row>
    <row r="536" ht="15.75" customHeight="1">
      <c r="A536" s="92"/>
      <c r="B536" s="92"/>
      <c r="C536" s="92"/>
      <c r="D536" s="92"/>
      <c r="E536" s="92"/>
      <c r="F536" s="92"/>
      <c r="G536" s="92"/>
      <c r="I536" s="92"/>
    </row>
    <row r="537" ht="15.75" customHeight="1">
      <c r="A537" s="92"/>
      <c r="B537" s="92"/>
      <c r="C537" s="92"/>
      <c r="D537" s="92"/>
      <c r="E537" s="92"/>
      <c r="F537" s="92"/>
      <c r="G537" s="92"/>
      <c r="I537" s="92"/>
    </row>
    <row r="538" ht="15.75" customHeight="1">
      <c r="A538" s="92"/>
      <c r="B538" s="92"/>
      <c r="C538" s="92"/>
      <c r="D538" s="92"/>
      <c r="E538" s="92"/>
      <c r="F538" s="92"/>
      <c r="G538" s="92"/>
      <c r="I538" s="92"/>
    </row>
    <row r="539" ht="15.75" customHeight="1">
      <c r="A539" s="92"/>
      <c r="B539" s="92"/>
      <c r="C539" s="92"/>
      <c r="D539" s="92"/>
      <c r="E539" s="92"/>
      <c r="F539" s="92"/>
      <c r="G539" s="92"/>
      <c r="I539" s="92"/>
    </row>
    <row r="540" ht="15.75" customHeight="1">
      <c r="A540" s="92"/>
      <c r="B540" s="92"/>
      <c r="C540" s="92"/>
      <c r="D540" s="92"/>
      <c r="E540" s="92"/>
      <c r="F540" s="92"/>
      <c r="G540" s="92"/>
      <c r="I540" s="92"/>
    </row>
    <row r="541" ht="15.75" customHeight="1">
      <c r="A541" s="92"/>
      <c r="B541" s="92"/>
      <c r="C541" s="92"/>
      <c r="D541" s="92"/>
      <c r="E541" s="92"/>
      <c r="F541" s="92"/>
      <c r="G541" s="92"/>
      <c r="I541" s="92"/>
    </row>
    <row r="542" ht="15.75" customHeight="1">
      <c r="A542" s="92"/>
      <c r="B542" s="92"/>
      <c r="C542" s="92"/>
      <c r="D542" s="92"/>
      <c r="E542" s="92"/>
      <c r="F542" s="92"/>
      <c r="G542" s="92"/>
      <c r="I542" s="92"/>
    </row>
    <row r="543" ht="15.75" customHeight="1">
      <c r="A543" s="92"/>
      <c r="B543" s="92"/>
      <c r="C543" s="92"/>
      <c r="D543" s="92"/>
      <c r="E543" s="92"/>
      <c r="F543" s="92"/>
      <c r="G543" s="92"/>
      <c r="I543" s="92"/>
    </row>
    <row r="544" ht="15.75" customHeight="1">
      <c r="A544" s="92"/>
      <c r="B544" s="92"/>
      <c r="C544" s="92"/>
      <c r="D544" s="92"/>
      <c r="E544" s="92"/>
      <c r="F544" s="92"/>
      <c r="G544" s="92"/>
      <c r="I544" s="92"/>
    </row>
    <row r="545" ht="15.75" customHeight="1">
      <c r="A545" s="92"/>
      <c r="B545" s="92"/>
      <c r="C545" s="92"/>
      <c r="D545" s="92"/>
      <c r="E545" s="92"/>
      <c r="F545" s="92"/>
      <c r="G545" s="92"/>
      <c r="I545" s="92"/>
    </row>
    <row r="546" ht="15.75" customHeight="1">
      <c r="A546" s="92"/>
      <c r="B546" s="92"/>
      <c r="C546" s="92"/>
      <c r="D546" s="92"/>
      <c r="E546" s="92"/>
      <c r="F546" s="92"/>
      <c r="G546" s="92"/>
      <c r="I546" s="92"/>
    </row>
    <row r="547" ht="15.75" customHeight="1">
      <c r="A547" s="92"/>
      <c r="B547" s="92"/>
      <c r="C547" s="92"/>
      <c r="D547" s="92"/>
      <c r="E547" s="92"/>
      <c r="F547" s="92"/>
      <c r="G547" s="92"/>
      <c r="I547" s="92"/>
    </row>
    <row r="548" ht="15.75" customHeight="1">
      <c r="A548" s="92"/>
      <c r="B548" s="92"/>
      <c r="C548" s="92"/>
      <c r="D548" s="92"/>
      <c r="E548" s="92"/>
      <c r="F548" s="92"/>
      <c r="G548" s="92"/>
      <c r="I548" s="92"/>
    </row>
    <row r="549" ht="15.75" customHeight="1">
      <c r="A549" s="92"/>
      <c r="B549" s="92"/>
      <c r="C549" s="92"/>
      <c r="D549" s="92"/>
      <c r="E549" s="92"/>
      <c r="F549" s="92"/>
      <c r="G549" s="92"/>
      <c r="I549" s="92"/>
    </row>
    <row r="550" ht="15.75" customHeight="1">
      <c r="A550" s="92"/>
      <c r="B550" s="92"/>
      <c r="C550" s="92"/>
      <c r="D550" s="92"/>
      <c r="E550" s="92"/>
      <c r="F550" s="92"/>
      <c r="G550" s="92"/>
      <c r="I550" s="92"/>
    </row>
    <row r="551" ht="15.75" customHeight="1">
      <c r="A551" s="92"/>
      <c r="B551" s="92"/>
      <c r="C551" s="92"/>
      <c r="D551" s="92"/>
      <c r="E551" s="92"/>
      <c r="F551" s="92"/>
      <c r="G551" s="92"/>
      <c r="I551" s="92"/>
    </row>
    <row r="552" ht="15.75" customHeight="1">
      <c r="A552" s="92"/>
      <c r="B552" s="92"/>
      <c r="C552" s="92"/>
      <c r="D552" s="92"/>
      <c r="E552" s="92"/>
      <c r="F552" s="92"/>
      <c r="G552" s="92"/>
      <c r="I552" s="92"/>
    </row>
    <row r="553" ht="15.75" customHeight="1">
      <c r="A553" s="92"/>
      <c r="B553" s="92"/>
      <c r="C553" s="92"/>
      <c r="D553" s="92"/>
      <c r="E553" s="92"/>
      <c r="F553" s="92"/>
      <c r="G553" s="92"/>
      <c r="I553" s="92"/>
    </row>
    <row r="554" ht="15.75" customHeight="1">
      <c r="A554" s="92"/>
      <c r="B554" s="92"/>
      <c r="C554" s="92"/>
      <c r="D554" s="92"/>
      <c r="E554" s="92"/>
      <c r="F554" s="92"/>
      <c r="G554" s="92"/>
      <c r="I554" s="92"/>
    </row>
    <row r="555" ht="15.75" customHeight="1">
      <c r="A555" s="92"/>
      <c r="B555" s="92"/>
      <c r="C555" s="92"/>
      <c r="D555" s="92"/>
      <c r="E555" s="92"/>
      <c r="F555" s="92"/>
      <c r="G555" s="92"/>
      <c r="I555" s="92"/>
    </row>
    <row r="556" ht="15.75" customHeight="1">
      <c r="A556" s="92"/>
      <c r="B556" s="92"/>
      <c r="C556" s="92"/>
      <c r="D556" s="92"/>
      <c r="E556" s="92"/>
      <c r="F556" s="92"/>
      <c r="G556" s="92"/>
      <c r="I556" s="92"/>
    </row>
    <row r="557" ht="15.75" customHeight="1">
      <c r="A557" s="92"/>
      <c r="B557" s="92"/>
      <c r="C557" s="92"/>
      <c r="D557" s="92"/>
      <c r="E557" s="92"/>
      <c r="F557" s="92"/>
      <c r="G557" s="92"/>
      <c r="I557" s="92"/>
    </row>
    <row r="558" ht="15.75" customHeight="1">
      <c r="A558" s="92"/>
      <c r="B558" s="92"/>
      <c r="C558" s="92"/>
      <c r="D558" s="92"/>
      <c r="E558" s="92"/>
      <c r="F558" s="92"/>
      <c r="G558" s="92"/>
      <c r="I558" s="92"/>
    </row>
    <row r="559" ht="15.75" customHeight="1">
      <c r="A559" s="92"/>
      <c r="B559" s="92"/>
      <c r="C559" s="92"/>
      <c r="D559" s="92"/>
      <c r="E559" s="92"/>
      <c r="F559" s="92"/>
      <c r="G559" s="92"/>
      <c r="I559" s="92"/>
    </row>
    <row r="560" ht="15.75" customHeight="1">
      <c r="A560" s="92"/>
      <c r="B560" s="92"/>
      <c r="C560" s="92"/>
      <c r="D560" s="92"/>
      <c r="E560" s="92"/>
      <c r="F560" s="92"/>
      <c r="G560" s="92"/>
      <c r="I560" s="92"/>
    </row>
    <row r="561" ht="15.75" customHeight="1">
      <c r="A561" s="92"/>
      <c r="B561" s="92"/>
      <c r="C561" s="92"/>
      <c r="D561" s="92"/>
      <c r="E561" s="92"/>
      <c r="F561" s="92"/>
      <c r="G561" s="92"/>
      <c r="I561" s="92"/>
    </row>
    <row r="562" ht="15.75" customHeight="1">
      <c r="A562" s="92"/>
      <c r="B562" s="92"/>
      <c r="C562" s="92"/>
      <c r="D562" s="92"/>
      <c r="E562" s="92"/>
      <c r="F562" s="92"/>
      <c r="G562" s="92"/>
      <c r="I562" s="92"/>
    </row>
    <row r="563" ht="15.75" customHeight="1">
      <c r="A563" s="92"/>
      <c r="B563" s="92"/>
      <c r="C563" s="92"/>
      <c r="D563" s="92"/>
      <c r="E563" s="92"/>
      <c r="F563" s="92"/>
      <c r="G563" s="92"/>
      <c r="I563" s="92"/>
    </row>
    <row r="564" ht="15.75" customHeight="1">
      <c r="A564" s="92"/>
      <c r="B564" s="92"/>
      <c r="C564" s="92"/>
      <c r="D564" s="92"/>
      <c r="E564" s="92"/>
      <c r="F564" s="92"/>
      <c r="G564" s="92"/>
      <c r="I564" s="92"/>
    </row>
    <row r="565" ht="15.75" customHeight="1">
      <c r="A565" s="92"/>
      <c r="B565" s="92"/>
      <c r="C565" s="92"/>
      <c r="D565" s="92"/>
      <c r="E565" s="92"/>
      <c r="F565" s="92"/>
      <c r="G565" s="92"/>
      <c r="I565" s="92"/>
    </row>
    <row r="566" ht="15.75" customHeight="1">
      <c r="A566" s="92"/>
      <c r="B566" s="92"/>
      <c r="C566" s="92"/>
      <c r="D566" s="92"/>
      <c r="E566" s="92"/>
      <c r="F566" s="92"/>
      <c r="G566" s="92"/>
      <c r="I566" s="92"/>
    </row>
    <row r="567" ht="15.75" customHeight="1">
      <c r="A567" s="92"/>
      <c r="B567" s="92"/>
      <c r="C567" s="92"/>
      <c r="D567" s="92"/>
      <c r="E567" s="92"/>
      <c r="F567" s="92"/>
      <c r="G567" s="92"/>
      <c r="I567" s="92"/>
    </row>
    <row r="568" ht="15.75" customHeight="1">
      <c r="A568" s="92"/>
      <c r="B568" s="92"/>
      <c r="C568" s="92"/>
      <c r="D568" s="92"/>
      <c r="E568" s="92"/>
      <c r="F568" s="92"/>
      <c r="G568" s="92"/>
      <c r="I568" s="92"/>
    </row>
    <row r="569" ht="15.75" customHeight="1">
      <c r="A569" s="92"/>
      <c r="B569" s="92"/>
      <c r="C569" s="92"/>
      <c r="D569" s="92"/>
      <c r="E569" s="92"/>
      <c r="F569" s="92"/>
      <c r="G569" s="92"/>
      <c r="I569" s="92"/>
    </row>
    <row r="570" ht="15.75" customHeight="1">
      <c r="A570" s="92"/>
      <c r="B570" s="92"/>
      <c r="C570" s="92"/>
      <c r="D570" s="92"/>
      <c r="E570" s="92"/>
      <c r="F570" s="92"/>
      <c r="G570" s="92"/>
      <c r="I570" s="92"/>
    </row>
    <row r="571" ht="15.75" customHeight="1">
      <c r="A571" s="92"/>
      <c r="B571" s="92"/>
      <c r="C571" s="92"/>
      <c r="D571" s="92"/>
      <c r="E571" s="92"/>
      <c r="F571" s="92"/>
      <c r="G571" s="92"/>
      <c r="I571" s="92"/>
    </row>
    <row r="572" ht="15.75" customHeight="1">
      <c r="A572" s="92"/>
      <c r="B572" s="92"/>
      <c r="C572" s="92"/>
      <c r="D572" s="92"/>
      <c r="E572" s="92"/>
      <c r="F572" s="92"/>
      <c r="G572" s="92"/>
      <c r="I572" s="92"/>
    </row>
    <row r="573" ht="15.75" customHeight="1">
      <c r="A573" s="92"/>
      <c r="B573" s="92"/>
      <c r="C573" s="92"/>
      <c r="D573" s="92"/>
      <c r="E573" s="92"/>
      <c r="F573" s="92"/>
      <c r="G573" s="92"/>
      <c r="I573" s="92"/>
    </row>
    <row r="574" ht="15.75" customHeight="1">
      <c r="A574" s="92"/>
      <c r="B574" s="92"/>
      <c r="C574" s="92"/>
      <c r="D574" s="92"/>
      <c r="E574" s="92"/>
      <c r="F574" s="92"/>
      <c r="G574" s="92"/>
      <c r="I574" s="92"/>
    </row>
    <row r="575" ht="15.75" customHeight="1">
      <c r="A575" s="92"/>
      <c r="B575" s="92"/>
      <c r="C575" s="92"/>
      <c r="D575" s="92"/>
      <c r="E575" s="92"/>
      <c r="F575" s="92"/>
      <c r="G575" s="92"/>
      <c r="I575" s="92"/>
    </row>
    <row r="576" ht="15.75" customHeight="1">
      <c r="A576" s="92"/>
      <c r="B576" s="92"/>
      <c r="C576" s="92"/>
      <c r="D576" s="92"/>
      <c r="E576" s="92"/>
      <c r="F576" s="92"/>
      <c r="G576" s="92"/>
      <c r="I576" s="92"/>
    </row>
    <row r="577" ht="15.75" customHeight="1">
      <c r="A577" s="92"/>
      <c r="B577" s="92"/>
      <c r="C577" s="92"/>
      <c r="D577" s="92"/>
      <c r="E577" s="92"/>
      <c r="F577" s="92"/>
      <c r="G577" s="92"/>
      <c r="I577" s="92"/>
    </row>
    <row r="578" ht="15.75" customHeight="1">
      <c r="A578" s="92"/>
      <c r="B578" s="92"/>
      <c r="C578" s="92"/>
      <c r="D578" s="92"/>
      <c r="E578" s="92"/>
      <c r="F578" s="92"/>
      <c r="G578" s="92"/>
      <c r="I578" s="92"/>
    </row>
    <row r="579" ht="15.75" customHeight="1">
      <c r="A579" s="92"/>
      <c r="B579" s="92"/>
      <c r="C579" s="92"/>
      <c r="D579" s="92"/>
      <c r="E579" s="92"/>
      <c r="F579" s="92"/>
      <c r="G579" s="92"/>
      <c r="I579" s="92"/>
    </row>
    <row r="580" ht="15.75" customHeight="1">
      <c r="A580" s="92"/>
      <c r="B580" s="92"/>
      <c r="C580" s="92"/>
      <c r="D580" s="92"/>
      <c r="E580" s="92"/>
      <c r="F580" s="92"/>
      <c r="G580" s="92"/>
      <c r="I580" s="92"/>
    </row>
    <row r="581" ht="15.75" customHeight="1">
      <c r="A581" s="92"/>
      <c r="B581" s="92"/>
      <c r="C581" s="92"/>
      <c r="D581" s="92"/>
      <c r="E581" s="92"/>
      <c r="F581" s="92"/>
      <c r="G581" s="92"/>
      <c r="I581" s="92"/>
    </row>
    <row r="582" ht="15.75" customHeight="1">
      <c r="A582" s="92"/>
      <c r="B582" s="92"/>
      <c r="C582" s="92"/>
      <c r="D582" s="92"/>
      <c r="E582" s="92"/>
      <c r="F582" s="92"/>
      <c r="G582" s="92"/>
      <c r="I582" s="92"/>
    </row>
    <row r="583" ht="15.75" customHeight="1">
      <c r="A583" s="92"/>
      <c r="B583" s="92"/>
      <c r="C583" s="92"/>
      <c r="D583" s="92"/>
      <c r="E583" s="92"/>
      <c r="F583" s="92"/>
      <c r="G583" s="92"/>
      <c r="I583" s="92"/>
    </row>
    <row r="584" ht="15.75" customHeight="1">
      <c r="A584" s="92"/>
      <c r="B584" s="92"/>
      <c r="C584" s="92"/>
      <c r="D584" s="92"/>
      <c r="E584" s="92"/>
      <c r="F584" s="92"/>
      <c r="G584" s="92"/>
      <c r="I584" s="92"/>
    </row>
    <row r="585" ht="15.75" customHeight="1">
      <c r="A585" s="92"/>
      <c r="B585" s="92"/>
      <c r="C585" s="92"/>
      <c r="D585" s="92"/>
      <c r="E585" s="92"/>
      <c r="F585" s="92"/>
      <c r="G585" s="92"/>
      <c r="I585" s="92"/>
    </row>
    <row r="586" ht="15.75" customHeight="1">
      <c r="A586" s="92"/>
      <c r="B586" s="92"/>
      <c r="C586" s="92"/>
      <c r="D586" s="92"/>
      <c r="E586" s="92"/>
      <c r="F586" s="92"/>
      <c r="G586" s="92"/>
      <c r="I586" s="92"/>
    </row>
    <row r="587" ht="15.75" customHeight="1">
      <c r="A587" s="92"/>
      <c r="B587" s="92"/>
      <c r="C587" s="92"/>
      <c r="D587" s="92"/>
      <c r="E587" s="92"/>
      <c r="F587" s="92"/>
      <c r="G587" s="92"/>
      <c r="I587" s="92"/>
    </row>
    <row r="588" ht="15.75" customHeight="1">
      <c r="A588" s="92"/>
      <c r="B588" s="92"/>
      <c r="C588" s="92"/>
      <c r="D588" s="92"/>
      <c r="E588" s="92"/>
      <c r="F588" s="92"/>
      <c r="G588" s="92"/>
      <c r="I588" s="92"/>
    </row>
    <row r="589" ht="15.75" customHeight="1">
      <c r="A589" s="92"/>
      <c r="B589" s="92"/>
      <c r="C589" s="92"/>
      <c r="D589" s="92"/>
      <c r="E589" s="92"/>
      <c r="F589" s="92"/>
      <c r="G589" s="92"/>
      <c r="I589" s="92"/>
    </row>
    <row r="590" ht="15.75" customHeight="1">
      <c r="A590" s="92"/>
      <c r="B590" s="92"/>
      <c r="C590" s="92"/>
      <c r="D590" s="92"/>
      <c r="E590" s="92"/>
      <c r="F590" s="92"/>
      <c r="G590" s="92"/>
      <c r="I590" s="92"/>
    </row>
    <row r="591" ht="15.75" customHeight="1">
      <c r="A591" s="92"/>
      <c r="B591" s="92"/>
      <c r="C591" s="92"/>
      <c r="D591" s="92"/>
      <c r="E591" s="92"/>
      <c r="F591" s="92"/>
      <c r="G591" s="92"/>
      <c r="I591" s="92"/>
    </row>
    <row r="592" ht="15.75" customHeight="1">
      <c r="A592" s="92"/>
      <c r="B592" s="92"/>
      <c r="C592" s="92"/>
      <c r="D592" s="92"/>
      <c r="E592" s="92"/>
      <c r="F592" s="92"/>
      <c r="G592" s="92"/>
      <c r="I592" s="92"/>
    </row>
    <row r="593" ht="15.75" customHeight="1">
      <c r="A593" s="92"/>
      <c r="B593" s="92"/>
      <c r="C593" s="92"/>
      <c r="D593" s="92"/>
      <c r="E593" s="92"/>
      <c r="F593" s="92"/>
      <c r="G593" s="92"/>
      <c r="I593" s="92"/>
    </row>
    <row r="594" ht="15.75" customHeight="1">
      <c r="A594" s="92"/>
      <c r="B594" s="92"/>
      <c r="C594" s="92"/>
      <c r="D594" s="92"/>
      <c r="E594" s="92"/>
      <c r="F594" s="92"/>
      <c r="G594" s="92"/>
      <c r="I594" s="92"/>
    </row>
    <row r="595" ht="15.75" customHeight="1">
      <c r="A595" s="92"/>
      <c r="B595" s="92"/>
      <c r="C595" s="92"/>
      <c r="D595" s="92"/>
      <c r="E595" s="92"/>
      <c r="F595" s="92"/>
      <c r="G595" s="92"/>
      <c r="I595" s="92"/>
    </row>
    <row r="596" ht="15.75" customHeight="1">
      <c r="A596" s="92"/>
      <c r="B596" s="92"/>
      <c r="C596" s="92"/>
      <c r="D596" s="92"/>
      <c r="E596" s="92"/>
      <c r="F596" s="92"/>
      <c r="G596" s="92"/>
      <c r="I596" s="92"/>
    </row>
    <row r="597" ht="15.75" customHeight="1">
      <c r="A597" s="92"/>
      <c r="B597" s="92"/>
      <c r="C597" s="92"/>
      <c r="D597" s="92"/>
      <c r="E597" s="92"/>
      <c r="F597" s="92"/>
      <c r="G597" s="92"/>
      <c r="I597" s="92"/>
    </row>
    <row r="598" ht="15.75" customHeight="1">
      <c r="A598" s="92"/>
      <c r="B598" s="92"/>
      <c r="C598" s="92"/>
      <c r="D598" s="92"/>
      <c r="E598" s="92"/>
      <c r="F598" s="92"/>
      <c r="G598" s="92"/>
      <c r="I598" s="92"/>
    </row>
    <row r="599" ht="15.75" customHeight="1">
      <c r="A599" s="92"/>
      <c r="B599" s="92"/>
      <c r="C599" s="92"/>
      <c r="D599" s="92"/>
      <c r="E599" s="92"/>
      <c r="F599" s="92"/>
      <c r="G599" s="92"/>
      <c r="I599" s="92"/>
    </row>
    <row r="600" ht="15.75" customHeight="1">
      <c r="A600" s="92"/>
      <c r="B600" s="92"/>
      <c r="C600" s="92"/>
      <c r="D600" s="92"/>
      <c r="E600" s="92"/>
      <c r="F600" s="92"/>
      <c r="G600" s="92"/>
      <c r="I600" s="92"/>
    </row>
    <row r="601" ht="15.75" customHeight="1">
      <c r="A601" s="92"/>
      <c r="B601" s="92"/>
      <c r="C601" s="92"/>
      <c r="D601" s="92"/>
      <c r="E601" s="92"/>
      <c r="F601" s="92"/>
      <c r="G601" s="92"/>
      <c r="I601" s="92"/>
    </row>
    <row r="602" ht="15.75" customHeight="1">
      <c r="A602" s="92"/>
      <c r="B602" s="92"/>
      <c r="C602" s="92"/>
      <c r="D602" s="92"/>
      <c r="E602" s="92"/>
      <c r="F602" s="92"/>
      <c r="G602" s="92"/>
      <c r="I602" s="92"/>
    </row>
    <row r="603" ht="15.75" customHeight="1">
      <c r="A603" s="92"/>
      <c r="B603" s="92"/>
      <c r="C603" s="92"/>
      <c r="D603" s="92"/>
      <c r="E603" s="92"/>
      <c r="F603" s="92"/>
      <c r="G603" s="92"/>
      <c r="I603" s="92"/>
    </row>
    <row r="604" ht="15.75" customHeight="1">
      <c r="A604" s="92"/>
      <c r="B604" s="92"/>
      <c r="C604" s="92"/>
      <c r="D604" s="92"/>
      <c r="E604" s="92"/>
      <c r="F604" s="92"/>
      <c r="G604" s="92"/>
      <c r="I604" s="92"/>
    </row>
    <row r="605" ht="15.75" customHeight="1">
      <c r="A605" s="92"/>
      <c r="B605" s="92"/>
      <c r="C605" s="92"/>
      <c r="D605" s="92"/>
      <c r="E605" s="92"/>
      <c r="F605" s="92"/>
      <c r="G605" s="92"/>
      <c r="I605" s="92"/>
    </row>
    <row r="606" ht="15.75" customHeight="1">
      <c r="A606" s="92"/>
      <c r="B606" s="92"/>
      <c r="C606" s="92"/>
      <c r="D606" s="92"/>
      <c r="E606" s="92"/>
      <c r="F606" s="92"/>
      <c r="G606" s="92"/>
      <c r="I606" s="92"/>
    </row>
    <row r="607" ht="15.75" customHeight="1">
      <c r="A607" s="92"/>
      <c r="B607" s="92"/>
      <c r="C607" s="92"/>
      <c r="D607" s="92"/>
      <c r="E607" s="92"/>
      <c r="F607" s="92"/>
      <c r="G607" s="92"/>
      <c r="I607" s="92"/>
    </row>
    <row r="608" ht="15.75" customHeight="1">
      <c r="A608" s="92"/>
      <c r="B608" s="92"/>
      <c r="C608" s="92"/>
      <c r="D608" s="92"/>
      <c r="E608" s="92"/>
      <c r="F608" s="92"/>
      <c r="G608" s="92"/>
      <c r="I608" s="92"/>
    </row>
    <row r="609" ht="15.75" customHeight="1">
      <c r="A609" s="92"/>
      <c r="B609" s="92"/>
      <c r="C609" s="92"/>
      <c r="D609" s="92"/>
      <c r="E609" s="92"/>
      <c r="F609" s="92"/>
      <c r="G609" s="92"/>
      <c r="I609" s="92"/>
    </row>
    <row r="610" ht="15.75" customHeight="1">
      <c r="A610" s="92"/>
      <c r="B610" s="92"/>
      <c r="C610" s="92"/>
      <c r="D610" s="92"/>
      <c r="E610" s="92"/>
      <c r="F610" s="92"/>
      <c r="G610" s="92"/>
      <c r="I610" s="92"/>
    </row>
    <row r="611" ht="15.75" customHeight="1">
      <c r="A611" s="92"/>
      <c r="B611" s="92"/>
      <c r="C611" s="92"/>
      <c r="D611" s="92"/>
      <c r="E611" s="92"/>
      <c r="F611" s="92"/>
      <c r="G611" s="92"/>
      <c r="I611" s="92"/>
    </row>
    <row r="612" ht="15.75" customHeight="1">
      <c r="A612" s="92"/>
      <c r="B612" s="92"/>
      <c r="C612" s="92"/>
      <c r="D612" s="92"/>
      <c r="E612" s="92"/>
      <c r="F612" s="92"/>
      <c r="G612" s="92"/>
      <c r="I612" s="92"/>
    </row>
    <row r="613" ht="15.75" customHeight="1">
      <c r="A613" s="92"/>
      <c r="B613" s="92"/>
      <c r="C613" s="92"/>
      <c r="D613" s="92"/>
      <c r="E613" s="92"/>
      <c r="F613" s="92"/>
      <c r="G613" s="92"/>
      <c r="I613" s="92"/>
    </row>
    <row r="614" ht="15.75" customHeight="1">
      <c r="A614" s="92"/>
      <c r="B614" s="92"/>
      <c r="C614" s="92"/>
      <c r="D614" s="92"/>
      <c r="E614" s="92"/>
      <c r="F614" s="92"/>
      <c r="G614" s="92"/>
      <c r="I614" s="92"/>
    </row>
    <row r="615" ht="15.75" customHeight="1">
      <c r="A615" s="92"/>
      <c r="B615" s="92"/>
      <c r="C615" s="92"/>
      <c r="D615" s="92"/>
      <c r="E615" s="92"/>
      <c r="F615" s="92"/>
      <c r="G615" s="92"/>
      <c r="I615" s="92"/>
    </row>
    <row r="616" ht="15.75" customHeight="1">
      <c r="A616" s="92"/>
      <c r="B616" s="92"/>
      <c r="C616" s="92"/>
      <c r="D616" s="92"/>
      <c r="E616" s="92"/>
      <c r="F616" s="92"/>
      <c r="G616" s="92"/>
      <c r="I616" s="92"/>
    </row>
    <row r="617" ht="15.75" customHeight="1">
      <c r="A617" s="92"/>
      <c r="B617" s="92"/>
      <c r="C617" s="92"/>
      <c r="D617" s="92"/>
      <c r="E617" s="92"/>
      <c r="F617" s="92"/>
      <c r="G617" s="92"/>
      <c r="I617" s="92"/>
    </row>
    <row r="618" ht="15.75" customHeight="1">
      <c r="A618" s="92"/>
      <c r="B618" s="92"/>
      <c r="C618" s="92"/>
      <c r="D618" s="92"/>
      <c r="E618" s="92"/>
      <c r="F618" s="92"/>
      <c r="G618" s="92"/>
      <c r="I618" s="92"/>
    </row>
    <row r="619" ht="15.75" customHeight="1">
      <c r="A619" s="92"/>
      <c r="B619" s="92"/>
      <c r="C619" s="92"/>
      <c r="D619" s="92"/>
      <c r="E619" s="92"/>
      <c r="F619" s="92"/>
      <c r="G619" s="92"/>
      <c r="I619" s="92"/>
    </row>
    <row r="620" ht="15.75" customHeight="1">
      <c r="A620" s="92"/>
      <c r="B620" s="92"/>
      <c r="C620" s="92"/>
      <c r="D620" s="92"/>
      <c r="E620" s="92"/>
      <c r="F620" s="92"/>
      <c r="G620" s="92"/>
      <c r="I620" s="92"/>
    </row>
    <row r="621" ht="15.75" customHeight="1">
      <c r="A621" s="92"/>
      <c r="B621" s="92"/>
      <c r="C621" s="92"/>
      <c r="D621" s="92"/>
      <c r="E621" s="92"/>
      <c r="F621" s="92"/>
      <c r="G621" s="92"/>
      <c r="I621" s="92"/>
    </row>
    <row r="622" ht="15.75" customHeight="1">
      <c r="A622" s="92"/>
      <c r="B622" s="92"/>
      <c r="C622" s="92"/>
      <c r="D622" s="92"/>
      <c r="E622" s="92"/>
      <c r="F622" s="92"/>
      <c r="G622" s="92"/>
      <c r="I622" s="92"/>
    </row>
    <row r="623" ht="15.75" customHeight="1">
      <c r="A623" s="92"/>
      <c r="B623" s="92"/>
      <c r="C623" s="92"/>
      <c r="D623" s="92"/>
      <c r="E623" s="92"/>
      <c r="F623" s="92"/>
      <c r="G623" s="92"/>
      <c r="I623" s="92"/>
    </row>
    <row r="624" ht="15.75" customHeight="1">
      <c r="A624" s="92"/>
      <c r="B624" s="92"/>
      <c r="C624" s="92"/>
      <c r="D624" s="92"/>
      <c r="E624" s="92"/>
      <c r="F624" s="92"/>
      <c r="G624" s="92"/>
      <c r="I624" s="92"/>
    </row>
    <row r="625" ht="15.75" customHeight="1">
      <c r="A625" s="92"/>
      <c r="B625" s="92"/>
      <c r="C625" s="92"/>
      <c r="D625" s="92"/>
      <c r="E625" s="92"/>
      <c r="F625" s="92"/>
      <c r="G625" s="92"/>
      <c r="I625" s="92"/>
    </row>
    <row r="626" ht="15.75" customHeight="1">
      <c r="A626" s="92"/>
      <c r="B626" s="92"/>
      <c r="C626" s="92"/>
      <c r="D626" s="92"/>
      <c r="E626" s="92"/>
      <c r="F626" s="92"/>
      <c r="G626" s="92"/>
      <c r="I626" s="92"/>
    </row>
    <row r="627" ht="15.75" customHeight="1">
      <c r="A627" s="92"/>
      <c r="B627" s="92"/>
      <c r="C627" s="92"/>
      <c r="D627" s="92"/>
      <c r="E627" s="92"/>
      <c r="F627" s="92"/>
      <c r="G627" s="92"/>
      <c r="I627" s="92"/>
    </row>
    <row r="628" ht="15.75" customHeight="1">
      <c r="A628" s="92"/>
      <c r="B628" s="92"/>
      <c r="C628" s="92"/>
      <c r="D628" s="92"/>
      <c r="E628" s="92"/>
      <c r="F628" s="92"/>
      <c r="G628" s="92"/>
      <c r="I628" s="92"/>
    </row>
    <row r="629" ht="15.75" customHeight="1">
      <c r="A629" s="92"/>
      <c r="B629" s="92"/>
      <c r="C629" s="92"/>
      <c r="D629" s="92"/>
      <c r="E629" s="92"/>
      <c r="F629" s="92"/>
      <c r="G629" s="92"/>
      <c r="I629" s="92"/>
    </row>
    <row r="630" ht="15.75" customHeight="1">
      <c r="A630" s="92"/>
      <c r="B630" s="92"/>
      <c r="C630" s="92"/>
      <c r="D630" s="92"/>
      <c r="E630" s="92"/>
      <c r="F630" s="92"/>
      <c r="G630" s="92"/>
      <c r="I630" s="92"/>
    </row>
    <row r="631" ht="15.75" customHeight="1">
      <c r="A631" s="92"/>
      <c r="B631" s="92"/>
      <c r="C631" s="92"/>
      <c r="D631" s="92"/>
      <c r="E631" s="92"/>
      <c r="F631" s="92"/>
      <c r="G631" s="92"/>
      <c r="I631" s="92"/>
    </row>
    <row r="632" ht="15.75" customHeight="1">
      <c r="A632" s="92"/>
      <c r="B632" s="92"/>
      <c r="C632" s="92"/>
      <c r="D632" s="92"/>
      <c r="E632" s="92"/>
      <c r="F632" s="92"/>
      <c r="G632" s="92"/>
      <c r="I632" s="92"/>
    </row>
    <row r="633" ht="15.75" customHeight="1">
      <c r="A633" s="92"/>
      <c r="B633" s="92"/>
      <c r="C633" s="92"/>
      <c r="D633" s="92"/>
      <c r="E633" s="92"/>
      <c r="F633" s="92"/>
      <c r="G633" s="92"/>
      <c r="I633" s="92"/>
    </row>
    <row r="634" ht="15.75" customHeight="1">
      <c r="A634" s="92"/>
      <c r="B634" s="92"/>
      <c r="C634" s="92"/>
      <c r="D634" s="92"/>
      <c r="E634" s="92"/>
      <c r="F634" s="92"/>
      <c r="G634" s="92"/>
      <c r="I634" s="92"/>
    </row>
    <row r="635" ht="15.75" customHeight="1">
      <c r="A635" s="92"/>
      <c r="B635" s="92"/>
      <c r="C635" s="92"/>
      <c r="D635" s="92"/>
      <c r="E635" s="92"/>
      <c r="F635" s="92"/>
      <c r="G635" s="92"/>
      <c r="I635" s="92"/>
    </row>
    <row r="636" ht="15.75" customHeight="1">
      <c r="A636" s="92"/>
      <c r="B636" s="92"/>
      <c r="C636" s="92"/>
      <c r="D636" s="92"/>
      <c r="E636" s="92"/>
      <c r="F636" s="92"/>
      <c r="G636" s="92"/>
      <c r="I636" s="92"/>
    </row>
    <row r="637" ht="15.75" customHeight="1">
      <c r="A637" s="92"/>
      <c r="B637" s="92"/>
      <c r="C637" s="92"/>
      <c r="D637" s="92"/>
      <c r="E637" s="92"/>
      <c r="F637" s="92"/>
      <c r="G637" s="92"/>
      <c r="I637" s="92"/>
    </row>
    <row r="638" ht="15.75" customHeight="1">
      <c r="A638" s="92"/>
      <c r="B638" s="92"/>
      <c r="C638" s="92"/>
      <c r="D638" s="92"/>
      <c r="E638" s="92"/>
      <c r="F638" s="92"/>
      <c r="G638" s="92"/>
      <c r="I638" s="92"/>
    </row>
    <row r="639" ht="15.75" customHeight="1">
      <c r="A639" s="92"/>
      <c r="B639" s="92"/>
      <c r="C639" s="92"/>
      <c r="D639" s="92"/>
      <c r="E639" s="92"/>
      <c r="F639" s="92"/>
      <c r="G639" s="92"/>
      <c r="I639" s="92"/>
    </row>
    <row r="640" ht="15.75" customHeight="1">
      <c r="A640" s="92"/>
      <c r="B640" s="92"/>
      <c r="C640" s="92"/>
      <c r="D640" s="92"/>
      <c r="E640" s="92"/>
      <c r="F640" s="92"/>
      <c r="G640" s="92"/>
      <c r="I640" s="92"/>
    </row>
    <row r="641" ht="15.75" customHeight="1">
      <c r="A641" s="92"/>
      <c r="B641" s="92"/>
      <c r="C641" s="92"/>
      <c r="D641" s="92"/>
      <c r="E641" s="92"/>
      <c r="F641" s="92"/>
      <c r="G641" s="92"/>
      <c r="I641" s="92"/>
    </row>
    <row r="642" ht="15.75" customHeight="1">
      <c r="A642" s="92"/>
      <c r="B642" s="92"/>
      <c r="C642" s="92"/>
      <c r="D642" s="92"/>
      <c r="E642" s="92"/>
      <c r="F642" s="92"/>
      <c r="G642" s="92"/>
      <c r="I642" s="92"/>
    </row>
    <row r="643" ht="15.75" customHeight="1">
      <c r="A643" s="92"/>
      <c r="B643" s="92"/>
      <c r="C643" s="92"/>
      <c r="D643" s="92"/>
      <c r="E643" s="92"/>
      <c r="F643" s="92"/>
      <c r="G643" s="92"/>
      <c r="I643" s="92"/>
    </row>
    <row r="644" ht="15.75" customHeight="1">
      <c r="A644" s="92"/>
      <c r="B644" s="92"/>
      <c r="C644" s="92"/>
      <c r="D644" s="92"/>
      <c r="E644" s="92"/>
      <c r="F644" s="92"/>
      <c r="G644" s="92"/>
      <c r="I644" s="92"/>
    </row>
    <row r="645" ht="15.75" customHeight="1">
      <c r="A645" s="92"/>
      <c r="B645" s="92"/>
      <c r="C645" s="92"/>
      <c r="D645" s="92"/>
      <c r="E645" s="92"/>
      <c r="F645" s="92"/>
      <c r="G645" s="92"/>
      <c r="I645" s="92"/>
    </row>
    <row r="646" ht="15.75" customHeight="1">
      <c r="A646" s="92"/>
      <c r="B646" s="92"/>
      <c r="C646" s="92"/>
      <c r="D646" s="92"/>
      <c r="E646" s="92"/>
      <c r="F646" s="92"/>
      <c r="G646" s="92"/>
      <c r="I646" s="92"/>
    </row>
    <row r="647" ht="15.75" customHeight="1">
      <c r="A647" s="92"/>
      <c r="B647" s="92"/>
      <c r="C647" s="92"/>
      <c r="D647" s="92"/>
      <c r="E647" s="92"/>
      <c r="F647" s="92"/>
      <c r="G647" s="92"/>
      <c r="I647" s="92"/>
    </row>
    <row r="648" ht="15.75" customHeight="1">
      <c r="A648" s="92"/>
      <c r="B648" s="92"/>
      <c r="C648" s="92"/>
      <c r="D648" s="92"/>
      <c r="E648" s="92"/>
      <c r="F648" s="92"/>
      <c r="G648" s="92"/>
      <c r="I648" s="92"/>
    </row>
    <row r="649" ht="15.75" customHeight="1">
      <c r="A649" s="92"/>
      <c r="B649" s="92"/>
      <c r="C649" s="92"/>
      <c r="D649" s="92"/>
      <c r="E649" s="92"/>
      <c r="F649" s="92"/>
      <c r="G649" s="92"/>
      <c r="I649" s="92"/>
    </row>
    <row r="650" ht="15.75" customHeight="1">
      <c r="A650" s="92"/>
      <c r="B650" s="92"/>
      <c r="C650" s="92"/>
      <c r="D650" s="92"/>
      <c r="E650" s="92"/>
      <c r="F650" s="92"/>
      <c r="G650" s="92"/>
      <c r="I650" s="92"/>
    </row>
    <row r="651" ht="15.75" customHeight="1">
      <c r="A651" s="92"/>
      <c r="B651" s="92"/>
      <c r="C651" s="92"/>
      <c r="D651" s="92"/>
      <c r="E651" s="92"/>
      <c r="F651" s="92"/>
      <c r="G651" s="92"/>
      <c r="I651" s="92"/>
    </row>
    <row r="652" ht="15.75" customHeight="1">
      <c r="A652" s="92"/>
      <c r="B652" s="92"/>
      <c r="C652" s="92"/>
      <c r="D652" s="92"/>
      <c r="E652" s="92"/>
      <c r="F652" s="92"/>
      <c r="G652" s="92"/>
      <c r="I652" s="92"/>
    </row>
    <row r="653" ht="15.75" customHeight="1">
      <c r="A653" s="92"/>
      <c r="B653" s="92"/>
      <c r="C653" s="92"/>
      <c r="D653" s="92"/>
      <c r="E653" s="92"/>
      <c r="F653" s="92"/>
      <c r="G653" s="92"/>
      <c r="I653" s="92"/>
    </row>
    <row r="654" ht="15.75" customHeight="1">
      <c r="A654" s="92"/>
      <c r="B654" s="92"/>
      <c r="C654" s="92"/>
      <c r="D654" s="92"/>
      <c r="E654" s="92"/>
      <c r="F654" s="92"/>
      <c r="G654" s="92"/>
      <c r="I654" s="92"/>
    </row>
    <row r="655" ht="15.75" customHeight="1">
      <c r="A655" s="92"/>
      <c r="B655" s="92"/>
      <c r="C655" s="92"/>
      <c r="D655" s="92"/>
      <c r="E655" s="92"/>
      <c r="F655" s="92"/>
      <c r="G655" s="92"/>
      <c r="I655" s="92"/>
    </row>
    <row r="656" ht="15.75" customHeight="1">
      <c r="A656" s="92"/>
      <c r="B656" s="92"/>
      <c r="C656" s="92"/>
      <c r="D656" s="92"/>
      <c r="E656" s="92"/>
      <c r="F656" s="92"/>
      <c r="G656" s="92"/>
      <c r="I656" s="92"/>
    </row>
    <row r="657" ht="15.75" customHeight="1">
      <c r="A657" s="92"/>
      <c r="B657" s="92"/>
      <c r="C657" s="92"/>
      <c r="D657" s="92"/>
      <c r="E657" s="92"/>
      <c r="F657" s="92"/>
      <c r="G657" s="92"/>
      <c r="I657" s="92"/>
    </row>
    <row r="658" ht="15.75" customHeight="1">
      <c r="A658" s="92"/>
      <c r="B658" s="92"/>
      <c r="C658" s="92"/>
      <c r="D658" s="92"/>
      <c r="E658" s="92"/>
      <c r="F658" s="92"/>
      <c r="G658" s="92"/>
      <c r="I658" s="92"/>
    </row>
    <row r="659" ht="15.75" customHeight="1">
      <c r="A659" s="92"/>
      <c r="B659" s="92"/>
      <c r="C659" s="92"/>
      <c r="D659" s="92"/>
      <c r="E659" s="92"/>
      <c r="F659" s="92"/>
      <c r="G659" s="92"/>
      <c r="I659" s="92"/>
    </row>
    <row r="660" ht="15.75" customHeight="1">
      <c r="A660" s="92"/>
      <c r="B660" s="92"/>
      <c r="C660" s="92"/>
      <c r="D660" s="92"/>
      <c r="E660" s="92"/>
      <c r="F660" s="92"/>
      <c r="G660" s="92"/>
      <c r="I660" s="92"/>
    </row>
    <row r="661" ht="15.75" customHeight="1">
      <c r="A661" s="92"/>
      <c r="B661" s="92"/>
      <c r="C661" s="92"/>
      <c r="D661" s="92"/>
      <c r="E661" s="92"/>
      <c r="F661" s="92"/>
      <c r="G661" s="92"/>
      <c r="I661" s="92"/>
    </row>
    <row r="662" ht="15.75" customHeight="1">
      <c r="A662" s="92"/>
      <c r="B662" s="92"/>
      <c r="C662" s="92"/>
      <c r="D662" s="92"/>
      <c r="E662" s="92"/>
      <c r="F662" s="92"/>
      <c r="G662" s="92"/>
      <c r="I662" s="92"/>
    </row>
    <row r="663" ht="15.75" customHeight="1">
      <c r="A663" s="92"/>
      <c r="B663" s="92"/>
      <c r="C663" s="92"/>
      <c r="D663" s="92"/>
      <c r="E663" s="92"/>
      <c r="F663" s="92"/>
      <c r="G663" s="92"/>
      <c r="I663" s="92"/>
    </row>
    <row r="664" ht="15.75" customHeight="1">
      <c r="A664" s="92"/>
      <c r="B664" s="92"/>
      <c r="C664" s="92"/>
      <c r="D664" s="92"/>
      <c r="E664" s="92"/>
      <c r="F664" s="92"/>
      <c r="G664" s="92"/>
      <c r="I664" s="92"/>
    </row>
    <row r="665" ht="15.75" customHeight="1">
      <c r="A665" s="92"/>
      <c r="B665" s="92"/>
      <c r="C665" s="92"/>
      <c r="D665" s="92"/>
      <c r="E665" s="92"/>
      <c r="F665" s="92"/>
      <c r="G665" s="92"/>
      <c r="I665" s="92"/>
    </row>
    <row r="666" ht="15.75" customHeight="1">
      <c r="A666" s="92"/>
      <c r="B666" s="92"/>
      <c r="C666" s="92"/>
      <c r="D666" s="92"/>
      <c r="E666" s="92"/>
      <c r="F666" s="92"/>
      <c r="G666" s="92"/>
      <c r="I666" s="92"/>
    </row>
    <row r="667" ht="15.75" customHeight="1">
      <c r="A667" s="92"/>
      <c r="B667" s="92"/>
      <c r="C667" s="92"/>
      <c r="D667" s="92"/>
      <c r="E667" s="92"/>
      <c r="F667" s="92"/>
      <c r="G667" s="92"/>
      <c r="I667" s="92"/>
    </row>
    <row r="668" ht="15.75" customHeight="1">
      <c r="A668" s="92"/>
      <c r="B668" s="92"/>
      <c r="C668" s="92"/>
      <c r="D668" s="92"/>
      <c r="E668" s="92"/>
      <c r="F668" s="92"/>
      <c r="G668" s="92"/>
      <c r="I668" s="92"/>
    </row>
    <row r="669" ht="15.75" customHeight="1">
      <c r="A669" s="92"/>
      <c r="B669" s="92"/>
      <c r="C669" s="92"/>
      <c r="D669" s="92"/>
      <c r="E669" s="92"/>
      <c r="F669" s="92"/>
      <c r="G669" s="92"/>
      <c r="I669" s="92"/>
    </row>
    <row r="670" ht="15.75" customHeight="1">
      <c r="A670" s="92"/>
      <c r="B670" s="92"/>
      <c r="C670" s="92"/>
      <c r="D670" s="92"/>
      <c r="E670" s="92"/>
      <c r="F670" s="92"/>
      <c r="G670" s="92"/>
      <c r="I670" s="92"/>
    </row>
    <row r="671" ht="15.75" customHeight="1">
      <c r="A671" s="92"/>
      <c r="B671" s="92"/>
      <c r="C671" s="92"/>
      <c r="D671" s="92"/>
      <c r="E671" s="92"/>
      <c r="F671" s="92"/>
      <c r="G671" s="92"/>
      <c r="I671" s="92"/>
    </row>
    <row r="672" ht="15.75" customHeight="1">
      <c r="A672" s="92"/>
      <c r="B672" s="92"/>
      <c r="C672" s="92"/>
      <c r="D672" s="92"/>
      <c r="E672" s="92"/>
      <c r="F672" s="92"/>
      <c r="G672" s="92"/>
      <c r="I672" s="92"/>
    </row>
    <row r="673" ht="15.75" customHeight="1">
      <c r="A673" s="92"/>
      <c r="B673" s="92"/>
      <c r="C673" s="92"/>
      <c r="D673" s="92"/>
      <c r="E673" s="92"/>
      <c r="F673" s="92"/>
      <c r="G673" s="92"/>
      <c r="I673" s="92"/>
    </row>
    <row r="674" ht="15.75" customHeight="1">
      <c r="A674" s="92"/>
      <c r="B674" s="92"/>
      <c r="C674" s="92"/>
      <c r="D674" s="92"/>
      <c r="E674" s="92"/>
      <c r="F674" s="92"/>
      <c r="G674" s="92"/>
      <c r="I674" s="92"/>
    </row>
    <row r="675" ht="15.75" customHeight="1">
      <c r="A675" s="92"/>
      <c r="B675" s="92"/>
      <c r="C675" s="92"/>
      <c r="D675" s="92"/>
      <c r="E675" s="92"/>
      <c r="F675" s="92"/>
      <c r="G675" s="92"/>
      <c r="I675" s="92"/>
    </row>
    <row r="676" ht="15.75" customHeight="1">
      <c r="A676" s="92"/>
      <c r="B676" s="92"/>
      <c r="C676" s="92"/>
      <c r="D676" s="92"/>
      <c r="E676" s="92"/>
      <c r="F676" s="92"/>
      <c r="G676" s="92"/>
      <c r="I676" s="92"/>
    </row>
    <row r="677" ht="15.75" customHeight="1">
      <c r="A677" s="92"/>
      <c r="B677" s="92"/>
      <c r="C677" s="92"/>
      <c r="D677" s="92"/>
      <c r="E677" s="92"/>
      <c r="F677" s="92"/>
      <c r="G677" s="92"/>
      <c r="I677" s="92"/>
    </row>
    <row r="678" ht="15.75" customHeight="1">
      <c r="A678" s="92"/>
      <c r="B678" s="92"/>
      <c r="C678" s="92"/>
      <c r="D678" s="92"/>
      <c r="E678" s="92"/>
      <c r="F678" s="92"/>
      <c r="G678" s="92"/>
      <c r="I678" s="92"/>
    </row>
    <row r="679" ht="15.75" customHeight="1">
      <c r="A679" s="92"/>
      <c r="B679" s="92"/>
      <c r="C679" s="92"/>
      <c r="D679" s="92"/>
      <c r="E679" s="92"/>
      <c r="F679" s="92"/>
      <c r="G679" s="92"/>
      <c r="I679" s="92"/>
    </row>
    <row r="680" ht="15.75" customHeight="1">
      <c r="A680" s="92"/>
      <c r="B680" s="92"/>
      <c r="C680" s="92"/>
      <c r="D680" s="92"/>
      <c r="E680" s="92"/>
      <c r="F680" s="92"/>
      <c r="G680" s="92"/>
      <c r="I680" s="92"/>
    </row>
    <row r="681" ht="15.75" customHeight="1">
      <c r="A681" s="92"/>
      <c r="B681" s="92"/>
      <c r="C681" s="92"/>
      <c r="D681" s="92"/>
      <c r="E681" s="92"/>
      <c r="F681" s="92"/>
      <c r="G681" s="92"/>
      <c r="I681" s="92"/>
    </row>
    <row r="682" ht="15.75" customHeight="1">
      <c r="A682" s="92"/>
      <c r="B682" s="92"/>
      <c r="C682" s="92"/>
      <c r="D682" s="92"/>
      <c r="E682" s="92"/>
      <c r="F682" s="92"/>
      <c r="G682" s="92"/>
      <c r="I682" s="92"/>
    </row>
    <row r="683" ht="15.75" customHeight="1">
      <c r="A683" s="92"/>
      <c r="B683" s="92"/>
      <c r="C683" s="92"/>
      <c r="D683" s="92"/>
      <c r="E683" s="92"/>
      <c r="F683" s="92"/>
      <c r="G683" s="92"/>
      <c r="I683" s="92"/>
    </row>
    <row r="684" ht="15.75" customHeight="1">
      <c r="A684" s="92"/>
      <c r="B684" s="92"/>
      <c r="C684" s="92"/>
      <c r="D684" s="92"/>
      <c r="E684" s="92"/>
      <c r="F684" s="92"/>
      <c r="G684" s="92"/>
      <c r="I684" s="92"/>
    </row>
    <row r="685" ht="15.75" customHeight="1">
      <c r="A685" s="92"/>
      <c r="B685" s="92"/>
      <c r="C685" s="92"/>
      <c r="D685" s="92"/>
      <c r="E685" s="92"/>
      <c r="F685" s="92"/>
      <c r="G685" s="92"/>
      <c r="I685" s="92"/>
    </row>
    <row r="686" ht="15.75" customHeight="1">
      <c r="A686" s="92"/>
      <c r="B686" s="92"/>
      <c r="C686" s="92"/>
      <c r="D686" s="92"/>
      <c r="E686" s="92"/>
      <c r="F686" s="92"/>
      <c r="G686" s="92"/>
      <c r="I686" s="92"/>
    </row>
    <row r="687" ht="15.75" customHeight="1">
      <c r="A687" s="92"/>
      <c r="B687" s="92"/>
      <c r="C687" s="92"/>
      <c r="D687" s="92"/>
      <c r="E687" s="92"/>
      <c r="F687" s="92"/>
      <c r="G687" s="92"/>
      <c r="I687" s="92"/>
    </row>
    <row r="688" ht="15.75" customHeight="1">
      <c r="A688" s="92"/>
      <c r="B688" s="92"/>
      <c r="C688" s="92"/>
      <c r="D688" s="92"/>
      <c r="E688" s="92"/>
      <c r="F688" s="92"/>
      <c r="G688" s="92"/>
      <c r="I688" s="92"/>
    </row>
    <row r="689" ht="15.75" customHeight="1">
      <c r="A689" s="92"/>
      <c r="B689" s="92"/>
      <c r="C689" s="92"/>
      <c r="D689" s="92"/>
      <c r="E689" s="92"/>
      <c r="F689" s="92"/>
      <c r="G689" s="92"/>
      <c r="I689" s="92"/>
    </row>
    <row r="690" ht="15.75" customHeight="1">
      <c r="A690" s="92"/>
      <c r="B690" s="92"/>
      <c r="C690" s="92"/>
      <c r="D690" s="92"/>
      <c r="E690" s="92"/>
      <c r="F690" s="92"/>
      <c r="G690" s="92"/>
      <c r="I690" s="92"/>
    </row>
    <row r="691" ht="15.75" customHeight="1">
      <c r="A691" s="92"/>
      <c r="B691" s="92"/>
      <c r="C691" s="92"/>
      <c r="D691" s="92"/>
      <c r="E691" s="92"/>
      <c r="F691" s="92"/>
      <c r="G691" s="92"/>
      <c r="I691" s="92"/>
    </row>
    <row r="692" ht="15.75" customHeight="1">
      <c r="A692" s="92"/>
      <c r="B692" s="92"/>
      <c r="C692" s="92"/>
      <c r="D692" s="92"/>
      <c r="E692" s="92"/>
      <c r="F692" s="92"/>
      <c r="G692" s="92"/>
      <c r="I692" s="92"/>
    </row>
    <row r="693" ht="15.75" customHeight="1">
      <c r="A693" s="92"/>
      <c r="B693" s="92"/>
      <c r="C693" s="92"/>
      <c r="D693" s="92"/>
      <c r="E693" s="92"/>
      <c r="F693" s="92"/>
      <c r="G693" s="92"/>
      <c r="I693" s="92"/>
    </row>
    <row r="694" ht="15.75" customHeight="1">
      <c r="A694" s="92"/>
      <c r="B694" s="92"/>
      <c r="C694" s="92"/>
      <c r="D694" s="92"/>
      <c r="E694" s="92"/>
      <c r="F694" s="92"/>
      <c r="G694" s="92"/>
      <c r="I694" s="92"/>
    </row>
    <row r="695" ht="15.75" customHeight="1">
      <c r="A695" s="92"/>
      <c r="B695" s="92"/>
      <c r="C695" s="92"/>
      <c r="D695" s="92"/>
      <c r="E695" s="92"/>
      <c r="F695" s="92"/>
      <c r="G695" s="92"/>
      <c r="I695" s="92"/>
    </row>
    <row r="696" ht="15.75" customHeight="1">
      <c r="A696" s="92"/>
      <c r="B696" s="92"/>
      <c r="C696" s="92"/>
      <c r="D696" s="92"/>
      <c r="E696" s="92"/>
      <c r="F696" s="92"/>
      <c r="G696" s="92"/>
      <c r="I696" s="92"/>
    </row>
    <row r="697" ht="15.75" customHeight="1">
      <c r="A697" s="92"/>
      <c r="B697" s="92"/>
      <c r="C697" s="92"/>
      <c r="D697" s="92"/>
      <c r="E697" s="92"/>
      <c r="F697" s="92"/>
      <c r="G697" s="92"/>
      <c r="I697" s="92"/>
    </row>
    <row r="698" ht="15.75" customHeight="1">
      <c r="A698" s="92"/>
      <c r="B698" s="92"/>
      <c r="C698" s="92"/>
      <c r="D698" s="92"/>
      <c r="E698" s="92"/>
      <c r="F698" s="92"/>
      <c r="G698" s="92"/>
      <c r="I698" s="92"/>
    </row>
    <row r="699" ht="15.75" customHeight="1">
      <c r="A699" s="92"/>
      <c r="B699" s="92"/>
      <c r="C699" s="92"/>
      <c r="D699" s="92"/>
      <c r="E699" s="92"/>
      <c r="F699" s="92"/>
      <c r="G699" s="92"/>
      <c r="I699" s="92"/>
    </row>
    <row r="700" ht="15.75" customHeight="1">
      <c r="A700" s="92"/>
      <c r="B700" s="92"/>
      <c r="C700" s="92"/>
      <c r="D700" s="92"/>
      <c r="E700" s="92"/>
      <c r="F700" s="92"/>
      <c r="G700" s="92"/>
      <c r="I700" s="92"/>
    </row>
    <row r="701" ht="15.75" customHeight="1">
      <c r="A701" s="92"/>
      <c r="B701" s="92"/>
      <c r="C701" s="92"/>
      <c r="D701" s="92"/>
      <c r="E701" s="92"/>
      <c r="F701" s="92"/>
      <c r="G701" s="92"/>
      <c r="I701" s="92"/>
    </row>
    <row r="702" ht="15.75" customHeight="1">
      <c r="A702" s="92"/>
      <c r="B702" s="92"/>
      <c r="C702" s="92"/>
      <c r="D702" s="92"/>
      <c r="E702" s="92"/>
      <c r="F702" s="92"/>
      <c r="G702" s="92"/>
      <c r="I702" s="92"/>
    </row>
    <row r="703" ht="15.75" customHeight="1">
      <c r="A703" s="92"/>
      <c r="B703" s="92"/>
      <c r="C703" s="92"/>
      <c r="D703" s="92"/>
      <c r="E703" s="92"/>
      <c r="F703" s="92"/>
      <c r="G703" s="92"/>
      <c r="I703" s="92"/>
    </row>
    <row r="704" ht="15.75" customHeight="1">
      <c r="A704" s="92"/>
      <c r="B704" s="92"/>
      <c r="C704" s="92"/>
      <c r="D704" s="92"/>
      <c r="E704" s="92"/>
      <c r="F704" s="92"/>
      <c r="G704" s="92"/>
      <c r="I704" s="92"/>
    </row>
    <row r="705" ht="15.75" customHeight="1">
      <c r="A705" s="92"/>
      <c r="B705" s="92"/>
      <c r="C705" s="92"/>
      <c r="D705" s="92"/>
      <c r="E705" s="92"/>
      <c r="F705" s="92"/>
      <c r="G705" s="92"/>
      <c r="I705" s="92"/>
    </row>
    <row r="706" ht="15.75" customHeight="1">
      <c r="A706" s="92"/>
      <c r="B706" s="92"/>
      <c r="C706" s="92"/>
      <c r="D706" s="92"/>
      <c r="E706" s="92"/>
      <c r="F706" s="92"/>
      <c r="G706" s="92"/>
      <c r="I706" s="92"/>
    </row>
    <row r="707" ht="15.75" customHeight="1">
      <c r="A707" s="92"/>
      <c r="B707" s="92"/>
      <c r="C707" s="92"/>
      <c r="D707" s="92"/>
      <c r="E707" s="92"/>
      <c r="F707" s="92"/>
      <c r="G707" s="92"/>
      <c r="I707" s="92"/>
    </row>
    <row r="708" ht="15.75" customHeight="1">
      <c r="A708" s="92"/>
      <c r="B708" s="92"/>
      <c r="C708" s="92"/>
      <c r="D708" s="92"/>
      <c r="E708" s="92"/>
      <c r="F708" s="92"/>
      <c r="G708" s="92"/>
      <c r="I708" s="92"/>
    </row>
    <row r="709" ht="15.75" customHeight="1">
      <c r="A709" s="92"/>
      <c r="B709" s="92"/>
      <c r="C709" s="92"/>
      <c r="D709" s="92"/>
      <c r="E709" s="92"/>
      <c r="F709" s="92"/>
      <c r="G709" s="92"/>
      <c r="I709" s="92"/>
    </row>
    <row r="710" ht="15.75" customHeight="1">
      <c r="A710" s="92"/>
      <c r="B710" s="92"/>
      <c r="C710" s="92"/>
      <c r="D710" s="92"/>
      <c r="E710" s="92"/>
      <c r="F710" s="92"/>
      <c r="G710" s="92"/>
      <c r="I710" s="92"/>
    </row>
    <row r="711" ht="15.75" customHeight="1">
      <c r="A711" s="92"/>
      <c r="B711" s="92"/>
      <c r="C711" s="92"/>
      <c r="D711" s="92"/>
      <c r="E711" s="92"/>
      <c r="F711" s="92"/>
      <c r="G711" s="92"/>
      <c r="I711" s="92"/>
    </row>
    <row r="712" ht="15.75" customHeight="1">
      <c r="A712" s="92"/>
      <c r="B712" s="92"/>
      <c r="C712" s="92"/>
      <c r="D712" s="92"/>
      <c r="E712" s="92"/>
      <c r="F712" s="92"/>
      <c r="G712" s="92"/>
      <c r="I712" s="92"/>
    </row>
    <row r="713" ht="15.75" customHeight="1">
      <c r="A713" s="92"/>
      <c r="B713" s="92"/>
      <c r="C713" s="92"/>
      <c r="D713" s="92"/>
      <c r="E713" s="92"/>
      <c r="F713" s="92"/>
      <c r="G713" s="92"/>
      <c r="I713" s="92"/>
    </row>
    <row r="714" ht="15.75" customHeight="1">
      <c r="A714" s="92"/>
      <c r="B714" s="92"/>
      <c r="C714" s="92"/>
      <c r="D714" s="92"/>
      <c r="E714" s="92"/>
      <c r="F714" s="92"/>
      <c r="G714" s="92"/>
      <c r="I714" s="92"/>
    </row>
    <row r="715" ht="15.75" customHeight="1">
      <c r="A715" s="92"/>
      <c r="B715" s="92"/>
      <c r="C715" s="92"/>
      <c r="D715" s="92"/>
      <c r="E715" s="92"/>
      <c r="F715" s="92"/>
      <c r="G715" s="92"/>
      <c r="I715" s="92"/>
    </row>
    <row r="716" ht="15.75" customHeight="1">
      <c r="A716" s="92"/>
      <c r="B716" s="92"/>
      <c r="C716" s="92"/>
      <c r="D716" s="92"/>
      <c r="E716" s="92"/>
      <c r="F716" s="92"/>
      <c r="G716" s="92"/>
      <c r="I716" s="92"/>
    </row>
    <row r="717" ht="15.75" customHeight="1">
      <c r="A717" s="92"/>
      <c r="B717" s="92"/>
      <c r="C717" s="92"/>
      <c r="D717" s="92"/>
      <c r="E717" s="92"/>
      <c r="F717" s="92"/>
      <c r="G717" s="92"/>
      <c r="I717" s="92"/>
    </row>
    <row r="718" ht="15.75" customHeight="1">
      <c r="A718" s="92"/>
      <c r="B718" s="92"/>
      <c r="C718" s="92"/>
      <c r="D718" s="92"/>
      <c r="E718" s="92"/>
      <c r="F718" s="92"/>
      <c r="G718" s="92"/>
      <c r="I718" s="92"/>
    </row>
    <row r="719" ht="15.75" customHeight="1">
      <c r="A719" s="92"/>
      <c r="B719" s="92"/>
      <c r="C719" s="92"/>
      <c r="D719" s="92"/>
      <c r="E719" s="92"/>
      <c r="F719" s="92"/>
      <c r="G719" s="92"/>
      <c r="I719" s="92"/>
    </row>
    <row r="720" ht="15.75" customHeight="1">
      <c r="A720" s="92"/>
      <c r="B720" s="92"/>
      <c r="C720" s="92"/>
      <c r="D720" s="92"/>
      <c r="E720" s="92"/>
      <c r="F720" s="92"/>
      <c r="G720" s="92"/>
      <c r="I720" s="92"/>
    </row>
    <row r="721" ht="15.75" customHeight="1">
      <c r="A721" s="92"/>
      <c r="B721" s="92"/>
      <c r="C721" s="92"/>
      <c r="D721" s="92"/>
      <c r="E721" s="92"/>
      <c r="F721" s="92"/>
      <c r="G721" s="92"/>
      <c r="I721" s="92"/>
    </row>
    <row r="722" ht="15.75" customHeight="1">
      <c r="A722" s="92"/>
      <c r="B722" s="92"/>
      <c r="C722" s="92"/>
      <c r="D722" s="92"/>
      <c r="E722" s="92"/>
      <c r="F722" s="92"/>
      <c r="G722" s="92"/>
      <c r="I722" s="92"/>
    </row>
    <row r="723" ht="15.75" customHeight="1">
      <c r="A723" s="92"/>
      <c r="B723" s="92"/>
      <c r="C723" s="92"/>
      <c r="D723" s="92"/>
      <c r="E723" s="92"/>
      <c r="F723" s="92"/>
      <c r="G723" s="92"/>
      <c r="I723" s="92"/>
    </row>
    <row r="724" ht="15.75" customHeight="1">
      <c r="A724" s="92"/>
      <c r="B724" s="92"/>
      <c r="C724" s="92"/>
      <c r="D724" s="92"/>
      <c r="E724" s="92"/>
      <c r="F724" s="92"/>
      <c r="G724" s="92"/>
      <c r="I724" s="92"/>
    </row>
    <row r="725" ht="15.75" customHeight="1">
      <c r="A725" s="92"/>
      <c r="B725" s="92"/>
      <c r="C725" s="92"/>
      <c r="D725" s="92"/>
      <c r="E725" s="92"/>
      <c r="F725" s="92"/>
      <c r="G725" s="92"/>
      <c r="I725" s="92"/>
    </row>
    <row r="726" ht="15.75" customHeight="1">
      <c r="A726" s="92"/>
      <c r="B726" s="92"/>
      <c r="C726" s="92"/>
      <c r="D726" s="92"/>
      <c r="E726" s="92"/>
      <c r="F726" s="92"/>
      <c r="G726" s="92"/>
      <c r="I726" s="92"/>
    </row>
    <row r="727" ht="15.75" customHeight="1">
      <c r="A727" s="92"/>
      <c r="B727" s="92"/>
      <c r="C727" s="92"/>
      <c r="D727" s="92"/>
      <c r="E727" s="92"/>
      <c r="F727" s="92"/>
      <c r="G727" s="92"/>
      <c r="I727" s="92"/>
    </row>
    <row r="728" ht="15.75" customHeight="1">
      <c r="A728" s="92"/>
      <c r="B728" s="92"/>
      <c r="C728" s="92"/>
      <c r="D728" s="92"/>
      <c r="E728" s="92"/>
      <c r="F728" s="92"/>
      <c r="G728" s="92"/>
      <c r="I728" s="92"/>
    </row>
    <row r="729" ht="15.75" customHeight="1">
      <c r="A729" s="92"/>
      <c r="B729" s="92"/>
      <c r="C729" s="92"/>
      <c r="D729" s="92"/>
      <c r="E729" s="92"/>
      <c r="F729" s="92"/>
      <c r="G729" s="92"/>
      <c r="I729" s="92"/>
    </row>
    <row r="730" ht="15.75" customHeight="1">
      <c r="A730" s="92"/>
      <c r="B730" s="92"/>
      <c r="C730" s="92"/>
      <c r="D730" s="92"/>
      <c r="E730" s="92"/>
      <c r="F730" s="92"/>
      <c r="G730" s="92"/>
      <c r="I730" s="92"/>
    </row>
    <row r="731" ht="15.75" customHeight="1">
      <c r="A731" s="92"/>
      <c r="B731" s="92"/>
      <c r="C731" s="92"/>
      <c r="D731" s="92"/>
      <c r="E731" s="92"/>
      <c r="F731" s="92"/>
      <c r="G731" s="92"/>
      <c r="I731" s="92"/>
    </row>
    <row r="732" ht="15.75" customHeight="1">
      <c r="A732" s="92"/>
      <c r="B732" s="92"/>
      <c r="C732" s="92"/>
      <c r="D732" s="92"/>
      <c r="E732" s="92"/>
      <c r="F732" s="92"/>
      <c r="G732" s="92"/>
      <c r="I732" s="92"/>
    </row>
    <row r="733" ht="15.75" customHeight="1">
      <c r="A733" s="92"/>
      <c r="B733" s="92"/>
      <c r="C733" s="92"/>
      <c r="D733" s="92"/>
      <c r="E733" s="92"/>
      <c r="F733" s="92"/>
      <c r="G733" s="92"/>
      <c r="I733" s="92"/>
    </row>
    <row r="734" ht="15.75" customHeight="1">
      <c r="A734" s="92"/>
      <c r="B734" s="92"/>
      <c r="C734" s="92"/>
      <c r="D734" s="92"/>
      <c r="E734" s="92"/>
      <c r="F734" s="92"/>
      <c r="G734" s="92"/>
      <c r="I734" s="92"/>
    </row>
    <row r="735" ht="15.75" customHeight="1">
      <c r="A735" s="92"/>
      <c r="B735" s="92"/>
      <c r="C735" s="92"/>
      <c r="D735" s="92"/>
      <c r="E735" s="92"/>
      <c r="F735" s="92"/>
      <c r="G735" s="92"/>
      <c r="I735" s="92"/>
    </row>
    <row r="736" ht="15.75" customHeight="1">
      <c r="A736" s="92"/>
      <c r="B736" s="92"/>
      <c r="C736" s="92"/>
      <c r="D736" s="92"/>
      <c r="E736" s="92"/>
      <c r="F736" s="92"/>
      <c r="G736" s="92"/>
      <c r="I736" s="92"/>
    </row>
    <row r="737" ht="15.75" customHeight="1">
      <c r="A737" s="92"/>
      <c r="B737" s="92"/>
      <c r="C737" s="92"/>
      <c r="D737" s="92"/>
      <c r="E737" s="92"/>
      <c r="F737" s="92"/>
      <c r="G737" s="92"/>
      <c r="I737" s="92"/>
    </row>
    <row r="738" ht="15.75" customHeight="1">
      <c r="A738" s="92"/>
      <c r="B738" s="92"/>
      <c r="C738" s="92"/>
      <c r="D738" s="92"/>
      <c r="E738" s="92"/>
      <c r="F738" s="92"/>
      <c r="G738" s="92"/>
      <c r="I738" s="92"/>
    </row>
    <row r="739" ht="15.75" customHeight="1">
      <c r="A739" s="92"/>
      <c r="B739" s="92"/>
      <c r="C739" s="92"/>
      <c r="D739" s="92"/>
      <c r="E739" s="92"/>
      <c r="F739" s="92"/>
      <c r="G739" s="92"/>
      <c r="I739" s="92"/>
    </row>
    <row r="740" ht="15.75" customHeight="1">
      <c r="A740" s="92"/>
      <c r="B740" s="92"/>
      <c r="C740" s="92"/>
      <c r="D740" s="92"/>
      <c r="E740" s="92"/>
      <c r="F740" s="92"/>
      <c r="G740" s="92"/>
      <c r="I740" s="92"/>
    </row>
    <row r="741" ht="15.75" customHeight="1">
      <c r="A741" s="92"/>
      <c r="B741" s="92"/>
      <c r="C741" s="92"/>
      <c r="D741" s="92"/>
      <c r="E741" s="92"/>
      <c r="F741" s="92"/>
      <c r="G741" s="92"/>
      <c r="I741" s="92"/>
    </row>
    <row r="742" ht="15.75" customHeight="1">
      <c r="A742" s="92"/>
      <c r="B742" s="92"/>
      <c r="C742" s="92"/>
      <c r="D742" s="92"/>
      <c r="E742" s="92"/>
      <c r="F742" s="92"/>
      <c r="G742" s="92"/>
      <c r="I742" s="92"/>
    </row>
    <row r="743" ht="15.75" customHeight="1">
      <c r="A743" s="92"/>
      <c r="B743" s="92"/>
      <c r="C743" s="92"/>
      <c r="D743" s="92"/>
      <c r="E743" s="92"/>
      <c r="F743" s="92"/>
      <c r="G743" s="92"/>
      <c r="I743" s="92"/>
    </row>
    <row r="744" ht="15.75" customHeight="1">
      <c r="A744" s="92"/>
      <c r="B744" s="92"/>
      <c r="C744" s="92"/>
      <c r="D744" s="92"/>
      <c r="E744" s="92"/>
      <c r="F744" s="92"/>
      <c r="G744" s="92"/>
      <c r="I744" s="92"/>
    </row>
    <row r="745" ht="15.75" customHeight="1">
      <c r="A745" s="92"/>
      <c r="B745" s="92"/>
      <c r="C745" s="92"/>
      <c r="D745" s="92"/>
      <c r="E745" s="92"/>
      <c r="F745" s="92"/>
      <c r="G745" s="92"/>
      <c r="I745" s="92"/>
    </row>
    <row r="746" ht="15.75" customHeight="1">
      <c r="A746" s="92"/>
      <c r="B746" s="92"/>
      <c r="C746" s="92"/>
      <c r="D746" s="92"/>
      <c r="E746" s="92"/>
      <c r="F746" s="92"/>
      <c r="G746" s="92"/>
      <c r="I746" s="92"/>
    </row>
    <row r="747" ht="15.75" customHeight="1">
      <c r="A747" s="92"/>
      <c r="B747" s="92"/>
      <c r="C747" s="92"/>
      <c r="D747" s="92"/>
      <c r="E747" s="92"/>
      <c r="F747" s="92"/>
      <c r="G747" s="92"/>
      <c r="I747" s="92"/>
    </row>
    <row r="748" ht="15.75" customHeight="1">
      <c r="A748" s="92"/>
      <c r="B748" s="92"/>
      <c r="C748" s="92"/>
      <c r="D748" s="92"/>
      <c r="E748" s="92"/>
      <c r="F748" s="92"/>
      <c r="G748" s="92"/>
      <c r="I748" s="92"/>
    </row>
    <row r="749" ht="15.75" customHeight="1">
      <c r="A749" s="92"/>
      <c r="B749" s="92"/>
      <c r="C749" s="92"/>
      <c r="D749" s="92"/>
      <c r="E749" s="92"/>
      <c r="F749" s="92"/>
      <c r="G749" s="92"/>
      <c r="I749" s="92"/>
    </row>
    <row r="750" ht="15.75" customHeight="1">
      <c r="A750" s="92"/>
      <c r="B750" s="92"/>
      <c r="C750" s="92"/>
      <c r="D750" s="92"/>
      <c r="E750" s="92"/>
      <c r="F750" s="92"/>
      <c r="G750" s="92"/>
      <c r="I750" s="92"/>
    </row>
    <row r="751" ht="15.75" customHeight="1">
      <c r="A751" s="92"/>
      <c r="B751" s="92"/>
      <c r="C751" s="92"/>
      <c r="D751" s="92"/>
      <c r="E751" s="92"/>
      <c r="F751" s="92"/>
      <c r="G751" s="92"/>
      <c r="I751" s="92"/>
    </row>
    <row r="752" ht="15.75" customHeight="1">
      <c r="A752" s="92"/>
      <c r="B752" s="92"/>
      <c r="C752" s="92"/>
      <c r="D752" s="92"/>
      <c r="E752" s="92"/>
      <c r="F752" s="92"/>
      <c r="G752" s="92"/>
      <c r="I752" s="92"/>
    </row>
    <row r="753" ht="15.75" customHeight="1">
      <c r="A753" s="92"/>
      <c r="B753" s="92"/>
      <c r="C753" s="92"/>
      <c r="D753" s="92"/>
      <c r="E753" s="92"/>
      <c r="F753" s="92"/>
      <c r="G753" s="92"/>
      <c r="I753" s="92"/>
    </row>
    <row r="754" ht="15.75" customHeight="1">
      <c r="A754" s="92"/>
      <c r="B754" s="92"/>
      <c r="C754" s="92"/>
      <c r="D754" s="92"/>
      <c r="E754" s="92"/>
      <c r="F754" s="92"/>
      <c r="G754" s="92"/>
      <c r="I754" s="92"/>
    </row>
    <row r="755" ht="15.75" customHeight="1">
      <c r="A755" s="92"/>
      <c r="B755" s="92"/>
      <c r="C755" s="92"/>
      <c r="D755" s="92"/>
      <c r="E755" s="92"/>
      <c r="F755" s="92"/>
      <c r="G755" s="92"/>
      <c r="I755" s="92"/>
    </row>
    <row r="756" ht="15.75" customHeight="1">
      <c r="A756" s="92"/>
      <c r="B756" s="92"/>
      <c r="C756" s="92"/>
      <c r="D756" s="92"/>
      <c r="E756" s="92"/>
      <c r="F756" s="92"/>
      <c r="G756" s="92"/>
      <c r="I756" s="92"/>
    </row>
    <row r="757" ht="15.75" customHeight="1">
      <c r="A757" s="92"/>
      <c r="B757" s="92"/>
      <c r="C757" s="92"/>
      <c r="D757" s="92"/>
      <c r="E757" s="92"/>
      <c r="F757" s="92"/>
      <c r="G757" s="92"/>
      <c r="I757" s="92"/>
    </row>
    <row r="758" ht="15.75" customHeight="1">
      <c r="A758" s="92"/>
      <c r="B758" s="92"/>
      <c r="C758" s="92"/>
      <c r="D758" s="92"/>
      <c r="E758" s="92"/>
      <c r="F758" s="92"/>
      <c r="G758" s="92"/>
      <c r="I758" s="92"/>
    </row>
    <row r="759" ht="15.75" customHeight="1">
      <c r="A759" s="92"/>
      <c r="B759" s="92"/>
      <c r="C759" s="92"/>
      <c r="D759" s="92"/>
      <c r="E759" s="92"/>
      <c r="F759" s="92"/>
      <c r="G759" s="92"/>
      <c r="I759" s="92"/>
    </row>
    <row r="760" ht="15.75" customHeight="1">
      <c r="A760" s="92"/>
      <c r="B760" s="92"/>
      <c r="C760" s="92"/>
      <c r="D760" s="92"/>
      <c r="E760" s="92"/>
      <c r="F760" s="92"/>
      <c r="G760" s="92"/>
      <c r="I760" s="92"/>
    </row>
    <row r="761" ht="15.75" customHeight="1">
      <c r="A761" s="92"/>
      <c r="B761" s="92"/>
      <c r="C761" s="92"/>
      <c r="D761" s="92"/>
      <c r="E761" s="92"/>
      <c r="F761" s="92"/>
      <c r="G761" s="92"/>
      <c r="I761" s="92"/>
    </row>
    <row r="762" ht="15.75" customHeight="1">
      <c r="A762" s="92"/>
      <c r="B762" s="92"/>
      <c r="C762" s="92"/>
      <c r="D762" s="92"/>
      <c r="E762" s="92"/>
      <c r="F762" s="92"/>
      <c r="G762" s="92"/>
      <c r="I762" s="92"/>
    </row>
    <row r="763" ht="15.75" customHeight="1">
      <c r="A763" s="92"/>
      <c r="B763" s="92"/>
      <c r="C763" s="92"/>
      <c r="D763" s="92"/>
      <c r="E763" s="92"/>
      <c r="F763" s="92"/>
      <c r="G763" s="92"/>
      <c r="I763" s="92"/>
    </row>
    <row r="764" ht="15.75" customHeight="1">
      <c r="A764" s="92"/>
      <c r="B764" s="92"/>
      <c r="C764" s="92"/>
      <c r="D764" s="92"/>
      <c r="E764" s="92"/>
      <c r="F764" s="92"/>
      <c r="G764" s="92"/>
      <c r="I764" s="92"/>
    </row>
    <row r="765" ht="15.75" customHeight="1">
      <c r="A765" s="92"/>
      <c r="B765" s="92"/>
      <c r="C765" s="92"/>
      <c r="D765" s="92"/>
      <c r="E765" s="92"/>
      <c r="F765" s="92"/>
      <c r="G765" s="92"/>
      <c r="I765" s="92"/>
    </row>
    <row r="766" ht="15.75" customHeight="1">
      <c r="A766" s="92"/>
      <c r="B766" s="92"/>
      <c r="C766" s="92"/>
      <c r="D766" s="92"/>
      <c r="E766" s="92"/>
      <c r="F766" s="92"/>
      <c r="G766" s="92"/>
      <c r="I766" s="92"/>
    </row>
    <row r="767" ht="15.75" customHeight="1">
      <c r="A767" s="92"/>
      <c r="B767" s="92"/>
      <c r="C767" s="92"/>
      <c r="D767" s="92"/>
      <c r="E767" s="92"/>
      <c r="F767" s="92"/>
      <c r="G767" s="92"/>
      <c r="I767" s="92"/>
    </row>
    <row r="768" ht="15.75" customHeight="1">
      <c r="A768" s="92"/>
      <c r="B768" s="92"/>
      <c r="C768" s="92"/>
      <c r="D768" s="92"/>
      <c r="E768" s="92"/>
      <c r="F768" s="92"/>
      <c r="G768" s="92"/>
      <c r="I768" s="92"/>
    </row>
    <row r="769" ht="15.75" customHeight="1">
      <c r="A769" s="92"/>
      <c r="B769" s="92"/>
      <c r="C769" s="92"/>
      <c r="D769" s="92"/>
      <c r="E769" s="92"/>
      <c r="F769" s="92"/>
      <c r="G769" s="92"/>
      <c r="I769" s="92"/>
    </row>
    <row r="770" ht="15.75" customHeight="1">
      <c r="A770" s="92"/>
      <c r="B770" s="92"/>
      <c r="C770" s="92"/>
      <c r="D770" s="92"/>
      <c r="E770" s="92"/>
      <c r="F770" s="92"/>
      <c r="G770" s="92"/>
      <c r="I770" s="92"/>
    </row>
    <row r="771" ht="15.75" customHeight="1">
      <c r="A771" s="92"/>
      <c r="B771" s="92"/>
      <c r="C771" s="92"/>
      <c r="D771" s="92"/>
      <c r="E771" s="92"/>
      <c r="F771" s="92"/>
      <c r="G771" s="92"/>
      <c r="I771" s="92"/>
    </row>
    <row r="772" ht="15.75" customHeight="1">
      <c r="A772" s="92"/>
      <c r="B772" s="92"/>
      <c r="C772" s="92"/>
      <c r="D772" s="92"/>
      <c r="E772" s="92"/>
      <c r="F772" s="92"/>
      <c r="G772" s="92"/>
      <c r="I772" s="92"/>
    </row>
    <row r="773" ht="15.75" customHeight="1">
      <c r="A773" s="92"/>
      <c r="B773" s="92"/>
      <c r="C773" s="92"/>
      <c r="D773" s="92"/>
      <c r="E773" s="92"/>
      <c r="F773" s="92"/>
      <c r="G773" s="92"/>
      <c r="I773" s="92"/>
    </row>
    <row r="774" ht="15.75" customHeight="1">
      <c r="A774" s="92"/>
      <c r="B774" s="92"/>
      <c r="C774" s="92"/>
      <c r="D774" s="92"/>
      <c r="E774" s="92"/>
      <c r="F774" s="92"/>
      <c r="G774" s="92"/>
      <c r="I774" s="92"/>
    </row>
    <row r="775" ht="15.75" customHeight="1">
      <c r="A775" s="92"/>
      <c r="B775" s="92"/>
      <c r="C775" s="92"/>
      <c r="D775" s="92"/>
      <c r="E775" s="92"/>
      <c r="F775" s="92"/>
      <c r="G775" s="92"/>
      <c r="I775" s="92"/>
    </row>
    <row r="776" ht="15.75" customHeight="1">
      <c r="A776" s="92"/>
      <c r="B776" s="92"/>
      <c r="C776" s="92"/>
      <c r="D776" s="92"/>
      <c r="E776" s="92"/>
      <c r="F776" s="92"/>
      <c r="G776" s="92"/>
      <c r="I776" s="92"/>
    </row>
    <row r="777" ht="15.75" customHeight="1">
      <c r="A777" s="92"/>
      <c r="B777" s="92"/>
      <c r="C777" s="92"/>
      <c r="D777" s="92"/>
      <c r="E777" s="92"/>
      <c r="F777" s="92"/>
      <c r="G777" s="92"/>
      <c r="I777" s="92"/>
    </row>
    <row r="778" ht="15.75" customHeight="1">
      <c r="A778" s="92"/>
      <c r="B778" s="92"/>
      <c r="C778" s="92"/>
      <c r="D778" s="92"/>
      <c r="E778" s="92"/>
      <c r="F778" s="92"/>
      <c r="G778" s="92"/>
      <c r="I778" s="92"/>
    </row>
    <row r="779" ht="15.75" customHeight="1">
      <c r="A779" s="92"/>
      <c r="B779" s="92"/>
      <c r="C779" s="92"/>
      <c r="D779" s="92"/>
      <c r="E779" s="92"/>
      <c r="F779" s="92"/>
      <c r="G779" s="92"/>
      <c r="I779" s="92"/>
    </row>
    <row r="780" ht="15.75" customHeight="1">
      <c r="A780" s="92"/>
      <c r="B780" s="92"/>
      <c r="C780" s="92"/>
      <c r="D780" s="92"/>
      <c r="E780" s="92"/>
      <c r="F780" s="92"/>
      <c r="G780" s="92"/>
      <c r="I780" s="92"/>
    </row>
    <row r="781" ht="15.75" customHeight="1">
      <c r="A781" s="92"/>
      <c r="B781" s="92"/>
      <c r="C781" s="92"/>
      <c r="D781" s="92"/>
      <c r="E781" s="92"/>
      <c r="F781" s="92"/>
      <c r="G781" s="92"/>
      <c r="I781" s="92"/>
    </row>
    <row r="782" ht="15.75" customHeight="1">
      <c r="A782" s="92"/>
      <c r="B782" s="92"/>
      <c r="C782" s="92"/>
      <c r="D782" s="92"/>
      <c r="E782" s="92"/>
      <c r="F782" s="92"/>
      <c r="G782" s="92"/>
      <c r="I782" s="92"/>
    </row>
    <row r="783" ht="15.75" customHeight="1">
      <c r="A783" s="92"/>
      <c r="B783" s="92"/>
      <c r="C783" s="92"/>
      <c r="D783" s="92"/>
      <c r="E783" s="92"/>
      <c r="F783" s="92"/>
      <c r="G783" s="92"/>
      <c r="I783" s="92"/>
    </row>
    <row r="784" ht="15.75" customHeight="1">
      <c r="A784" s="92"/>
      <c r="B784" s="92"/>
      <c r="C784" s="92"/>
      <c r="D784" s="92"/>
      <c r="E784" s="92"/>
      <c r="F784" s="92"/>
      <c r="G784" s="92"/>
      <c r="I784" s="92"/>
    </row>
    <row r="785" ht="15.75" customHeight="1">
      <c r="A785" s="92"/>
      <c r="B785" s="92"/>
      <c r="C785" s="92"/>
      <c r="D785" s="92"/>
      <c r="E785" s="92"/>
      <c r="F785" s="92"/>
      <c r="G785" s="92"/>
      <c r="I785" s="92"/>
    </row>
    <row r="786" ht="15.75" customHeight="1">
      <c r="A786" s="92"/>
      <c r="B786" s="92"/>
      <c r="C786" s="92"/>
      <c r="D786" s="92"/>
      <c r="E786" s="92"/>
      <c r="F786" s="92"/>
      <c r="G786" s="92"/>
      <c r="I786" s="92"/>
    </row>
    <row r="787" ht="15.75" customHeight="1">
      <c r="A787" s="92"/>
      <c r="B787" s="92"/>
      <c r="C787" s="92"/>
      <c r="D787" s="92"/>
      <c r="E787" s="92"/>
      <c r="F787" s="92"/>
      <c r="G787" s="92"/>
      <c r="I787" s="92"/>
    </row>
    <row r="788" ht="15.75" customHeight="1">
      <c r="A788" s="92"/>
      <c r="B788" s="92"/>
      <c r="C788" s="92"/>
      <c r="D788" s="92"/>
      <c r="E788" s="92"/>
      <c r="F788" s="92"/>
      <c r="G788" s="92"/>
      <c r="I788" s="92"/>
    </row>
    <row r="789" ht="15.75" customHeight="1">
      <c r="A789" s="92"/>
      <c r="B789" s="92"/>
      <c r="C789" s="92"/>
      <c r="D789" s="92"/>
      <c r="E789" s="92"/>
      <c r="F789" s="92"/>
      <c r="G789" s="92"/>
      <c r="I789" s="92"/>
    </row>
    <row r="790" ht="15.75" customHeight="1">
      <c r="A790" s="92"/>
      <c r="B790" s="92"/>
      <c r="C790" s="92"/>
      <c r="D790" s="92"/>
      <c r="E790" s="92"/>
      <c r="F790" s="92"/>
      <c r="G790" s="92"/>
      <c r="I790" s="92"/>
    </row>
    <row r="791" ht="15.75" customHeight="1">
      <c r="A791" s="92"/>
      <c r="B791" s="92"/>
      <c r="C791" s="92"/>
      <c r="D791" s="92"/>
      <c r="E791" s="92"/>
      <c r="F791" s="92"/>
      <c r="G791" s="92"/>
      <c r="I791" s="92"/>
    </row>
    <row r="792" ht="15.75" customHeight="1">
      <c r="A792" s="92"/>
      <c r="B792" s="92"/>
      <c r="C792" s="92"/>
      <c r="D792" s="92"/>
      <c r="E792" s="92"/>
      <c r="F792" s="92"/>
      <c r="G792" s="92"/>
      <c r="I792" s="92"/>
    </row>
    <row r="793" ht="15.75" customHeight="1">
      <c r="A793" s="92"/>
      <c r="B793" s="92"/>
      <c r="C793" s="92"/>
      <c r="D793" s="92"/>
      <c r="E793" s="92"/>
      <c r="F793" s="92"/>
      <c r="G793" s="92"/>
      <c r="I793" s="92"/>
    </row>
    <row r="794" ht="15.75" customHeight="1">
      <c r="A794" s="92"/>
      <c r="B794" s="92"/>
      <c r="C794" s="92"/>
      <c r="D794" s="92"/>
      <c r="E794" s="92"/>
      <c r="F794" s="92"/>
      <c r="G794" s="92"/>
      <c r="I794" s="92"/>
    </row>
    <row r="795" ht="15.75" customHeight="1">
      <c r="A795" s="92"/>
      <c r="B795" s="92"/>
      <c r="C795" s="92"/>
      <c r="D795" s="92"/>
      <c r="E795" s="92"/>
      <c r="F795" s="92"/>
      <c r="G795" s="92"/>
      <c r="I795" s="92"/>
    </row>
    <row r="796" ht="15.75" customHeight="1">
      <c r="A796" s="92"/>
      <c r="B796" s="92"/>
      <c r="C796" s="92"/>
      <c r="D796" s="92"/>
      <c r="E796" s="92"/>
      <c r="F796" s="92"/>
      <c r="G796" s="92"/>
      <c r="I796" s="92"/>
    </row>
    <row r="797" ht="15.75" customHeight="1">
      <c r="A797" s="92"/>
      <c r="B797" s="92"/>
      <c r="C797" s="92"/>
      <c r="D797" s="92"/>
      <c r="E797" s="92"/>
      <c r="F797" s="92"/>
      <c r="G797" s="92"/>
      <c r="I797" s="92"/>
    </row>
    <row r="798" ht="15.75" customHeight="1">
      <c r="A798" s="92"/>
      <c r="B798" s="92"/>
      <c r="C798" s="92"/>
      <c r="D798" s="92"/>
      <c r="E798" s="92"/>
      <c r="F798" s="92"/>
      <c r="G798" s="92"/>
      <c r="I798" s="92"/>
    </row>
    <row r="799" ht="15.75" customHeight="1">
      <c r="A799" s="92"/>
      <c r="B799" s="92"/>
      <c r="C799" s="92"/>
      <c r="D799" s="92"/>
      <c r="E799" s="92"/>
      <c r="F799" s="92"/>
      <c r="G799" s="92"/>
      <c r="I799" s="92"/>
    </row>
    <row r="800" ht="15.75" customHeight="1">
      <c r="A800" s="92"/>
      <c r="B800" s="92"/>
      <c r="C800" s="92"/>
      <c r="D800" s="92"/>
      <c r="E800" s="92"/>
      <c r="F800" s="92"/>
      <c r="G800" s="92"/>
      <c r="I800" s="92"/>
    </row>
    <row r="801" ht="15.75" customHeight="1">
      <c r="A801" s="92"/>
      <c r="B801" s="92"/>
      <c r="C801" s="92"/>
      <c r="D801" s="92"/>
      <c r="E801" s="92"/>
      <c r="F801" s="92"/>
      <c r="G801" s="92"/>
      <c r="I801" s="92"/>
    </row>
    <row r="802" ht="15.75" customHeight="1">
      <c r="A802" s="92"/>
      <c r="B802" s="92"/>
      <c r="C802" s="92"/>
      <c r="D802" s="92"/>
      <c r="E802" s="92"/>
      <c r="F802" s="92"/>
      <c r="G802" s="92"/>
      <c r="I802" s="92"/>
    </row>
    <row r="803" ht="15.75" customHeight="1">
      <c r="A803" s="92"/>
      <c r="B803" s="92"/>
      <c r="C803" s="92"/>
      <c r="D803" s="92"/>
      <c r="E803" s="92"/>
      <c r="F803" s="92"/>
      <c r="G803" s="92"/>
      <c r="I803" s="92"/>
    </row>
    <row r="804" ht="15.75" customHeight="1">
      <c r="A804" s="92"/>
      <c r="B804" s="92"/>
      <c r="C804" s="92"/>
      <c r="D804" s="92"/>
      <c r="E804" s="92"/>
      <c r="F804" s="92"/>
      <c r="G804" s="92"/>
      <c r="I804" s="92"/>
    </row>
    <row r="805" ht="15.75" customHeight="1">
      <c r="A805" s="92"/>
      <c r="B805" s="92"/>
      <c r="C805" s="92"/>
      <c r="D805" s="92"/>
      <c r="E805" s="92"/>
      <c r="F805" s="92"/>
      <c r="G805" s="92"/>
      <c r="I805" s="92"/>
    </row>
    <row r="806" ht="15.75" customHeight="1">
      <c r="A806" s="92"/>
      <c r="B806" s="92"/>
      <c r="C806" s="92"/>
      <c r="D806" s="92"/>
      <c r="E806" s="92"/>
      <c r="F806" s="92"/>
      <c r="G806" s="92"/>
      <c r="I806" s="92"/>
    </row>
    <row r="807" ht="15.75" customHeight="1">
      <c r="A807" s="92"/>
      <c r="B807" s="92"/>
      <c r="C807" s="92"/>
      <c r="D807" s="92"/>
      <c r="E807" s="92"/>
      <c r="F807" s="92"/>
      <c r="G807" s="92"/>
      <c r="I807" s="92"/>
    </row>
    <row r="808" ht="15.75" customHeight="1">
      <c r="A808" s="92"/>
      <c r="B808" s="92"/>
      <c r="C808" s="92"/>
      <c r="D808" s="92"/>
      <c r="E808" s="92"/>
      <c r="F808" s="92"/>
      <c r="G808" s="92"/>
      <c r="I808" s="92"/>
    </row>
    <row r="809" ht="15.75" customHeight="1">
      <c r="A809" s="92"/>
      <c r="B809" s="92"/>
      <c r="C809" s="92"/>
      <c r="D809" s="92"/>
      <c r="E809" s="92"/>
      <c r="F809" s="92"/>
      <c r="G809" s="92"/>
      <c r="I809" s="92"/>
    </row>
    <row r="810" ht="15.75" customHeight="1">
      <c r="A810" s="92"/>
      <c r="B810" s="92"/>
      <c r="C810" s="92"/>
      <c r="D810" s="92"/>
      <c r="E810" s="92"/>
      <c r="F810" s="92"/>
      <c r="G810" s="92"/>
      <c r="I810" s="92"/>
    </row>
    <row r="811" ht="15.75" customHeight="1">
      <c r="A811" s="92"/>
      <c r="B811" s="92"/>
      <c r="C811" s="92"/>
      <c r="D811" s="92"/>
      <c r="E811" s="92"/>
      <c r="F811" s="92"/>
      <c r="G811" s="92"/>
      <c r="I811" s="92"/>
    </row>
    <row r="812" ht="15.75" customHeight="1">
      <c r="A812" s="92"/>
      <c r="B812" s="92"/>
      <c r="C812" s="92"/>
      <c r="D812" s="92"/>
      <c r="E812" s="92"/>
      <c r="F812" s="92"/>
      <c r="G812" s="92"/>
      <c r="I812" s="92"/>
    </row>
    <row r="813" ht="15.75" customHeight="1">
      <c r="A813" s="92"/>
      <c r="B813" s="92"/>
      <c r="C813" s="92"/>
      <c r="D813" s="92"/>
      <c r="E813" s="92"/>
      <c r="F813" s="92"/>
      <c r="G813" s="92"/>
      <c r="I813" s="92"/>
    </row>
    <row r="814" ht="15.75" customHeight="1">
      <c r="A814" s="92"/>
      <c r="B814" s="92"/>
      <c r="C814" s="92"/>
      <c r="D814" s="92"/>
      <c r="E814" s="92"/>
      <c r="F814" s="92"/>
      <c r="G814" s="92"/>
      <c r="I814" s="92"/>
    </row>
    <row r="815" ht="15.75" customHeight="1">
      <c r="A815" s="92"/>
      <c r="B815" s="92"/>
      <c r="C815" s="92"/>
      <c r="D815" s="92"/>
      <c r="E815" s="92"/>
      <c r="F815" s="92"/>
      <c r="G815" s="92"/>
      <c r="I815" s="92"/>
    </row>
    <row r="816" ht="15.75" customHeight="1">
      <c r="A816" s="92"/>
      <c r="B816" s="92"/>
      <c r="C816" s="92"/>
      <c r="D816" s="92"/>
      <c r="E816" s="92"/>
      <c r="F816" s="92"/>
      <c r="G816" s="92"/>
      <c r="I816" s="92"/>
    </row>
    <row r="817" ht="15.75" customHeight="1">
      <c r="A817" s="92"/>
      <c r="B817" s="92"/>
      <c r="C817" s="92"/>
      <c r="D817" s="92"/>
      <c r="E817" s="92"/>
      <c r="F817" s="92"/>
      <c r="G817" s="92"/>
      <c r="I817" s="92"/>
    </row>
    <row r="818" ht="15.75" customHeight="1">
      <c r="A818" s="92"/>
      <c r="B818" s="92"/>
      <c r="C818" s="92"/>
      <c r="D818" s="92"/>
      <c r="E818" s="92"/>
      <c r="F818" s="92"/>
      <c r="G818" s="92"/>
      <c r="I818" s="92"/>
    </row>
    <row r="819" ht="15.75" customHeight="1">
      <c r="A819" s="92"/>
      <c r="B819" s="92"/>
      <c r="C819" s="92"/>
      <c r="D819" s="92"/>
      <c r="E819" s="92"/>
      <c r="F819" s="92"/>
      <c r="G819" s="92"/>
      <c r="I819" s="92"/>
    </row>
    <row r="820" ht="15.75" customHeight="1">
      <c r="A820" s="92"/>
      <c r="B820" s="92"/>
      <c r="C820" s="92"/>
      <c r="D820" s="92"/>
      <c r="E820" s="92"/>
      <c r="F820" s="92"/>
      <c r="G820" s="92"/>
      <c r="I820" s="92"/>
    </row>
    <row r="821" ht="15.75" customHeight="1">
      <c r="A821" s="92"/>
      <c r="B821" s="92"/>
      <c r="C821" s="92"/>
      <c r="D821" s="92"/>
      <c r="E821" s="92"/>
      <c r="F821" s="92"/>
      <c r="G821" s="92"/>
      <c r="I821" s="92"/>
    </row>
    <row r="822" ht="15.75" customHeight="1">
      <c r="A822" s="92"/>
      <c r="B822" s="92"/>
      <c r="C822" s="92"/>
      <c r="D822" s="92"/>
      <c r="E822" s="92"/>
      <c r="F822" s="92"/>
      <c r="G822" s="92"/>
      <c r="I822" s="92"/>
    </row>
    <row r="823" ht="15.75" customHeight="1">
      <c r="A823" s="92"/>
      <c r="B823" s="92"/>
      <c r="C823" s="92"/>
      <c r="D823" s="92"/>
      <c r="E823" s="92"/>
      <c r="F823" s="92"/>
      <c r="G823" s="92"/>
      <c r="I823" s="92"/>
    </row>
    <row r="824" ht="15.75" customHeight="1">
      <c r="A824" s="92"/>
      <c r="B824" s="92"/>
      <c r="C824" s="92"/>
      <c r="D824" s="92"/>
      <c r="E824" s="92"/>
      <c r="F824" s="92"/>
      <c r="G824" s="92"/>
      <c r="I824" s="92"/>
    </row>
    <row r="825" ht="15.75" customHeight="1">
      <c r="A825" s="92"/>
      <c r="B825" s="92"/>
      <c r="C825" s="92"/>
      <c r="D825" s="92"/>
      <c r="E825" s="92"/>
      <c r="F825" s="92"/>
      <c r="G825" s="92"/>
      <c r="I825" s="92"/>
    </row>
    <row r="826" ht="15.75" customHeight="1">
      <c r="A826" s="92"/>
      <c r="B826" s="92"/>
      <c r="C826" s="92"/>
      <c r="D826" s="92"/>
      <c r="E826" s="92"/>
      <c r="F826" s="92"/>
      <c r="G826" s="92"/>
      <c r="I826" s="92"/>
    </row>
    <row r="827" ht="15.75" customHeight="1">
      <c r="A827" s="92"/>
      <c r="B827" s="92"/>
      <c r="C827" s="92"/>
      <c r="D827" s="92"/>
      <c r="E827" s="92"/>
      <c r="F827" s="92"/>
      <c r="G827" s="92"/>
      <c r="I827" s="92"/>
    </row>
    <row r="828" ht="15.75" customHeight="1">
      <c r="A828" s="92"/>
      <c r="B828" s="92"/>
      <c r="C828" s="92"/>
      <c r="D828" s="92"/>
      <c r="E828" s="92"/>
      <c r="F828" s="92"/>
      <c r="G828" s="92"/>
      <c r="I828" s="92"/>
    </row>
    <row r="829" ht="15.75" customHeight="1">
      <c r="A829" s="92"/>
      <c r="B829" s="92"/>
      <c r="C829" s="92"/>
      <c r="D829" s="92"/>
      <c r="E829" s="92"/>
      <c r="F829" s="92"/>
      <c r="G829" s="92"/>
      <c r="I829" s="92"/>
    </row>
    <row r="830" ht="15.75" customHeight="1">
      <c r="A830" s="92"/>
      <c r="B830" s="92"/>
      <c r="C830" s="92"/>
      <c r="D830" s="92"/>
      <c r="E830" s="92"/>
      <c r="F830" s="92"/>
      <c r="G830" s="92"/>
      <c r="I830" s="92"/>
    </row>
    <row r="831" ht="15.75" customHeight="1">
      <c r="A831" s="92"/>
      <c r="B831" s="92"/>
      <c r="C831" s="92"/>
      <c r="D831" s="92"/>
      <c r="E831" s="92"/>
      <c r="F831" s="92"/>
      <c r="G831" s="92"/>
      <c r="I831" s="92"/>
    </row>
    <row r="832" ht="15.75" customHeight="1">
      <c r="A832" s="92"/>
      <c r="B832" s="92"/>
      <c r="C832" s="92"/>
      <c r="D832" s="92"/>
      <c r="E832" s="92"/>
      <c r="F832" s="92"/>
      <c r="G832" s="92"/>
      <c r="I832" s="92"/>
    </row>
    <row r="833" ht="15.75" customHeight="1">
      <c r="A833" s="92"/>
      <c r="B833" s="92"/>
      <c r="C833" s="92"/>
      <c r="D833" s="92"/>
      <c r="E833" s="92"/>
      <c r="F833" s="92"/>
      <c r="G833" s="92"/>
      <c r="I833" s="92"/>
    </row>
    <row r="834" ht="15.75" customHeight="1">
      <c r="A834" s="92"/>
      <c r="B834" s="92"/>
      <c r="C834" s="92"/>
      <c r="D834" s="92"/>
      <c r="E834" s="92"/>
      <c r="F834" s="92"/>
      <c r="G834" s="92"/>
      <c r="I834" s="92"/>
    </row>
    <row r="835" ht="15.75" customHeight="1">
      <c r="A835" s="92"/>
      <c r="B835" s="92"/>
      <c r="C835" s="92"/>
      <c r="D835" s="92"/>
      <c r="E835" s="92"/>
      <c r="F835" s="92"/>
      <c r="G835" s="92"/>
      <c r="I835" s="92"/>
    </row>
    <row r="836" ht="15.75" customHeight="1">
      <c r="A836" s="92"/>
      <c r="B836" s="92"/>
      <c r="C836" s="92"/>
      <c r="D836" s="92"/>
      <c r="E836" s="92"/>
      <c r="F836" s="92"/>
      <c r="G836" s="92"/>
      <c r="I836" s="92"/>
    </row>
    <row r="837" ht="15.75" customHeight="1">
      <c r="A837" s="92"/>
      <c r="B837" s="92"/>
      <c r="C837" s="92"/>
      <c r="D837" s="92"/>
      <c r="E837" s="92"/>
      <c r="F837" s="92"/>
      <c r="G837" s="92"/>
      <c r="I837" s="92"/>
    </row>
    <row r="838" ht="15.75" customHeight="1">
      <c r="A838" s="92"/>
      <c r="B838" s="92"/>
      <c r="C838" s="92"/>
      <c r="D838" s="92"/>
      <c r="E838" s="92"/>
      <c r="F838" s="92"/>
      <c r="G838" s="92"/>
      <c r="I838" s="92"/>
    </row>
    <row r="839" ht="15.75" customHeight="1">
      <c r="A839" s="92"/>
      <c r="B839" s="92"/>
      <c r="C839" s="92"/>
      <c r="D839" s="92"/>
      <c r="E839" s="92"/>
      <c r="F839" s="92"/>
      <c r="G839" s="92"/>
      <c r="I839" s="92"/>
    </row>
    <row r="840" ht="15.75" customHeight="1">
      <c r="A840" s="92"/>
      <c r="B840" s="92"/>
      <c r="C840" s="92"/>
      <c r="D840" s="92"/>
      <c r="E840" s="92"/>
      <c r="F840" s="92"/>
      <c r="G840" s="92"/>
      <c r="I840" s="92"/>
    </row>
    <row r="841" ht="15.75" customHeight="1">
      <c r="A841" s="92"/>
      <c r="B841" s="92"/>
      <c r="C841" s="92"/>
      <c r="D841" s="92"/>
      <c r="E841" s="92"/>
      <c r="F841" s="92"/>
      <c r="G841" s="92"/>
      <c r="I841" s="92"/>
    </row>
    <row r="842" ht="15.75" customHeight="1">
      <c r="A842" s="92"/>
      <c r="B842" s="92"/>
      <c r="C842" s="92"/>
      <c r="D842" s="92"/>
      <c r="E842" s="92"/>
      <c r="F842" s="92"/>
      <c r="G842" s="92"/>
      <c r="I842" s="92"/>
    </row>
    <row r="843" ht="15.75" customHeight="1">
      <c r="A843" s="92"/>
      <c r="B843" s="92"/>
      <c r="C843" s="92"/>
      <c r="D843" s="92"/>
      <c r="E843" s="92"/>
      <c r="F843" s="92"/>
      <c r="G843" s="92"/>
      <c r="I843" s="92"/>
    </row>
    <row r="844" ht="15.75" customHeight="1">
      <c r="A844" s="92"/>
      <c r="B844" s="92"/>
      <c r="C844" s="92"/>
      <c r="D844" s="92"/>
      <c r="E844" s="92"/>
      <c r="F844" s="92"/>
      <c r="G844" s="92"/>
      <c r="I844" s="92"/>
    </row>
    <row r="845" ht="15.75" customHeight="1">
      <c r="A845" s="92"/>
      <c r="B845" s="92"/>
      <c r="C845" s="92"/>
      <c r="D845" s="92"/>
      <c r="E845" s="92"/>
      <c r="F845" s="92"/>
      <c r="G845" s="92"/>
      <c r="I845" s="92"/>
    </row>
    <row r="846" ht="15.75" customHeight="1">
      <c r="A846" s="92"/>
      <c r="B846" s="92"/>
      <c r="C846" s="92"/>
      <c r="D846" s="92"/>
      <c r="E846" s="92"/>
      <c r="F846" s="92"/>
      <c r="G846" s="92"/>
      <c r="I846" s="92"/>
    </row>
    <row r="847" ht="15.75" customHeight="1">
      <c r="A847" s="92"/>
      <c r="B847" s="92"/>
      <c r="C847" s="92"/>
      <c r="D847" s="92"/>
      <c r="E847" s="92"/>
      <c r="F847" s="92"/>
      <c r="G847" s="92"/>
      <c r="I847" s="92"/>
    </row>
    <row r="848" ht="15.75" customHeight="1">
      <c r="A848" s="92"/>
      <c r="B848" s="92"/>
      <c r="C848" s="92"/>
      <c r="D848" s="92"/>
      <c r="E848" s="92"/>
      <c r="F848" s="92"/>
      <c r="G848" s="92"/>
      <c r="I848" s="92"/>
    </row>
    <row r="849" ht="15.75" customHeight="1">
      <c r="A849" s="92"/>
      <c r="B849" s="92"/>
      <c r="C849" s="92"/>
      <c r="D849" s="92"/>
      <c r="E849" s="92"/>
      <c r="F849" s="92"/>
      <c r="G849" s="92"/>
      <c r="I849" s="92"/>
    </row>
    <row r="850" ht="15.75" customHeight="1">
      <c r="A850" s="92"/>
      <c r="B850" s="92"/>
      <c r="C850" s="92"/>
      <c r="D850" s="92"/>
      <c r="E850" s="92"/>
      <c r="F850" s="92"/>
      <c r="G850" s="92"/>
      <c r="I850" s="92"/>
    </row>
    <row r="851" ht="15.75" customHeight="1">
      <c r="A851" s="92"/>
      <c r="B851" s="92"/>
      <c r="C851" s="92"/>
      <c r="D851" s="92"/>
      <c r="E851" s="92"/>
      <c r="F851" s="92"/>
      <c r="G851" s="92"/>
      <c r="I851" s="92"/>
    </row>
    <row r="852" ht="15.75" customHeight="1">
      <c r="A852" s="92"/>
      <c r="B852" s="92"/>
      <c r="C852" s="92"/>
      <c r="D852" s="92"/>
      <c r="E852" s="92"/>
      <c r="F852" s="92"/>
      <c r="G852" s="92"/>
      <c r="I852" s="92"/>
    </row>
    <row r="853" ht="15.75" customHeight="1">
      <c r="A853" s="92"/>
      <c r="B853" s="92"/>
      <c r="C853" s="92"/>
      <c r="D853" s="92"/>
      <c r="E853" s="92"/>
      <c r="F853" s="92"/>
      <c r="G853" s="92"/>
      <c r="I853" s="92"/>
    </row>
    <row r="854" ht="15.75" customHeight="1">
      <c r="A854" s="92"/>
      <c r="B854" s="92"/>
      <c r="C854" s="92"/>
      <c r="D854" s="92"/>
      <c r="E854" s="92"/>
      <c r="F854" s="92"/>
      <c r="G854" s="92"/>
      <c r="I854" s="92"/>
    </row>
    <row r="855" ht="15.75" customHeight="1">
      <c r="A855" s="92"/>
      <c r="B855" s="92"/>
      <c r="C855" s="92"/>
      <c r="D855" s="92"/>
      <c r="E855" s="92"/>
      <c r="F855" s="92"/>
      <c r="G855" s="92"/>
      <c r="I855" s="92"/>
    </row>
    <row r="856" ht="15.75" customHeight="1">
      <c r="A856" s="92"/>
      <c r="B856" s="92"/>
      <c r="C856" s="92"/>
      <c r="D856" s="92"/>
      <c r="E856" s="92"/>
      <c r="F856" s="92"/>
      <c r="G856" s="92"/>
      <c r="I856" s="92"/>
    </row>
    <row r="857" ht="15.75" customHeight="1">
      <c r="A857" s="92"/>
      <c r="B857" s="92"/>
      <c r="C857" s="92"/>
      <c r="D857" s="92"/>
      <c r="E857" s="92"/>
      <c r="F857" s="92"/>
      <c r="G857" s="92"/>
      <c r="I857" s="92"/>
    </row>
    <row r="858" ht="15.75" customHeight="1">
      <c r="A858" s="92"/>
      <c r="B858" s="92"/>
      <c r="C858" s="92"/>
      <c r="D858" s="92"/>
      <c r="E858" s="92"/>
      <c r="F858" s="92"/>
      <c r="G858" s="92"/>
      <c r="I858" s="92"/>
    </row>
    <row r="859" ht="15.75" customHeight="1">
      <c r="A859" s="92"/>
      <c r="B859" s="92"/>
      <c r="C859" s="92"/>
      <c r="D859" s="92"/>
      <c r="E859" s="92"/>
      <c r="F859" s="92"/>
      <c r="G859" s="92"/>
      <c r="I859" s="92"/>
    </row>
    <row r="860" ht="15.75" customHeight="1">
      <c r="A860" s="92"/>
      <c r="B860" s="92"/>
      <c r="C860" s="92"/>
      <c r="D860" s="92"/>
      <c r="E860" s="92"/>
      <c r="F860" s="92"/>
      <c r="G860" s="92"/>
      <c r="I860" s="92"/>
    </row>
    <row r="861" ht="15.75" customHeight="1">
      <c r="A861" s="92"/>
      <c r="B861" s="92"/>
      <c r="C861" s="92"/>
      <c r="D861" s="92"/>
      <c r="E861" s="92"/>
      <c r="F861" s="92"/>
      <c r="G861" s="92"/>
      <c r="I861" s="92"/>
    </row>
    <row r="862" ht="15.75" customHeight="1">
      <c r="A862" s="92"/>
      <c r="B862" s="92"/>
      <c r="C862" s="92"/>
      <c r="D862" s="92"/>
      <c r="E862" s="92"/>
      <c r="F862" s="92"/>
      <c r="G862" s="92"/>
      <c r="I862" s="92"/>
    </row>
    <row r="863" ht="15.75" customHeight="1">
      <c r="A863" s="92"/>
      <c r="B863" s="92"/>
      <c r="C863" s="92"/>
      <c r="D863" s="92"/>
      <c r="E863" s="92"/>
      <c r="F863" s="92"/>
      <c r="G863" s="92"/>
      <c r="I863" s="92"/>
    </row>
    <row r="864" ht="15.75" customHeight="1">
      <c r="A864" s="92"/>
      <c r="B864" s="92"/>
      <c r="C864" s="92"/>
      <c r="D864" s="92"/>
      <c r="E864" s="92"/>
      <c r="F864" s="92"/>
      <c r="G864" s="92"/>
      <c r="I864" s="92"/>
    </row>
    <row r="865" ht="15.75" customHeight="1">
      <c r="A865" s="92"/>
      <c r="B865" s="92"/>
      <c r="C865" s="92"/>
      <c r="D865" s="92"/>
      <c r="E865" s="92"/>
      <c r="F865" s="92"/>
      <c r="G865" s="92"/>
      <c r="I865" s="92"/>
    </row>
    <row r="866" ht="15.75" customHeight="1">
      <c r="A866" s="92"/>
      <c r="B866" s="92"/>
      <c r="C866" s="92"/>
      <c r="D866" s="92"/>
      <c r="E866" s="92"/>
      <c r="F866" s="92"/>
      <c r="G866" s="92"/>
      <c r="I866" s="92"/>
    </row>
    <row r="867" ht="15.75" customHeight="1">
      <c r="A867" s="92"/>
      <c r="B867" s="92"/>
      <c r="C867" s="92"/>
      <c r="D867" s="92"/>
      <c r="E867" s="92"/>
      <c r="F867" s="92"/>
      <c r="G867" s="92"/>
      <c r="I867" s="92"/>
    </row>
    <row r="868" ht="15.75" customHeight="1">
      <c r="A868" s="92"/>
      <c r="B868" s="92"/>
      <c r="C868" s="92"/>
      <c r="D868" s="92"/>
      <c r="E868" s="92"/>
      <c r="F868" s="92"/>
      <c r="G868" s="92"/>
      <c r="I868" s="92"/>
    </row>
    <row r="869" ht="15.75" customHeight="1">
      <c r="A869" s="92"/>
      <c r="B869" s="92"/>
      <c r="C869" s="92"/>
      <c r="D869" s="92"/>
      <c r="E869" s="92"/>
      <c r="F869" s="92"/>
      <c r="G869" s="92"/>
      <c r="I869" s="92"/>
    </row>
    <row r="870" ht="15.75" customHeight="1">
      <c r="A870" s="92"/>
      <c r="B870" s="92"/>
      <c r="C870" s="92"/>
      <c r="D870" s="92"/>
      <c r="E870" s="92"/>
      <c r="F870" s="92"/>
      <c r="G870" s="92"/>
      <c r="I870" s="92"/>
    </row>
    <row r="871" ht="15.75" customHeight="1">
      <c r="A871" s="92"/>
      <c r="B871" s="92"/>
      <c r="C871" s="92"/>
      <c r="D871" s="92"/>
      <c r="E871" s="92"/>
      <c r="F871" s="92"/>
      <c r="G871" s="92"/>
      <c r="I871" s="92"/>
    </row>
    <row r="872" ht="15.75" customHeight="1">
      <c r="A872" s="92"/>
      <c r="B872" s="92"/>
      <c r="C872" s="92"/>
      <c r="D872" s="92"/>
      <c r="E872" s="92"/>
      <c r="F872" s="92"/>
      <c r="G872" s="92"/>
      <c r="I872" s="92"/>
    </row>
    <row r="873" ht="15.75" customHeight="1">
      <c r="A873" s="92"/>
      <c r="B873" s="92"/>
      <c r="C873" s="92"/>
      <c r="D873" s="92"/>
      <c r="E873" s="92"/>
      <c r="F873" s="92"/>
      <c r="G873" s="92"/>
      <c r="I873" s="92"/>
    </row>
    <row r="874" ht="15.75" customHeight="1">
      <c r="A874" s="92"/>
      <c r="B874" s="92"/>
      <c r="C874" s="92"/>
      <c r="D874" s="92"/>
      <c r="E874" s="92"/>
      <c r="F874" s="92"/>
      <c r="G874" s="92"/>
      <c r="I874" s="92"/>
    </row>
    <row r="875" ht="15.75" customHeight="1">
      <c r="A875" s="92"/>
      <c r="B875" s="92"/>
      <c r="C875" s="92"/>
      <c r="D875" s="92"/>
      <c r="E875" s="92"/>
      <c r="F875" s="92"/>
      <c r="G875" s="92"/>
      <c r="I875" s="92"/>
    </row>
    <row r="876" ht="15.75" customHeight="1">
      <c r="A876" s="92"/>
      <c r="B876" s="92"/>
      <c r="C876" s="92"/>
      <c r="D876" s="92"/>
      <c r="E876" s="92"/>
      <c r="F876" s="92"/>
      <c r="G876" s="92"/>
      <c r="I876" s="92"/>
    </row>
    <row r="877" ht="15.75" customHeight="1">
      <c r="A877" s="92"/>
      <c r="B877" s="92"/>
      <c r="C877" s="92"/>
      <c r="D877" s="92"/>
      <c r="E877" s="92"/>
      <c r="F877" s="92"/>
      <c r="G877" s="92"/>
      <c r="I877" s="92"/>
    </row>
    <row r="878" ht="15.75" customHeight="1">
      <c r="A878" s="92"/>
      <c r="B878" s="92"/>
      <c r="C878" s="92"/>
      <c r="D878" s="92"/>
      <c r="E878" s="92"/>
      <c r="F878" s="92"/>
      <c r="G878" s="92"/>
      <c r="I878" s="92"/>
    </row>
    <row r="879" ht="15.75" customHeight="1">
      <c r="A879" s="92"/>
      <c r="B879" s="92"/>
      <c r="C879" s="92"/>
      <c r="D879" s="92"/>
      <c r="E879" s="92"/>
      <c r="F879" s="92"/>
      <c r="G879" s="92"/>
      <c r="I879" s="92"/>
    </row>
    <row r="880" ht="15.75" customHeight="1">
      <c r="A880" s="92"/>
      <c r="B880" s="92"/>
      <c r="C880" s="92"/>
      <c r="D880" s="92"/>
      <c r="E880" s="92"/>
      <c r="F880" s="92"/>
      <c r="G880" s="92"/>
      <c r="I880" s="92"/>
    </row>
    <row r="881" ht="15.75" customHeight="1">
      <c r="A881" s="92"/>
      <c r="B881" s="92"/>
      <c r="C881" s="92"/>
      <c r="D881" s="92"/>
      <c r="E881" s="92"/>
      <c r="F881" s="92"/>
      <c r="G881" s="92"/>
      <c r="I881" s="92"/>
    </row>
    <row r="882" ht="15.75" customHeight="1">
      <c r="A882" s="92"/>
      <c r="B882" s="92"/>
      <c r="C882" s="92"/>
      <c r="D882" s="92"/>
      <c r="E882" s="92"/>
      <c r="F882" s="92"/>
      <c r="G882" s="92"/>
      <c r="I882" s="92"/>
    </row>
    <row r="883" ht="15.75" customHeight="1">
      <c r="A883" s="92"/>
      <c r="B883" s="92"/>
      <c r="C883" s="92"/>
      <c r="D883" s="92"/>
      <c r="E883" s="92"/>
      <c r="F883" s="92"/>
      <c r="G883" s="92"/>
      <c r="I883" s="92"/>
    </row>
    <row r="884" ht="15.75" customHeight="1">
      <c r="A884" s="92"/>
      <c r="B884" s="92"/>
      <c r="C884" s="92"/>
      <c r="D884" s="92"/>
      <c r="E884" s="92"/>
      <c r="F884" s="92"/>
      <c r="G884" s="92"/>
      <c r="I884" s="92"/>
    </row>
    <row r="885" ht="15.75" customHeight="1">
      <c r="A885" s="92"/>
      <c r="B885" s="92"/>
      <c r="C885" s="92"/>
      <c r="D885" s="92"/>
      <c r="E885" s="92"/>
      <c r="F885" s="92"/>
      <c r="G885" s="92"/>
      <c r="I885" s="92"/>
    </row>
    <row r="886" ht="15.75" customHeight="1">
      <c r="A886" s="92"/>
      <c r="B886" s="92"/>
      <c r="C886" s="92"/>
      <c r="D886" s="92"/>
      <c r="E886" s="92"/>
      <c r="F886" s="92"/>
      <c r="G886" s="92"/>
      <c r="I886" s="92"/>
    </row>
    <row r="887" ht="15.75" customHeight="1">
      <c r="A887" s="92"/>
      <c r="B887" s="92"/>
      <c r="C887" s="92"/>
      <c r="D887" s="92"/>
      <c r="E887" s="92"/>
      <c r="F887" s="92"/>
      <c r="G887" s="92"/>
      <c r="I887" s="92"/>
    </row>
    <row r="888" ht="15.75" customHeight="1">
      <c r="A888" s="92"/>
      <c r="B888" s="92"/>
      <c r="C888" s="92"/>
      <c r="D888" s="92"/>
      <c r="E888" s="92"/>
      <c r="F888" s="92"/>
      <c r="G888" s="92"/>
      <c r="I888" s="92"/>
    </row>
    <row r="889" ht="15.75" customHeight="1">
      <c r="A889" s="92"/>
      <c r="B889" s="92"/>
      <c r="C889" s="92"/>
      <c r="D889" s="92"/>
      <c r="E889" s="92"/>
      <c r="F889" s="92"/>
      <c r="G889" s="92"/>
      <c r="I889" s="92"/>
    </row>
    <row r="890" ht="15.75" customHeight="1">
      <c r="A890" s="92"/>
      <c r="B890" s="92"/>
      <c r="C890" s="92"/>
      <c r="D890" s="92"/>
      <c r="E890" s="92"/>
      <c r="F890" s="92"/>
      <c r="G890" s="92"/>
      <c r="I890" s="92"/>
    </row>
    <row r="891" ht="15.75" customHeight="1">
      <c r="A891" s="92"/>
      <c r="B891" s="92"/>
      <c r="C891" s="92"/>
      <c r="D891" s="92"/>
      <c r="E891" s="92"/>
      <c r="F891" s="92"/>
      <c r="G891" s="92"/>
      <c r="I891" s="92"/>
    </row>
    <row r="892" ht="15.75" customHeight="1">
      <c r="A892" s="92"/>
      <c r="B892" s="92"/>
      <c r="C892" s="92"/>
      <c r="D892" s="92"/>
      <c r="E892" s="92"/>
      <c r="F892" s="92"/>
      <c r="G892" s="92"/>
      <c r="I892" s="92"/>
    </row>
    <row r="893" ht="15.75" customHeight="1">
      <c r="A893" s="92"/>
      <c r="B893" s="92"/>
      <c r="C893" s="92"/>
      <c r="D893" s="92"/>
      <c r="E893" s="92"/>
      <c r="F893" s="92"/>
      <c r="G893" s="92"/>
      <c r="I893" s="92"/>
    </row>
    <row r="894" ht="15.75" customHeight="1">
      <c r="A894" s="92"/>
      <c r="B894" s="92"/>
      <c r="C894" s="92"/>
      <c r="D894" s="92"/>
      <c r="E894" s="92"/>
      <c r="F894" s="92"/>
      <c r="G894" s="92"/>
      <c r="I894" s="92"/>
    </row>
    <row r="895" ht="15.75" customHeight="1">
      <c r="A895" s="92"/>
      <c r="B895" s="92"/>
      <c r="C895" s="92"/>
      <c r="D895" s="92"/>
      <c r="E895" s="92"/>
      <c r="F895" s="92"/>
      <c r="G895" s="92"/>
      <c r="I895" s="92"/>
    </row>
    <row r="896" ht="15.75" customHeight="1">
      <c r="A896" s="92"/>
      <c r="B896" s="92"/>
      <c r="C896" s="92"/>
      <c r="D896" s="92"/>
      <c r="E896" s="92"/>
      <c r="F896" s="92"/>
      <c r="G896" s="92"/>
      <c r="I896" s="92"/>
    </row>
    <row r="897" ht="15.75" customHeight="1">
      <c r="A897" s="92"/>
      <c r="B897" s="92"/>
      <c r="C897" s="92"/>
      <c r="D897" s="92"/>
      <c r="E897" s="92"/>
      <c r="F897" s="92"/>
      <c r="G897" s="92"/>
      <c r="I897" s="92"/>
    </row>
    <row r="898" ht="15.75" customHeight="1">
      <c r="A898" s="92"/>
      <c r="B898" s="92"/>
      <c r="C898" s="92"/>
      <c r="D898" s="92"/>
      <c r="E898" s="92"/>
      <c r="F898" s="92"/>
      <c r="G898" s="92"/>
      <c r="I898" s="92"/>
    </row>
    <row r="899" ht="15.75" customHeight="1">
      <c r="A899" s="92"/>
      <c r="B899" s="92"/>
      <c r="C899" s="92"/>
      <c r="D899" s="92"/>
      <c r="E899" s="92"/>
      <c r="F899" s="92"/>
      <c r="G899" s="92"/>
      <c r="I899" s="92"/>
    </row>
    <row r="900" ht="15.75" customHeight="1">
      <c r="A900" s="92"/>
      <c r="B900" s="92"/>
      <c r="C900" s="92"/>
      <c r="D900" s="92"/>
      <c r="E900" s="92"/>
      <c r="F900" s="92"/>
      <c r="G900" s="92"/>
      <c r="I900" s="92"/>
    </row>
    <row r="901" ht="15.75" customHeight="1">
      <c r="A901" s="92"/>
      <c r="B901" s="92"/>
      <c r="C901" s="92"/>
      <c r="D901" s="92"/>
      <c r="E901" s="92"/>
      <c r="F901" s="92"/>
      <c r="G901" s="92"/>
      <c r="I901" s="92"/>
    </row>
    <row r="902" ht="15.75" customHeight="1">
      <c r="A902" s="92"/>
      <c r="B902" s="92"/>
      <c r="C902" s="92"/>
      <c r="D902" s="92"/>
      <c r="E902" s="92"/>
      <c r="F902" s="92"/>
      <c r="G902" s="92"/>
      <c r="I902" s="92"/>
    </row>
    <row r="903" ht="15.75" customHeight="1">
      <c r="A903" s="92"/>
      <c r="B903" s="92"/>
      <c r="C903" s="92"/>
      <c r="D903" s="92"/>
      <c r="E903" s="92"/>
      <c r="F903" s="92"/>
      <c r="G903" s="92"/>
      <c r="I903" s="92"/>
    </row>
    <row r="904" ht="15.75" customHeight="1">
      <c r="A904" s="92"/>
      <c r="B904" s="92"/>
      <c r="C904" s="92"/>
      <c r="D904" s="92"/>
      <c r="E904" s="92"/>
      <c r="F904" s="92"/>
      <c r="G904" s="92"/>
      <c r="I904" s="92"/>
    </row>
    <row r="905" ht="15.75" customHeight="1">
      <c r="A905" s="92"/>
      <c r="B905" s="92"/>
      <c r="C905" s="92"/>
      <c r="D905" s="92"/>
      <c r="E905" s="92"/>
      <c r="F905" s="92"/>
      <c r="G905" s="92"/>
      <c r="I905" s="92"/>
    </row>
    <row r="906" ht="15.75" customHeight="1">
      <c r="A906" s="92"/>
      <c r="B906" s="92"/>
      <c r="C906" s="92"/>
      <c r="D906" s="92"/>
      <c r="E906" s="92"/>
      <c r="F906" s="92"/>
      <c r="G906" s="92"/>
      <c r="I906" s="92"/>
    </row>
    <row r="907" ht="15.75" customHeight="1">
      <c r="A907" s="92"/>
      <c r="B907" s="92"/>
      <c r="C907" s="92"/>
      <c r="D907" s="92"/>
      <c r="E907" s="92"/>
      <c r="F907" s="92"/>
      <c r="G907" s="92"/>
      <c r="I907" s="92"/>
    </row>
    <row r="908" ht="15.75" customHeight="1">
      <c r="A908" s="92"/>
      <c r="B908" s="92"/>
      <c r="C908" s="92"/>
      <c r="D908" s="92"/>
      <c r="E908" s="92"/>
      <c r="F908" s="92"/>
      <c r="G908" s="92"/>
      <c r="I908" s="92"/>
    </row>
    <row r="909" ht="15.75" customHeight="1">
      <c r="A909" s="92"/>
      <c r="B909" s="92"/>
      <c r="C909" s="92"/>
      <c r="D909" s="92"/>
      <c r="E909" s="92"/>
      <c r="F909" s="92"/>
      <c r="G909" s="92"/>
      <c r="I909" s="92"/>
    </row>
    <row r="910" ht="15.75" customHeight="1">
      <c r="A910" s="92"/>
      <c r="B910" s="92"/>
      <c r="C910" s="92"/>
      <c r="D910" s="92"/>
      <c r="E910" s="92"/>
      <c r="F910" s="92"/>
      <c r="G910" s="92"/>
      <c r="I910" s="92"/>
    </row>
    <row r="911" ht="15.75" customHeight="1">
      <c r="A911" s="92"/>
      <c r="B911" s="92"/>
      <c r="C911" s="92"/>
      <c r="D911" s="92"/>
      <c r="E911" s="92"/>
      <c r="F911" s="92"/>
      <c r="G911" s="92"/>
      <c r="I911" s="92"/>
    </row>
    <row r="912" ht="15.75" customHeight="1">
      <c r="A912" s="92"/>
      <c r="B912" s="92"/>
      <c r="C912" s="92"/>
      <c r="D912" s="92"/>
      <c r="E912" s="92"/>
      <c r="F912" s="92"/>
      <c r="G912" s="92"/>
      <c r="I912" s="92"/>
    </row>
    <row r="913" ht="15.75" customHeight="1">
      <c r="A913" s="92"/>
      <c r="B913" s="92"/>
      <c r="C913" s="92"/>
      <c r="D913" s="92"/>
      <c r="E913" s="92"/>
      <c r="F913" s="92"/>
      <c r="G913" s="92"/>
      <c r="I913" s="92"/>
    </row>
    <row r="914" ht="15.75" customHeight="1">
      <c r="A914" s="92"/>
      <c r="B914" s="92"/>
      <c r="C914" s="92"/>
      <c r="D914" s="92"/>
      <c r="E914" s="92"/>
      <c r="F914" s="92"/>
      <c r="G914" s="92"/>
      <c r="I914" s="92"/>
    </row>
    <row r="915" ht="15.75" customHeight="1">
      <c r="A915" s="92"/>
      <c r="B915" s="92"/>
      <c r="C915" s="92"/>
      <c r="D915" s="92"/>
      <c r="E915" s="92"/>
      <c r="F915" s="92"/>
      <c r="G915" s="92"/>
      <c r="I915" s="92"/>
    </row>
    <row r="916" ht="15.75" customHeight="1">
      <c r="A916" s="92"/>
      <c r="B916" s="92"/>
      <c r="C916" s="92"/>
      <c r="D916" s="92"/>
      <c r="E916" s="92"/>
      <c r="F916" s="92"/>
      <c r="G916" s="92"/>
      <c r="I916" s="92"/>
    </row>
    <row r="917" ht="15.75" customHeight="1">
      <c r="A917" s="92"/>
      <c r="B917" s="92"/>
      <c r="C917" s="92"/>
      <c r="D917" s="92"/>
      <c r="E917" s="92"/>
      <c r="F917" s="92"/>
      <c r="G917" s="92"/>
      <c r="I917" s="92"/>
    </row>
    <row r="918" ht="15.75" customHeight="1">
      <c r="A918" s="92"/>
      <c r="B918" s="92"/>
      <c r="C918" s="92"/>
      <c r="D918" s="92"/>
      <c r="E918" s="92"/>
      <c r="F918" s="92"/>
      <c r="G918" s="92"/>
      <c r="I918" s="92"/>
    </row>
    <row r="919" ht="15.75" customHeight="1">
      <c r="A919" s="92"/>
      <c r="B919" s="92"/>
      <c r="C919" s="92"/>
      <c r="D919" s="92"/>
      <c r="E919" s="92"/>
      <c r="F919" s="92"/>
      <c r="G919" s="92"/>
      <c r="I919" s="92"/>
    </row>
    <row r="920" ht="15.75" customHeight="1">
      <c r="A920" s="92"/>
      <c r="B920" s="92"/>
      <c r="C920" s="92"/>
      <c r="D920" s="92"/>
      <c r="E920" s="92"/>
      <c r="F920" s="92"/>
      <c r="G920" s="92"/>
      <c r="I920" s="92"/>
    </row>
    <row r="921" ht="15.75" customHeight="1">
      <c r="A921" s="92"/>
      <c r="B921" s="92"/>
      <c r="C921" s="92"/>
      <c r="D921" s="92"/>
      <c r="E921" s="92"/>
      <c r="F921" s="92"/>
      <c r="G921" s="92"/>
      <c r="I921" s="92"/>
    </row>
    <row r="922" ht="15.75" customHeight="1">
      <c r="A922" s="92"/>
      <c r="B922" s="92"/>
      <c r="C922" s="92"/>
      <c r="D922" s="92"/>
      <c r="E922" s="92"/>
      <c r="F922" s="92"/>
      <c r="G922" s="92"/>
      <c r="I922" s="92"/>
    </row>
    <row r="923" ht="15.75" customHeight="1">
      <c r="A923" s="92"/>
      <c r="B923" s="92"/>
      <c r="C923" s="92"/>
      <c r="D923" s="92"/>
      <c r="E923" s="92"/>
      <c r="F923" s="92"/>
      <c r="G923" s="92"/>
      <c r="I923" s="92"/>
    </row>
    <row r="924" ht="15.75" customHeight="1">
      <c r="A924" s="92"/>
      <c r="B924" s="92"/>
      <c r="C924" s="92"/>
      <c r="D924" s="92"/>
      <c r="E924" s="92"/>
      <c r="F924" s="92"/>
      <c r="G924" s="92"/>
      <c r="I924" s="92"/>
    </row>
    <row r="925" ht="15.75" customHeight="1">
      <c r="A925" s="92"/>
      <c r="B925" s="92"/>
      <c r="C925" s="92"/>
      <c r="D925" s="92"/>
      <c r="E925" s="92"/>
      <c r="F925" s="92"/>
      <c r="G925" s="92"/>
      <c r="I925" s="92"/>
    </row>
    <row r="926" ht="15.75" customHeight="1">
      <c r="A926" s="92"/>
      <c r="B926" s="92"/>
      <c r="C926" s="92"/>
      <c r="D926" s="92"/>
      <c r="E926" s="92"/>
      <c r="F926" s="92"/>
      <c r="G926" s="92"/>
      <c r="I926" s="92"/>
    </row>
    <row r="927" ht="15.75" customHeight="1">
      <c r="A927" s="92"/>
      <c r="B927" s="92"/>
      <c r="C927" s="92"/>
      <c r="D927" s="92"/>
      <c r="E927" s="92"/>
      <c r="F927" s="92"/>
      <c r="G927" s="92"/>
      <c r="I927" s="92"/>
    </row>
    <row r="928" ht="15.75" customHeight="1">
      <c r="A928" s="92"/>
      <c r="B928" s="92"/>
      <c r="C928" s="92"/>
      <c r="D928" s="92"/>
      <c r="E928" s="92"/>
      <c r="F928" s="92"/>
      <c r="G928" s="92"/>
      <c r="I928" s="92"/>
    </row>
    <row r="929" ht="15.75" customHeight="1">
      <c r="A929" s="92"/>
      <c r="B929" s="92"/>
      <c r="C929" s="92"/>
      <c r="D929" s="92"/>
      <c r="E929" s="92"/>
      <c r="F929" s="92"/>
      <c r="G929" s="92"/>
      <c r="I929" s="92"/>
    </row>
    <row r="930" ht="15.75" customHeight="1">
      <c r="A930" s="92"/>
      <c r="B930" s="92"/>
      <c r="C930" s="92"/>
      <c r="D930" s="92"/>
      <c r="E930" s="92"/>
      <c r="F930" s="92"/>
      <c r="G930" s="92"/>
      <c r="I930" s="92"/>
    </row>
    <row r="931" ht="15.75" customHeight="1">
      <c r="A931" s="92"/>
      <c r="B931" s="92"/>
      <c r="C931" s="92"/>
      <c r="D931" s="92"/>
      <c r="E931" s="92"/>
      <c r="F931" s="92"/>
      <c r="G931" s="92"/>
      <c r="I931" s="92"/>
    </row>
    <row r="932" ht="15.75" customHeight="1">
      <c r="A932" s="92"/>
      <c r="B932" s="92"/>
      <c r="C932" s="92"/>
      <c r="D932" s="92"/>
      <c r="E932" s="92"/>
      <c r="F932" s="92"/>
      <c r="G932" s="92"/>
      <c r="I932" s="92"/>
    </row>
    <row r="933" ht="15.75" customHeight="1">
      <c r="A933" s="92"/>
      <c r="B933" s="92"/>
      <c r="C933" s="92"/>
      <c r="D933" s="92"/>
      <c r="E933" s="92"/>
      <c r="F933" s="92"/>
      <c r="G933" s="92"/>
      <c r="I933" s="92"/>
    </row>
    <row r="934" ht="15.75" customHeight="1">
      <c r="A934" s="92"/>
      <c r="B934" s="92"/>
      <c r="C934" s="92"/>
      <c r="D934" s="92"/>
      <c r="E934" s="92"/>
      <c r="F934" s="92"/>
      <c r="G934" s="92"/>
      <c r="I934" s="92"/>
    </row>
    <row r="935" ht="15.75" customHeight="1">
      <c r="A935" s="92"/>
      <c r="B935" s="92"/>
      <c r="C935" s="92"/>
      <c r="D935" s="92"/>
      <c r="E935" s="92"/>
      <c r="F935" s="92"/>
      <c r="G935" s="92"/>
      <c r="I935" s="92"/>
    </row>
    <row r="936" ht="15.75" customHeight="1">
      <c r="A936" s="92"/>
      <c r="B936" s="92"/>
      <c r="C936" s="92"/>
      <c r="D936" s="92"/>
      <c r="E936" s="92"/>
      <c r="F936" s="92"/>
      <c r="G936" s="92"/>
      <c r="I936" s="92"/>
    </row>
    <row r="937" ht="15.75" customHeight="1">
      <c r="A937" s="92"/>
      <c r="B937" s="92"/>
      <c r="C937" s="92"/>
      <c r="D937" s="92"/>
      <c r="E937" s="92"/>
      <c r="F937" s="92"/>
      <c r="G937" s="92"/>
      <c r="I937" s="92"/>
    </row>
    <row r="938" ht="15.75" customHeight="1">
      <c r="A938" s="92"/>
      <c r="B938" s="92"/>
      <c r="C938" s="92"/>
      <c r="D938" s="92"/>
      <c r="E938" s="92"/>
      <c r="F938" s="92"/>
      <c r="G938" s="92"/>
      <c r="I938" s="92"/>
    </row>
    <row r="939" ht="15.75" customHeight="1">
      <c r="A939" s="92"/>
      <c r="B939" s="92"/>
      <c r="C939" s="92"/>
      <c r="D939" s="92"/>
      <c r="E939" s="92"/>
      <c r="F939" s="92"/>
      <c r="G939" s="92"/>
      <c r="I939" s="92"/>
    </row>
    <row r="940" ht="15.75" customHeight="1">
      <c r="A940" s="92"/>
      <c r="B940" s="92"/>
      <c r="C940" s="92"/>
      <c r="D940" s="92"/>
      <c r="E940" s="92"/>
      <c r="F940" s="92"/>
      <c r="G940" s="92"/>
      <c r="I940" s="92"/>
    </row>
    <row r="941" ht="15.75" customHeight="1">
      <c r="A941" s="92"/>
      <c r="B941" s="92"/>
      <c r="C941" s="92"/>
      <c r="D941" s="92"/>
      <c r="E941" s="92"/>
      <c r="F941" s="92"/>
      <c r="G941" s="92"/>
      <c r="I941" s="92"/>
    </row>
    <row r="942" ht="15.75" customHeight="1">
      <c r="A942" s="92"/>
      <c r="B942" s="92"/>
      <c r="C942" s="92"/>
      <c r="D942" s="92"/>
      <c r="E942" s="92"/>
      <c r="F942" s="92"/>
      <c r="G942" s="92"/>
      <c r="I942" s="92"/>
    </row>
    <row r="943" ht="15.75" customHeight="1">
      <c r="A943" s="92"/>
      <c r="B943" s="92"/>
      <c r="C943" s="92"/>
      <c r="D943" s="92"/>
      <c r="E943" s="92"/>
      <c r="F943" s="92"/>
      <c r="G943" s="92"/>
      <c r="I943" s="92"/>
    </row>
    <row r="944" ht="15.75" customHeight="1">
      <c r="A944" s="92"/>
      <c r="B944" s="92"/>
      <c r="C944" s="92"/>
      <c r="D944" s="92"/>
      <c r="E944" s="92"/>
      <c r="F944" s="92"/>
      <c r="G944" s="92"/>
      <c r="I944" s="92"/>
    </row>
    <row r="945" ht="15.75" customHeight="1">
      <c r="A945" s="92"/>
      <c r="B945" s="92"/>
      <c r="C945" s="92"/>
      <c r="D945" s="92"/>
      <c r="E945" s="92"/>
      <c r="F945" s="92"/>
      <c r="G945" s="92"/>
      <c r="I945" s="92"/>
    </row>
    <row r="946" ht="15.75" customHeight="1">
      <c r="A946" s="92"/>
      <c r="B946" s="92"/>
      <c r="C946" s="92"/>
      <c r="D946" s="92"/>
      <c r="E946" s="92"/>
      <c r="F946" s="92"/>
      <c r="G946" s="92"/>
      <c r="I946" s="92"/>
    </row>
    <row r="947" ht="15.75" customHeight="1">
      <c r="A947" s="92"/>
      <c r="B947" s="92"/>
      <c r="C947" s="92"/>
      <c r="D947" s="92"/>
      <c r="E947" s="92"/>
      <c r="F947" s="92"/>
      <c r="G947" s="92"/>
      <c r="I947" s="92"/>
    </row>
    <row r="948" ht="15.75" customHeight="1">
      <c r="A948" s="92"/>
      <c r="B948" s="92"/>
      <c r="C948" s="92"/>
      <c r="D948" s="92"/>
      <c r="E948" s="92"/>
      <c r="F948" s="92"/>
      <c r="G948" s="92"/>
      <c r="I948" s="92"/>
    </row>
    <row r="949" ht="15.75" customHeight="1">
      <c r="A949" s="92"/>
      <c r="B949" s="92"/>
      <c r="C949" s="92"/>
      <c r="D949" s="92"/>
      <c r="E949" s="92"/>
      <c r="F949" s="92"/>
      <c r="G949" s="92"/>
      <c r="I949" s="92"/>
    </row>
    <row r="950" ht="15.75" customHeight="1">
      <c r="A950" s="92"/>
      <c r="B950" s="92"/>
      <c r="C950" s="92"/>
      <c r="D950" s="92"/>
      <c r="E950" s="92"/>
      <c r="F950" s="92"/>
      <c r="G950" s="92"/>
      <c r="I950" s="92"/>
    </row>
    <row r="951" ht="15.75" customHeight="1">
      <c r="A951" s="92"/>
      <c r="B951" s="92"/>
      <c r="C951" s="92"/>
      <c r="D951" s="92"/>
      <c r="E951" s="92"/>
      <c r="F951" s="92"/>
      <c r="G951" s="92"/>
      <c r="I951" s="92"/>
    </row>
    <row r="952" ht="15.75" customHeight="1">
      <c r="A952" s="92"/>
      <c r="B952" s="92"/>
      <c r="C952" s="92"/>
      <c r="D952" s="92"/>
      <c r="E952" s="92"/>
      <c r="F952" s="92"/>
      <c r="G952" s="92"/>
      <c r="I952" s="92"/>
    </row>
    <row r="953" ht="15.75" customHeight="1">
      <c r="A953" s="92"/>
      <c r="B953" s="92"/>
      <c r="C953" s="92"/>
      <c r="D953" s="92"/>
      <c r="E953" s="92"/>
      <c r="F953" s="92"/>
      <c r="G953" s="92"/>
      <c r="I953" s="92"/>
    </row>
    <row r="954" ht="15.75" customHeight="1">
      <c r="A954" s="92"/>
      <c r="B954" s="92"/>
      <c r="C954" s="92"/>
      <c r="D954" s="92"/>
      <c r="E954" s="92"/>
      <c r="F954" s="92"/>
      <c r="G954" s="92"/>
      <c r="I954" s="92"/>
    </row>
    <row r="955" ht="15.75" customHeight="1">
      <c r="A955" s="92"/>
      <c r="B955" s="92"/>
      <c r="C955" s="92"/>
      <c r="D955" s="92"/>
      <c r="E955" s="92"/>
      <c r="F955" s="92"/>
      <c r="G955" s="92"/>
      <c r="I955" s="92"/>
    </row>
    <row r="956" ht="15.75" customHeight="1">
      <c r="A956" s="92"/>
      <c r="B956" s="92"/>
      <c r="C956" s="92"/>
      <c r="D956" s="92"/>
      <c r="E956" s="92"/>
      <c r="F956" s="92"/>
      <c r="G956" s="92"/>
      <c r="I956" s="92"/>
    </row>
    <row r="957" ht="15.75" customHeight="1">
      <c r="A957" s="92"/>
      <c r="B957" s="92"/>
      <c r="C957" s="92"/>
      <c r="D957" s="92"/>
      <c r="E957" s="92"/>
      <c r="F957" s="92"/>
      <c r="G957" s="92"/>
      <c r="I957" s="92"/>
    </row>
    <row r="958" ht="15.75" customHeight="1">
      <c r="A958" s="92"/>
      <c r="B958" s="92"/>
      <c r="C958" s="92"/>
      <c r="D958" s="92"/>
      <c r="E958" s="92"/>
      <c r="F958" s="92"/>
      <c r="G958" s="92"/>
      <c r="I958" s="92"/>
    </row>
    <row r="959" ht="15.75" customHeight="1">
      <c r="A959" s="92"/>
      <c r="B959" s="92"/>
      <c r="C959" s="92"/>
      <c r="D959" s="92"/>
      <c r="E959" s="92"/>
      <c r="F959" s="92"/>
      <c r="G959" s="92"/>
      <c r="I959" s="92"/>
    </row>
    <row r="960" ht="15.75" customHeight="1">
      <c r="A960" s="92"/>
      <c r="B960" s="92"/>
      <c r="C960" s="92"/>
      <c r="D960" s="92"/>
      <c r="E960" s="92"/>
      <c r="F960" s="92"/>
      <c r="G960" s="92"/>
      <c r="I960" s="92"/>
    </row>
    <row r="961" ht="15.75" customHeight="1">
      <c r="A961" s="92"/>
      <c r="B961" s="92"/>
      <c r="C961" s="92"/>
      <c r="D961" s="92"/>
      <c r="E961" s="92"/>
      <c r="F961" s="92"/>
      <c r="G961" s="92"/>
      <c r="I961" s="92"/>
    </row>
    <row r="962" ht="15.75" customHeight="1">
      <c r="A962" s="92"/>
      <c r="B962" s="92"/>
      <c r="C962" s="92"/>
      <c r="D962" s="92"/>
      <c r="E962" s="92"/>
      <c r="F962" s="92"/>
      <c r="G962" s="92"/>
      <c r="I962" s="92"/>
    </row>
    <row r="963" ht="15.75" customHeight="1">
      <c r="A963" s="92"/>
      <c r="B963" s="92"/>
      <c r="C963" s="92"/>
      <c r="D963" s="92"/>
      <c r="E963" s="92"/>
      <c r="F963" s="92"/>
      <c r="G963" s="92"/>
      <c r="I963" s="92"/>
    </row>
    <row r="964" ht="15.75" customHeight="1">
      <c r="A964" s="92"/>
      <c r="B964" s="92"/>
      <c r="C964" s="92"/>
      <c r="D964" s="92"/>
      <c r="E964" s="92"/>
      <c r="F964" s="92"/>
      <c r="G964" s="92"/>
      <c r="I964" s="92"/>
    </row>
    <row r="965" ht="15.75" customHeight="1">
      <c r="A965" s="92"/>
      <c r="B965" s="92"/>
      <c r="C965" s="92"/>
      <c r="D965" s="92"/>
      <c r="E965" s="92"/>
      <c r="F965" s="92"/>
      <c r="G965" s="92"/>
      <c r="I965" s="92"/>
    </row>
    <row r="966" ht="15.75" customHeight="1">
      <c r="A966" s="92"/>
      <c r="B966" s="92"/>
      <c r="C966" s="92"/>
      <c r="D966" s="92"/>
      <c r="E966" s="92"/>
      <c r="F966" s="92"/>
      <c r="G966" s="92"/>
      <c r="I966" s="92"/>
    </row>
    <row r="967" ht="15.75" customHeight="1">
      <c r="A967" s="92"/>
      <c r="B967" s="92"/>
      <c r="C967" s="92"/>
      <c r="D967" s="92"/>
      <c r="E967" s="92"/>
      <c r="F967" s="92"/>
      <c r="G967" s="92"/>
      <c r="I967" s="92"/>
    </row>
    <row r="968" ht="15.75" customHeight="1">
      <c r="A968" s="92"/>
      <c r="B968" s="92"/>
      <c r="C968" s="92"/>
      <c r="D968" s="92"/>
      <c r="E968" s="92"/>
      <c r="F968" s="92"/>
      <c r="G968" s="92"/>
      <c r="I968" s="92"/>
    </row>
    <row r="969" ht="15.75" customHeight="1">
      <c r="A969" s="92"/>
      <c r="B969" s="92"/>
      <c r="C969" s="92"/>
      <c r="D969" s="92"/>
      <c r="E969" s="92"/>
      <c r="F969" s="92"/>
      <c r="G969" s="92"/>
      <c r="I969" s="92"/>
    </row>
    <row r="970" ht="15.75" customHeight="1">
      <c r="A970" s="92"/>
      <c r="B970" s="92"/>
      <c r="C970" s="92"/>
      <c r="D970" s="92"/>
      <c r="E970" s="92"/>
      <c r="F970" s="92"/>
      <c r="G970" s="92"/>
      <c r="I970" s="92"/>
    </row>
    <row r="971" ht="15.75" customHeight="1">
      <c r="A971" s="92"/>
      <c r="B971" s="92"/>
      <c r="C971" s="92"/>
      <c r="D971" s="92"/>
      <c r="E971" s="92"/>
      <c r="F971" s="92"/>
      <c r="G971" s="92"/>
      <c r="I971" s="92"/>
    </row>
    <row r="972" ht="15.75" customHeight="1">
      <c r="A972" s="92"/>
      <c r="B972" s="92"/>
      <c r="C972" s="92"/>
      <c r="D972" s="92"/>
      <c r="E972" s="92"/>
      <c r="F972" s="92"/>
      <c r="G972" s="92"/>
      <c r="I972" s="92"/>
    </row>
    <row r="973" ht="15.75" customHeight="1">
      <c r="A973" s="92"/>
      <c r="B973" s="92"/>
      <c r="C973" s="92"/>
      <c r="D973" s="92"/>
      <c r="E973" s="92"/>
      <c r="F973" s="92"/>
      <c r="G973" s="92"/>
      <c r="I973" s="92"/>
    </row>
    <row r="974" ht="15.75" customHeight="1">
      <c r="A974" s="92"/>
      <c r="B974" s="92"/>
      <c r="C974" s="92"/>
      <c r="D974" s="92"/>
      <c r="E974" s="92"/>
      <c r="F974" s="92"/>
      <c r="G974" s="92"/>
      <c r="I974" s="92"/>
    </row>
    <row r="975" ht="15.75" customHeight="1">
      <c r="A975" s="92"/>
      <c r="B975" s="92"/>
      <c r="C975" s="92"/>
      <c r="D975" s="92"/>
      <c r="E975" s="92"/>
      <c r="F975" s="92"/>
      <c r="G975" s="92"/>
      <c r="I975" s="92"/>
    </row>
    <row r="976" ht="15.75" customHeight="1">
      <c r="A976" s="92"/>
      <c r="B976" s="92"/>
      <c r="C976" s="92"/>
      <c r="D976" s="92"/>
      <c r="E976" s="92"/>
      <c r="F976" s="92"/>
      <c r="G976" s="92"/>
      <c r="I976" s="92"/>
    </row>
    <row r="977" ht="15.75" customHeight="1">
      <c r="A977" s="92"/>
      <c r="B977" s="92"/>
      <c r="C977" s="92"/>
      <c r="D977" s="92"/>
      <c r="E977" s="92"/>
      <c r="F977" s="92"/>
      <c r="G977" s="92"/>
      <c r="I977" s="92"/>
    </row>
    <row r="978" ht="15.75" customHeight="1">
      <c r="A978" s="92"/>
      <c r="B978" s="92"/>
      <c r="C978" s="92"/>
      <c r="D978" s="92"/>
      <c r="E978" s="92"/>
      <c r="F978" s="92"/>
      <c r="G978" s="92"/>
      <c r="I978" s="92"/>
    </row>
    <row r="979" ht="15.75" customHeight="1">
      <c r="A979" s="92"/>
      <c r="B979" s="92"/>
      <c r="C979" s="92"/>
      <c r="D979" s="92"/>
      <c r="E979" s="92"/>
      <c r="F979" s="92"/>
      <c r="G979" s="92"/>
      <c r="I979" s="92"/>
    </row>
    <row r="980" ht="15.75" customHeight="1">
      <c r="A980" s="92"/>
      <c r="B980" s="92"/>
      <c r="C980" s="92"/>
      <c r="D980" s="92"/>
      <c r="E980" s="92"/>
      <c r="F980" s="92"/>
      <c r="G980" s="92"/>
      <c r="I980" s="92"/>
    </row>
    <row r="981" ht="15.75" customHeight="1">
      <c r="A981" s="92"/>
      <c r="B981" s="92"/>
      <c r="C981" s="92"/>
      <c r="D981" s="92"/>
      <c r="E981" s="92"/>
      <c r="F981" s="92"/>
      <c r="G981" s="92"/>
      <c r="I981" s="92"/>
    </row>
    <row r="982" ht="15.75" customHeight="1">
      <c r="A982" s="92"/>
      <c r="B982" s="92"/>
      <c r="C982" s="92"/>
      <c r="D982" s="92"/>
      <c r="E982" s="92"/>
      <c r="F982" s="92"/>
      <c r="G982" s="92"/>
      <c r="I982" s="92"/>
    </row>
    <row r="983" ht="15.75" customHeight="1">
      <c r="A983" s="92"/>
      <c r="B983" s="92"/>
      <c r="C983" s="92"/>
      <c r="D983" s="92"/>
      <c r="E983" s="92"/>
      <c r="F983" s="92"/>
      <c r="G983" s="92"/>
      <c r="I983" s="92"/>
    </row>
    <row r="984" ht="15.75" customHeight="1">
      <c r="A984" s="92"/>
      <c r="B984" s="92"/>
      <c r="C984" s="92"/>
      <c r="D984" s="92"/>
      <c r="E984" s="92"/>
      <c r="F984" s="92"/>
      <c r="G984" s="92"/>
      <c r="I984" s="92"/>
    </row>
    <row r="985" ht="15.75" customHeight="1">
      <c r="A985" s="92"/>
      <c r="B985" s="92"/>
      <c r="C985" s="92"/>
      <c r="D985" s="92"/>
      <c r="E985" s="92"/>
      <c r="F985" s="92"/>
      <c r="G985" s="92"/>
      <c r="I985" s="92"/>
    </row>
    <row r="986" ht="15.75" customHeight="1">
      <c r="A986" s="92"/>
      <c r="B986" s="92"/>
      <c r="C986" s="92"/>
      <c r="D986" s="92"/>
      <c r="E986" s="92"/>
      <c r="F986" s="92"/>
      <c r="G986" s="92"/>
      <c r="I986" s="92"/>
    </row>
    <row r="987" ht="15.75" customHeight="1">
      <c r="A987" s="92"/>
      <c r="B987" s="92"/>
      <c r="C987" s="92"/>
      <c r="D987" s="92"/>
      <c r="E987" s="92"/>
      <c r="F987" s="92"/>
      <c r="G987" s="92"/>
      <c r="I987" s="92"/>
    </row>
    <row r="988" ht="15.75" customHeight="1">
      <c r="A988" s="92"/>
      <c r="B988" s="92"/>
      <c r="C988" s="92"/>
      <c r="D988" s="92"/>
      <c r="E988" s="92"/>
      <c r="F988" s="92"/>
      <c r="G988" s="92"/>
      <c r="I988" s="92"/>
    </row>
    <row r="989" ht="15.75" customHeight="1">
      <c r="A989" s="92"/>
      <c r="B989" s="92"/>
      <c r="C989" s="92"/>
      <c r="D989" s="92"/>
      <c r="E989" s="92"/>
      <c r="F989" s="92"/>
      <c r="G989" s="92"/>
      <c r="I989" s="92"/>
    </row>
    <row r="990" ht="15.75" customHeight="1">
      <c r="A990" s="92"/>
      <c r="B990" s="92"/>
      <c r="C990" s="92"/>
      <c r="D990" s="92"/>
      <c r="E990" s="92"/>
      <c r="F990" s="92"/>
      <c r="G990" s="92"/>
      <c r="I990" s="92"/>
    </row>
    <row r="991" ht="15.75" customHeight="1">
      <c r="A991" s="92"/>
      <c r="B991" s="92"/>
      <c r="C991" s="92"/>
      <c r="D991" s="92"/>
      <c r="E991" s="92"/>
      <c r="F991" s="92"/>
      <c r="G991" s="92"/>
      <c r="I991" s="92"/>
    </row>
    <row r="992" ht="15.75" customHeight="1">
      <c r="A992" s="92"/>
      <c r="B992" s="92"/>
      <c r="C992" s="92"/>
      <c r="D992" s="92"/>
      <c r="E992" s="92"/>
      <c r="F992" s="92"/>
      <c r="G992" s="92"/>
      <c r="I992" s="92"/>
    </row>
    <row r="993" ht="15.75" customHeight="1">
      <c r="A993" s="92"/>
      <c r="B993" s="92"/>
      <c r="C993" s="92"/>
      <c r="D993" s="92"/>
      <c r="E993" s="92"/>
      <c r="F993" s="92"/>
      <c r="G993" s="92"/>
      <c r="I993" s="92"/>
    </row>
    <row r="994" ht="15.75" customHeight="1">
      <c r="A994" s="92"/>
      <c r="B994" s="92"/>
      <c r="C994" s="92"/>
      <c r="D994" s="92"/>
      <c r="E994" s="92"/>
      <c r="F994" s="92"/>
      <c r="G994" s="92"/>
      <c r="I994" s="92"/>
    </row>
    <row r="995" ht="15.75" customHeight="1">
      <c r="A995" s="92"/>
      <c r="B995" s="92"/>
      <c r="C995" s="92"/>
      <c r="D995" s="92"/>
      <c r="E995" s="92"/>
      <c r="F995" s="92"/>
      <c r="G995" s="92"/>
      <c r="I995" s="92"/>
    </row>
    <row r="996" ht="15.75" customHeight="1">
      <c r="A996" s="92"/>
      <c r="B996" s="92"/>
      <c r="C996" s="92"/>
      <c r="D996" s="92"/>
      <c r="E996" s="92"/>
      <c r="F996" s="92"/>
      <c r="G996" s="92"/>
      <c r="I996" s="92"/>
    </row>
    <row r="997" ht="15.75" customHeight="1">
      <c r="A997" s="92"/>
      <c r="B997" s="92"/>
      <c r="C997" s="92"/>
      <c r="D997" s="92"/>
      <c r="E997" s="92"/>
      <c r="F997" s="92"/>
      <c r="G997" s="92"/>
      <c r="I997" s="92"/>
    </row>
    <row r="998" ht="15.75" customHeight="1">
      <c r="A998" s="92"/>
      <c r="B998" s="92"/>
      <c r="C998" s="92"/>
      <c r="D998" s="92"/>
      <c r="E998" s="92"/>
      <c r="F998" s="92"/>
      <c r="G998" s="92"/>
      <c r="I998" s="92"/>
    </row>
    <row r="999" ht="15.75" customHeight="1">
      <c r="A999" s="92"/>
      <c r="B999" s="92"/>
      <c r="C999" s="92"/>
      <c r="D999" s="92"/>
      <c r="E999" s="92"/>
      <c r="F999" s="92"/>
      <c r="G999" s="92"/>
      <c r="I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I1000" s="92"/>
    </row>
  </sheetData>
  <mergeCells count="26">
    <mergeCell ref="H3:H4"/>
    <mergeCell ref="I3:I4"/>
    <mergeCell ref="H5:H9"/>
    <mergeCell ref="H10:H15"/>
    <mergeCell ref="H16:H19"/>
    <mergeCell ref="H20:H26"/>
    <mergeCell ref="H27:H29"/>
    <mergeCell ref="H50:H68"/>
    <mergeCell ref="A1:B2"/>
    <mergeCell ref="C1:C2"/>
    <mergeCell ref="D1:D2"/>
    <mergeCell ref="E1:E2"/>
    <mergeCell ref="F1:I2"/>
    <mergeCell ref="A3:B3"/>
    <mergeCell ref="C3:C4"/>
    <mergeCell ref="A30:A43"/>
    <mergeCell ref="A44:A49"/>
    <mergeCell ref="A50:A68"/>
    <mergeCell ref="A69:I73"/>
    <mergeCell ref="D3:D4"/>
    <mergeCell ref="E3:E4"/>
    <mergeCell ref="A5:A11"/>
    <mergeCell ref="A12:A15"/>
    <mergeCell ref="A16:A19"/>
    <mergeCell ref="A20:A26"/>
    <mergeCell ref="A27:A29"/>
  </mergeCells>
  <printOptions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90.0"/>
    <col customWidth="1" min="3" max="3" width="36.29"/>
    <col customWidth="1" min="4" max="5" width="34.29"/>
    <col customWidth="1" min="6" max="6" width="30.86"/>
    <col customWidth="1" min="7" max="7" width="21.14"/>
    <col customWidth="1" min="8" max="8" width="21.57"/>
    <col customWidth="1" min="10" max="10" width="49.71"/>
  </cols>
  <sheetData>
    <row r="1" ht="16.5" customHeight="1">
      <c r="A1" s="1" t="s">
        <v>198</v>
      </c>
      <c r="B1" s="7"/>
      <c r="C1" s="154" t="s">
        <v>66</v>
      </c>
      <c r="D1" s="187" t="s">
        <v>199</v>
      </c>
      <c r="E1" s="156" t="s">
        <v>200</v>
      </c>
      <c r="F1" s="188" t="s">
        <v>201</v>
      </c>
      <c r="G1" s="2"/>
      <c r="H1" s="2"/>
      <c r="I1" s="2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58"/>
      <c r="B2" s="83"/>
      <c r="C2" s="11"/>
      <c r="D2" s="11"/>
      <c r="E2" s="11"/>
      <c r="F2" s="58"/>
      <c r="G2" s="82"/>
      <c r="H2" s="82"/>
      <c r="I2" s="82"/>
      <c r="J2" s="83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5"/>
      <c r="B3" s="16"/>
      <c r="C3" s="22" t="s">
        <v>202</v>
      </c>
      <c r="D3" s="22" t="s">
        <v>203</v>
      </c>
      <c r="E3" s="22" t="s">
        <v>204</v>
      </c>
      <c r="F3" s="22" t="s">
        <v>205</v>
      </c>
      <c r="G3" s="19" t="s">
        <v>4</v>
      </c>
      <c r="H3" s="20" t="s">
        <v>5</v>
      </c>
      <c r="I3" s="22" t="s">
        <v>6</v>
      </c>
      <c r="J3" s="22" t="s">
        <v>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23" t="s">
        <v>8</v>
      </c>
      <c r="B4" s="24" t="s">
        <v>9</v>
      </c>
      <c r="C4" s="11"/>
      <c r="D4" s="11"/>
      <c r="E4" s="11"/>
      <c r="F4" s="11"/>
      <c r="G4" s="27" t="s">
        <v>10</v>
      </c>
      <c r="H4" s="27" t="s">
        <v>11</v>
      </c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89" t="s">
        <v>206</v>
      </c>
      <c r="B5" s="94" t="s">
        <v>207</v>
      </c>
      <c r="C5" s="119">
        <v>179000.0</v>
      </c>
      <c r="D5" s="125">
        <f t="shared" ref="D5:D52" si="1">E5*2-1000</f>
        <v>297000</v>
      </c>
      <c r="E5" s="190">
        <v>149000.0</v>
      </c>
      <c r="F5" s="191">
        <f t="shared" ref="F5:F32" si="2">1-E5/C5</f>
        <v>0.1675977654</v>
      </c>
      <c r="G5" s="40"/>
      <c r="H5" s="143"/>
      <c r="I5" s="192"/>
      <c r="J5" s="3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25"/>
      <c r="B6" s="97" t="s">
        <v>208</v>
      </c>
      <c r="C6" s="73">
        <v>248000.0</v>
      </c>
      <c r="D6" s="99">
        <f t="shared" si="1"/>
        <v>397000</v>
      </c>
      <c r="E6" s="163">
        <v>199000.0</v>
      </c>
      <c r="F6" s="193">
        <f t="shared" si="2"/>
        <v>0.1975806452</v>
      </c>
      <c r="G6" s="96"/>
      <c r="H6" s="143"/>
      <c r="I6" s="25"/>
      <c r="J6" s="4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25"/>
      <c r="B7" s="97" t="s">
        <v>209</v>
      </c>
      <c r="C7" s="194">
        <f>399000+39000</f>
        <v>438000</v>
      </c>
      <c r="D7" s="99">
        <f t="shared" si="1"/>
        <v>777000</v>
      </c>
      <c r="E7" s="163">
        <v>389000.0</v>
      </c>
      <c r="F7" s="193">
        <f t="shared" si="2"/>
        <v>0.1118721461</v>
      </c>
      <c r="G7" s="80"/>
      <c r="H7" s="127"/>
      <c r="I7" s="25"/>
      <c r="J7" s="4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25"/>
      <c r="B8" s="97" t="s">
        <v>210</v>
      </c>
      <c r="C8" s="194">
        <v>750000.0</v>
      </c>
      <c r="D8" s="99">
        <f t="shared" si="1"/>
        <v>1099000</v>
      </c>
      <c r="E8" s="163">
        <v>550000.0</v>
      </c>
      <c r="F8" s="193">
        <f t="shared" si="2"/>
        <v>0.2666666667</v>
      </c>
      <c r="G8" s="80"/>
      <c r="H8" s="127"/>
      <c r="I8" s="25"/>
      <c r="J8" s="4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25"/>
      <c r="B9" s="97" t="s">
        <v>211</v>
      </c>
      <c r="C9" s="194">
        <f>890000+59000</f>
        <v>949000</v>
      </c>
      <c r="D9" s="99">
        <f t="shared" si="1"/>
        <v>1697000</v>
      </c>
      <c r="E9" s="163">
        <v>849000.0</v>
      </c>
      <c r="F9" s="193">
        <f t="shared" si="2"/>
        <v>0.105374078</v>
      </c>
      <c r="G9" s="80"/>
      <c r="H9" s="105"/>
      <c r="I9" s="25"/>
      <c r="J9" s="4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82.5" customHeight="1">
      <c r="A10" s="11"/>
      <c r="B10" s="195" t="s">
        <v>212</v>
      </c>
      <c r="C10" s="196">
        <v>499000.0</v>
      </c>
      <c r="D10" s="102">
        <f t="shared" si="1"/>
        <v>797000</v>
      </c>
      <c r="E10" s="164">
        <v>399000.0</v>
      </c>
      <c r="F10" s="197">
        <f t="shared" si="2"/>
        <v>0.2004008016</v>
      </c>
      <c r="G10" s="80"/>
      <c r="H10" s="105"/>
      <c r="I10" s="11"/>
      <c r="J10" s="4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65" t="s">
        <v>213</v>
      </c>
      <c r="B11" s="107" t="s">
        <v>214</v>
      </c>
      <c r="C11" s="163">
        <v>419000.0</v>
      </c>
      <c r="D11" s="125">
        <f t="shared" si="1"/>
        <v>717000</v>
      </c>
      <c r="E11" s="190">
        <v>359000.0</v>
      </c>
      <c r="F11" s="191">
        <f t="shared" si="2"/>
        <v>0.1431980907</v>
      </c>
      <c r="G11" s="80"/>
      <c r="H11" s="105"/>
      <c r="I11" s="198"/>
      <c r="J11" s="4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25"/>
      <c r="B12" s="109" t="s">
        <v>215</v>
      </c>
      <c r="C12" s="163">
        <f>549000+289000</f>
        <v>838000</v>
      </c>
      <c r="D12" s="99">
        <f t="shared" si="1"/>
        <v>1499000</v>
      </c>
      <c r="E12" s="88">
        <v>750000.0</v>
      </c>
      <c r="F12" s="193">
        <f t="shared" si="2"/>
        <v>0.1050119332</v>
      </c>
      <c r="G12" s="80"/>
      <c r="H12" s="105"/>
      <c r="I12" s="25"/>
      <c r="J12" s="4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25"/>
      <c r="B13" s="109" t="s">
        <v>216</v>
      </c>
      <c r="C13" s="163">
        <v>228000.0</v>
      </c>
      <c r="D13" s="99">
        <f t="shared" si="1"/>
        <v>377000</v>
      </c>
      <c r="E13" s="88">
        <v>189000.0</v>
      </c>
      <c r="F13" s="193">
        <f t="shared" si="2"/>
        <v>0.1710526316</v>
      </c>
      <c r="G13" s="80"/>
      <c r="H13" s="105"/>
      <c r="I13" s="25"/>
      <c r="J13" s="4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25"/>
      <c r="B14" s="109" t="s">
        <v>217</v>
      </c>
      <c r="C14" s="163">
        <v>249000.0</v>
      </c>
      <c r="D14" s="99">
        <f t="shared" si="1"/>
        <v>397000</v>
      </c>
      <c r="E14" s="88">
        <v>199000.0</v>
      </c>
      <c r="F14" s="193">
        <f t="shared" si="2"/>
        <v>0.2008032129</v>
      </c>
      <c r="G14" s="80"/>
      <c r="H14" s="105"/>
      <c r="I14" s="25"/>
      <c r="J14" s="4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25"/>
      <c r="B15" s="109" t="s">
        <v>218</v>
      </c>
      <c r="C15" s="163">
        <v>539000.0</v>
      </c>
      <c r="D15" s="99">
        <f t="shared" si="1"/>
        <v>877000</v>
      </c>
      <c r="E15" s="88">
        <v>439000.0</v>
      </c>
      <c r="F15" s="193">
        <f t="shared" si="2"/>
        <v>0.185528757</v>
      </c>
      <c r="G15" s="80"/>
      <c r="H15" s="127"/>
      <c r="I15" s="25"/>
      <c r="J15" s="4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1"/>
      <c r="B16" s="110" t="s">
        <v>219</v>
      </c>
      <c r="C16" s="164">
        <v>629000.0</v>
      </c>
      <c r="D16" s="102">
        <f t="shared" si="1"/>
        <v>1097000</v>
      </c>
      <c r="E16" s="126">
        <v>549000.0</v>
      </c>
      <c r="F16" s="197">
        <f t="shared" si="2"/>
        <v>0.1271860095</v>
      </c>
      <c r="G16" s="80"/>
      <c r="H16" s="105"/>
      <c r="I16" s="11"/>
      <c r="J16" s="4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65" t="s">
        <v>220</v>
      </c>
      <c r="B17" s="107" t="s">
        <v>221</v>
      </c>
      <c r="C17" s="108">
        <v>220000.0</v>
      </c>
      <c r="D17" s="125">
        <f t="shared" si="1"/>
        <v>357000</v>
      </c>
      <c r="E17" s="108">
        <v>179000.0</v>
      </c>
      <c r="F17" s="191">
        <f t="shared" si="2"/>
        <v>0.1863636364</v>
      </c>
      <c r="G17" s="46"/>
      <c r="H17" s="105"/>
      <c r="I17" s="198"/>
      <c r="J17" s="4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25"/>
      <c r="B18" s="109" t="s">
        <v>222</v>
      </c>
      <c r="C18" s="88">
        <v>379000.0</v>
      </c>
      <c r="D18" s="99">
        <f t="shared" si="1"/>
        <v>597000</v>
      </c>
      <c r="E18" s="88">
        <v>299000.0</v>
      </c>
      <c r="F18" s="193">
        <f t="shared" si="2"/>
        <v>0.2110817942</v>
      </c>
      <c r="G18" s="80"/>
      <c r="H18" s="105"/>
      <c r="I18" s="25"/>
      <c r="J18" s="4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25"/>
      <c r="B19" s="109" t="s">
        <v>223</v>
      </c>
      <c r="C19" s="88">
        <v>359000.0</v>
      </c>
      <c r="D19" s="99">
        <f t="shared" si="1"/>
        <v>597000</v>
      </c>
      <c r="E19" s="88">
        <v>299000.0</v>
      </c>
      <c r="F19" s="193">
        <f t="shared" si="2"/>
        <v>0.1671309192</v>
      </c>
      <c r="G19" s="80"/>
      <c r="H19" s="105"/>
      <c r="I19" s="25"/>
      <c r="J19" s="4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11"/>
      <c r="B20" s="110" t="s">
        <v>224</v>
      </c>
      <c r="C20" s="163">
        <v>449000.0</v>
      </c>
      <c r="D20" s="102">
        <f t="shared" si="1"/>
        <v>797000</v>
      </c>
      <c r="E20" s="88">
        <v>399000.0</v>
      </c>
      <c r="F20" s="197">
        <f t="shared" si="2"/>
        <v>0.1113585746</v>
      </c>
      <c r="G20" s="80"/>
      <c r="H20" s="127"/>
      <c r="I20" s="11"/>
      <c r="J20" s="4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165" t="s">
        <v>28</v>
      </c>
      <c r="B21" s="66" t="s">
        <v>225</v>
      </c>
      <c r="C21" s="112">
        <v>69000.0</v>
      </c>
      <c r="D21" s="125">
        <f t="shared" si="1"/>
        <v>97000</v>
      </c>
      <c r="E21" s="112">
        <v>49000.0</v>
      </c>
      <c r="F21" s="191">
        <f t="shared" si="2"/>
        <v>0.2898550725</v>
      </c>
      <c r="G21" s="64"/>
      <c r="H21" s="113"/>
      <c r="I21" s="192"/>
      <c r="J21" s="4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25"/>
      <c r="B22" s="66" t="s">
        <v>226</v>
      </c>
      <c r="C22" s="114">
        <f>330000+289000</f>
        <v>619000</v>
      </c>
      <c r="D22" s="99">
        <f t="shared" si="1"/>
        <v>997000</v>
      </c>
      <c r="E22" s="114">
        <v>499000.0</v>
      </c>
      <c r="F22" s="193">
        <f t="shared" si="2"/>
        <v>0.1938610662</v>
      </c>
      <c r="G22" s="64"/>
      <c r="H22" s="113"/>
      <c r="I22" s="25"/>
      <c r="J22" s="4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25"/>
      <c r="B23" s="66" t="s">
        <v>227</v>
      </c>
      <c r="C23" s="114">
        <v>150000.0</v>
      </c>
      <c r="D23" s="99">
        <f t="shared" si="1"/>
        <v>237000</v>
      </c>
      <c r="E23" s="114">
        <v>119000.0</v>
      </c>
      <c r="F23" s="193">
        <f t="shared" si="2"/>
        <v>0.2066666667</v>
      </c>
      <c r="G23" s="64"/>
      <c r="H23" s="113"/>
      <c r="I23" s="25"/>
      <c r="J23" s="4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25"/>
      <c r="B24" s="66" t="s">
        <v>228</v>
      </c>
      <c r="C24" s="114">
        <v>280000.0</v>
      </c>
      <c r="D24" s="99">
        <f t="shared" si="1"/>
        <v>417000</v>
      </c>
      <c r="E24" s="114">
        <v>209000.0</v>
      </c>
      <c r="F24" s="193">
        <f t="shared" si="2"/>
        <v>0.2535714286</v>
      </c>
      <c r="G24" s="64"/>
      <c r="H24" s="113"/>
      <c r="I24" s="25"/>
      <c r="J24" s="4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25"/>
      <c r="B25" s="66" t="s">
        <v>229</v>
      </c>
      <c r="C25" s="114">
        <v>338000.0</v>
      </c>
      <c r="D25" s="99">
        <f t="shared" si="1"/>
        <v>597000</v>
      </c>
      <c r="E25" s="114">
        <v>299000.0</v>
      </c>
      <c r="F25" s="193">
        <f t="shared" si="2"/>
        <v>0.1153846154</v>
      </c>
      <c r="G25" s="64"/>
      <c r="H25" s="116"/>
      <c r="I25" s="25"/>
      <c r="J25" s="4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25"/>
      <c r="B26" s="66" t="s">
        <v>230</v>
      </c>
      <c r="C26" s="114">
        <v>459000.0</v>
      </c>
      <c r="D26" s="99">
        <f t="shared" si="1"/>
        <v>797000</v>
      </c>
      <c r="E26" s="114">
        <v>399000.0</v>
      </c>
      <c r="F26" s="193">
        <f t="shared" si="2"/>
        <v>0.1307189542</v>
      </c>
      <c r="G26" s="64"/>
      <c r="H26" s="113"/>
      <c r="I26" s="25"/>
      <c r="J26" s="4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11"/>
      <c r="B27" s="59" t="s">
        <v>231</v>
      </c>
      <c r="C27" s="146">
        <v>449000.0</v>
      </c>
      <c r="D27" s="102">
        <f t="shared" si="1"/>
        <v>677000</v>
      </c>
      <c r="E27" s="146">
        <v>339000.0</v>
      </c>
      <c r="F27" s="197">
        <f t="shared" si="2"/>
        <v>0.2449888641</v>
      </c>
      <c r="G27" s="72"/>
      <c r="H27" s="113"/>
      <c r="I27" s="11"/>
      <c r="J27" s="4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165" t="s">
        <v>91</v>
      </c>
      <c r="B28" s="199" t="s">
        <v>142</v>
      </c>
      <c r="C28" s="112">
        <v>70000.0</v>
      </c>
      <c r="D28" s="125">
        <f t="shared" si="1"/>
        <v>117000</v>
      </c>
      <c r="E28" s="112">
        <v>59000.0</v>
      </c>
      <c r="F28" s="200">
        <f t="shared" si="2"/>
        <v>0.1571428571</v>
      </c>
      <c r="G28" s="75"/>
      <c r="H28" s="121"/>
      <c r="I28" s="201"/>
      <c r="J28" s="4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25"/>
      <c r="B29" s="199" t="s">
        <v>143</v>
      </c>
      <c r="C29" s="114">
        <v>99000.0</v>
      </c>
      <c r="D29" s="99">
        <f t="shared" si="1"/>
        <v>177000</v>
      </c>
      <c r="E29" s="114">
        <v>89000.0</v>
      </c>
      <c r="F29" s="200">
        <f t="shared" si="2"/>
        <v>0.101010101</v>
      </c>
      <c r="G29" s="75"/>
      <c r="H29" s="121"/>
      <c r="I29" s="25"/>
      <c r="J29" s="4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11"/>
      <c r="B30" s="199" t="s">
        <v>144</v>
      </c>
      <c r="C30" s="146">
        <v>157000.0</v>
      </c>
      <c r="D30" s="102">
        <f t="shared" si="1"/>
        <v>197000</v>
      </c>
      <c r="E30" s="146">
        <v>99000.0</v>
      </c>
      <c r="F30" s="202">
        <f t="shared" si="2"/>
        <v>0.3694267516</v>
      </c>
      <c r="G30" s="80"/>
      <c r="H30" s="105"/>
      <c r="I30" s="11"/>
      <c r="J30" s="4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65" t="s">
        <v>232</v>
      </c>
      <c r="B31" s="61" t="s">
        <v>233</v>
      </c>
      <c r="C31" s="112">
        <v>249000.0</v>
      </c>
      <c r="D31" s="125">
        <f t="shared" si="1"/>
        <v>397000</v>
      </c>
      <c r="E31" s="112">
        <v>199000.0</v>
      </c>
      <c r="F31" s="191">
        <f t="shared" si="2"/>
        <v>0.2008032129</v>
      </c>
      <c r="G31" s="64"/>
      <c r="H31" s="113"/>
      <c r="I31" s="192"/>
      <c r="J31" s="4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11"/>
      <c r="B32" s="66" t="s">
        <v>234</v>
      </c>
      <c r="C32" s="114">
        <v>599000.0</v>
      </c>
      <c r="D32" s="102">
        <f t="shared" si="1"/>
        <v>997000</v>
      </c>
      <c r="E32" s="114">
        <v>499000.0</v>
      </c>
      <c r="F32" s="197">
        <f t="shared" si="2"/>
        <v>0.1669449082</v>
      </c>
      <c r="G32" s="64"/>
      <c r="H32" s="113"/>
      <c r="I32" s="11"/>
      <c r="J32" s="4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165" t="s">
        <v>180</v>
      </c>
      <c r="B33" s="203" t="s">
        <v>181</v>
      </c>
      <c r="C33" s="167">
        <v>1190000.0</v>
      </c>
      <c r="D33" s="125">
        <f t="shared" si="1"/>
        <v>2179000</v>
      </c>
      <c r="E33" s="168">
        <v>1090000.0</v>
      </c>
      <c r="F33" s="132"/>
      <c r="G33" s="105"/>
      <c r="H33" s="105"/>
      <c r="I33" s="192"/>
      <c r="J33" s="132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25"/>
      <c r="B34" s="204" t="s">
        <v>182</v>
      </c>
      <c r="C34" s="205">
        <v>1440000.0</v>
      </c>
      <c r="D34" s="99">
        <f t="shared" si="1"/>
        <v>2779000</v>
      </c>
      <c r="E34" s="172">
        <v>1390000.0</v>
      </c>
      <c r="F34" s="132"/>
      <c r="G34" s="105"/>
      <c r="H34" s="105"/>
      <c r="I34" s="25"/>
      <c r="J34" s="132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25"/>
      <c r="B35" s="204" t="s">
        <v>183</v>
      </c>
      <c r="C35" s="205">
        <v>2100000.0</v>
      </c>
      <c r="D35" s="102">
        <f t="shared" si="1"/>
        <v>3979000</v>
      </c>
      <c r="E35" s="172">
        <v>1990000.0</v>
      </c>
      <c r="F35" s="132"/>
      <c r="G35" s="105"/>
      <c r="H35" s="105"/>
      <c r="I35" s="25"/>
      <c r="J35" s="132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25"/>
      <c r="B36" s="203" t="s">
        <v>235</v>
      </c>
      <c r="C36" s="167">
        <v>1900000.0</v>
      </c>
      <c r="D36" s="125">
        <f t="shared" si="1"/>
        <v>3599000</v>
      </c>
      <c r="E36" s="168">
        <v>1800000.0</v>
      </c>
      <c r="F36" s="132"/>
      <c r="G36" s="105"/>
      <c r="H36" s="105"/>
      <c r="I36" s="25"/>
      <c r="J36" s="132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25"/>
      <c r="B37" s="206" t="s">
        <v>185</v>
      </c>
      <c r="C37" s="207">
        <v>2700000.0</v>
      </c>
      <c r="D37" s="102">
        <f t="shared" si="1"/>
        <v>5199000</v>
      </c>
      <c r="E37" s="176">
        <v>2600000.0</v>
      </c>
      <c r="F37" s="132"/>
      <c r="G37" s="105"/>
      <c r="H37" s="105"/>
      <c r="I37" s="25"/>
      <c r="J37" s="132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25"/>
      <c r="B38" s="203" t="s">
        <v>186</v>
      </c>
      <c r="C38" s="167">
        <v>1750000.0</v>
      </c>
      <c r="D38" s="125">
        <f t="shared" si="1"/>
        <v>3299000</v>
      </c>
      <c r="E38" s="168">
        <v>1650000.0</v>
      </c>
      <c r="F38" s="132"/>
      <c r="G38" s="105"/>
      <c r="H38" s="105"/>
      <c r="I38" s="25"/>
      <c r="J38" s="132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25"/>
      <c r="B39" s="206" t="s">
        <v>187</v>
      </c>
      <c r="C39" s="207">
        <v>2450000.0</v>
      </c>
      <c r="D39" s="102">
        <f t="shared" si="1"/>
        <v>4699000</v>
      </c>
      <c r="E39" s="176">
        <v>2350000.0</v>
      </c>
      <c r="F39" s="132"/>
      <c r="G39" s="105"/>
      <c r="H39" s="105"/>
      <c r="I39" s="25"/>
      <c r="J39" s="132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25"/>
      <c r="B40" s="208" t="s">
        <v>188</v>
      </c>
      <c r="C40" s="209">
        <v>276000.0</v>
      </c>
      <c r="D40" s="210">
        <f t="shared" si="1"/>
        <v>499000</v>
      </c>
      <c r="E40" s="211">
        <v>250000.0</v>
      </c>
      <c r="F40" s="132"/>
      <c r="G40" s="105"/>
      <c r="H40" s="105"/>
      <c r="I40" s="25"/>
      <c r="J40" s="132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25"/>
      <c r="B41" s="208" t="s">
        <v>189</v>
      </c>
      <c r="C41" s="8"/>
      <c r="D41" s="125">
        <f t="shared" si="1"/>
        <v>399000</v>
      </c>
      <c r="E41" s="172">
        <v>200000.0</v>
      </c>
      <c r="F41" s="132"/>
      <c r="G41" s="105"/>
      <c r="H41" s="105"/>
      <c r="I41" s="25"/>
      <c r="J41" s="132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25"/>
      <c r="B42" s="212" t="s">
        <v>190</v>
      </c>
      <c r="C42" s="8"/>
      <c r="D42" s="99">
        <f t="shared" si="1"/>
        <v>299000</v>
      </c>
      <c r="E42" s="172">
        <v>150000.0</v>
      </c>
      <c r="F42" s="132"/>
      <c r="G42" s="105"/>
      <c r="H42" s="105"/>
      <c r="I42" s="25"/>
      <c r="J42" s="132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25"/>
      <c r="B43" s="212" t="s">
        <v>191</v>
      </c>
      <c r="C43" s="8"/>
      <c r="D43" s="99">
        <f t="shared" si="1"/>
        <v>199000</v>
      </c>
      <c r="E43" s="172">
        <v>100000.0</v>
      </c>
      <c r="F43" s="132"/>
      <c r="G43" s="105"/>
      <c r="H43" s="105"/>
      <c r="I43" s="25"/>
      <c r="J43" s="132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25"/>
      <c r="B44" s="212" t="s">
        <v>192</v>
      </c>
      <c r="C44" s="8"/>
      <c r="D44" s="99">
        <f t="shared" si="1"/>
        <v>359000</v>
      </c>
      <c r="E44" s="172">
        <v>180000.0</v>
      </c>
      <c r="F44" s="132"/>
      <c r="G44" s="105"/>
      <c r="H44" s="105"/>
      <c r="I44" s="25"/>
      <c r="J44" s="132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25"/>
      <c r="B45" s="212" t="s">
        <v>193</v>
      </c>
      <c r="C45" s="8"/>
      <c r="D45" s="99">
        <f t="shared" si="1"/>
        <v>399000</v>
      </c>
      <c r="E45" s="172">
        <v>200000.0</v>
      </c>
      <c r="F45" s="132"/>
      <c r="G45" s="105"/>
      <c r="H45" s="105"/>
      <c r="I45" s="25"/>
      <c r="J45" s="132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11"/>
      <c r="B46" s="212" t="s">
        <v>194</v>
      </c>
      <c r="C46" s="213"/>
      <c r="D46" s="102">
        <f t="shared" si="1"/>
        <v>799000</v>
      </c>
      <c r="E46" s="176">
        <v>400000.0</v>
      </c>
      <c r="F46" s="132"/>
      <c r="G46" s="105"/>
      <c r="H46" s="105"/>
      <c r="I46" s="11"/>
      <c r="J46" s="132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178" t="s">
        <v>145</v>
      </c>
      <c r="B47" s="208" t="s">
        <v>146</v>
      </c>
      <c r="C47" s="108">
        <v>500000.0</v>
      </c>
      <c r="D47" s="125">
        <f t="shared" si="1"/>
        <v>899000</v>
      </c>
      <c r="E47" s="95">
        <v>450000.0</v>
      </c>
      <c r="F47" s="191"/>
      <c r="G47" s="64"/>
      <c r="H47" s="116"/>
      <c r="I47" s="192"/>
      <c r="J47" s="4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28"/>
      <c r="B48" s="212" t="s">
        <v>147</v>
      </c>
      <c r="C48" s="88">
        <v>1400000.0</v>
      </c>
      <c r="D48" s="99">
        <f t="shared" si="1"/>
        <v>2399000</v>
      </c>
      <c r="E48" s="98">
        <v>1200000.0</v>
      </c>
      <c r="F48" s="193"/>
      <c r="G48" s="64"/>
      <c r="H48" s="113"/>
      <c r="I48" s="25"/>
      <c r="J48" s="4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28"/>
      <c r="B49" s="212" t="s">
        <v>148</v>
      </c>
      <c r="C49" s="88">
        <v>650000.0</v>
      </c>
      <c r="D49" s="99">
        <f t="shared" si="1"/>
        <v>1199000</v>
      </c>
      <c r="E49" s="98">
        <v>600000.0</v>
      </c>
      <c r="F49" s="193"/>
      <c r="G49" s="64"/>
      <c r="H49" s="113"/>
      <c r="I49" s="25"/>
      <c r="J49" s="4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28"/>
      <c r="B50" s="212" t="s">
        <v>149</v>
      </c>
      <c r="C50" s="88">
        <v>1100000.0</v>
      </c>
      <c r="D50" s="99">
        <f t="shared" si="1"/>
        <v>1999000</v>
      </c>
      <c r="E50" s="98">
        <v>1000000.0</v>
      </c>
      <c r="F50" s="193"/>
      <c r="G50" s="64"/>
      <c r="H50" s="113"/>
      <c r="I50" s="25"/>
      <c r="J50" s="41" t="s">
        <v>236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28"/>
      <c r="B51" s="212" t="s">
        <v>150</v>
      </c>
      <c r="C51" s="114">
        <v>650000.0</v>
      </c>
      <c r="D51" s="99">
        <f t="shared" si="1"/>
        <v>1199000</v>
      </c>
      <c r="E51" s="98">
        <v>600000.0</v>
      </c>
      <c r="F51" s="193"/>
      <c r="G51" s="64"/>
      <c r="H51" s="113"/>
      <c r="I51" s="25"/>
      <c r="J51" s="41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49"/>
      <c r="B52" s="214" t="s">
        <v>151</v>
      </c>
      <c r="C52" s="126">
        <v>650000.0</v>
      </c>
      <c r="D52" s="102">
        <f t="shared" si="1"/>
        <v>1199000</v>
      </c>
      <c r="E52" s="103">
        <v>600000.0</v>
      </c>
      <c r="F52" s="197"/>
      <c r="G52" s="64"/>
      <c r="H52" s="113"/>
      <c r="I52" s="25"/>
      <c r="J52" s="141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215" t="s">
        <v>237</v>
      </c>
      <c r="J53" s="14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10"/>
      <c r="J54" s="14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10"/>
      <c r="J55" s="14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10"/>
      <c r="J56" s="14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58"/>
      <c r="B57" s="82"/>
      <c r="C57" s="82"/>
      <c r="D57" s="82"/>
      <c r="E57" s="82"/>
      <c r="F57" s="82"/>
      <c r="G57" s="82"/>
      <c r="H57" s="82"/>
      <c r="I57" s="82"/>
      <c r="J57" s="83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5"/>
      <c r="D58" s="85"/>
      <c r="E58" s="85"/>
      <c r="F58" s="85"/>
      <c r="G58" s="85"/>
      <c r="H58" s="86"/>
      <c r="I58" s="86"/>
      <c r="J58" s="8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216"/>
      <c r="D59" s="216"/>
      <c r="E59" s="216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216"/>
      <c r="D60" s="216"/>
      <c r="E60" s="216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5"/>
      <c r="D61" s="85"/>
      <c r="E61" s="85"/>
      <c r="F61" s="85"/>
      <c r="G61" s="85"/>
      <c r="H61" s="86"/>
      <c r="I61" s="86"/>
      <c r="J61" s="8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5"/>
      <c r="D62" s="85"/>
      <c r="E62" s="85"/>
      <c r="F62" s="85"/>
      <c r="G62" s="85"/>
      <c r="H62" s="86"/>
      <c r="I62" s="86"/>
      <c r="J62" s="8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5"/>
      <c r="D63" s="85"/>
      <c r="E63" s="85"/>
      <c r="F63" s="85"/>
      <c r="G63" s="85"/>
      <c r="H63" s="86"/>
      <c r="I63" s="86"/>
      <c r="J63" s="8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5"/>
      <c r="D64" s="85"/>
      <c r="E64" s="85"/>
      <c r="F64" s="85"/>
      <c r="G64" s="85"/>
      <c r="H64" s="86"/>
      <c r="I64" s="86"/>
      <c r="J64" s="8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5"/>
      <c r="D65" s="85"/>
      <c r="E65" s="85"/>
      <c r="F65" s="85"/>
      <c r="G65" s="85"/>
      <c r="H65" s="86"/>
      <c r="I65" s="86"/>
      <c r="J65" s="8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5"/>
      <c r="D66" s="85"/>
      <c r="E66" s="85"/>
      <c r="F66" s="85"/>
      <c r="G66" s="85"/>
      <c r="H66" s="86"/>
      <c r="I66" s="86"/>
      <c r="J66" s="8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5"/>
      <c r="D67" s="85"/>
      <c r="E67" s="85"/>
      <c r="F67" s="85"/>
      <c r="G67" s="85"/>
      <c r="H67" s="86"/>
      <c r="I67" s="86"/>
      <c r="J67" s="8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5"/>
      <c r="D68" s="85"/>
      <c r="E68" s="85"/>
      <c r="F68" s="85"/>
      <c r="G68" s="85"/>
      <c r="H68" s="86"/>
      <c r="I68" s="86"/>
      <c r="J68" s="8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5"/>
      <c r="D69" s="85"/>
      <c r="E69" s="85"/>
      <c r="F69" s="85"/>
      <c r="G69" s="85"/>
      <c r="H69" s="86"/>
      <c r="I69" s="86"/>
      <c r="J69" s="8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5"/>
      <c r="D70" s="85"/>
      <c r="E70" s="85"/>
      <c r="F70" s="85"/>
      <c r="G70" s="85"/>
      <c r="H70" s="86"/>
      <c r="I70" s="86"/>
      <c r="J70" s="8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5"/>
      <c r="D71" s="85"/>
      <c r="E71" s="85"/>
      <c r="F71" s="85"/>
      <c r="G71" s="85"/>
      <c r="H71" s="86"/>
      <c r="I71" s="86"/>
      <c r="J71" s="8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5"/>
      <c r="D72" s="85"/>
      <c r="E72" s="85"/>
      <c r="F72" s="85"/>
      <c r="G72" s="85"/>
      <c r="H72" s="86"/>
      <c r="I72" s="86"/>
      <c r="J72" s="8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5"/>
      <c r="D73" s="85"/>
      <c r="E73" s="85"/>
      <c r="F73" s="85"/>
      <c r="G73" s="85"/>
      <c r="H73" s="86"/>
      <c r="I73" s="86"/>
      <c r="J73" s="8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5"/>
      <c r="D74" s="85"/>
      <c r="E74" s="85"/>
      <c r="F74" s="85"/>
      <c r="G74" s="85"/>
      <c r="H74" s="86"/>
      <c r="I74" s="86"/>
      <c r="J74" s="8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5"/>
      <c r="D75" s="85"/>
      <c r="E75" s="85"/>
      <c r="F75" s="85"/>
      <c r="G75" s="85"/>
      <c r="H75" s="86"/>
      <c r="I75" s="86"/>
      <c r="J75" s="8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5"/>
      <c r="D76" s="85"/>
      <c r="E76" s="85"/>
      <c r="F76" s="85"/>
      <c r="G76" s="85"/>
      <c r="H76" s="86"/>
      <c r="I76" s="86"/>
      <c r="J76" s="8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5"/>
      <c r="D77" s="85"/>
      <c r="E77" s="85"/>
      <c r="F77" s="85"/>
      <c r="G77" s="85"/>
      <c r="H77" s="86"/>
      <c r="I77" s="86"/>
      <c r="J77" s="8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5"/>
      <c r="D78" s="85"/>
      <c r="E78" s="85"/>
      <c r="F78" s="85"/>
      <c r="G78" s="85"/>
      <c r="H78" s="86"/>
      <c r="I78" s="86"/>
      <c r="J78" s="8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5"/>
      <c r="D79" s="85"/>
      <c r="E79" s="85"/>
      <c r="F79" s="85"/>
      <c r="G79" s="85"/>
      <c r="H79" s="86"/>
      <c r="I79" s="86"/>
      <c r="J79" s="8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5"/>
      <c r="D80" s="85"/>
      <c r="E80" s="85"/>
      <c r="F80" s="85"/>
      <c r="G80" s="85"/>
      <c r="H80" s="86"/>
      <c r="I80" s="86"/>
      <c r="J80" s="8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5"/>
      <c r="D81" s="85"/>
      <c r="E81" s="85"/>
      <c r="F81" s="85"/>
      <c r="G81" s="85"/>
      <c r="H81" s="86"/>
      <c r="I81" s="86"/>
      <c r="J81" s="8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5"/>
      <c r="D82" s="85"/>
      <c r="E82" s="85"/>
      <c r="F82" s="85"/>
      <c r="G82" s="85"/>
      <c r="H82" s="86"/>
      <c r="I82" s="86"/>
      <c r="J82" s="8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5"/>
      <c r="D83" s="85"/>
      <c r="E83" s="85"/>
      <c r="F83" s="85"/>
      <c r="G83" s="85"/>
      <c r="H83" s="86"/>
      <c r="I83" s="86"/>
      <c r="J83" s="8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5"/>
      <c r="D84" s="85"/>
      <c r="E84" s="85"/>
      <c r="F84" s="85"/>
      <c r="G84" s="85"/>
      <c r="H84" s="86"/>
      <c r="I84" s="86"/>
      <c r="J84" s="8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5"/>
      <c r="D85" s="85"/>
      <c r="E85" s="85"/>
      <c r="F85" s="85"/>
      <c r="G85" s="85"/>
      <c r="H85" s="86"/>
      <c r="I85" s="86"/>
      <c r="J85" s="8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5"/>
      <c r="D86" s="85"/>
      <c r="E86" s="85"/>
      <c r="F86" s="85"/>
      <c r="G86" s="85"/>
      <c r="H86" s="86"/>
      <c r="I86" s="86"/>
      <c r="J86" s="8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5"/>
      <c r="D87" s="85"/>
      <c r="E87" s="85"/>
      <c r="F87" s="85"/>
      <c r="G87" s="85"/>
      <c r="H87" s="86"/>
      <c r="I87" s="86"/>
      <c r="J87" s="8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5"/>
      <c r="D88" s="85"/>
      <c r="E88" s="85"/>
      <c r="F88" s="85"/>
      <c r="G88" s="85"/>
      <c r="H88" s="86"/>
      <c r="I88" s="86"/>
      <c r="J88" s="8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5"/>
      <c r="D89" s="85"/>
      <c r="E89" s="85"/>
      <c r="F89" s="85"/>
      <c r="G89" s="85"/>
      <c r="H89" s="86"/>
      <c r="I89" s="86"/>
      <c r="J89" s="8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5"/>
      <c r="D90" s="85"/>
      <c r="E90" s="85"/>
      <c r="F90" s="85"/>
      <c r="G90" s="85"/>
      <c r="H90" s="86"/>
      <c r="I90" s="86"/>
      <c r="J90" s="8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5"/>
      <c r="D91" s="85"/>
      <c r="E91" s="85"/>
      <c r="F91" s="85"/>
      <c r="G91" s="85"/>
      <c r="H91" s="86"/>
      <c r="I91" s="86"/>
      <c r="J91" s="8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5"/>
      <c r="D92" s="85"/>
      <c r="E92" s="85"/>
      <c r="F92" s="85"/>
      <c r="G92" s="85"/>
      <c r="H92" s="86"/>
      <c r="I92" s="86"/>
      <c r="J92" s="8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5"/>
      <c r="D93" s="85"/>
      <c r="E93" s="85"/>
      <c r="F93" s="85"/>
      <c r="G93" s="85"/>
      <c r="H93" s="86"/>
      <c r="I93" s="86"/>
      <c r="J93" s="8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5"/>
      <c r="D94" s="85"/>
      <c r="E94" s="85"/>
      <c r="F94" s="85"/>
      <c r="G94" s="85"/>
      <c r="H94" s="86"/>
      <c r="I94" s="86"/>
      <c r="J94" s="8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5"/>
      <c r="D95" s="85"/>
      <c r="E95" s="85"/>
      <c r="F95" s="85"/>
      <c r="G95" s="85"/>
      <c r="H95" s="86"/>
      <c r="I95" s="86"/>
      <c r="J95" s="8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5"/>
      <c r="D96" s="85"/>
      <c r="E96" s="85"/>
      <c r="F96" s="85"/>
      <c r="G96" s="85"/>
      <c r="H96" s="86"/>
      <c r="I96" s="86"/>
      <c r="J96" s="8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5"/>
      <c r="D97" s="85"/>
      <c r="E97" s="85"/>
      <c r="F97" s="85"/>
      <c r="G97" s="85"/>
      <c r="H97" s="86"/>
      <c r="I97" s="86"/>
      <c r="J97" s="8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5"/>
      <c r="D98" s="85"/>
      <c r="E98" s="85"/>
      <c r="F98" s="85"/>
      <c r="G98" s="85"/>
      <c r="H98" s="86"/>
      <c r="I98" s="86"/>
      <c r="J98" s="8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5"/>
      <c r="D99" s="85"/>
      <c r="E99" s="85"/>
      <c r="F99" s="85"/>
      <c r="G99" s="85"/>
      <c r="H99" s="86"/>
      <c r="I99" s="86"/>
      <c r="J99" s="8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5"/>
      <c r="D100" s="85"/>
      <c r="E100" s="85"/>
      <c r="F100" s="85"/>
      <c r="G100" s="85"/>
      <c r="H100" s="86"/>
      <c r="I100" s="86"/>
      <c r="J100" s="8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5"/>
      <c r="D101" s="85"/>
      <c r="E101" s="85"/>
      <c r="F101" s="85"/>
      <c r="G101" s="85"/>
      <c r="H101" s="86"/>
      <c r="I101" s="86"/>
      <c r="J101" s="8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5"/>
      <c r="D102" s="85"/>
      <c r="E102" s="85"/>
      <c r="F102" s="85"/>
      <c r="G102" s="85"/>
      <c r="H102" s="86"/>
      <c r="I102" s="86"/>
      <c r="J102" s="8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5"/>
      <c r="D103" s="85"/>
      <c r="E103" s="85"/>
      <c r="F103" s="85"/>
      <c r="G103" s="85"/>
      <c r="H103" s="86"/>
      <c r="I103" s="86"/>
      <c r="J103" s="8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5"/>
      <c r="D104" s="85"/>
      <c r="E104" s="85"/>
      <c r="F104" s="85"/>
      <c r="G104" s="85"/>
      <c r="H104" s="86"/>
      <c r="I104" s="86"/>
      <c r="J104" s="8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5"/>
      <c r="D105" s="85"/>
      <c r="E105" s="85"/>
      <c r="F105" s="85"/>
      <c r="G105" s="85"/>
      <c r="H105" s="86"/>
      <c r="I105" s="86"/>
      <c r="J105" s="8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5"/>
      <c r="D106" s="85"/>
      <c r="E106" s="85"/>
      <c r="F106" s="85"/>
      <c r="G106" s="85"/>
      <c r="H106" s="86"/>
      <c r="I106" s="86"/>
      <c r="J106" s="8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5"/>
      <c r="D107" s="85"/>
      <c r="E107" s="85"/>
      <c r="F107" s="85"/>
      <c r="G107" s="85"/>
      <c r="H107" s="86"/>
      <c r="I107" s="86"/>
      <c r="J107" s="8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5"/>
      <c r="D108" s="85"/>
      <c r="E108" s="85"/>
      <c r="F108" s="85"/>
      <c r="G108" s="85"/>
      <c r="H108" s="86"/>
      <c r="I108" s="86"/>
      <c r="J108" s="8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5"/>
      <c r="D109" s="85"/>
      <c r="E109" s="85"/>
      <c r="F109" s="85"/>
      <c r="G109" s="85"/>
      <c r="H109" s="86"/>
      <c r="I109" s="86"/>
      <c r="J109" s="8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5"/>
      <c r="D110" s="85"/>
      <c r="E110" s="85"/>
      <c r="F110" s="85"/>
      <c r="G110" s="85"/>
      <c r="H110" s="86"/>
      <c r="I110" s="86"/>
      <c r="J110" s="8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5"/>
      <c r="D111" s="85"/>
      <c r="E111" s="85"/>
      <c r="F111" s="85"/>
      <c r="G111" s="85"/>
      <c r="H111" s="86"/>
      <c r="I111" s="86"/>
      <c r="J111" s="8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5"/>
      <c r="D112" s="85"/>
      <c r="E112" s="85"/>
      <c r="F112" s="85"/>
      <c r="G112" s="85"/>
      <c r="H112" s="86"/>
      <c r="I112" s="86"/>
      <c r="J112" s="8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5"/>
      <c r="D113" s="85"/>
      <c r="E113" s="85"/>
      <c r="F113" s="85"/>
      <c r="G113" s="85"/>
      <c r="H113" s="86"/>
      <c r="I113" s="86"/>
      <c r="J113" s="8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5"/>
      <c r="D114" s="85"/>
      <c r="E114" s="85"/>
      <c r="F114" s="85"/>
      <c r="G114" s="85"/>
      <c r="H114" s="86"/>
      <c r="I114" s="86"/>
      <c r="J114" s="8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5"/>
      <c r="D115" s="85"/>
      <c r="E115" s="85"/>
      <c r="F115" s="85"/>
      <c r="G115" s="85"/>
      <c r="H115" s="86"/>
      <c r="I115" s="86"/>
      <c r="J115" s="8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5"/>
      <c r="D116" s="85"/>
      <c r="E116" s="85"/>
      <c r="F116" s="85"/>
      <c r="G116" s="85"/>
      <c r="H116" s="86"/>
      <c r="I116" s="86"/>
      <c r="J116" s="8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5"/>
      <c r="D117" s="85"/>
      <c r="E117" s="85"/>
      <c r="F117" s="85"/>
      <c r="G117" s="85"/>
      <c r="H117" s="86"/>
      <c r="I117" s="86"/>
      <c r="J117" s="8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5"/>
      <c r="D118" s="85"/>
      <c r="E118" s="85"/>
      <c r="F118" s="85"/>
      <c r="G118" s="85"/>
      <c r="H118" s="86"/>
      <c r="I118" s="86"/>
      <c r="J118" s="8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5"/>
      <c r="D119" s="85"/>
      <c r="E119" s="85"/>
      <c r="F119" s="85"/>
      <c r="G119" s="85"/>
      <c r="H119" s="86"/>
      <c r="I119" s="86"/>
      <c r="J119" s="8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5"/>
      <c r="D120" s="85"/>
      <c r="E120" s="85"/>
      <c r="F120" s="85"/>
      <c r="G120" s="85"/>
      <c r="H120" s="86"/>
      <c r="I120" s="86"/>
      <c r="J120" s="8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5"/>
      <c r="D121" s="85"/>
      <c r="E121" s="85"/>
      <c r="F121" s="85"/>
      <c r="G121" s="85"/>
      <c r="H121" s="86"/>
      <c r="I121" s="86"/>
      <c r="J121" s="8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5"/>
      <c r="D122" s="85"/>
      <c r="E122" s="85"/>
      <c r="F122" s="85"/>
      <c r="G122" s="85"/>
      <c r="H122" s="86"/>
      <c r="I122" s="86"/>
      <c r="J122" s="8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5"/>
      <c r="D123" s="85"/>
      <c r="E123" s="85"/>
      <c r="F123" s="85"/>
      <c r="G123" s="85"/>
      <c r="H123" s="86"/>
      <c r="I123" s="86"/>
      <c r="J123" s="8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5"/>
      <c r="D124" s="85"/>
      <c r="E124" s="85"/>
      <c r="F124" s="85"/>
      <c r="G124" s="85"/>
      <c r="H124" s="86"/>
      <c r="I124" s="86"/>
      <c r="J124" s="8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5"/>
      <c r="D125" s="85"/>
      <c r="E125" s="85"/>
      <c r="F125" s="85"/>
      <c r="G125" s="85"/>
      <c r="H125" s="86"/>
      <c r="I125" s="86"/>
      <c r="J125" s="8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5"/>
      <c r="D126" s="85"/>
      <c r="E126" s="85"/>
      <c r="F126" s="85"/>
      <c r="G126" s="85"/>
      <c r="H126" s="86"/>
      <c r="I126" s="86"/>
      <c r="J126" s="8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5"/>
      <c r="D127" s="85"/>
      <c r="E127" s="85"/>
      <c r="F127" s="85"/>
      <c r="G127" s="85"/>
      <c r="H127" s="86"/>
      <c r="I127" s="86"/>
      <c r="J127" s="8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5"/>
      <c r="D128" s="85"/>
      <c r="E128" s="85"/>
      <c r="F128" s="85"/>
      <c r="G128" s="85"/>
      <c r="H128" s="86"/>
      <c r="I128" s="86"/>
      <c r="J128" s="8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5"/>
      <c r="D129" s="85"/>
      <c r="E129" s="85"/>
      <c r="F129" s="85"/>
      <c r="G129" s="85"/>
      <c r="H129" s="86"/>
      <c r="I129" s="86"/>
      <c r="J129" s="8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6"/>
      <c r="D130" s="86"/>
      <c r="E130" s="86"/>
      <c r="F130" s="86"/>
      <c r="G130" s="86"/>
      <c r="H130" s="86"/>
      <c r="I130" s="86"/>
      <c r="J130" s="8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6"/>
      <c r="D131" s="86"/>
      <c r="E131" s="86"/>
      <c r="F131" s="86"/>
      <c r="G131" s="86"/>
      <c r="H131" s="86"/>
      <c r="I131" s="86"/>
      <c r="J131" s="8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6"/>
      <c r="D132" s="86"/>
      <c r="E132" s="86"/>
      <c r="F132" s="86"/>
      <c r="G132" s="86"/>
      <c r="H132" s="86"/>
      <c r="I132" s="86"/>
      <c r="J132" s="8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6"/>
      <c r="D133" s="86"/>
      <c r="E133" s="86"/>
      <c r="F133" s="86"/>
      <c r="G133" s="86"/>
      <c r="H133" s="86"/>
      <c r="I133" s="86"/>
      <c r="J133" s="8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6"/>
      <c r="D134" s="86"/>
      <c r="E134" s="86"/>
      <c r="F134" s="86"/>
      <c r="G134" s="86"/>
      <c r="H134" s="86"/>
      <c r="I134" s="86"/>
      <c r="J134" s="8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6"/>
      <c r="D135" s="86"/>
      <c r="E135" s="86"/>
      <c r="F135" s="86"/>
      <c r="G135" s="86"/>
      <c r="H135" s="86"/>
      <c r="I135" s="86"/>
      <c r="J135" s="8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6"/>
      <c r="D136" s="86"/>
      <c r="E136" s="86"/>
      <c r="F136" s="86"/>
      <c r="G136" s="86"/>
      <c r="H136" s="86"/>
      <c r="I136" s="86"/>
      <c r="J136" s="8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6"/>
      <c r="D137" s="86"/>
      <c r="E137" s="86"/>
      <c r="F137" s="86"/>
      <c r="G137" s="86"/>
      <c r="H137" s="86"/>
      <c r="I137" s="86"/>
      <c r="J137" s="8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6"/>
      <c r="D138" s="86"/>
      <c r="E138" s="86"/>
      <c r="F138" s="86"/>
      <c r="G138" s="86"/>
      <c r="H138" s="86"/>
      <c r="I138" s="86"/>
      <c r="J138" s="8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6"/>
      <c r="D139" s="86"/>
      <c r="E139" s="86"/>
      <c r="F139" s="86"/>
      <c r="G139" s="86"/>
      <c r="H139" s="86"/>
      <c r="I139" s="86"/>
      <c r="J139" s="8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6"/>
      <c r="D140" s="86"/>
      <c r="E140" s="86"/>
      <c r="F140" s="86"/>
      <c r="G140" s="86"/>
      <c r="H140" s="86"/>
      <c r="I140" s="86"/>
      <c r="J140" s="8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6"/>
      <c r="D141" s="86"/>
      <c r="E141" s="86"/>
      <c r="F141" s="86"/>
      <c r="G141" s="86"/>
      <c r="H141" s="86"/>
      <c r="I141" s="86"/>
      <c r="J141" s="8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6"/>
      <c r="D142" s="86"/>
      <c r="E142" s="86"/>
      <c r="F142" s="86"/>
      <c r="G142" s="86"/>
      <c r="H142" s="86"/>
      <c r="I142" s="86"/>
      <c r="J142" s="8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6"/>
      <c r="D143" s="86"/>
      <c r="E143" s="86"/>
      <c r="F143" s="86"/>
      <c r="G143" s="86"/>
      <c r="H143" s="86"/>
      <c r="I143" s="86"/>
      <c r="J143" s="8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6"/>
      <c r="D144" s="86"/>
      <c r="E144" s="86"/>
      <c r="F144" s="86"/>
      <c r="G144" s="86"/>
      <c r="H144" s="86"/>
      <c r="I144" s="86"/>
      <c r="J144" s="8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6"/>
      <c r="D145" s="86"/>
      <c r="E145" s="86"/>
      <c r="F145" s="86"/>
      <c r="G145" s="86"/>
      <c r="H145" s="86"/>
      <c r="I145" s="86"/>
      <c r="J145" s="8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6"/>
      <c r="D146" s="86"/>
      <c r="E146" s="86"/>
      <c r="F146" s="86"/>
      <c r="G146" s="86"/>
      <c r="H146" s="86"/>
      <c r="I146" s="86"/>
      <c r="J146" s="8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6"/>
      <c r="D147" s="86"/>
      <c r="E147" s="86"/>
      <c r="F147" s="86"/>
      <c r="G147" s="86"/>
      <c r="H147" s="86"/>
      <c r="I147" s="86"/>
      <c r="J147" s="8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6"/>
      <c r="D148" s="86"/>
      <c r="E148" s="86"/>
      <c r="F148" s="86"/>
      <c r="G148" s="86"/>
      <c r="H148" s="86"/>
      <c r="I148" s="86"/>
      <c r="J148" s="8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6"/>
      <c r="D149" s="86"/>
      <c r="E149" s="86"/>
      <c r="F149" s="86"/>
      <c r="G149" s="86"/>
      <c r="H149" s="86"/>
      <c r="I149" s="86"/>
      <c r="J149" s="8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6"/>
      <c r="D150" s="86"/>
      <c r="E150" s="86"/>
      <c r="F150" s="86"/>
      <c r="G150" s="86"/>
      <c r="H150" s="86"/>
      <c r="I150" s="86"/>
      <c r="J150" s="8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6"/>
      <c r="D151" s="86"/>
      <c r="E151" s="86"/>
      <c r="F151" s="86"/>
      <c r="G151" s="86"/>
      <c r="H151" s="86"/>
      <c r="I151" s="86"/>
      <c r="J151" s="8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6"/>
      <c r="D152" s="86"/>
      <c r="E152" s="86"/>
      <c r="F152" s="86"/>
      <c r="G152" s="86"/>
      <c r="H152" s="86"/>
      <c r="I152" s="86"/>
      <c r="J152" s="8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6"/>
      <c r="D153" s="86"/>
      <c r="E153" s="86"/>
      <c r="F153" s="86"/>
      <c r="G153" s="86"/>
      <c r="H153" s="86"/>
      <c r="I153" s="86"/>
      <c r="J153" s="8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6"/>
      <c r="D154" s="86"/>
      <c r="E154" s="86"/>
      <c r="F154" s="86"/>
      <c r="G154" s="86"/>
      <c r="H154" s="86"/>
      <c r="I154" s="86"/>
      <c r="J154" s="8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6"/>
      <c r="D155" s="86"/>
      <c r="E155" s="86"/>
      <c r="F155" s="86"/>
      <c r="G155" s="86"/>
      <c r="H155" s="86"/>
      <c r="I155" s="86"/>
      <c r="J155" s="8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6"/>
      <c r="D156" s="86"/>
      <c r="E156" s="86"/>
      <c r="F156" s="86"/>
      <c r="G156" s="86"/>
      <c r="H156" s="86"/>
      <c r="I156" s="86"/>
      <c r="J156" s="8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6"/>
      <c r="D157" s="86"/>
      <c r="E157" s="86"/>
      <c r="F157" s="86"/>
      <c r="G157" s="86"/>
      <c r="H157" s="86"/>
      <c r="I157" s="86"/>
      <c r="J157" s="8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6"/>
      <c r="D158" s="86"/>
      <c r="E158" s="86"/>
      <c r="F158" s="86"/>
      <c r="G158" s="86"/>
      <c r="H158" s="86"/>
      <c r="I158" s="86"/>
      <c r="J158" s="8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6"/>
      <c r="D159" s="86"/>
      <c r="E159" s="86"/>
      <c r="F159" s="86"/>
      <c r="G159" s="86"/>
      <c r="H159" s="86"/>
      <c r="I159" s="86"/>
      <c r="J159" s="8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6"/>
      <c r="D160" s="86"/>
      <c r="E160" s="86"/>
      <c r="F160" s="86"/>
      <c r="G160" s="86"/>
      <c r="H160" s="86"/>
      <c r="I160" s="86"/>
      <c r="J160" s="8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6"/>
      <c r="D161" s="86"/>
      <c r="E161" s="86"/>
      <c r="F161" s="86"/>
      <c r="G161" s="86"/>
      <c r="H161" s="86"/>
      <c r="I161" s="86"/>
      <c r="J161" s="8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6"/>
      <c r="D162" s="86"/>
      <c r="E162" s="86"/>
      <c r="F162" s="86"/>
      <c r="G162" s="86"/>
      <c r="H162" s="86"/>
      <c r="I162" s="86"/>
      <c r="J162" s="8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6"/>
      <c r="D163" s="86"/>
      <c r="E163" s="86"/>
      <c r="F163" s="86"/>
      <c r="G163" s="86"/>
      <c r="H163" s="86"/>
      <c r="I163" s="86"/>
      <c r="J163" s="8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6"/>
      <c r="D164" s="86"/>
      <c r="E164" s="86"/>
      <c r="F164" s="86"/>
      <c r="G164" s="86"/>
      <c r="H164" s="86"/>
      <c r="I164" s="86"/>
      <c r="J164" s="8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6"/>
      <c r="D165" s="86"/>
      <c r="E165" s="86"/>
      <c r="F165" s="86"/>
      <c r="G165" s="86"/>
      <c r="H165" s="86"/>
      <c r="I165" s="86"/>
      <c r="J165" s="8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6"/>
      <c r="D166" s="86"/>
      <c r="E166" s="86"/>
      <c r="F166" s="86"/>
      <c r="G166" s="86"/>
      <c r="H166" s="86"/>
      <c r="I166" s="86"/>
      <c r="J166" s="8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6"/>
      <c r="D167" s="86"/>
      <c r="E167" s="86"/>
      <c r="F167" s="86"/>
      <c r="G167" s="86"/>
      <c r="H167" s="86"/>
      <c r="I167" s="86"/>
      <c r="J167" s="8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6"/>
      <c r="D168" s="86"/>
      <c r="E168" s="86"/>
      <c r="F168" s="86"/>
      <c r="G168" s="86"/>
      <c r="H168" s="86"/>
      <c r="I168" s="86"/>
      <c r="J168" s="8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6"/>
      <c r="D169" s="86"/>
      <c r="E169" s="86"/>
      <c r="F169" s="86"/>
      <c r="G169" s="86"/>
      <c r="H169" s="86"/>
      <c r="I169" s="86"/>
      <c r="J169" s="8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6"/>
      <c r="D170" s="86"/>
      <c r="E170" s="86"/>
      <c r="F170" s="86"/>
      <c r="G170" s="86"/>
      <c r="H170" s="86"/>
      <c r="I170" s="86"/>
      <c r="J170" s="8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6"/>
      <c r="D171" s="86"/>
      <c r="E171" s="86"/>
      <c r="F171" s="86"/>
      <c r="G171" s="86"/>
      <c r="H171" s="86"/>
      <c r="I171" s="86"/>
      <c r="J171" s="8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6"/>
      <c r="D172" s="86"/>
      <c r="E172" s="86"/>
      <c r="F172" s="86"/>
      <c r="G172" s="86"/>
      <c r="H172" s="86"/>
      <c r="I172" s="86"/>
      <c r="J172" s="8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6"/>
      <c r="D173" s="86"/>
      <c r="E173" s="86"/>
      <c r="F173" s="86"/>
      <c r="G173" s="86"/>
      <c r="H173" s="86"/>
      <c r="I173" s="86"/>
      <c r="J173" s="8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6"/>
      <c r="D174" s="86"/>
      <c r="E174" s="86"/>
      <c r="F174" s="86"/>
      <c r="G174" s="86"/>
      <c r="H174" s="86"/>
      <c r="I174" s="86"/>
      <c r="J174" s="8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6"/>
      <c r="D175" s="86"/>
      <c r="E175" s="86"/>
      <c r="F175" s="86"/>
      <c r="G175" s="86"/>
      <c r="H175" s="86"/>
      <c r="I175" s="86"/>
      <c r="J175" s="8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6"/>
      <c r="D176" s="86"/>
      <c r="E176" s="86"/>
      <c r="F176" s="86"/>
      <c r="G176" s="86"/>
      <c r="H176" s="86"/>
      <c r="I176" s="86"/>
      <c r="J176" s="8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6"/>
      <c r="D177" s="86"/>
      <c r="E177" s="86"/>
      <c r="F177" s="86"/>
      <c r="G177" s="86"/>
      <c r="H177" s="86"/>
      <c r="I177" s="86"/>
      <c r="J177" s="8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6"/>
      <c r="D178" s="86"/>
      <c r="E178" s="86"/>
      <c r="F178" s="86"/>
      <c r="G178" s="86"/>
      <c r="H178" s="86"/>
      <c r="I178" s="86"/>
      <c r="J178" s="8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6"/>
      <c r="D179" s="86"/>
      <c r="E179" s="86"/>
      <c r="F179" s="86"/>
      <c r="G179" s="86"/>
      <c r="H179" s="86"/>
      <c r="I179" s="86"/>
      <c r="J179" s="8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6"/>
      <c r="D180" s="86"/>
      <c r="E180" s="86"/>
      <c r="F180" s="86"/>
      <c r="G180" s="86"/>
      <c r="H180" s="86"/>
      <c r="I180" s="86"/>
      <c r="J180" s="8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6"/>
      <c r="D181" s="86"/>
      <c r="E181" s="86"/>
      <c r="F181" s="86"/>
      <c r="G181" s="86"/>
      <c r="H181" s="86"/>
      <c r="I181" s="86"/>
      <c r="J181" s="8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6"/>
      <c r="D182" s="86"/>
      <c r="E182" s="86"/>
      <c r="F182" s="86"/>
      <c r="G182" s="86"/>
      <c r="H182" s="86"/>
      <c r="I182" s="86"/>
      <c r="J182" s="8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6"/>
      <c r="D183" s="86"/>
      <c r="E183" s="86"/>
      <c r="F183" s="86"/>
      <c r="G183" s="86"/>
      <c r="H183" s="86"/>
      <c r="I183" s="86"/>
      <c r="J183" s="8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6"/>
      <c r="D184" s="86"/>
      <c r="E184" s="86"/>
      <c r="F184" s="86"/>
      <c r="G184" s="86"/>
      <c r="H184" s="86"/>
      <c r="I184" s="86"/>
      <c r="J184" s="8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6"/>
      <c r="D185" s="86"/>
      <c r="E185" s="86"/>
      <c r="F185" s="86"/>
      <c r="G185" s="86"/>
      <c r="H185" s="86"/>
      <c r="I185" s="86"/>
      <c r="J185" s="8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6"/>
      <c r="D186" s="86"/>
      <c r="E186" s="86"/>
      <c r="F186" s="86"/>
      <c r="G186" s="86"/>
      <c r="H186" s="86"/>
      <c r="I186" s="86"/>
      <c r="J186" s="8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6"/>
      <c r="D187" s="86"/>
      <c r="E187" s="86"/>
      <c r="F187" s="86"/>
      <c r="G187" s="86"/>
      <c r="H187" s="86"/>
      <c r="I187" s="86"/>
      <c r="J187" s="8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6"/>
      <c r="D188" s="86"/>
      <c r="E188" s="86"/>
      <c r="F188" s="86"/>
      <c r="G188" s="86"/>
      <c r="H188" s="86"/>
      <c r="I188" s="86"/>
      <c r="J188" s="8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6"/>
      <c r="D189" s="86"/>
      <c r="E189" s="86"/>
      <c r="F189" s="86"/>
      <c r="G189" s="86"/>
      <c r="H189" s="86"/>
      <c r="I189" s="86"/>
      <c r="J189" s="8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6"/>
      <c r="D190" s="86"/>
      <c r="E190" s="86"/>
      <c r="F190" s="86"/>
      <c r="G190" s="86"/>
      <c r="H190" s="86"/>
      <c r="I190" s="86"/>
      <c r="J190" s="8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6"/>
      <c r="D191" s="86"/>
      <c r="E191" s="86"/>
      <c r="F191" s="86"/>
      <c r="G191" s="86"/>
      <c r="H191" s="86"/>
      <c r="I191" s="86"/>
      <c r="J191" s="8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6"/>
      <c r="D192" s="86"/>
      <c r="E192" s="86"/>
      <c r="F192" s="86"/>
      <c r="G192" s="86"/>
      <c r="H192" s="86"/>
      <c r="I192" s="86"/>
      <c r="J192" s="8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6"/>
      <c r="D193" s="86"/>
      <c r="E193" s="86"/>
      <c r="F193" s="86"/>
      <c r="G193" s="86"/>
      <c r="H193" s="86"/>
      <c r="I193" s="86"/>
      <c r="J193" s="8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6"/>
      <c r="D194" s="86"/>
      <c r="E194" s="86"/>
      <c r="F194" s="86"/>
      <c r="G194" s="86"/>
      <c r="H194" s="86"/>
      <c r="I194" s="86"/>
      <c r="J194" s="8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6"/>
      <c r="D195" s="86"/>
      <c r="E195" s="86"/>
      <c r="F195" s="86"/>
      <c r="G195" s="86"/>
      <c r="H195" s="86"/>
      <c r="I195" s="86"/>
      <c r="J195" s="8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6"/>
      <c r="D196" s="86"/>
      <c r="E196" s="86"/>
      <c r="F196" s="86"/>
      <c r="G196" s="86"/>
      <c r="H196" s="86"/>
      <c r="I196" s="86"/>
      <c r="J196" s="8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6"/>
      <c r="D197" s="86"/>
      <c r="E197" s="86"/>
      <c r="F197" s="86"/>
      <c r="G197" s="86"/>
      <c r="H197" s="86"/>
      <c r="I197" s="86"/>
      <c r="J197" s="8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6"/>
      <c r="D198" s="86"/>
      <c r="E198" s="86"/>
      <c r="F198" s="86"/>
      <c r="G198" s="86"/>
      <c r="H198" s="86"/>
      <c r="I198" s="86"/>
      <c r="J198" s="8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6"/>
      <c r="D199" s="86"/>
      <c r="E199" s="86"/>
      <c r="F199" s="86"/>
      <c r="G199" s="86"/>
      <c r="H199" s="86"/>
      <c r="I199" s="86"/>
      <c r="J199" s="8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6"/>
      <c r="D200" s="86"/>
      <c r="E200" s="86"/>
      <c r="F200" s="86"/>
      <c r="G200" s="86"/>
      <c r="H200" s="86"/>
      <c r="I200" s="86"/>
      <c r="J200" s="8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6"/>
      <c r="D201" s="86"/>
      <c r="E201" s="86"/>
      <c r="F201" s="86"/>
      <c r="G201" s="86"/>
      <c r="H201" s="86"/>
      <c r="I201" s="86"/>
      <c r="J201" s="8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6"/>
      <c r="D202" s="86"/>
      <c r="E202" s="86"/>
      <c r="F202" s="86"/>
      <c r="G202" s="86"/>
      <c r="H202" s="86"/>
      <c r="I202" s="86"/>
      <c r="J202" s="8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6"/>
      <c r="D203" s="86"/>
      <c r="E203" s="86"/>
      <c r="F203" s="86"/>
      <c r="G203" s="86"/>
      <c r="H203" s="86"/>
      <c r="I203" s="86"/>
      <c r="J203" s="8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6"/>
      <c r="D204" s="86"/>
      <c r="E204" s="86"/>
      <c r="F204" s="86"/>
      <c r="G204" s="86"/>
      <c r="H204" s="86"/>
      <c r="I204" s="86"/>
      <c r="J204" s="8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6"/>
      <c r="D205" s="86"/>
      <c r="E205" s="86"/>
      <c r="F205" s="86"/>
      <c r="G205" s="86"/>
      <c r="H205" s="86"/>
      <c r="I205" s="86"/>
      <c r="J205" s="8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6"/>
      <c r="D206" s="86"/>
      <c r="E206" s="86"/>
      <c r="F206" s="86"/>
      <c r="G206" s="86"/>
      <c r="H206" s="86"/>
      <c r="I206" s="86"/>
      <c r="J206" s="8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6"/>
      <c r="D207" s="86"/>
      <c r="E207" s="86"/>
      <c r="F207" s="86"/>
      <c r="G207" s="86"/>
      <c r="H207" s="86"/>
      <c r="I207" s="86"/>
      <c r="J207" s="8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6"/>
      <c r="D208" s="86"/>
      <c r="E208" s="86"/>
      <c r="F208" s="86"/>
      <c r="G208" s="86"/>
      <c r="H208" s="86"/>
      <c r="I208" s="86"/>
      <c r="J208" s="8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6"/>
      <c r="D209" s="86"/>
      <c r="E209" s="86"/>
      <c r="F209" s="86"/>
      <c r="G209" s="86"/>
      <c r="H209" s="86"/>
      <c r="I209" s="86"/>
      <c r="J209" s="8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6"/>
      <c r="D210" s="86"/>
      <c r="E210" s="86"/>
      <c r="F210" s="86"/>
      <c r="G210" s="86"/>
      <c r="H210" s="86"/>
      <c r="I210" s="86"/>
      <c r="J210" s="8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6"/>
      <c r="D211" s="86"/>
      <c r="E211" s="86"/>
      <c r="F211" s="86"/>
      <c r="G211" s="86"/>
      <c r="H211" s="86"/>
      <c r="I211" s="86"/>
      <c r="J211" s="8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6"/>
      <c r="D212" s="86"/>
      <c r="E212" s="86"/>
      <c r="F212" s="86"/>
      <c r="G212" s="86"/>
      <c r="H212" s="86"/>
      <c r="I212" s="86"/>
      <c r="J212" s="8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6"/>
      <c r="D213" s="86"/>
      <c r="E213" s="86"/>
      <c r="F213" s="86"/>
      <c r="G213" s="86"/>
      <c r="H213" s="86"/>
      <c r="I213" s="86"/>
      <c r="J213" s="8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6"/>
      <c r="D214" s="86"/>
      <c r="E214" s="86"/>
      <c r="F214" s="86"/>
      <c r="G214" s="86"/>
      <c r="H214" s="86"/>
      <c r="I214" s="86"/>
      <c r="J214" s="8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6"/>
      <c r="D215" s="86"/>
      <c r="E215" s="86"/>
      <c r="F215" s="86"/>
      <c r="G215" s="86"/>
      <c r="H215" s="86"/>
      <c r="I215" s="86"/>
      <c r="J215" s="8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6"/>
      <c r="D216" s="86"/>
      <c r="E216" s="86"/>
      <c r="F216" s="86"/>
      <c r="G216" s="86"/>
      <c r="H216" s="86"/>
      <c r="I216" s="86"/>
      <c r="J216" s="8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6"/>
      <c r="D217" s="86"/>
      <c r="E217" s="86"/>
      <c r="F217" s="86"/>
      <c r="G217" s="86"/>
      <c r="H217" s="86"/>
      <c r="I217" s="86"/>
      <c r="J217" s="8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6"/>
      <c r="D218" s="86"/>
      <c r="E218" s="86"/>
      <c r="F218" s="86"/>
      <c r="G218" s="86"/>
      <c r="H218" s="86"/>
      <c r="I218" s="86"/>
      <c r="J218" s="8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6"/>
      <c r="D219" s="86"/>
      <c r="E219" s="86"/>
      <c r="F219" s="86"/>
      <c r="G219" s="86"/>
      <c r="H219" s="86"/>
      <c r="I219" s="86"/>
      <c r="J219" s="8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6"/>
      <c r="D220" s="86"/>
      <c r="E220" s="86"/>
      <c r="F220" s="86"/>
      <c r="G220" s="86"/>
      <c r="H220" s="86"/>
      <c r="I220" s="86"/>
      <c r="J220" s="8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6"/>
      <c r="D221" s="86"/>
      <c r="E221" s="86"/>
      <c r="F221" s="86"/>
      <c r="G221" s="86"/>
      <c r="H221" s="86"/>
      <c r="I221" s="86"/>
      <c r="J221" s="8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J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J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J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J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J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J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J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J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J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J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J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J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J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J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J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J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J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J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J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J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J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J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J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J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J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J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J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J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J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J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J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J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J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J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J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J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J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J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J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J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J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J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J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J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J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J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J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J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J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J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J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J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J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J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J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J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J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J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J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J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J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J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J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J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J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J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J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J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J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J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J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J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J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J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J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J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J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J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J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J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J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J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J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J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J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J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J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J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J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J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J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J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J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J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J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J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J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J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J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J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J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J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J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J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J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J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J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J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J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J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J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J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J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J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J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J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J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J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J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J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J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J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J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J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J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J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J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J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J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J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J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J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J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J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J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J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J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J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J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J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J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J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J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J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J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J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J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J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J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J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J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J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J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J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J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J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J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J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J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J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J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J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J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J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J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J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J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J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J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J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J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J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J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J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J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J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J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J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J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J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J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J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J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J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J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J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J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J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J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J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J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J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J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J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J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J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J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J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J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J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J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J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J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J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J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J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J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J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J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J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J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J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J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J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J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J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J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J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J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J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J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J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J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J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J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J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J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J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J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J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J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J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J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J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J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J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J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J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J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J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J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J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J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J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J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J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J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J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J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J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J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J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J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J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J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J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J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J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J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J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J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J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J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J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J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J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J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J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J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J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J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J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J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J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J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J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J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J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J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J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J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J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J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J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J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J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J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J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J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J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J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J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J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J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J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J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J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J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J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J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J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J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J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J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J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J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J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J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J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J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J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J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J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J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J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J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J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J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J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J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J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J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J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J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J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J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J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J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J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J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J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J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J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J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J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J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J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J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J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J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J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J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J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J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J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J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J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J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J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J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J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J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J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J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J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J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J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J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J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J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J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J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J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J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J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J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J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J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J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J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J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J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J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J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J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J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J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J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J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J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J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J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J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J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J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J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J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J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J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J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J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J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J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J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J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J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J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J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J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J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J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J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J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J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J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J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J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J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J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J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J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J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J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J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J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J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J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J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J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J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J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J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J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J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J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J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J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J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J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J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J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J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J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J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J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J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J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J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J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J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J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J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J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J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J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J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J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J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J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J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J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J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J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J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J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J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J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J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J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J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J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J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J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J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J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J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J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J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J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J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J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J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J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J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J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J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J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J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J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J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J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J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J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J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J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J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J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J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J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J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J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J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J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J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J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J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J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J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J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J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J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J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J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J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J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J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J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J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J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J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J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J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J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J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J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J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J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J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J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J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J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J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J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J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J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J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J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J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J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J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J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J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J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J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J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J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J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J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J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J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J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J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J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J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J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J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J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J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J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J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J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J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J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J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J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J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J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J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J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J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J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J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J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J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J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J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J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J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J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J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J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J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J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J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J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J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J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J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J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J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J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J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J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J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J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J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J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J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J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J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J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J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J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J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J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J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J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J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J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J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J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J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J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J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J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J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J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J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J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J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J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J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J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J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J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J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J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J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J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J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J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J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J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J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J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J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J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J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J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J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J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J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J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J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J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J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J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J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J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J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J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J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J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J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J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J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J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J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J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J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J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J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J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J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J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J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J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J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J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J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J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J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J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J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J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J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J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J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J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J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J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J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J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J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J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J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J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J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J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J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J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J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J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J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J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J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J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J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J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J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J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J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J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J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J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J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J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J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J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J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J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J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J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J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J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J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J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J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J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J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J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J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J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J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J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J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J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J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J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J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J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J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J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J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J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J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J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J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J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J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J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J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J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J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J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J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J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J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J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J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J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J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J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J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J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J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J1000" s="92"/>
    </row>
  </sheetData>
  <mergeCells count="29">
    <mergeCell ref="A1:B2"/>
    <mergeCell ref="C1:C2"/>
    <mergeCell ref="D1:D2"/>
    <mergeCell ref="E1:E2"/>
    <mergeCell ref="F1:J2"/>
    <mergeCell ref="A3:B3"/>
    <mergeCell ref="C3:C4"/>
    <mergeCell ref="J3:J4"/>
    <mergeCell ref="A31:A32"/>
    <mergeCell ref="A33:A46"/>
    <mergeCell ref="A47:A52"/>
    <mergeCell ref="D3:D4"/>
    <mergeCell ref="E3:E4"/>
    <mergeCell ref="A5:A10"/>
    <mergeCell ref="A11:A16"/>
    <mergeCell ref="A17:A20"/>
    <mergeCell ref="A21:A27"/>
    <mergeCell ref="A28:A30"/>
    <mergeCell ref="I31:I32"/>
    <mergeCell ref="I33:I46"/>
    <mergeCell ref="I47:I52"/>
    <mergeCell ref="A53:J57"/>
    <mergeCell ref="F3:F4"/>
    <mergeCell ref="I3:I4"/>
    <mergeCell ref="I5:I10"/>
    <mergeCell ref="I11:I16"/>
    <mergeCell ref="I17:I20"/>
    <mergeCell ref="I21:I27"/>
    <mergeCell ref="I28:I30"/>
  </mergeCells>
  <printOptions/>
  <pageMargins bottom="0.75" footer="0.0" header="0.0" left="0.25" right="0.25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137.57"/>
    <col customWidth="1" min="3" max="3" width="36.29"/>
    <col customWidth="1" min="4" max="5" width="34.29"/>
    <col customWidth="1" min="6" max="6" width="30.86"/>
    <col customWidth="1" min="7" max="7" width="21.14"/>
    <col customWidth="1" min="8" max="8" width="21.57"/>
    <col customWidth="1" min="10" max="10" width="49.71"/>
  </cols>
  <sheetData>
    <row r="1" ht="16.5" customHeight="1">
      <c r="A1" s="1" t="s">
        <v>238</v>
      </c>
      <c r="B1" s="2"/>
      <c r="C1" s="154" t="s">
        <v>66</v>
      </c>
      <c r="D1" s="155" t="s">
        <v>239</v>
      </c>
      <c r="E1" s="156" t="s">
        <v>240</v>
      </c>
      <c r="F1" s="6" t="s">
        <v>201</v>
      </c>
      <c r="G1" s="2"/>
      <c r="H1" s="2"/>
      <c r="I1" s="2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0"/>
      <c r="C2" s="11"/>
      <c r="D2" s="36"/>
      <c r="E2" s="11"/>
      <c r="F2" s="13"/>
      <c r="J2" s="1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5"/>
      <c r="B3" s="16"/>
      <c r="C3" s="21" t="s">
        <v>202</v>
      </c>
      <c r="D3" s="22" t="s">
        <v>203</v>
      </c>
      <c r="E3" s="217" t="s">
        <v>204</v>
      </c>
      <c r="F3" s="22" t="s">
        <v>205</v>
      </c>
      <c r="G3" s="19" t="s">
        <v>4</v>
      </c>
      <c r="H3" s="20" t="s">
        <v>5</v>
      </c>
      <c r="I3" s="21" t="s">
        <v>6</v>
      </c>
      <c r="J3" s="22" t="s">
        <v>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23" t="s">
        <v>8</v>
      </c>
      <c r="B4" s="24" t="s">
        <v>9</v>
      </c>
      <c r="C4" s="28"/>
      <c r="D4" s="25"/>
      <c r="E4" s="36"/>
      <c r="F4" s="25"/>
      <c r="G4" s="27" t="s">
        <v>10</v>
      </c>
      <c r="H4" s="27" t="s">
        <v>11</v>
      </c>
      <c r="I4" s="28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78" t="s">
        <v>241</v>
      </c>
      <c r="B5" s="107" t="s">
        <v>242</v>
      </c>
      <c r="C5" s="120">
        <v>349000.0</v>
      </c>
      <c r="D5" s="125">
        <v>537000.0</v>
      </c>
      <c r="E5" s="190">
        <v>299000.0</v>
      </c>
      <c r="F5" s="191">
        <f t="shared" ref="F5:F29" si="1">1-E5/C5</f>
        <v>0.1432664756</v>
      </c>
      <c r="G5" s="96"/>
      <c r="H5" s="143"/>
      <c r="I5" s="34"/>
      <c r="J5" s="3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28"/>
      <c r="B6" s="218" t="s">
        <v>243</v>
      </c>
      <c r="C6" s="122">
        <v>469000.0</v>
      </c>
      <c r="D6" s="99">
        <v>797000.0</v>
      </c>
      <c r="E6" s="163">
        <v>399000.0</v>
      </c>
      <c r="F6" s="193">
        <f t="shared" si="1"/>
        <v>0.1492537313</v>
      </c>
      <c r="G6" s="96"/>
      <c r="H6" s="143"/>
      <c r="I6" s="26"/>
      <c r="J6" s="41" t="s">
        <v>244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28"/>
      <c r="B7" s="218" t="s">
        <v>245</v>
      </c>
      <c r="C7" s="163">
        <v>599000.0</v>
      </c>
      <c r="D7" s="99">
        <v>997000.0</v>
      </c>
      <c r="E7" s="163">
        <v>499000.0</v>
      </c>
      <c r="F7" s="193">
        <f t="shared" si="1"/>
        <v>0.1669449082</v>
      </c>
      <c r="G7" s="46"/>
      <c r="H7" s="105"/>
      <c r="I7" s="26"/>
      <c r="J7" s="4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28"/>
      <c r="B8" s="218" t="s">
        <v>246</v>
      </c>
      <c r="C8" s="163">
        <v>849000.0</v>
      </c>
      <c r="D8" s="99">
        <v>1537000.0</v>
      </c>
      <c r="E8" s="163">
        <v>769000.0</v>
      </c>
      <c r="F8" s="193">
        <f t="shared" si="1"/>
        <v>0.09422850412</v>
      </c>
      <c r="G8" s="80"/>
      <c r="H8" s="105"/>
      <c r="I8" s="26"/>
      <c r="J8" s="4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49"/>
      <c r="B9" s="218" t="s">
        <v>247</v>
      </c>
      <c r="C9" s="164">
        <v>1800000.0</v>
      </c>
      <c r="D9" s="102">
        <v>3399000.0</v>
      </c>
      <c r="E9" s="164">
        <v>1700000.0</v>
      </c>
      <c r="F9" s="197">
        <f t="shared" si="1"/>
        <v>0.05555555556</v>
      </c>
      <c r="G9" s="80"/>
      <c r="H9" s="127"/>
      <c r="I9" s="12"/>
      <c r="J9" s="4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42" t="s">
        <v>248</v>
      </c>
      <c r="B10" s="219" t="s">
        <v>249</v>
      </c>
      <c r="C10" s="190">
        <v>269000.0</v>
      </c>
      <c r="D10" s="125">
        <v>477000.0</v>
      </c>
      <c r="E10" s="190">
        <v>239000.0</v>
      </c>
      <c r="F10" s="191">
        <f t="shared" si="1"/>
        <v>0.1115241636</v>
      </c>
      <c r="G10" s="80"/>
      <c r="H10" s="105"/>
      <c r="I10" s="100"/>
      <c r="J10" s="4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0"/>
      <c r="B11" s="109" t="s">
        <v>250</v>
      </c>
      <c r="C11" s="163">
        <v>329000.0</v>
      </c>
      <c r="D11" s="99">
        <v>537000.0</v>
      </c>
      <c r="E11" s="88">
        <v>269000.0</v>
      </c>
      <c r="F11" s="193">
        <f t="shared" si="1"/>
        <v>0.1823708207</v>
      </c>
      <c r="G11" s="80"/>
      <c r="H11" s="105"/>
      <c r="I11" s="26"/>
      <c r="J11" s="4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0"/>
      <c r="B12" s="109" t="s">
        <v>251</v>
      </c>
      <c r="C12" s="163">
        <v>330000.0</v>
      </c>
      <c r="D12" s="99">
        <v>597000.0</v>
      </c>
      <c r="E12" s="88">
        <v>299000.0</v>
      </c>
      <c r="F12" s="193">
        <f t="shared" si="1"/>
        <v>0.09393939394</v>
      </c>
      <c r="G12" s="80"/>
      <c r="H12" s="105"/>
      <c r="I12" s="26"/>
      <c r="J12" s="4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0"/>
      <c r="B13" s="218" t="s">
        <v>252</v>
      </c>
      <c r="C13" s="163">
        <v>799000.0</v>
      </c>
      <c r="D13" s="99">
        <v>1397000.0</v>
      </c>
      <c r="E13" s="88">
        <v>699000.0</v>
      </c>
      <c r="F13" s="193">
        <f t="shared" si="1"/>
        <v>0.1251564456</v>
      </c>
      <c r="G13" s="80"/>
      <c r="H13" s="127"/>
      <c r="I13" s="26"/>
      <c r="J13" s="4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0"/>
      <c r="B14" s="218" t="s">
        <v>253</v>
      </c>
      <c r="C14" s="163">
        <v>809000.0</v>
      </c>
      <c r="D14" s="99">
        <v>1417000.0</v>
      </c>
      <c r="E14" s="88">
        <v>709000.0</v>
      </c>
      <c r="F14" s="193">
        <f t="shared" si="1"/>
        <v>0.1236093943</v>
      </c>
      <c r="G14" s="80"/>
      <c r="H14" s="127"/>
      <c r="I14" s="26"/>
      <c r="J14" s="4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58"/>
      <c r="B15" s="218" t="s">
        <v>254</v>
      </c>
      <c r="C15" s="164">
        <v>959000.0</v>
      </c>
      <c r="D15" s="102">
        <v>1717000.0</v>
      </c>
      <c r="E15" s="126">
        <v>859000.0</v>
      </c>
      <c r="F15" s="197">
        <f t="shared" si="1"/>
        <v>0.1042752868</v>
      </c>
      <c r="G15" s="46"/>
      <c r="H15" s="105"/>
      <c r="I15" s="12"/>
      <c r="J15" s="4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42" t="s">
        <v>255</v>
      </c>
      <c r="B16" s="61" t="s">
        <v>256</v>
      </c>
      <c r="C16" s="108">
        <v>177000.0</v>
      </c>
      <c r="D16" s="125">
        <v>257000.0</v>
      </c>
      <c r="E16" s="108">
        <v>129000.0</v>
      </c>
      <c r="F16" s="191">
        <f t="shared" si="1"/>
        <v>0.2711864407</v>
      </c>
      <c r="G16" s="46"/>
      <c r="H16" s="105"/>
      <c r="I16" s="100"/>
      <c r="J16" s="4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0"/>
      <c r="B17" s="66" t="s">
        <v>78</v>
      </c>
      <c r="C17" s="88">
        <v>240000.0</v>
      </c>
      <c r="D17" s="99">
        <v>397000.0</v>
      </c>
      <c r="E17" s="88">
        <v>199000.0</v>
      </c>
      <c r="F17" s="193">
        <f t="shared" si="1"/>
        <v>0.1708333333</v>
      </c>
      <c r="G17" s="80"/>
      <c r="H17" s="105"/>
      <c r="I17" s="26"/>
      <c r="J17" s="4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0"/>
      <c r="B18" s="66" t="s">
        <v>257</v>
      </c>
      <c r="C18" s="88">
        <v>444000.0</v>
      </c>
      <c r="D18" s="99">
        <v>797000.0</v>
      </c>
      <c r="E18" s="88">
        <v>399000.0</v>
      </c>
      <c r="F18" s="193">
        <f t="shared" si="1"/>
        <v>0.1013513514</v>
      </c>
      <c r="G18" s="80"/>
      <c r="H18" s="127"/>
      <c r="I18" s="26"/>
      <c r="J18" s="4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58"/>
      <c r="B19" s="220" t="s">
        <v>258</v>
      </c>
      <c r="C19" s="163">
        <v>478000.0</v>
      </c>
      <c r="D19" s="99">
        <v>897000.0</v>
      </c>
      <c r="E19" s="88">
        <v>449000.0</v>
      </c>
      <c r="F19" s="197">
        <f t="shared" si="1"/>
        <v>0.06066945607</v>
      </c>
      <c r="G19" s="80"/>
      <c r="H19" s="105"/>
      <c r="I19" s="26"/>
      <c r="J19" s="4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215" t="s">
        <v>28</v>
      </c>
      <c r="B20" s="61" t="s">
        <v>259</v>
      </c>
      <c r="C20" s="112">
        <v>59000.0</v>
      </c>
      <c r="D20" s="125">
        <v>77000.0</v>
      </c>
      <c r="E20" s="112">
        <v>39000.0</v>
      </c>
      <c r="F20" s="191">
        <f t="shared" si="1"/>
        <v>0.3389830508</v>
      </c>
      <c r="G20" s="64"/>
      <c r="H20" s="113"/>
      <c r="I20" s="65"/>
      <c r="J20" s="4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10"/>
      <c r="B21" s="66" t="s">
        <v>260</v>
      </c>
      <c r="C21" s="114">
        <v>118000.0</v>
      </c>
      <c r="D21" s="99">
        <v>157000.0</v>
      </c>
      <c r="E21" s="114">
        <v>79000.0</v>
      </c>
      <c r="F21" s="193">
        <f t="shared" si="1"/>
        <v>0.3305084746</v>
      </c>
      <c r="G21" s="64"/>
      <c r="H21" s="113"/>
      <c r="I21" s="26"/>
      <c r="J21" s="4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10"/>
      <c r="B22" s="66" t="s">
        <v>261</v>
      </c>
      <c r="C22" s="114">
        <v>124000.0</v>
      </c>
      <c r="D22" s="99">
        <v>197000.0</v>
      </c>
      <c r="E22" s="114">
        <v>99000.0</v>
      </c>
      <c r="F22" s="193">
        <f t="shared" si="1"/>
        <v>0.2016129032</v>
      </c>
      <c r="G22" s="64"/>
      <c r="H22" s="113"/>
      <c r="I22" s="26"/>
      <c r="J22" s="4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10"/>
      <c r="B23" s="66" t="s">
        <v>262</v>
      </c>
      <c r="C23" s="114">
        <v>154000.0</v>
      </c>
      <c r="D23" s="99">
        <v>237000.0</v>
      </c>
      <c r="E23" s="114">
        <v>119000.0</v>
      </c>
      <c r="F23" s="193">
        <f t="shared" si="1"/>
        <v>0.2272727273</v>
      </c>
      <c r="G23" s="64"/>
      <c r="H23" s="113"/>
      <c r="I23" s="26"/>
      <c r="J23" s="4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10"/>
      <c r="B24" s="66" t="s">
        <v>263</v>
      </c>
      <c r="C24" s="114">
        <v>219000.0</v>
      </c>
      <c r="D24" s="99">
        <v>397000.0</v>
      </c>
      <c r="E24" s="114">
        <v>199000.0</v>
      </c>
      <c r="F24" s="193">
        <f t="shared" si="1"/>
        <v>0.09132420091</v>
      </c>
      <c r="G24" s="64"/>
      <c r="H24" s="113"/>
      <c r="I24" s="26"/>
      <c r="J24" s="4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10"/>
      <c r="B25" s="66" t="s">
        <v>177</v>
      </c>
      <c r="C25" s="114">
        <v>240000.0</v>
      </c>
      <c r="D25" s="99">
        <v>397000.0</v>
      </c>
      <c r="E25" s="114">
        <v>199000.0</v>
      </c>
      <c r="F25" s="193">
        <f t="shared" si="1"/>
        <v>0.1708333333</v>
      </c>
      <c r="G25" s="64"/>
      <c r="H25" s="113"/>
      <c r="I25" s="26"/>
      <c r="J25" s="4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58"/>
      <c r="B26" s="59" t="s">
        <v>264</v>
      </c>
      <c r="C26" s="146">
        <v>249000.0</v>
      </c>
      <c r="D26" s="102">
        <v>397000.0</v>
      </c>
      <c r="E26" s="146">
        <v>199000.0</v>
      </c>
      <c r="F26" s="197">
        <f t="shared" si="1"/>
        <v>0.2008032129</v>
      </c>
      <c r="G26" s="64"/>
      <c r="H26" s="113"/>
      <c r="I26" s="26"/>
      <c r="J26" s="4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165" t="s">
        <v>91</v>
      </c>
      <c r="B27" s="61" t="s">
        <v>265</v>
      </c>
      <c r="C27" s="112">
        <v>79000.0</v>
      </c>
      <c r="D27" s="125">
        <f t="shared" ref="D27:D29" si="2">E27*2-1000</f>
        <v>117000</v>
      </c>
      <c r="E27" s="112">
        <v>59000.0</v>
      </c>
      <c r="F27" s="200">
        <f t="shared" si="1"/>
        <v>0.253164557</v>
      </c>
      <c r="G27" s="75"/>
      <c r="H27" s="121"/>
      <c r="I27" s="76"/>
      <c r="J27" s="4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25"/>
      <c r="B28" s="66" t="s">
        <v>266</v>
      </c>
      <c r="C28" s="114">
        <v>89500.0</v>
      </c>
      <c r="D28" s="99">
        <f t="shared" si="2"/>
        <v>157000</v>
      </c>
      <c r="E28" s="114">
        <v>79000.0</v>
      </c>
      <c r="F28" s="200">
        <f t="shared" si="1"/>
        <v>0.1173184358</v>
      </c>
      <c r="G28" s="75"/>
      <c r="H28" s="121"/>
      <c r="I28" s="26"/>
      <c r="J28" s="4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11"/>
      <c r="B29" s="59" t="s">
        <v>267</v>
      </c>
      <c r="C29" s="146">
        <v>118000.0</v>
      </c>
      <c r="D29" s="102">
        <f t="shared" si="2"/>
        <v>177000</v>
      </c>
      <c r="E29" s="146">
        <v>89000.0</v>
      </c>
      <c r="F29" s="202">
        <f t="shared" si="1"/>
        <v>0.2457627119</v>
      </c>
      <c r="G29" s="80"/>
      <c r="H29" s="105"/>
      <c r="I29" s="26"/>
      <c r="J29" s="4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215" t="s">
        <v>268</v>
      </c>
      <c r="B30" s="61" t="s">
        <v>269</v>
      </c>
      <c r="C30" s="114"/>
      <c r="D30" s="125"/>
      <c r="E30" s="114"/>
      <c r="F30" s="191"/>
      <c r="G30" s="64"/>
      <c r="H30" s="113"/>
      <c r="I30" s="65"/>
      <c r="J30" s="4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0"/>
      <c r="B31" s="25"/>
      <c r="C31" s="114"/>
      <c r="D31" s="99"/>
      <c r="E31" s="114"/>
      <c r="F31" s="193"/>
      <c r="G31" s="64"/>
      <c r="H31" s="113"/>
      <c r="I31" s="26"/>
      <c r="J31" s="4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10"/>
      <c r="B32" s="25"/>
      <c r="C32" s="114"/>
      <c r="D32" s="99"/>
      <c r="E32" s="114"/>
      <c r="F32" s="193"/>
      <c r="G32" s="64"/>
      <c r="H32" s="113"/>
      <c r="I32" s="26"/>
      <c r="J32" s="4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58"/>
      <c r="B33" s="11"/>
      <c r="C33" s="146"/>
      <c r="D33" s="102"/>
      <c r="E33" s="146"/>
      <c r="F33" s="197"/>
      <c r="G33" s="64"/>
      <c r="H33" s="113"/>
      <c r="I33" s="26"/>
      <c r="J33" s="4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215" t="s">
        <v>270</v>
      </c>
      <c r="B34" s="66" t="s">
        <v>271</v>
      </c>
      <c r="C34" s="114">
        <v>950000.0</v>
      </c>
      <c r="D34" s="125">
        <f t="shared" ref="D34:D54" si="3">E34*2-1000</f>
        <v>1699000</v>
      </c>
      <c r="E34" s="114">
        <v>850000.0</v>
      </c>
      <c r="F34" s="191">
        <f t="shared" ref="F34:F40" si="4">1-E34/C34</f>
        <v>0.1052631579</v>
      </c>
      <c r="G34" s="64"/>
      <c r="H34" s="113"/>
      <c r="I34" s="65"/>
      <c r="J34" s="41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10"/>
      <c r="B35" s="66" t="s">
        <v>272</v>
      </c>
      <c r="C35" s="114">
        <v>1600000.0</v>
      </c>
      <c r="D35" s="99">
        <f t="shared" si="3"/>
        <v>3099000</v>
      </c>
      <c r="E35" s="114">
        <v>1550000.0</v>
      </c>
      <c r="F35" s="193">
        <f t="shared" si="4"/>
        <v>0.03125</v>
      </c>
      <c r="G35" s="64"/>
      <c r="H35" s="113"/>
      <c r="I35" s="26"/>
      <c r="J35" s="4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10"/>
      <c r="B36" s="66" t="s">
        <v>273</v>
      </c>
      <c r="C36" s="114">
        <v>2400000.0</v>
      </c>
      <c r="D36" s="99">
        <f t="shared" si="3"/>
        <v>4599000</v>
      </c>
      <c r="E36" s="114">
        <v>2300000.0</v>
      </c>
      <c r="F36" s="193">
        <f t="shared" si="4"/>
        <v>0.04166666667</v>
      </c>
      <c r="G36" s="64"/>
      <c r="H36" s="113"/>
      <c r="I36" s="26"/>
      <c r="J36" s="4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10"/>
      <c r="B37" s="66" t="s">
        <v>274</v>
      </c>
      <c r="C37" s="114">
        <v>1750000.0</v>
      </c>
      <c r="D37" s="99">
        <f t="shared" si="3"/>
        <v>3299000</v>
      </c>
      <c r="E37" s="114">
        <v>1650000.0</v>
      </c>
      <c r="F37" s="193">
        <f t="shared" si="4"/>
        <v>0.05714285714</v>
      </c>
      <c r="G37" s="64"/>
      <c r="H37" s="113"/>
      <c r="I37" s="26"/>
      <c r="J37" s="4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58"/>
      <c r="B38" s="66" t="s">
        <v>275</v>
      </c>
      <c r="C38" s="114">
        <v>2450000.0</v>
      </c>
      <c r="D38" s="102">
        <f t="shared" si="3"/>
        <v>4699000</v>
      </c>
      <c r="E38" s="114">
        <v>2350000.0</v>
      </c>
      <c r="F38" s="197">
        <f t="shared" si="4"/>
        <v>0.04081632653</v>
      </c>
      <c r="G38" s="64"/>
      <c r="H38" s="113"/>
      <c r="I38" s="26"/>
      <c r="J38" s="41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215" t="s">
        <v>232</v>
      </c>
      <c r="B39" s="61" t="s">
        <v>233</v>
      </c>
      <c r="C39" s="112">
        <v>249000.0</v>
      </c>
      <c r="D39" s="125">
        <f t="shared" si="3"/>
        <v>397000</v>
      </c>
      <c r="E39" s="112">
        <v>199000.0</v>
      </c>
      <c r="F39" s="191">
        <f t="shared" si="4"/>
        <v>0.2008032129</v>
      </c>
      <c r="G39" s="64"/>
      <c r="H39" s="113"/>
      <c r="I39" s="65"/>
      <c r="J39" s="41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58"/>
      <c r="B40" s="66" t="s">
        <v>234</v>
      </c>
      <c r="C40" s="114">
        <v>599000.0</v>
      </c>
      <c r="D40" s="102">
        <f t="shared" si="3"/>
        <v>997000</v>
      </c>
      <c r="E40" s="114">
        <v>499000.0</v>
      </c>
      <c r="F40" s="197">
        <f t="shared" si="4"/>
        <v>0.1669449082</v>
      </c>
      <c r="G40" s="64"/>
      <c r="H40" s="113"/>
      <c r="I40" s="12"/>
      <c r="J40" s="41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165" t="s">
        <v>180</v>
      </c>
      <c r="B41" s="221" t="s">
        <v>181</v>
      </c>
      <c r="C41" s="222">
        <v>1190000.0</v>
      </c>
      <c r="D41" s="223">
        <f t="shared" si="3"/>
        <v>2179000</v>
      </c>
      <c r="E41" s="224">
        <v>1090000.0</v>
      </c>
      <c r="F41" s="225"/>
      <c r="G41" s="226"/>
      <c r="H41" s="226"/>
      <c r="I41" s="225"/>
      <c r="J41" s="225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16.5" customHeight="1">
      <c r="A42" s="25"/>
      <c r="B42" s="227" t="s">
        <v>182</v>
      </c>
      <c r="C42" s="228">
        <v>1440000.0</v>
      </c>
      <c r="D42" s="229">
        <f t="shared" si="3"/>
        <v>2779000</v>
      </c>
      <c r="E42" s="230">
        <v>1390000.0</v>
      </c>
      <c r="F42" s="225"/>
      <c r="G42" s="226"/>
      <c r="H42" s="226"/>
      <c r="I42" s="14"/>
      <c r="J42" s="225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16.5" customHeight="1">
      <c r="A43" s="25"/>
      <c r="B43" s="227" t="s">
        <v>183</v>
      </c>
      <c r="C43" s="228">
        <v>2100000.0</v>
      </c>
      <c r="D43" s="229">
        <f t="shared" si="3"/>
        <v>3979000</v>
      </c>
      <c r="E43" s="230">
        <v>1990000.0</v>
      </c>
      <c r="F43" s="225"/>
      <c r="G43" s="226"/>
      <c r="H43" s="226"/>
      <c r="I43" s="14"/>
      <c r="J43" s="225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16.5" customHeight="1">
      <c r="A44" s="25"/>
      <c r="B44" s="221" t="s">
        <v>276</v>
      </c>
      <c r="C44" s="222">
        <v>1900000.0</v>
      </c>
      <c r="D44" s="223">
        <f t="shared" si="3"/>
        <v>3599000</v>
      </c>
      <c r="E44" s="224">
        <v>1800000.0</v>
      </c>
      <c r="F44" s="225"/>
      <c r="G44" s="226"/>
      <c r="H44" s="226"/>
      <c r="I44" s="14"/>
      <c r="J44" s="225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16.5" customHeight="1">
      <c r="A45" s="25"/>
      <c r="B45" s="231" t="s">
        <v>185</v>
      </c>
      <c r="C45" s="232">
        <v>2700000.0</v>
      </c>
      <c r="D45" s="233">
        <f t="shared" si="3"/>
        <v>5199000</v>
      </c>
      <c r="E45" s="234">
        <v>2600000.0</v>
      </c>
      <c r="F45" s="225"/>
      <c r="G45" s="226"/>
      <c r="H45" s="226"/>
      <c r="I45" s="14"/>
      <c r="J45" s="225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16.5" customHeight="1">
      <c r="A46" s="25"/>
      <c r="B46" s="221" t="s">
        <v>186</v>
      </c>
      <c r="C46" s="222">
        <v>1750000.0</v>
      </c>
      <c r="D46" s="223">
        <f t="shared" si="3"/>
        <v>3299000</v>
      </c>
      <c r="E46" s="224">
        <v>1650000.0</v>
      </c>
      <c r="F46" s="225"/>
      <c r="G46" s="226"/>
      <c r="H46" s="226"/>
      <c r="I46" s="14"/>
      <c r="J46" s="225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16.5" customHeight="1">
      <c r="A47" s="25"/>
      <c r="B47" s="231" t="s">
        <v>187</v>
      </c>
      <c r="C47" s="232">
        <v>2450000.0</v>
      </c>
      <c r="D47" s="233">
        <f t="shared" si="3"/>
        <v>4699000</v>
      </c>
      <c r="E47" s="234">
        <v>2350000.0</v>
      </c>
      <c r="F47" s="225"/>
      <c r="G47" s="226"/>
      <c r="H47" s="226"/>
      <c r="I47" s="14"/>
      <c r="J47" s="225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16.5" customHeight="1">
      <c r="A48" s="25"/>
      <c r="B48" s="235" t="s">
        <v>188</v>
      </c>
      <c r="C48" s="236">
        <v>276000.0</v>
      </c>
      <c r="D48" s="237">
        <f t="shared" si="3"/>
        <v>499000</v>
      </c>
      <c r="E48" s="238">
        <v>250000.0</v>
      </c>
      <c r="F48" s="225"/>
      <c r="G48" s="226"/>
      <c r="H48" s="226"/>
      <c r="I48" s="14"/>
      <c r="J48" s="225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16.5" customHeight="1">
      <c r="A49" s="25"/>
      <c r="B49" s="235" t="s">
        <v>189</v>
      </c>
      <c r="C49" s="92"/>
      <c r="D49" s="229">
        <f t="shared" si="3"/>
        <v>399000</v>
      </c>
      <c r="E49" s="230">
        <v>200000.0</v>
      </c>
      <c r="F49" s="225"/>
      <c r="G49" s="226"/>
      <c r="H49" s="226"/>
      <c r="I49" s="14"/>
      <c r="J49" s="225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16.5" customHeight="1">
      <c r="A50" s="25"/>
      <c r="B50" s="239" t="s">
        <v>190</v>
      </c>
      <c r="C50" s="92"/>
      <c r="D50" s="229">
        <f t="shared" si="3"/>
        <v>299000</v>
      </c>
      <c r="E50" s="230">
        <v>150000.0</v>
      </c>
      <c r="F50" s="225"/>
      <c r="G50" s="226"/>
      <c r="H50" s="226"/>
      <c r="I50" s="14"/>
      <c r="J50" s="225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16.5" customHeight="1">
      <c r="A51" s="25"/>
      <c r="B51" s="239" t="s">
        <v>191</v>
      </c>
      <c r="C51" s="92"/>
      <c r="D51" s="229">
        <f t="shared" si="3"/>
        <v>199000</v>
      </c>
      <c r="E51" s="230">
        <v>100000.0</v>
      </c>
      <c r="F51" s="225"/>
      <c r="G51" s="226"/>
      <c r="H51" s="226"/>
      <c r="I51" s="14"/>
      <c r="J51" s="225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16.5" customHeight="1">
      <c r="A52" s="25"/>
      <c r="B52" s="239" t="s">
        <v>192</v>
      </c>
      <c r="C52" s="92"/>
      <c r="D52" s="229">
        <f t="shared" si="3"/>
        <v>359000</v>
      </c>
      <c r="E52" s="230">
        <v>180000.0</v>
      </c>
      <c r="F52" s="225"/>
      <c r="G52" s="226"/>
      <c r="H52" s="226"/>
      <c r="I52" s="14"/>
      <c r="J52" s="225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16.5" customHeight="1">
      <c r="A53" s="25"/>
      <c r="B53" s="239" t="s">
        <v>193</v>
      </c>
      <c r="C53" s="92"/>
      <c r="D53" s="229">
        <f t="shared" si="3"/>
        <v>399000</v>
      </c>
      <c r="E53" s="172">
        <v>200000.0</v>
      </c>
      <c r="F53" s="225"/>
      <c r="G53" s="226"/>
      <c r="H53" s="226"/>
      <c r="I53" s="14"/>
      <c r="J53" s="225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16.5" customHeight="1">
      <c r="A54" s="11"/>
      <c r="B54" s="240" t="s">
        <v>194</v>
      </c>
      <c r="C54" s="241"/>
      <c r="D54" s="233">
        <f t="shared" si="3"/>
        <v>799000</v>
      </c>
      <c r="E54" s="234">
        <v>400000.0</v>
      </c>
      <c r="F54" s="225"/>
      <c r="G54" s="226"/>
      <c r="H54" s="226"/>
      <c r="I54" s="14"/>
      <c r="J54" s="225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16.5" customHeight="1">
      <c r="A55" s="189" t="s">
        <v>145</v>
      </c>
      <c r="B55" s="92" t="s">
        <v>146</v>
      </c>
      <c r="C55" s="136">
        <v>500000.0</v>
      </c>
      <c r="D55" s="125">
        <v>899000.0</v>
      </c>
      <c r="E55" s="95">
        <v>450000.0</v>
      </c>
      <c r="F55" s="191"/>
      <c r="G55" s="72"/>
      <c r="H55" s="113"/>
      <c r="I55" s="34"/>
      <c r="J55" s="4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25"/>
      <c r="B56" s="92" t="s">
        <v>147</v>
      </c>
      <c r="C56" s="138">
        <v>1400000.0</v>
      </c>
      <c r="D56" s="99">
        <v>2399000.0</v>
      </c>
      <c r="E56" s="98">
        <v>1200000.0</v>
      </c>
      <c r="F56" s="193"/>
      <c r="G56" s="64"/>
      <c r="H56" s="113"/>
      <c r="I56" s="26"/>
      <c r="J56" s="41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25"/>
      <c r="B57" s="92" t="s">
        <v>148</v>
      </c>
      <c r="C57" s="138">
        <v>650000.0</v>
      </c>
      <c r="D57" s="99">
        <v>1199000.0</v>
      </c>
      <c r="E57" s="98">
        <v>600000.0</v>
      </c>
      <c r="F57" s="193"/>
      <c r="G57" s="64"/>
      <c r="H57" s="113"/>
      <c r="I57" s="26"/>
      <c r="J57" s="4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25"/>
      <c r="B58" s="92" t="s">
        <v>149</v>
      </c>
      <c r="C58" s="138">
        <v>1100000.0</v>
      </c>
      <c r="D58" s="99">
        <v>1999000.0</v>
      </c>
      <c r="E58" s="98">
        <v>1000000.0</v>
      </c>
      <c r="F58" s="193"/>
      <c r="G58" s="64"/>
      <c r="H58" s="116"/>
      <c r="I58" s="26"/>
      <c r="J58" s="41" t="s">
        <v>236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25"/>
      <c r="B59" s="92" t="s">
        <v>150</v>
      </c>
      <c r="C59" s="68">
        <v>650000.0</v>
      </c>
      <c r="D59" s="99">
        <v>1199000.0</v>
      </c>
      <c r="E59" s="98">
        <v>600000.0</v>
      </c>
      <c r="F59" s="193"/>
      <c r="G59" s="64"/>
      <c r="H59" s="113"/>
      <c r="I59" s="26"/>
      <c r="J59" s="4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1"/>
      <c r="B60" s="92" t="s">
        <v>151</v>
      </c>
      <c r="C60" s="139">
        <v>650000.0</v>
      </c>
      <c r="D60" s="102">
        <v>1199000.0</v>
      </c>
      <c r="E60" s="103">
        <v>600000.0</v>
      </c>
      <c r="F60" s="197"/>
      <c r="G60" s="64"/>
      <c r="H60" s="113"/>
      <c r="I60" s="26"/>
      <c r="J60" s="141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142" t="s">
        <v>277</v>
      </c>
      <c r="B61" s="2"/>
      <c r="C61" s="2"/>
      <c r="D61" s="2"/>
      <c r="E61" s="2"/>
      <c r="F61" s="2"/>
      <c r="G61" s="2"/>
      <c r="H61" s="2"/>
      <c r="I61" s="2"/>
      <c r="J61" s="7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10"/>
      <c r="J62" s="14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10"/>
      <c r="J63" s="14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10"/>
      <c r="J64" s="1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58"/>
      <c r="B65" s="82"/>
      <c r="C65" s="82"/>
      <c r="D65" s="82"/>
      <c r="E65" s="82"/>
      <c r="F65" s="82"/>
      <c r="G65" s="82"/>
      <c r="H65" s="82"/>
      <c r="I65" s="82"/>
      <c r="J65" s="83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5"/>
      <c r="D66" s="85"/>
      <c r="E66" s="85"/>
      <c r="F66" s="85"/>
      <c r="G66" s="85"/>
      <c r="H66" s="86"/>
      <c r="I66" s="86"/>
      <c r="J66" s="8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92"/>
      <c r="B67" s="92"/>
      <c r="C67" s="216"/>
      <c r="D67" s="216"/>
      <c r="E67" s="216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16.5" customHeight="1">
      <c r="A68" s="92"/>
      <c r="B68" s="92"/>
      <c r="C68" s="216"/>
      <c r="D68" s="216"/>
      <c r="E68" s="216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16.5" customHeight="1">
      <c r="A69" s="8"/>
      <c r="B69" s="8"/>
      <c r="C69" s="85"/>
      <c r="D69" s="85"/>
      <c r="E69" s="85"/>
      <c r="F69" s="85"/>
      <c r="G69" s="85"/>
      <c r="H69" s="86"/>
      <c r="I69" s="86"/>
      <c r="J69" s="8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5"/>
      <c r="D70" s="85"/>
      <c r="E70" s="85"/>
      <c r="F70" s="85"/>
      <c r="G70" s="85"/>
      <c r="H70" s="86"/>
      <c r="I70" s="86"/>
      <c r="J70" s="8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5"/>
      <c r="D71" s="85"/>
      <c r="E71" s="85"/>
      <c r="F71" s="85"/>
      <c r="G71" s="85"/>
      <c r="H71" s="86"/>
      <c r="I71" s="86"/>
      <c r="J71" s="8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5"/>
      <c r="D72" s="85"/>
      <c r="E72" s="85"/>
      <c r="F72" s="85"/>
      <c r="G72" s="85"/>
      <c r="H72" s="86"/>
      <c r="I72" s="86"/>
      <c r="J72" s="8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5"/>
      <c r="D73" s="85"/>
      <c r="E73" s="85"/>
      <c r="F73" s="85"/>
      <c r="G73" s="85"/>
      <c r="H73" s="86"/>
      <c r="I73" s="86"/>
      <c r="J73" s="8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5"/>
      <c r="D74" s="85"/>
      <c r="E74" s="85"/>
      <c r="F74" s="85"/>
      <c r="G74" s="85"/>
      <c r="H74" s="86"/>
      <c r="I74" s="86"/>
      <c r="J74" s="8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5"/>
      <c r="D75" s="85"/>
      <c r="E75" s="85"/>
      <c r="F75" s="85"/>
      <c r="G75" s="85"/>
      <c r="H75" s="86"/>
      <c r="I75" s="86"/>
      <c r="J75" s="8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5"/>
      <c r="D76" s="85"/>
      <c r="E76" s="85"/>
      <c r="F76" s="85"/>
      <c r="G76" s="85"/>
      <c r="H76" s="86"/>
      <c r="I76" s="86"/>
      <c r="J76" s="8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5"/>
      <c r="D77" s="85"/>
      <c r="E77" s="85"/>
      <c r="F77" s="85"/>
      <c r="G77" s="85"/>
      <c r="H77" s="86"/>
      <c r="I77" s="86"/>
      <c r="J77" s="8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5"/>
      <c r="D78" s="85"/>
      <c r="E78" s="85"/>
      <c r="F78" s="85"/>
      <c r="G78" s="85"/>
      <c r="H78" s="86"/>
      <c r="I78" s="86"/>
      <c r="J78" s="8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5"/>
      <c r="D79" s="85"/>
      <c r="E79" s="85"/>
      <c r="F79" s="85"/>
      <c r="G79" s="85"/>
      <c r="H79" s="86"/>
      <c r="I79" s="86"/>
      <c r="J79" s="8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5"/>
      <c r="D80" s="85"/>
      <c r="E80" s="85"/>
      <c r="F80" s="85"/>
      <c r="G80" s="85"/>
      <c r="H80" s="86"/>
      <c r="I80" s="86"/>
      <c r="J80" s="8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5"/>
      <c r="D81" s="85"/>
      <c r="E81" s="85"/>
      <c r="F81" s="85"/>
      <c r="G81" s="85"/>
      <c r="H81" s="86"/>
      <c r="I81" s="86"/>
      <c r="J81" s="8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5"/>
      <c r="D82" s="85"/>
      <c r="E82" s="85"/>
      <c r="F82" s="85"/>
      <c r="G82" s="85"/>
      <c r="H82" s="86"/>
      <c r="I82" s="86"/>
      <c r="J82" s="8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5"/>
      <c r="D83" s="85"/>
      <c r="E83" s="85"/>
      <c r="F83" s="85"/>
      <c r="G83" s="85"/>
      <c r="H83" s="86"/>
      <c r="I83" s="86"/>
      <c r="J83" s="8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5"/>
      <c r="D84" s="85"/>
      <c r="E84" s="85"/>
      <c r="F84" s="85"/>
      <c r="G84" s="85"/>
      <c r="H84" s="86"/>
      <c r="I84" s="86"/>
      <c r="J84" s="8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5"/>
      <c r="D85" s="85"/>
      <c r="E85" s="85"/>
      <c r="F85" s="85"/>
      <c r="G85" s="85"/>
      <c r="H85" s="86"/>
      <c r="I85" s="86"/>
      <c r="J85" s="8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5"/>
      <c r="D86" s="85"/>
      <c r="E86" s="85"/>
      <c r="F86" s="85"/>
      <c r="G86" s="85"/>
      <c r="H86" s="86"/>
      <c r="I86" s="86"/>
      <c r="J86" s="8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5"/>
      <c r="D87" s="85"/>
      <c r="E87" s="85"/>
      <c r="F87" s="85"/>
      <c r="G87" s="85"/>
      <c r="H87" s="86"/>
      <c r="I87" s="86"/>
      <c r="J87" s="8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5"/>
      <c r="D88" s="85"/>
      <c r="E88" s="85"/>
      <c r="F88" s="85"/>
      <c r="G88" s="85"/>
      <c r="H88" s="86"/>
      <c r="I88" s="86"/>
      <c r="J88" s="8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5"/>
      <c r="D89" s="85"/>
      <c r="E89" s="85"/>
      <c r="F89" s="85"/>
      <c r="G89" s="85"/>
      <c r="H89" s="86"/>
      <c r="I89" s="86"/>
      <c r="J89" s="8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5"/>
      <c r="D90" s="85"/>
      <c r="E90" s="85"/>
      <c r="F90" s="85"/>
      <c r="G90" s="85"/>
      <c r="H90" s="86"/>
      <c r="I90" s="86"/>
      <c r="J90" s="8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5"/>
      <c r="D91" s="85"/>
      <c r="E91" s="85"/>
      <c r="F91" s="85"/>
      <c r="G91" s="85"/>
      <c r="H91" s="86"/>
      <c r="I91" s="86"/>
      <c r="J91" s="8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5"/>
      <c r="D92" s="85"/>
      <c r="E92" s="85"/>
      <c r="F92" s="85"/>
      <c r="G92" s="85"/>
      <c r="H92" s="86"/>
      <c r="I92" s="86"/>
      <c r="J92" s="8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5"/>
      <c r="D93" s="85"/>
      <c r="E93" s="85"/>
      <c r="F93" s="85"/>
      <c r="G93" s="85"/>
      <c r="H93" s="86"/>
      <c r="I93" s="86"/>
      <c r="J93" s="8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5"/>
      <c r="D94" s="85"/>
      <c r="E94" s="85"/>
      <c r="F94" s="85"/>
      <c r="G94" s="85"/>
      <c r="H94" s="86"/>
      <c r="I94" s="86"/>
      <c r="J94" s="8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5"/>
      <c r="D95" s="85"/>
      <c r="E95" s="85"/>
      <c r="F95" s="85"/>
      <c r="G95" s="85"/>
      <c r="H95" s="86"/>
      <c r="I95" s="86"/>
      <c r="J95" s="8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5"/>
      <c r="D96" s="85"/>
      <c r="E96" s="85"/>
      <c r="F96" s="85"/>
      <c r="G96" s="85"/>
      <c r="H96" s="86"/>
      <c r="I96" s="86"/>
      <c r="J96" s="8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5"/>
      <c r="D97" s="85"/>
      <c r="E97" s="85"/>
      <c r="F97" s="85"/>
      <c r="G97" s="85"/>
      <c r="H97" s="86"/>
      <c r="I97" s="86"/>
      <c r="J97" s="8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5"/>
      <c r="D98" s="85"/>
      <c r="E98" s="85"/>
      <c r="F98" s="85"/>
      <c r="G98" s="85"/>
      <c r="H98" s="86"/>
      <c r="I98" s="86"/>
      <c r="J98" s="8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5"/>
      <c r="D99" s="85"/>
      <c r="E99" s="85"/>
      <c r="F99" s="85"/>
      <c r="G99" s="85"/>
      <c r="H99" s="86"/>
      <c r="I99" s="86"/>
      <c r="J99" s="8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5"/>
      <c r="D100" s="85"/>
      <c r="E100" s="85"/>
      <c r="F100" s="85"/>
      <c r="G100" s="85"/>
      <c r="H100" s="86"/>
      <c r="I100" s="86"/>
      <c r="J100" s="8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5"/>
      <c r="D101" s="85"/>
      <c r="E101" s="85"/>
      <c r="F101" s="85"/>
      <c r="G101" s="85"/>
      <c r="H101" s="86"/>
      <c r="I101" s="86"/>
      <c r="J101" s="8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5"/>
      <c r="D102" s="85"/>
      <c r="E102" s="85"/>
      <c r="F102" s="85"/>
      <c r="G102" s="85"/>
      <c r="H102" s="86"/>
      <c r="I102" s="86"/>
      <c r="J102" s="8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5"/>
      <c r="D103" s="85"/>
      <c r="E103" s="85"/>
      <c r="F103" s="85"/>
      <c r="G103" s="85"/>
      <c r="H103" s="86"/>
      <c r="I103" s="86"/>
      <c r="J103" s="8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5"/>
      <c r="D104" s="85"/>
      <c r="E104" s="85"/>
      <c r="F104" s="85"/>
      <c r="G104" s="85"/>
      <c r="H104" s="86"/>
      <c r="I104" s="86"/>
      <c r="J104" s="8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5"/>
      <c r="D105" s="85"/>
      <c r="E105" s="85"/>
      <c r="F105" s="85"/>
      <c r="G105" s="85"/>
      <c r="H105" s="86"/>
      <c r="I105" s="86"/>
      <c r="J105" s="8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5"/>
      <c r="D106" s="85"/>
      <c r="E106" s="85"/>
      <c r="F106" s="85"/>
      <c r="G106" s="85"/>
      <c r="H106" s="86"/>
      <c r="I106" s="86"/>
      <c r="J106" s="8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5"/>
      <c r="D107" s="85"/>
      <c r="E107" s="85"/>
      <c r="F107" s="85"/>
      <c r="G107" s="85"/>
      <c r="H107" s="86"/>
      <c r="I107" s="86"/>
      <c r="J107" s="8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5"/>
      <c r="D108" s="85"/>
      <c r="E108" s="85"/>
      <c r="F108" s="85"/>
      <c r="G108" s="85"/>
      <c r="H108" s="86"/>
      <c r="I108" s="86"/>
      <c r="J108" s="8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5"/>
      <c r="D109" s="85"/>
      <c r="E109" s="85"/>
      <c r="F109" s="85"/>
      <c r="G109" s="85"/>
      <c r="H109" s="86"/>
      <c r="I109" s="86"/>
      <c r="J109" s="8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5"/>
      <c r="D110" s="85"/>
      <c r="E110" s="85"/>
      <c r="F110" s="85"/>
      <c r="G110" s="85"/>
      <c r="H110" s="86"/>
      <c r="I110" s="86"/>
      <c r="J110" s="8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5"/>
      <c r="D111" s="85"/>
      <c r="E111" s="85"/>
      <c r="F111" s="85"/>
      <c r="G111" s="85"/>
      <c r="H111" s="86"/>
      <c r="I111" s="86"/>
      <c r="J111" s="8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5"/>
      <c r="D112" s="85"/>
      <c r="E112" s="85"/>
      <c r="F112" s="85"/>
      <c r="G112" s="85"/>
      <c r="H112" s="86"/>
      <c r="I112" s="86"/>
      <c r="J112" s="8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5"/>
      <c r="D113" s="85"/>
      <c r="E113" s="85"/>
      <c r="F113" s="85"/>
      <c r="G113" s="85"/>
      <c r="H113" s="86"/>
      <c r="I113" s="86"/>
      <c r="J113" s="8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5"/>
      <c r="D114" s="85"/>
      <c r="E114" s="85"/>
      <c r="F114" s="85"/>
      <c r="G114" s="85"/>
      <c r="H114" s="86"/>
      <c r="I114" s="86"/>
      <c r="J114" s="8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5"/>
      <c r="D115" s="85"/>
      <c r="E115" s="85"/>
      <c r="F115" s="85"/>
      <c r="G115" s="85"/>
      <c r="H115" s="86"/>
      <c r="I115" s="86"/>
      <c r="J115" s="8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5"/>
      <c r="D116" s="85"/>
      <c r="E116" s="85"/>
      <c r="F116" s="85"/>
      <c r="G116" s="85"/>
      <c r="H116" s="86"/>
      <c r="I116" s="86"/>
      <c r="J116" s="8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5"/>
      <c r="D117" s="85"/>
      <c r="E117" s="85"/>
      <c r="F117" s="85"/>
      <c r="G117" s="85"/>
      <c r="H117" s="86"/>
      <c r="I117" s="86"/>
      <c r="J117" s="8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5"/>
      <c r="D118" s="85"/>
      <c r="E118" s="85"/>
      <c r="F118" s="85"/>
      <c r="G118" s="85"/>
      <c r="H118" s="86"/>
      <c r="I118" s="86"/>
      <c r="J118" s="8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5"/>
      <c r="D119" s="85"/>
      <c r="E119" s="85"/>
      <c r="F119" s="85"/>
      <c r="G119" s="85"/>
      <c r="H119" s="86"/>
      <c r="I119" s="86"/>
      <c r="J119" s="8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5"/>
      <c r="D120" s="85"/>
      <c r="E120" s="85"/>
      <c r="F120" s="85"/>
      <c r="G120" s="85"/>
      <c r="H120" s="86"/>
      <c r="I120" s="86"/>
      <c r="J120" s="8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5"/>
      <c r="D121" s="85"/>
      <c r="E121" s="85"/>
      <c r="F121" s="85"/>
      <c r="G121" s="85"/>
      <c r="H121" s="86"/>
      <c r="I121" s="86"/>
      <c r="J121" s="8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5"/>
      <c r="D122" s="85"/>
      <c r="E122" s="85"/>
      <c r="F122" s="85"/>
      <c r="G122" s="85"/>
      <c r="H122" s="86"/>
      <c r="I122" s="86"/>
      <c r="J122" s="8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5"/>
      <c r="D123" s="85"/>
      <c r="E123" s="85"/>
      <c r="F123" s="85"/>
      <c r="G123" s="85"/>
      <c r="H123" s="86"/>
      <c r="I123" s="86"/>
      <c r="J123" s="8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5"/>
      <c r="D124" s="85"/>
      <c r="E124" s="85"/>
      <c r="F124" s="85"/>
      <c r="G124" s="85"/>
      <c r="H124" s="86"/>
      <c r="I124" s="86"/>
      <c r="J124" s="8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5"/>
      <c r="D125" s="85"/>
      <c r="E125" s="85"/>
      <c r="F125" s="85"/>
      <c r="G125" s="85"/>
      <c r="H125" s="86"/>
      <c r="I125" s="86"/>
      <c r="J125" s="8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5"/>
      <c r="D126" s="85"/>
      <c r="E126" s="85"/>
      <c r="F126" s="85"/>
      <c r="G126" s="85"/>
      <c r="H126" s="86"/>
      <c r="I126" s="86"/>
      <c r="J126" s="8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5"/>
      <c r="D127" s="85"/>
      <c r="E127" s="85"/>
      <c r="F127" s="85"/>
      <c r="G127" s="85"/>
      <c r="H127" s="86"/>
      <c r="I127" s="86"/>
      <c r="J127" s="8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5"/>
      <c r="D128" s="85"/>
      <c r="E128" s="85"/>
      <c r="F128" s="85"/>
      <c r="G128" s="85"/>
      <c r="H128" s="86"/>
      <c r="I128" s="86"/>
      <c r="J128" s="8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5"/>
      <c r="D129" s="85"/>
      <c r="E129" s="85"/>
      <c r="F129" s="85"/>
      <c r="G129" s="85"/>
      <c r="H129" s="86"/>
      <c r="I129" s="86"/>
      <c r="J129" s="8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5"/>
      <c r="D130" s="85"/>
      <c r="E130" s="85"/>
      <c r="F130" s="85"/>
      <c r="G130" s="85"/>
      <c r="H130" s="86"/>
      <c r="I130" s="86"/>
      <c r="J130" s="8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5"/>
      <c r="D131" s="85"/>
      <c r="E131" s="85"/>
      <c r="F131" s="85"/>
      <c r="G131" s="85"/>
      <c r="H131" s="86"/>
      <c r="I131" s="86"/>
      <c r="J131" s="8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5"/>
      <c r="D132" s="85"/>
      <c r="E132" s="85"/>
      <c r="F132" s="85"/>
      <c r="G132" s="85"/>
      <c r="H132" s="86"/>
      <c r="I132" s="86"/>
      <c r="J132" s="8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5"/>
      <c r="D133" s="85"/>
      <c r="E133" s="85"/>
      <c r="F133" s="85"/>
      <c r="G133" s="85"/>
      <c r="H133" s="86"/>
      <c r="I133" s="86"/>
      <c r="J133" s="8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5"/>
      <c r="D134" s="85"/>
      <c r="E134" s="85"/>
      <c r="F134" s="85"/>
      <c r="G134" s="85"/>
      <c r="H134" s="86"/>
      <c r="I134" s="86"/>
      <c r="J134" s="8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5"/>
      <c r="D135" s="85"/>
      <c r="E135" s="85"/>
      <c r="F135" s="85"/>
      <c r="G135" s="85"/>
      <c r="H135" s="86"/>
      <c r="I135" s="86"/>
      <c r="J135" s="8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5"/>
      <c r="D136" s="85"/>
      <c r="E136" s="85"/>
      <c r="F136" s="85"/>
      <c r="G136" s="85"/>
      <c r="H136" s="86"/>
      <c r="I136" s="86"/>
      <c r="J136" s="8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5"/>
      <c r="D137" s="85"/>
      <c r="E137" s="85"/>
      <c r="F137" s="85"/>
      <c r="G137" s="85"/>
      <c r="H137" s="86"/>
      <c r="I137" s="86"/>
      <c r="J137" s="8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6"/>
      <c r="D138" s="86"/>
      <c r="E138" s="86"/>
      <c r="F138" s="86"/>
      <c r="G138" s="86"/>
      <c r="H138" s="86"/>
      <c r="I138" s="86"/>
      <c r="J138" s="8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6"/>
      <c r="D139" s="86"/>
      <c r="E139" s="86"/>
      <c r="F139" s="86"/>
      <c r="G139" s="86"/>
      <c r="H139" s="86"/>
      <c r="I139" s="86"/>
      <c r="J139" s="8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6"/>
      <c r="D140" s="86"/>
      <c r="E140" s="86"/>
      <c r="F140" s="86"/>
      <c r="G140" s="86"/>
      <c r="H140" s="86"/>
      <c r="I140" s="86"/>
      <c r="J140" s="8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6"/>
      <c r="D141" s="86"/>
      <c r="E141" s="86"/>
      <c r="F141" s="86"/>
      <c r="G141" s="86"/>
      <c r="H141" s="86"/>
      <c r="I141" s="86"/>
      <c r="J141" s="8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6"/>
      <c r="D142" s="86"/>
      <c r="E142" s="86"/>
      <c r="F142" s="86"/>
      <c r="G142" s="86"/>
      <c r="H142" s="86"/>
      <c r="I142" s="86"/>
      <c r="J142" s="8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6"/>
      <c r="D143" s="86"/>
      <c r="E143" s="86"/>
      <c r="F143" s="86"/>
      <c r="G143" s="86"/>
      <c r="H143" s="86"/>
      <c r="I143" s="86"/>
      <c r="J143" s="8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6"/>
      <c r="D144" s="86"/>
      <c r="E144" s="86"/>
      <c r="F144" s="86"/>
      <c r="G144" s="86"/>
      <c r="H144" s="86"/>
      <c r="I144" s="86"/>
      <c r="J144" s="8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6"/>
      <c r="D145" s="86"/>
      <c r="E145" s="86"/>
      <c r="F145" s="86"/>
      <c r="G145" s="86"/>
      <c r="H145" s="86"/>
      <c r="I145" s="86"/>
      <c r="J145" s="8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6"/>
      <c r="D146" s="86"/>
      <c r="E146" s="86"/>
      <c r="F146" s="86"/>
      <c r="G146" s="86"/>
      <c r="H146" s="86"/>
      <c r="I146" s="86"/>
      <c r="J146" s="8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6"/>
      <c r="D147" s="86"/>
      <c r="E147" s="86"/>
      <c r="F147" s="86"/>
      <c r="G147" s="86"/>
      <c r="H147" s="86"/>
      <c r="I147" s="86"/>
      <c r="J147" s="8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6"/>
      <c r="D148" s="86"/>
      <c r="E148" s="86"/>
      <c r="F148" s="86"/>
      <c r="G148" s="86"/>
      <c r="H148" s="86"/>
      <c r="I148" s="86"/>
      <c r="J148" s="8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6"/>
      <c r="D149" s="86"/>
      <c r="E149" s="86"/>
      <c r="F149" s="86"/>
      <c r="G149" s="86"/>
      <c r="H149" s="86"/>
      <c r="I149" s="86"/>
      <c r="J149" s="8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6"/>
      <c r="D150" s="86"/>
      <c r="E150" s="86"/>
      <c r="F150" s="86"/>
      <c r="G150" s="86"/>
      <c r="H150" s="86"/>
      <c r="I150" s="86"/>
      <c r="J150" s="8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6"/>
      <c r="D151" s="86"/>
      <c r="E151" s="86"/>
      <c r="F151" s="86"/>
      <c r="G151" s="86"/>
      <c r="H151" s="86"/>
      <c r="I151" s="86"/>
      <c r="J151" s="8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6"/>
      <c r="D152" s="86"/>
      <c r="E152" s="86"/>
      <c r="F152" s="86"/>
      <c r="G152" s="86"/>
      <c r="H152" s="86"/>
      <c r="I152" s="86"/>
      <c r="J152" s="8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6"/>
      <c r="D153" s="86"/>
      <c r="E153" s="86"/>
      <c r="F153" s="86"/>
      <c r="G153" s="86"/>
      <c r="H153" s="86"/>
      <c r="I153" s="86"/>
      <c r="J153" s="8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6"/>
      <c r="D154" s="86"/>
      <c r="E154" s="86"/>
      <c r="F154" s="86"/>
      <c r="G154" s="86"/>
      <c r="H154" s="86"/>
      <c r="I154" s="86"/>
      <c r="J154" s="8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6"/>
      <c r="D155" s="86"/>
      <c r="E155" s="86"/>
      <c r="F155" s="86"/>
      <c r="G155" s="86"/>
      <c r="H155" s="86"/>
      <c r="I155" s="86"/>
      <c r="J155" s="8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6"/>
      <c r="D156" s="86"/>
      <c r="E156" s="86"/>
      <c r="F156" s="86"/>
      <c r="G156" s="86"/>
      <c r="H156" s="86"/>
      <c r="I156" s="86"/>
      <c r="J156" s="8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6"/>
      <c r="D157" s="86"/>
      <c r="E157" s="86"/>
      <c r="F157" s="86"/>
      <c r="G157" s="86"/>
      <c r="H157" s="86"/>
      <c r="I157" s="86"/>
      <c r="J157" s="8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6"/>
      <c r="D158" s="86"/>
      <c r="E158" s="86"/>
      <c r="F158" s="86"/>
      <c r="G158" s="86"/>
      <c r="H158" s="86"/>
      <c r="I158" s="86"/>
      <c r="J158" s="8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6"/>
      <c r="D159" s="86"/>
      <c r="E159" s="86"/>
      <c r="F159" s="86"/>
      <c r="G159" s="86"/>
      <c r="H159" s="86"/>
      <c r="I159" s="86"/>
      <c r="J159" s="8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6"/>
      <c r="D160" s="86"/>
      <c r="E160" s="86"/>
      <c r="F160" s="86"/>
      <c r="G160" s="86"/>
      <c r="H160" s="86"/>
      <c r="I160" s="86"/>
      <c r="J160" s="8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6"/>
      <c r="D161" s="86"/>
      <c r="E161" s="86"/>
      <c r="F161" s="86"/>
      <c r="G161" s="86"/>
      <c r="H161" s="86"/>
      <c r="I161" s="86"/>
      <c r="J161" s="8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6"/>
      <c r="D162" s="86"/>
      <c r="E162" s="86"/>
      <c r="F162" s="86"/>
      <c r="G162" s="86"/>
      <c r="H162" s="86"/>
      <c r="I162" s="86"/>
      <c r="J162" s="8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6"/>
      <c r="D163" s="86"/>
      <c r="E163" s="86"/>
      <c r="F163" s="86"/>
      <c r="G163" s="86"/>
      <c r="H163" s="86"/>
      <c r="I163" s="86"/>
      <c r="J163" s="8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6"/>
      <c r="D164" s="86"/>
      <c r="E164" s="86"/>
      <c r="F164" s="86"/>
      <c r="G164" s="86"/>
      <c r="H164" s="86"/>
      <c r="I164" s="86"/>
      <c r="J164" s="8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6"/>
      <c r="D165" s="86"/>
      <c r="E165" s="86"/>
      <c r="F165" s="86"/>
      <c r="G165" s="86"/>
      <c r="H165" s="86"/>
      <c r="I165" s="86"/>
      <c r="J165" s="8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6"/>
      <c r="D166" s="86"/>
      <c r="E166" s="86"/>
      <c r="F166" s="86"/>
      <c r="G166" s="86"/>
      <c r="H166" s="86"/>
      <c r="I166" s="86"/>
      <c r="J166" s="8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6"/>
      <c r="D167" s="86"/>
      <c r="E167" s="86"/>
      <c r="F167" s="86"/>
      <c r="G167" s="86"/>
      <c r="H167" s="86"/>
      <c r="I167" s="86"/>
      <c r="J167" s="8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6"/>
      <c r="D168" s="86"/>
      <c r="E168" s="86"/>
      <c r="F168" s="86"/>
      <c r="G168" s="86"/>
      <c r="H168" s="86"/>
      <c r="I168" s="86"/>
      <c r="J168" s="8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6"/>
      <c r="D169" s="86"/>
      <c r="E169" s="86"/>
      <c r="F169" s="86"/>
      <c r="G169" s="86"/>
      <c r="H169" s="86"/>
      <c r="I169" s="86"/>
      <c r="J169" s="8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6"/>
      <c r="D170" s="86"/>
      <c r="E170" s="86"/>
      <c r="F170" s="86"/>
      <c r="G170" s="86"/>
      <c r="H170" s="86"/>
      <c r="I170" s="86"/>
      <c r="J170" s="8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6"/>
      <c r="D171" s="86"/>
      <c r="E171" s="86"/>
      <c r="F171" s="86"/>
      <c r="G171" s="86"/>
      <c r="H171" s="86"/>
      <c r="I171" s="86"/>
      <c r="J171" s="8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6"/>
      <c r="D172" s="86"/>
      <c r="E172" s="86"/>
      <c r="F172" s="86"/>
      <c r="G172" s="86"/>
      <c r="H172" s="86"/>
      <c r="I172" s="86"/>
      <c r="J172" s="8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6"/>
      <c r="D173" s="86"/>
      <c r="E173" s="86"/>
      <c r="F173" s="86"/>
      <c r="G173" s="86"/>
      <c r="H173" s="86"/>
      <c r="I173" s="86"/>
      <c r="J173" s="8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6"/>
      <c r="D174" s="86"/>
      <c r="E174" s="86"/>
      <c r="F174" s="86"/>
      <c r="G174" s="86"/>
      <c r="H174" s="86"/>
      <c r="I174" s="86"/>
      <c r="J174" s="8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6"/>
      <c r="D175" s="86"/>
      <c r="E175" s="86"/>
      <c r="F175" s="86"/>
      <c r="G175" s="86"/>
      <c r="H175" s="86"/>
      <c r="I175" s="86"/>
      <c r="J175" s="8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6"/>
      <c r="D176" s="86"/>
      <c r="E176" s="86"/>
      <c r="F176" s="86"/>
      <c r="G176" s="86"/>
      <c r="H176" s="86"/>
      <c r="I176" s="86"/>
      <c r="J176" s="8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6"/>
      <c r="D177" s="86"/>
      <c r="E177" s="86"/>
      <c r="F177" s="86"/>
      <c r="G177" s="86"/>
      <c r="H177" s="86"/>
      <c r="I177" s="86"/>
      <c r="J177" s="8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6"/>
      <c r="D178" s="86"/>
      <c r="E178" s="86"/>
      <c r="F178" s="86"/>
      <c r="G178" s="86"/>
      <c r="H178" s="86"/>
      <c r="I178" s="86"/>
      <c r="J178" s="8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6"/>
      <c r="D179" s="86"/>
      <c r="E179" s="86"/>
      <c r="F179" s="86"/>
      <c r="G179" s="86"/>
      <c r="H179" s="86"/>
      <c r="I179" s="86"/>
      <c r="J179" s="8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6"/>
      <c r="D180" s="86"/>
      <c r="E180" s="86"/>
      <c r="F180" s="86"/>
      <c r="G180" s="86"/>
      <c r="H180" s="86"/>
      <c r="I180" s="86"/>
      <c r="J180" s="8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6"/>
      <c r="D181" s="86"/>
      <c r="E181" s="86"/>
      <c r="F181" s="86"/>
      <c r="G181" s="86"/>
      <c r="H181" s="86"/>
      <c r="I181" s="86"/>
      <c r="J181" s="8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6"/>
      <c r="D182" s="86"/>
      <c r="E182" s="86"/>
      <c r="F182" s="86"/>
      <c r="G182" s="86"/>
      <c r="H182" s="86"/>
      <c r="I182" s="86"/>
      <c r="J182" s="8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6"/>
      <c r="D183" s="86"/>
      <c r="E183" s="86"/>
      <c r="F183" s="86"/>
      <c r="G183" s="86"/>
      <c r="H183" s="86"/>
      <c r="I183" s="86"/>
      <c r="J183" s="8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6"/>
      <c r="D184" s="86"/>
      <c r="E184" s="86"/>
      <c r="F184" s="86"/>
      <c r="G184" s="86"/>
      <c r="H184" s="86"/>
      <c r="I184" s="86"/>
      <c r="J184" s="8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6"/>
      <c r="D185" s="86"/>
      <c r="E185" s="86"/>
      <c r="F185" s="86"/>
      <c r="G185" s="86"/>
      <c r="H185" s="86"/>
      <c r="I185" s="86"/>
      <c r="J185" s="8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6"/>
      <c r="D186" s="86"/>
      <c r="E186" s="86"/>
      <c r="F186" s="86"/>
      <c r="G186" s="86"/>
      <c r="H186" s="86"/>
      <c r="I186" s="86"/>
      <c r="J186" s="8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6"/>
      <c r="D187" s="86"/>
      <c r="E187" s="86"/>
      <c r="F187" s="86"/>
      <c r="G187" s="86"/>
      <c r="H187" s="86"/>
      <c r="I187" s="86"/>
      <c r="J187" s="8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6"/>
      <c r="D188" s="86"/>
      <c r="E188" s="86"/>
      <c r="F188" s="86"/>
      <c r="G188" s="86"/>
      <c r="H188" s="86"/>
      <c r="I188" s="86"/>
      <c r="J188" s="8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6"/>
      <c r="D189" s="86"/>
      <c r="E189" s="86"/>
      <c r="F189" s="86"/>
      <c r="G189" s="86"/>
      <c r="H189" s="86"/>
      <c r="I189" s="86"/>
      <c r="J189" s="8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6"/>
      <c r="D190" s="86"/>
      <c r="E190" s="86"/>
      <c r="F190" s="86"/>
      <c r="G190" s="86"/>
      <c r="H190" s="86"/>
      <c r="I190" s="86"/>
      <c r="J190" s="8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6"/>
      <c r="D191" s="86"/>
      <c r="E191" s="86"/>
      <c r="F191" s="86"/>
      <c r="G191" s="86"/>
      <c r="H191" s="86"/>
      <c r="I191" s="86"/>
      <c r="J191" s="8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6"/>
      <c r="D192" s="86"/>
      <c r="E192" s="86"/>
      <c r="F192" s="86"/>
      <c r="G192" s="86"/>
      <c r="H192" s="86"/>
      <c r="I192" s="86"/>
      <c r="J192" s="8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6"/>
      <c r="D193" s="86"/>
      <c r="E193" s="86"/>
      <c r="F193" s="86"/>
      <c r="G193" s="86"/>
      <c r="H193" s="86"/>
      <c r="I193" s="86"/>
      <c r="J193" s="8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6"/>
      <c r="D194" s="86"/>
      <c r="E194" s="86"/>
      <c r="F194" s="86"/>
      <c r="G194" s="86"/>
      <c r="H194" s="86"/>
      <c r="I194" s="86"/>
      <c r="J194" s="8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6"/>
      <c r="D195" s="86"/>
      <c r="E195" s="86"/>
      <c r="F195" s="86"/>
      <c r="G195" s="86"/>
      <c r="H195" s="86"/>
      <c r="I195" s="86"/>
      <c r="J195" s="8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6"/>
      <c r="D196" s="86"/>
      <c r="E196" s="86"/>
      <c r="F196" s="86"/>
      <c r="G196" s="86"/>
      <c r="H196" s="86"/>
      <c r="I196" s="86"/>
      <c r="J196" s="8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6"/>
      <c r="D197" s="86"/>
      <c r="E197" s="86"/>
      <c r="F197" s="86"/>
      <c r="G197" s="86"/>
      <c r="H197" s="86"/>
      <c r="I197" s="86"/>
      <c r="J197" s="8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6"/>
      <c r="D198" s="86"/>
      <c r="E198" s="86"/>
      <c r="F198" s="86"/>
      <c r="G198" s="86"/>
      <c r="H198" s="86"/>
      <c r="I198" s="86"/>
      <c r="J198" s="8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6"/>
      <c r="D199" s="86"/>
      <c r="E199" s="86"/>
      <c r="F199" s="86"/>
      <c r="G199" s="86"/>
      <c r="H199" s="86"/>
      <c r="I199" s="86"/>
      <c r="J199" s="8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6"/>
      <c r="D200" s="86"/>
      <c r="E200" s="86"/>
      <c r="F200" s="86"/>
      <c r="G200" s="86"/>
      <c r="H200" s="86"/>
      <c r="I200" s="86"/>
      <c r="J200" s="8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6"/>
      <c r="D201" s="86"/>
      <c r="E201" s="86"/>
      <c r="F201" s="86"/>
      <c r="G201" s="86"/>
      <c r="H201" s="86"/>
      <c r="I201" s="86"/>
      <c r="J201" s="8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6"/>
      <c r="D202" s="86"/>
      <c r="E202" s="86"/>
      <c r="F202" s="86"/>
      <c r="G202" s="86"/>
      <c r="H202" s="86"/>
      <c r="I202" s="86"/>
      <c r="J202" s="8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6"/>
      <c r="D203" s="86"/>
      <c r="E203" s="86"/>
      <c r="F203" s="86"/>
      <c r="G203" s="86"/>
      <c r="H203" s="86"/>
      <c r="I203" s="86"/>
      <c r="J203" s="8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6"/>
      <c r="D204" s="86"/>
      <c r="E204" s="86"/>
      <c r="F204" s="86"/>
      <c r="G204" s="86"/>
      <c r="H204" s="86"/>
      <c r="I204" s="86"/>
      <c r="J204" s="8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6"/>
      <c r="D205" s="86"/>
      <c r="E205" s="86"/>
      <c r="F205" s="86"/>
      <c r="G205" s="86"/>
      <c r="H205" s="86"/>
      <c r="I205" s="86"/>
      <c r="J205" s="8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6"/>
      <c r="D206" s="86"/>
      <c r="E206" s="86"/>
      <c r="F206" s="86"/>
      <c r="G206" s="86"/>
      <c r="H206" s="86"/>
      <c r="I206" s="86"/>
      <c r="J206" s="8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6"/>
      <c r="D207" s="86"/>
      <c r="E207" s="86"/>
      <c r="F207" s="86"/>
      <c r="G207" s="86"/>
      <c r="H207" s="86"/>
      <c r="I207" s="86"/>
      <c r="J207" s="8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6"/>
      <c r="D208" s="86"/>
      <c r="E208" s="86"/>
      <c r="F208" s="86"/>
      <c r="G208" s="86"/>
      <c r="H208" s="86"/>
      <c r="I208" s="86"/>
      <c r="J208" s="8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6"/>
      <c r="D209" s="86"/>
      <c r="E209" s="86"/>
      <c r="F209" s="86"/>
      <c r="G209" s="86"/>
      <c r="H209" s="86"/>
      <c r="I209" s="86"/>
      <c r="J209" s="8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6"/>
      <c r="D210" s="86"/>
      <c r="E210" s="86"/>
      <c r="F210" s="86"/>
      <c r="G210" s="86"/>
      <c r="H210" s="86"/>
      <c r="I210" s="86"/>
      <c r="J210" s="8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6"/>
      <c r="D211" s="86"/>
      <c r="E211" s="86"/>
      <c r="F211" s="86"/>
      <c r="G211" s="86"/>
      <c r="H211" s="86"/>
      <c r="I211" s="86"/>
      <c r="J211" s="8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6"/>
      <c r="D212" s="86"/>
      <c r="E212" s="86"/>
      <c r="F212" s="86"/>
      <c r="G212" s="86"/>
      <c r="H212" s="86"/>
      <c r="I212" s="86"/>
      <c r="J212" s="8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6"/>
      <c r="D213" s="86"/>
      <c r="E213" s="86"/>
      <c r="F213" s="86"/>
      <c r="G213" s="86"/>
      <c r="H213" s="86"/>
      <c r="I213" s="86"/>
      <c r="J213" s="8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6"/>
      <c r="D214" s="86"/>
      <c r="E214" s="86"/>
      <c r="F214" s="86"/>
      <c r="G214" s="86"/>
      <c r="H214" s="86"/>
      <c r="I214" s="86"/>
      <c r="J214" s="8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6"/>
      <c r="D215" s="86"/>
      <c r="E215" s="86"/>
      <c r="F215" s="86"/>
      <c r="G215" s="86"/>
      <c r="H215" s="86"/>
      <c r="I215" s="86"/>
      <c r="J215" s="8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6"/>
      <c r="D216" s="86"/>
      <c r="E216" s="86"/>
      <c r="F216" s="86"/>
      <c r="G216" s="86"/>
      <c r="H216" s="86"/>
      <c r="I216" s="86"/>
      <c r="J216" s="8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6"/>
      <c r="D217" s="86"/>
      <c r="E217" s="86"/>
      <c r="F217" s="86"/>
      <c r="G217" s="86"/>
      <c r="H217" s="86"/>
      <c r="I217" s="86"/>
      <c r="J217" s="8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6"/>
      <c r="D218" s="86"/>
      <c r="E218" s="86"/>
      <c r="F218" s="86"/>
      <c r="G218" s="86"/>
      <c r="H218" s="86"/>
      <c r="I218" s="86"/>
      <c r="J218" s="8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6"/>
      <c r="D219" s="86"/>
      <c r="E219" s="86"/>
      <c r="F219" s="86"/>
      <c r="G219" s="86"/>
      <c r="H219" s="86"/>
      <c r="I219" s="86"/>
      <c r="J219" s="8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6"/>
      <c r="D220" s="86"/>
      <c r="E220" s="86"/>
      <c r="F220" s="86"/>
      <c r="G220" s="86"/>
      <c r="H220" s="86"/>
      <c r="I220" s="86"/>
      <c r="J220" s="8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6"/>
      <c r="D221" s="86"/>
      <c r="E221" s="86"/>
      <c r="F221" s="86"/>
      <c r="G221" s="86"/>
      <c r="H221" s="86"/>
      <c r="I221" s="86"/>
      <c r="J221" s="8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6"/>
      <c r="D222" s="86"/>
      <c r="E222" s="86"/>
      <c r="F222" s="86"/>
      <c r="G222" s="86"/>
      <c r="H222" s="86"/>
      <c r="I222" s="86"/>
      <c r="J222" s="8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6"/>
      <c r="D223" s="86"/>
      <c r="E223" s="86"/>
      <c r="F223" s="86"/>
      <c r="G223" s="86"/>
      <c r="H223" s="86"/>
      <c r="I223" s="86"/>
      <c r="J223" s="8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6"/>
      <c r="D224" s="86"/>
      <c r="E224" s="86"/>
      <c r="F224" s="86"/>
      <c r="G224" s="86"/>
      <c r="H224" s="86"/>
      <c r="I224" s="86"/>
      <c r="J224" s="8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6"/>
      <c r="D225" s="86"/>
      <c r="E225" s="86"/>
      <c r="F225" s="86"/>
      <c r="G225" s="86"/>
      <c r="H225" s="86"/>
      <c r="I225" s="86"/>
      <c r="J225" s="8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6"/>
      <c r="D226" s="86"/>
      <c r="E226" s="86"/>
      <c r="F226" s="86"/>
      <c r="G226" s="86"/>
      <c r="H226" s="86"/>
      <c r="I226" s="86"/>
      <c r="J226" s="8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6"/>
      <c r="D227" s="86"/>
      <c r="E227" s="86"/>
      <c r="F227" s="86"/>
      <c r="G227" s="86"/>
      <c r="H227" s="86"/>
      <c r="I227" s="86"/>
      <c r="J227" s="8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6"/>
      <c r="D228" s="86"/>
      <c r="E228" s="86"/>
      <c r="F228" s="86"/>
      <c r="G228" s="86"/>
      <c r="H228" s="86"/>
      <c r="I228" s="86"/>
      <c r="J228" s="8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6"/>
      <c r="D229" s="86"/>
      <c r="E229" s="86"/>
      <c r="F229" s="86"/>
      <c r="G229" s="86"/>
      <c r="H229" s="86"/>
      <c r="I229" s="86"/>
      <c r="J229" s="8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J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J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J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J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J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J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J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J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J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J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J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J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J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J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J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J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J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J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J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J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J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J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J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J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J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J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J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J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J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J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J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J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J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J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J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J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J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J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J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J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J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J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J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J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J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J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J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J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J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J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J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J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J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J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J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J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J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J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J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J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J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J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J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J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J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J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J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J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J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J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J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J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J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J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J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J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J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J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J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J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J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J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J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J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J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J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J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J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J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J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J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J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J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J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J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J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J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J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J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J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J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J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J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J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J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J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J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J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J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J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J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J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J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J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J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J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J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J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J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J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J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J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J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J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J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J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J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J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J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J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J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J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J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J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J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J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J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J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J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J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J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J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J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J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J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J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J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J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J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J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J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J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J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J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J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J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J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J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J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J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J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J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J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J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J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J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J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J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J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J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J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J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J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J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J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J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J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J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J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J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J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J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J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J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J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J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J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J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J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J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J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J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J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J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J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J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J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J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J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J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J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J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J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J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J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J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J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J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J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J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J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J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J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J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J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J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J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J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J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J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J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J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J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J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J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J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J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J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J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J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J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J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J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J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J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J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J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J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J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J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J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J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J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J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J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J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J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J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J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J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J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J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J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J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J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J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J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J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J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J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J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J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J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J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J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J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J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J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J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J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J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J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J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J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J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J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J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J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J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J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J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J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J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J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J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J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J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J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J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J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J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J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J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J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J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J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J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J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J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J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J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J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J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J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J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J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J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J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J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J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J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J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J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J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J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J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J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J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J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J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J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J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J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J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J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J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J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J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J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J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J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J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J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J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J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J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J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J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J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J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J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J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J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J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J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J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J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J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J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J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J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J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J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J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J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J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J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J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J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J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J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J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J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J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J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J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J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J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J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J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J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J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J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J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J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J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J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J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J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J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J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J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J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J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J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J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J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J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J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J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J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J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J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J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J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J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J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J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J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J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J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J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J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J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J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J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J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J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J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J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J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J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J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J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J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J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J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J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J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J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J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J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J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J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J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J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J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J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J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J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J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J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J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J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J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J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J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J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J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J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J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J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J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J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J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J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J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J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J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J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J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J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J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J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J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J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J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J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J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J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J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J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J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J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J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J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J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J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J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J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J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J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J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J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J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J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J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J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J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J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J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J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J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J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J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J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J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J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J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J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J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J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J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J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J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J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J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J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J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J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J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J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J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J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J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J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J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J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J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J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J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J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J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J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J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J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J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J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J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J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J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J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J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J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J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J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J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J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J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J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J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J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J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J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J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J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J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J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J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J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J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J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J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J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J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J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J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J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J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J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J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J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J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J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J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J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J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J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J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J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J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J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J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J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J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J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J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J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J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J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J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J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J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J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J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J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J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J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J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J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J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J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J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J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J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J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J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J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J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J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J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J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J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J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J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J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J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J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J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J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J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J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J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J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J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J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J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J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J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J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J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J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J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J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J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J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J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J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J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J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J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J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J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J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J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J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J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J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J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J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J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J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J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J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J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J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J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J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J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J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J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J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J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J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J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J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J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J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J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J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J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J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J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J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J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J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J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J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J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J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J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J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J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J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J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J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J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J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J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J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J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J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J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J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J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J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J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J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J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J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J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J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J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J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J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J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J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J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J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J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J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J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J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J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J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J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J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J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J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J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J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J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J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J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J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J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J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J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J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J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J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J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J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J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J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J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J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J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J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J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J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J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J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J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J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J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J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J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J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J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J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J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J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J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J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J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J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J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J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J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J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J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J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J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J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J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J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J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J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J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J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J1000" s="92"/>
    </row>
  </sheetData>
  <mergeCells count="34">
    <mergeCell ref="A1:B2"/>
    <mergeCell ref="C1:C2"/>
    <mergeCell ref="D1:D2"/>
    <mergeCell ref="E1:E2"/>
    <mergeCell ref="F1:J2"/>
    <mergeCell ref="A3:B3"/>
    <mergeCell ref="C3:C4"/>
    <mergeCell ref="J3:J4"/>
    <mergeCell ref="A30:A33"/>
    <mergeCell ref="B30:B33"/>
    <mergeCell ref="A34:A38"/>
    <mergeCell ref="A39:A40"/>
    <mergeCell ref="A41:A54"/>
    <mergeCell ref="A55:A60"/>
    <mergeCell ref="A61:J65"/>
    <mergeCell ref="D3:D4"/>
    <mergeCell ref="E3:E4"/>
    <mergeCell ref="A5:A9"/>
    <mergeCell ref="A10:A15"/>
    <mergeCell ref="A16:A19"/>
    <mergeCell ref="A20:A26"/>
    <mergeCell ref="A27:A29"/>
    <mergeCell ref="I30:I33"/>
    <mergeCell ref="I34:I38"/>
    <mergeCell ref="I39:I40"/>
    <mergeCell ref="I41:I54"/>
    <mergeCell ref="I55:I60"/>
    <mergeCell ref="F3:F4"/>
    <mergeCell ref="I3:I4"/>
    <mergeCell ref="I5:I9"/>
    <mergeCell ref="I10:I15"/>
    <mergeCell ref="I16:I19"/>
    <mergeCell ref="I20:I26"/>
    <mergeCell ref="I27:I29"/>
  </mergeCells>
  <printOptions/>
  <pageMargins bottom="0.75" footer="0.0" header="0.0" left="0.25" right="0.25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137.57"/>
    <col customWidth="1" min="3" max="3" width="23.71"/>
    <col customWidth="1" min="4" max="4" width="17.14"/>
    <col customWidth="1" min="5" max="5" width="19.57"/>
    <col customWidth="1" min="6" max="6" width="30.86"/>
    <col customWidth="1" min="7" max="7" width="21.14"/>
    <col customWidth="1" min="8" max="8" width="21.57"/>
    <col customWidth="1" min="10" max="10" width="49.71"/>
  </cols>
  <sheetData>
    <row r="1" ht="16.5" customHeight="1">
      <c r="A1" s="1" t="s">
        <v>278</v>
      </c>
      <c r="B1" s="2"/>
      <c r="C1" s="154" t="s">
        <v>66</v>
      </c>
      <c r="D1" s="242" t="s">
        <v>279</v>
      </c>
      <c r="E1" s="156" t="s">
        <v>280</v>
      </c>
      <c r="F1" s="6" t="s">
        <v>201</v>
      </c>
      <c r="G1" s="2"/>
      <c r="H1" s="2"/>
      <c r="I1" s="2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0"/>
      <c r="C2" s="11"/>
      <c r="D2" s="36"/>
      <c r="E2" s="11"/>
      <c r="F2" s="13"/>
      <c r="J2" s="1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5"/>
      <c r="B3" s="16"/>
      <c r="C3" s="21" t="s">
        <v>202</v>
      </c>
      <c r="D3" s="22" t="s">
        <v>203</v>
      </c>
      <c r="E3" s="217" t="s">
        <v>204</v>
      </c>
      <c r="F3" s="22" t="s">
        <v>205</v>
      </c>
      <c r="G3" s="19" t="s">
        <v>4</v>
      </c>
      <c r="H3" s="20" t="s">
        <v>5</v>
      </c>
      <c r="I3" s="21" t="s">
        <v>6</v>
      </c>
      <c r="J3" s="22" t="s">
        <v>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23" t="s">
        <v>8</v>
      </c>
      <c r="B4" s="24" t="s">
        <v>9</v>
      </c>
      <c r="C4" s="28"/>
      <c r="D4" s="25"/>
      <c r="E4" s="36"/>
      <c r="F4" s="11"/>
      <c r="G4" s="27" t="s">
        <v>10</v>
      </c>
      <c r="H4" s="27" t="s">
        <v>11</v>
      </c>
      <c r="I4" s="28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78" t="s">
        <v>281</v>
      </c>
      <c r="B5" s="107" t="s">
        <v>282</v>
      </c>
      <c r="C5" s="120">
        <v>83000.0</v>
      </c>
      <c r="D5" s="125">
        <f t="shared" ref="D5:D9" si="1">E5*2-1000</f>
        <v>137000</v>
      </c>
      <c r="E5" s="190">
        <v>69000.0</v>
      </c>
      <c r="F5" s="191">
        <f t="shared" ref="F5:F21" si="2">1-E5/C5</f>
        <v>0.1686746988</v>
      </c>
      <c r="G5" s="96"/>
      <c r="H5" s="143"/>
      <c r="I5" s="65"/>
      <c r="J5" s="3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28"/>
      <c r="B6" s="218" t="s">
        <v>283</v>
      </c>
      <c r="C6" s="122">
        <v>138000.0</v>
      </c>
      <c r="D6" s="99">
        <f t="shared" si="1"/>
        <v>197000</v>
      </c>
      <c r="E6" s="163">
        <v>99000.0</v>
      </c>
      <c r="F6" s="193">
        <f t="shared" si="2"/>
        <v>0.2826086957</v>
      </c>
      <c r="G6" s="96"/>
      <c r="H6" s="143"/>
      <c r="I6" s="26"/>
      <c r="J6" s="35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28"/>
      <c r="B7" s="218" t="s">
        <v>284</v>
      </c>
      <c r="C7" s="163">
        <v>198000.0</v>
      </c>
      <c r="D7" s="99">
        <f t="shared" si="1"/>
        <v>277000</v>
      </c>
      <c r="E7" s="163">
        <v>139000.0</v>
      </c>
      <c r="F7" s="193">
        <f t="shared" si="2"/>
        <v>0.297979798</v>
      </c>
      <c r="G7" s="80"/>
      <c r="H7" s="105"/>
      <c r="I7" s="26"/>
      <c r="J7" s="4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28"/>
      <c r="B8" s="218" t="s">
        <v>285</v>
      </c>
      <c r="C8" s="163">
        <v>276000.0</v>
      </c>
      <c r="D8" s="99">
        <f t="shared" si="1"/>
        <v>397000</v>
      </c>
      <c r="E8" s="163">
        <v>199000.0</v>
      </c>
      <c r="F8" s="193">
        <f t="shared" si="2"/>
        <v>0.2789855072</v>
      </c>
      <c r="G8" s="80"/>
      <c r="H8" s="105"/>
      <c r="I8" s="26"/>
      <c r="J8" s="4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49"/>
      <c r="B9" s="218" t="s">
        <v>286</v>
      </c>
      <c r="C9" s="164">
        <f>239000+59000</f>
        <v>298000</v>
      </c>
      <c r="D9" s="102">
        <f t="shared" si="1"/>
        <v>537000</v>
      </c>
      <c r="E9" s="164">
        <v>269000.0</v>
      </c>
      <c r="F9" s="197">
        <f t="shared" si="2"/>
        <v>0.09731543624</v>
      </c>
      <c r="G9" s="80"/>
      <c r="H9" s="127"/>
      <c r="I9" s="12"/>
      <c r="J9" s="4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243" t="s">
        <v>287</v>
      </c>
      <c r="B10" s="219" t="s">
        <v>288</v>
      </c>
      <c r="C10" s="190">
        <v>59000.0</v>
      </c>
      <c r="D10" s="125">
        <v>77000.0</v>
      </c>
      <c r="E10" s="190">
        <v>39000.0</v>
      </c>
      <c r="F10" s="191">
        <f t="shared" si="2"/>
        <v>0.3389830508</v>
      </c>
      <c r="G10" s="80"/>
      <c r="H10" s="105"/>
      <c r="I10" s="47"/>
      <c r="J10" s="4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0"/>
      <c r="B11" s="109" t="s">
        <v>289</v>
      </c>
      <c r="C11" s="163">
        <v>199000.0</v>
      </c>
      <c r="D11" s="99">
        <v>297000.0</v>
      </c>
      <c r="E11" s="88">
        <v>149000.0</v>
      </c>
      <c r="F11" s="193">
        <f t="shared" si="2"/>
        <v>0.2512562814</v>
      </c>
      <c r="G11" s="80"/>
      <c r="H11" s="105"/>
      <c r="I11" s="26"/>
      <c r="J11" s="4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0"/>
      <c r="B12" s="109" t="s">
        <v>290</v>
      </c>
      <c r="C12" s="163">
        <v>300000.0</v>
      </c>
      <c r="D12" s="99">
        <v>499000.0</v>
      </c>
      <c r="E12" s="88">
        <v>250000.0</v>
      </c>
      <c r="F12" s="193">
        <f t="shared" si="2"/>
        <v>0.1666666667</v>
      </c>
      <c r="G12" s="80"/>
      <c r="H12" s="105"/>
      <c r="I12" s="26"/>
      <c r="J12" s="4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0"/>
      <c r="B13" s="218" t="s">
        <v>291</v>
      </c>
      <c r="C13" s="163">
        <v>349000.0</v>
      </c>
      <c r="D13" s="99">
        <v>557000.0</v>
      </c>
      <c r="E13" s="88">
        <v>279000.0</v>
      </c>
      <c r="F13" s="193">
        <f t="shared" si="2"/>
        <v>0.2005730659</v>
      </c>
      <c r="G13" s="80"/>
      <c r="H13" s="105"/>
      <c r="I13" s="26"/>
      <c r="J13" s="4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0"/>
      <c r="B14" s="218" t="s">
        <v>292</v>
      </c>
      <c r="C14" s="163">
        <v>400000.0</v>
      </c>
      <c r="D14" s="99">
        <v>597000.0</v>
      </c>
      <c r="E14" s="88">
        <v>299000.0</v>
      </c>
      <c r="F14" s="193">
        <f t="shared" si="2"/>
        <v>0.2525</v>
      </c>
      <c r="G14" s="80"/>
      <c r="H14" s="105"/>
      <c r="I14" s="26"/>
      <c r="J14" s="4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58"/>
      <c r="B15" s="218" t="s">
        <v>126</v>
      </c>
      <c r="C15" s="164">
        <v>589000.0</v>
      </c>
      <c r="D15" s="102">
        <v>997000.0</v>
      </c>
      <c r="E15" s="126">
        <v>499000.0</v>
      </c>
      <c r="F15" s="197">
        <f t="shared" si="2"/>
        <v>0.1528013582</v>
      </c>
      <c r="G15" s="80"/>
      <c r="H15" s="105"/>
      <c r="I15" s="12"/>
      <c r="J15" s="4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243" t="s">
        <v>293</v>
      </c>
      <c r="B16" s="61" t="s">
        <v>294</v>
      </c>
      <c r="C16" s="108">
        <v>300000.0</v>
      </c>
      <c r="D16" s="125">
        <v>499000.0</v>
      </c>
      <c r="E16" s="108">
        <v>250000.0</v>
      </c>
      <c r="F16" s="191">
        <f t="shared" si="2"/>
        <v>0.1666666667</v>
      </c>
      <c r="G16" s="80"/>
      <c r="H16" s="105"/>
      <c r="I16" s="100"/>
      <c r="J16" s="4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0"/>
      <c r="B17" s="66" t="s">
        <v>295</v>
      </c>
      <c r="C17" s="88">
        <v>320000.0</v>
      </c>
      <c r="D17" s="99">
        <v>537000.0</v>
      </c>
      <c r="E17" s="88">
        <v>269000.0</v>
      </c>
      <c r="F17" s="193">
        <f t="shared" si="2"/>
        <v>0.159375</v>
      </c>
      <c r="G17" s="80"/>
      <c r="H17" s="105"/>
      <c r="I17" s="26"/>
      <c r="J17" s="4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0"/>
      <c r="B18" s="66" t="s">
        <v>296</v>
      </c>
      <c r="C18" s="88">
        <v>399000.0</v>
      </c>
      <c r="D18" s="99">
        <v>697000.0</v>
      </c>
      <c r="E18" s="88">
        <v>349000.0</v>
      </c>
      <c r="F18" s="193">
        <f t="shared" si="2"/>
        <v>0.1253132832</v>
      </c>
      <c r="G18" s="80"/>
      <c r="H18" s="105"/>
      <c r="I18" s="26"/>
      <c r="J18" s="4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58"/>
      <c r="B19" s="220" t="s">
        <v>297</v>
      </c>
      <c r="C19" s="163">
        <v>499000.0</v>
      </c>
      <c r="D19" s="99">
        <v>797000.0</v>
      </c>
      <c r="E19" s="88">
        <v>399000.0</v>
      </c>
      <c r="F19" s="197">
        <f t="shared" si="2"/>
        <v>0.2004008016</v>
      </c>
      <c r="G19" s="80"/>
      <c r="H19" s="105"/>
      <c r="I19" s="26"/>
      <c r="J19" s="4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189" t="s">
        <v>298</v>
      </c>
      <c r="B20" s="244" t="s">
        <v>299</v>
      </c>
      <c r="C20" s="136">
        <v>89000.0</v>
      </c>
      <c r="D20" s="125">
        <v>117000.0</v>
      </c>
      <c r="E20" s="95">
        <v>59000.0</v>
      </c>
      <c r="F20" s="191">
        <f t="shared" si="2"/>
        <v>0.3370786517</v>
      </c>
      <c r="G20" s="64"/>
      <c r="H20" s="113"/>
      <c r="I20" s="245"/>
      <c r="J20" s="4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25"/>
      <c r="B21" s="244" t="s">
        <v>300</v>
      </c>
      <c r="C21" s="68">
        <v>117000.0</v>
      </c>
      <c r="D21" s="99">
        <v>137000.0</v>
      </c>
      <c r="E21" s="98">
        <v>69000.0</v>
      </c>
      <c r="F21" s="193">
        <f t="shared" si="2"/>
        <v>0.4102564103</v>
      </c>
      <c r="G21" s="72"/>
      <c r="H21" s="113"/>
      <c r="I21" s="14"/>
      <c r="J21" s="4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25"/>
      <c r="B22" s="244" t="s">
        <v>301</v>
      </c>
      <c r="C22" s="68" t="s">
        <v>302</v>
      </c>
      <c r="D22" s="99">
        <v>297000.0</v>
      </c>
      <c r="E22" s="98">
        <v>149000.0</v>
      </c>
      <c r="F22" s="193"/>
      <c r="G22" s="64"/>
      <c r="H22" s="116"/>
      <c r="I22" s="14"/>
      <c r="J22" s="4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25"/>
      <c r="B23" s="244" t="s">
        <v>303</v>
      </c>
      <c r="C23" s="68">
        <v>378000.0</v>
      </c>
      <c r="D23" s="99">
        <v>397000.0</v>
      </c>
      <c r="E23" s="98">
        <v>199000.0</v>
      </c>
      <c r="F23" s="193">
        <f t="shared" ref="F23:F28" si="3">1-E23/C23</f>
        <v>0.4735449735</v>
      </c>
      <c r="G23" s="80"/>
      <c r="H23" s="113"/>
      <c r="I23" s="14"/>
      <c r="J23" s="4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1"/>
      <c r="B24" s="86" t="s">
        <v>304</v>
      </c>
      <c r="C24" s="139">
        <v>299000.0</v>
      </c>
      <c r="D24" s="102">
        <v>457000.0</v>
      </c>
      <c r="E24" s="103">
        <v>229000.0</v>
      </c>
      <c r="F24" s="197">
        <f t="shared" si="3"/>
        <v>0.2341137124</v>
      </c>
      <c r="G24" s="72"/>
      <c r="H24" s="113"/>
      <c r="I24" s="14"/>
      <c r="J24" s="14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215" t="s">
        <v>305</v>
      </c>
      <c r="B25" s="219" t="s">
        <v>306</v>
      </c>
      <c r="C25" s="114">
        <v>199000.0</v>
      </c>
      <c r="D25" s="99">
        <f t="shared" ref="D25:D28" si="4">E25*2-1000</f>
        <v>317000</v>
      </c>
      <c r="E25" s="114">
        <v>159000.0</v>
      </c>
      <c r="F25" s="191">
        <f t="shared" si="3"/>
        <v>0.2010050251</v>
      </c>
      <c r="G25" s="64"/>
      <c r="H25" s="113"/>
      <c r="I25" s="65"/>
      <c r="J25" s="4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10"/>
      <c r="B26" s="109" t="s">
        <v>307</v>
      </c>
      <c r="C26" s="114">
        <v>348000.0</v>
      </c>
      <c r="D26" s="99">
        <f t="shared" si="4"/>
        <v>597000</v>
      </c>
      <c r="E26" s="114">
        <v>299000.0</v>
      </c>
      <c r="F26" s="193">
        <f t="shared" si="3"/>
        <v>0.1408045977</v>
      </c>
      <c r="G26" s="64"/>
      <c r="H26" s="127"/>
      <c r="I26" s="26"/>
      <c r="J26" s="4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10"/>
      <c r="B27" s="218" t="s">
        <v>308</v>
      </c>
      <c r="C27" s="114">
        <v>658000.0</v>
      </c>
      <c r="D27" s="99">
        <f t="shared" si="4"/>
        <v>1197000</v>
      </c>
      <c r="E27" s="114">
        <v>599000.0</v>
      </c>
      <c r="F27" s="193">
        <f t="shared" si="3"/>
        <v>0.0896656535</v>
      </c>
      <c r="G27" s="64"/>
      <c r="H27" s="127"/>
      <c r="I27" s="26"/>
      <c r="J27" s="4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51.75" customHeight="1">
      <c r="A28" s="58"/>
      <c r="B28" s="111" t="s">
        <v>309</v>
      </c>
      <c r="C28" s="70">
        <v>399000.0</v>
      </c>
      <c r="D28" s="102">
        <f t="shared" si="4"/>
        <v>697000</v>
      </c>
      <c r="E28" s="146">
        <v>349000.0</v>
      </c>
      <c r="F28" s="197">
        <f t="shared" si="3"/>
        <v>0.1253132832</v>
      </c>
      <c r="G28" s="72"/>
      <c r="H28" s="113"/>
      <c r="I28" s="26"/>
      <c r="J28" s="4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246" t="s">
        <v>310</v>
      </c>
      <c r="B29" s="61" t="s">
        <v>311</v>
      </c>
      <c r="C29" s="114"/>
      <c r="D29" s="125"/>
      <c r="E29" s="114"/>
      <c r="F29" s="191"/>
      <c r="G29" s="64"/>
      <c r="H29" s="113"/>
      <c r="I29" s="34"/>
      <c r="J29" s="4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10"/>
      <c r="B30" s="25"/>
      <c r="C30" s="114"/>
      <c r="D30" s="99"/>
      <c r="E30" s="114"/>
      <c r="F30" s="193"/>
      <c r="G30" s="64"/>
      <c r="H30" s="113"/>
      <c r="I30" s="26"/>
      <c r="J30" s="4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0"/>
      <c r="B31" s="25"/>
      <c r="C31" s="114"/>
      <c r="D31" s="99"/>
      <c r="E31" s="114"/>
      <c r="F31" s="193"/>
      <c r="G31" s="64"/>
      <c r="H31" s="113"/>
      <c r="I31" s="26"/>
      <c r="J31" s="4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58"/>
      <c r="B32" s="25"/>
      <c r="C32" s="114"/>
      <c r="D32" s="102"/>
      <c r="E32" s="114"/>
      <c r="F32" s="197"/>
      <c r="G32" s="64"/>
      <c r="H32" s="113"/>
      <c r="I32" s="26"/>
      <c r="J32" s="4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15" t="s">
        <v>28</v>
      </c>
      <c r="B33" s="61" t="s">
        <v>225</v>
      </c>
      <c r="C33" s="112">
        <v>69000.0</v>
      </c>
      <c r="D33" s="125">
        <v>97000.0</v>
      </c>
      <c r="E33" s="112">
        <v>49000.0</v>
      </c>
      <c r="F33" s="191">
        <f t="shared" ref="F33:F49" si="5">1-E33/C33</f>
        <v>0.2898550725</v>
      </c>
      <c r="G33" s="64"/>
      <c r="H33" s="113"/>
      <c r="I33" s="65"/>
      <c r="J33" s="4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10"/>
      <c r="B34" s="66" t="s">
        <v>312</v>
      </c>
      <c r="C34" s="114">
        <v>149000.0</v>
      </c>
      <c r="D34" s="99">
        <v>197000.0</v>
      </c>
      <c r="E34" s="114">
        <v>99000.0</v>
      </c>
      <c r="F34" s="193">
        <f t="shared" si="5"/>
        <v>0.3355704698</v>
      </c>
      <c r="G34" s="64"/>
      <c r="H34" s="113"/>
      <c r="I34" s="26"/>
      <c r="J34" s="41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10"/>
      <c r="B35" s="66" t="s">
        <v>313</v>
      </c>
      <c r="C35" s="114">
        <v>179000.0</v>
      </c>
      <c r="D35" s="99">
        <v>197000.0</v>
      </c>
      <c r="E35" s="114">
        <v>99000.0</v>
      </c>
      <c r="F35" s="193">
        <f t="shared" si="5"/>
        <v>0.4469273743</v>
      </c>
      <c r="G35" s="64"/>
      <c r="H35" s="113"/>
      <c r="I35" s="26"/>
      <c r="J35" s="4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10"/>
      <c r="B36" s="66" t="s">
        <v>314</v>
      </c>
      <c r="C36" s="114">
        <v>298000.0</v>
      </c>
      <c r="D36" s="99">
        <v>497000.0</v>
      </c>
      <c r="E36" s="114">
        <v>249000.0</v>
      </c>
      <c r="F36" s="193">
        <f t="shared" si="5"/>
        <v>0.1644295302</v>
      </c>
      <c r="G36" s="64"/>
      <c r="H36" s="113"/>
      <c r="I36" s="26"/>
      <c r="J36" s="4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10"/>
      <c r="B37" s="66" t="s">
        <v>315</v>
      </c>
      <c r="C37" s="114">
        <v>329000.0</v>
      </c>
      <c r="D37" s="99">
        <v>497000.0</v>
      </c>
      <c r="E37" s="114">
        <v>249000.0</v>
      </c>
      <c r="F37" s="193">
        <f t="shared" si="5"/>
        <v>0.2431610942</v>
      </c>
      <c r="G37" s="64"/>
      <c r="H37" s="113"/>
      <c r="I37" s="26"/>
      <c r="J37" s="4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10"/>
      <c r="B38" s="66" t="s">
        <v>89</v>
      </c>
      <c r="C38" s="114">
        <v>398000.0</v>
      </c>
      <c r="D38" s="99">
        <v>637000.0</v>
      </c>
      <c r="E38" s="114">
        <v>319000.0</v>
      </c>
      <c r="F38" s="193">
        <f t="shared" si="5"/>
        <v>0.1984924623</v>
      </c>
      <c r="G38" s="64"/>
      <c r="H38" s="113"/>
      <c r="I38" s="26"/>
      <c r="J38" s="41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58"/>
      <c r="B39" s="59" t="s">
        <v>316</v>
      </c>
      <c r="C39" s="146">
        <v>499000.0</v>
      </c>
      <c r="D39" s="102">
        <v>797000.0</v>
      </c>
      <c r="E39" s="146">
        <v>399000.0</v>
      </c>
      <c r="F39" s="197">
        <f t="shared" si="5"/>
        <v>0.2004008016</v>
      </c>
      <c r="G39" s="64"/>
      <c r="H39" s="113"/>
      <c r="I39" s="26"/>
      <c r="J39" s="41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215" t="s">
        <v>317</v>
      </c>
      <c r="B40" s="66" t="s">
        <v>271</v>
      </c>
      <c r="C40" s="114">
        <v>950000.0</v>
      </c>
      <c r="D40" s="125">
        <f t="shared" ref="D40:D49" si="6">E40*2-1000</f>
        <v>1699000</v>
      </c>
      <c r="E40" s="114">
        <v>850000.0</v>
      </c>
      <c r="F40" s="191">
        <f t="shared" si="5"/>
        <v>0.1052631579</v>
      </c>
      <c r="G40" s="64"/>
      <c r="H40" s="116"/>
      <c r="I40" s="65"/>
      <c r="J40" s="41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10"/>
      <c r="B41" s="66" t="s">
        <v>272</v>
      </c>
      <c r="C41" s="114">
        <v>1600000.0</v>
      </c>
      <c r="D41" s="99">
        <f t="shared" si="6"/>
        <v>3099000</v>
      </c>
      <c r="E41" s="114">
        <v>1550000.0</v>
      </c>
      <c r="F41" s="193">
        <f t="shared" si="5"/>
        <v>0.03125</v>
      </c>
      <c r="G41" s="64"/>
      <c r="H41" s="113"/>
      <c r="I41" s="26"/>
      <c r="J41" s="41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10"/>
      <c r="B42" s="66" t="s">
        <v>273</v>
      </c>
      <c r="C42" s="114">
        <v>2400000.0</v>
      </c>
      <c r="D42" s="99">
        <f t="shared" si="6"/>
        <v>4599000</v>
      </c>
      <c r="E42" s="114">
        <v>2300000.0</v>
      </c>
      <c r="F42" s="193">
        <f t="shared" si="5"/>
        <v>0.04166666667</v>
      </c>
      <c r="G42" s="64"/>
      <c r="H42" s="113"/>
      <c r="I42" s="26"/>
      <c r="J42" s="41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10"/>
      <c r="B43" s="66" t="s">
        <v>274</v>
      </c>
      <c r="C43" s="114">
        <v>1750000.0</v>
      </c>
      <c r="D43" s="99">
        <f t="shared" si="6"/>
        <v>3299000</v>
      </c>
      <c r="E43" s="114">
        <v>1650000.0</v>
      </c>
      <c r="F43" s="193">
        <f t="shared" si="5"/>
        <v>0.05714285714</v>
      </c>
      <c r="G43" s="64"/>
      <c r="H43" s="113"/>
      <c r="I43" s="26"/>
      <c r="J43" s="4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58"/>
      <c r="B44" s="66" t="s">
        <v>275</v>
      </c>
      <c r="C44" s="114">
        <v>2450000.0</v>
      </c>
      <c r="D44" s="102">
        <f t="shared" si="6"/>
        <v>4699000</v>
      </c>
      <c r="E44" s="114">
        <v>2350000.0</v>
      </c>
      <c r="F44" s="197">
        <f t="shared" si="5"/>
        <v>0.04081632653</v>
      </c>
      <c r="G44" s="64"/>
      <c r="H44" s="113"/>
      <c r="I44" s="26"/>
      <c r="J44" s="41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215" t="s">
        <v>318</v>
      </c>
      <c r="B45" s="61" t="s">
        <v>233</v>
      </c>
      <c r="C45" s="112">
        <v>249000.0</v>
      </c>
      <c r="D45" s="125">
        <f t="shared" si="6"/>
        <v>397000</v>
      </c>
      <c r="E45" s="112">
        <v>199000.0</v>
      </c>
      <c r="F45" s="191">
        <f t="shared" si="5"/>
        <v>0.2008032129</v>
      </c>
      <c r="G45" s="72"/>
      <c r="H45" s="113"/>
      <c r="I45" s="65"/>
      <c r="J45" s="4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58"/>
      <c r="B46" s="66" t="s">
        <v>234</v>
      </c>
      <c r="C46" s="114">
        <v>599000.0</v>
      </c>
      <c r="D46" s="102">
        <f t="shared" si="6"/>
        <v>997000</v>
      </c>
      <c r="E46" s="114">
        <v>499000.0</v>
      </c>
      <c r="F46" s="197">
        <f t="shared" si="5"/>
        <v>0.1669449082</v>
      </c>
      <c r="G46" s="64"/>
      <c r="H46" s="113"/>
      <c r="I46" s="26"/>
      <c r="J46" s="4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165" t="s">
        <v>319</v>
      </c>
      <c r="B47" s="61" t="s">
        <v>265</v>
      </c>
      <c r="C47" s="112">
        <v>79000.0</v>
      </c>
      <c r="D47" s="125">
        <f t="shared" si="6"/>
        <v>117000</v>
      </c>
      <c r="E47" s="112">
        <v>59000.0</v>
      </c>
      <c r="F47" s="247">
        <f t="shared" si="5"/>
        <v>0.253164557</v>
      </c>
      <c r="G47" s="75"/>
      <c r="H47" s="121"/>
      <c r="I47" s="76"/>
      <c r="J47" s="4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25"/>
      <c r="B48" s="66" t="s">
        <v>266</v>
      </c>
      <c r="C48" s="114">
        <v>89500.0</v>
      </c>
      <c r="D48" s="99">
        <f t="shared" si="6"/>
        <v>157000</v>
      </c>
      <c r="E48" s="114">
        <v>79000.0</v>
      </c>
      <c r="F48" s="200">
        <f t="shared" si="5"/>
        <v>0.1173184358</v>
      </c>
      <c r="G48" s="75"/>
      <c r="H48" s="121"/>
      <c r="I48" s="26"/>
      <c r="J48" s="4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11"/>
      <c r="B49" s="66" t="s">
        <v>267</v>
      </c>
      <c r="C49" s="114">
        <v>118000.0</v>
      </c>
      <c r="D49" s="102">
        <f t="shared" si="6"/>
        <v>177000</v>
      </c>
      <c r="E49" s="114">
        <v>89000.0</v>
      </c>
      <c r="F49" s="202">
        <f t="shared" si="5"/>
        <v>0.2457627119</v>
      </c>
      <c r="G49" s="80"/>
      <c r="H49" s="105"/>
      <c r="I49" s="26"/>
      <c r="J49" s="4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142" t="s">
        <v>320</v>
      </c>
      <c r="B50" s="2"/>
      <c r="C50" s="2"/>
      <c r="D50" s="2"/>
      <c r="E50" s="2"/>
      <c r="F50" s="2"/>
      <c r="G50" s="2"/>
      <c r="H50" s="2"/>
      <c r="I50" s="2"/>
      <c r="J50" s="7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10"/>
      <c r="J51" s="14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10"/>
      <c r="J52" s="14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10"/>
      <c r="J53" s="14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58"/>
      <c r="B54" s="82"/>
      <c r="C54" s="82"/>
      <c r="D54" s="82"/>
      <c r="E54" s="82"/>
      <c r="F54" s="82"/>
      <c r="G54" s="82"/>
      <c r="H54" s="82"/>
      <c r="I54" s="82"/>
      <c r="J54" s="83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5"/>
      <c r="D55" s="85"/>
      <c r="E55" s="85"/>
      <c r="F55" s="85"/>
      <c r="G55" s="85"/>
      <c r="H55" s="86"/>
      <c r="I55" s="86"/>
      <c r="J55" s="8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5"/>
      <c r="D56" s="85"/>
      <c r="E56" s="85"/>
      <c r="F56" s="85"/>
      <c r="G56" s="85"/>
      <c r="H56" s="86"/>
      <c r="I56" s="86"/>
      <c r="J56" s="8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5" t="s">
        <v>321</v>
      </c>
      <c r="D57" s="216" t="s">
        <v>322</v>
      </c>
      <c r="E57" s="85" t="s">
        <v>323</v>
      </c>
      <c r="F57" s="85"/>
      <c r="G57" s="85"/>
      <c r="H57" s="86"/>
      <c r="I57" s="86"/>
      <c r="J57" s="8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165" t="s">
        <v>324</v>
      </c>
      <c r="B58" s="235" t="s">
        <v>181</v>
      </c>
      <c r="C58" s="221">
        <v>1190000.0</v>
      </c>
      <c r="D58" s="166">
        <f t="shared" ref="D58:D71" si="7">E58*2-1000</f>
        <v>2179000</v>
      </c>
      <c r="E58" s="248">
        <v>1090000.0</v>
      </c>
      <c r="F58" s="85"/>
      <c r="G58" s="85"/>
      <c r="H58" s="86"/>
      <c r="I58" s="86"/>
      <c r="J58" s="8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25"/>
      <c r="B59" s="239" t="s">
        <v>182</v>
      </c>
      <c r="C59" s="227">
        <v>1440000.0</v>
      </c>
      <c r="D59" s="174">
        <f t="shared" si="7"/>
        <v>2779000</v>
      </c>
      <c r="E59" s="249">
        <v>1390000.0</v>
      </c>
      <c r="F59" s="85"/>
      <c r="G59" s="85"/>
      <c r="H59" s="86"/>
      <c r="I59" s="86"/>
      <c r="J59" s="8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25"/>
      <c r="B60" s="239" t="s">
        <v>183</v>
      </c>
      <c r="C60" s="227">
        <v>2100000.0</v>
      </c>
      <c r="D60" s="174">
        <f t="shared" si="7"/>
        <v>3979000</v>
      </c>
      <c r="E60" s="249">
        <v>1990000.0</v>
      </c>
      <c r="F60" s="85"/>
      <c r="G60" s="85"/>
      <c r="H60" s="86"/>
      <c r="I60" s="86"/>
      <c r="J60" s="8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25"/>
      <c r="B61" s="235" t="s">
        <v>325</v>
      </c>
      <c r="C61" s="221">
        <v>1900000.0</v>
      </c>
      <c r="D61" s="166">
        <f t="shared" si="7"/>
        <v>3599000</v>
      </c>
      <c r="E61" s="248">
        <v>1800000.0</v>
      </c>
      <c r="F61" s="85"/>
      <c r="G61" s="85"/>
      <c r="H61" s="86"/>
      <c r="I61" s="86"/>
      <c r="J61" s="8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25"/>
      <c r="B62" s="240" t="s">
        <v>185</v>
      </c>
      <c r="C62" s="231">
        <v>2700000.0</v>
      </c>
      <c r="D62" s="179">
        <f t="shared" si="7"/>
        <v>5199000</v>
      </c>
      <c r="E62" s="250">
        <v>2600000.0</v>
      </c>
      <c r="F62" s="85"/>
      <c r="G62" s="85"/>
      <c r="H62" s="86"/>
      <c r="I62" s="86"/>
      <c r="J62" s="8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25"/>
      <c r="B63" s="235" t="s">
        <v>186</v>
      </c>
      <c r="C63" s="221">
        <v>1750000.0</v>
      </c>
      <c r="D63" s="166">
        <f t="shared" si="7"/>
        <v>3299000</v>
      </c>
      <c r="E63" s="248">
        <v>1650000.0</v>
      </c>
      <c r="F63" s="85"/>
      <c r="G63" s="85"/>
      <c r="H63" s="86"/>
      <c r="I63" s="86"/>
      <c r="J63" s="8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25"/>
      <c r="B64" s="240" t="s">
        <v>187</v>
      </c>
      <c r="C64" s="231">
        <v>2450000.0</v>
      </c>
      <c r="D64" s="179">
        <f t="shared" si="7"/>
        <v>4699000</v>
      </c>
      <c r="E64" s="250">
        <v>2350000.0</v>
      </c>
      <c r="F64" s="85"/>
      <c r="G64" s="85"/>
      <c r="H64" s="86"/>
      <c r="I64" s="86"/>
      <c r="J64" s="8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25"/>
      <c r="B65" s="235" t="s">
        <v>188</v>
      </c>
      <c r="C65" s="251">
        <v>276000.0</v>
      </c>
      <c r="D65" s="252">
        <f t="shared" si="7"/>
        <v>499000</v>
      </c>
      <c r="E65" s="253">
        <v>250000.0</v>
      </c>
      <c r="F65" s="85"/>
      <c r="G65" s="85"/>
      <c r="H65" s="86"/>
      <c r="I65" s="86"/>
      <c r="J65" s="8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25"/>
      <c r="B66" s="235" t="s">
        <v>189</v>
      </c>
      <c r="C66" s="92"/>
      <c r="D66" s="174">
        <f t="shared" si="7"/>
        <v>399000</v>
      </c>
      <c r="E66" s="249">
        <v>200000.0</v>
      </c>
      <c r="F66" s="85"/>
      <c r="G66" s="85"/>
      <c r="H66" s="86"/>
      <c r="I66" s="86"/>
      <c r="J66" s="8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25"/>
      <c r="B67" s="239" t="s">
        <v>190</v>
      </c>
      <c r="C67" s="92"/>
      <c r="D67" s="174">
        <f t="shared" si="7"/>
        <v>299000</v>
      </c>
      <c r="E67" s="249">
        <v>150000.0</v>
      </c>
      <c r="F67" s="85"/>
      <c r="G67" s="85"/>
      <c r="H67" s="86"/>
      <c r="I67" s="86"/>
      <c r="J67" s="8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25"/>
      <c r="B68" s="239" t="s">
        <v>191</v>
      </c>
      <c r="C68" s="92"/>
      <c r="D68" s="174">
        <f t="shared" si="7"/>
        <v>199000</v>
      </c>
      <c r="E68" s="249">
        <v>100000.0</v>
      </c>
      <c r="F68" s="85"/>
      <c r="G68" s="85"/>
      <c r="H68" s="86"/>
      <c r="I68" s="86"/>
      <c r="J68" s="8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25"/>
      <c r="B69" s="239" t="s">
        <v>192</v>
      </c>
      <c r="C69" s="92"/>
      <c r="D69" s="174">
        <f t="shared" si="7"/>
        <v>359000</v>
      </c>
      <c r="E69" s="249">
        <v>180000.0</v>
      </c>
      <c r="F69" s="85"/>
      <c r="G69" s="85"/>
      <c r="H69" s="86"/>
      <c r="I69" s="86"/>
      <c r="J69" s="8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25"/>
      <c r="B70" s="239" t="s">
        <v>193</v>
      </c>
      <c r="C70" s="92"/>
      <c r="D70" s="174">
        <f t="shared" si="7"/>
        <v>399000</v>
      </c>
      <c r="E70" s="170">
        <v>200000.0</v>
      </c>
      <c r="F70" s="85"/>
      <c r="G70" s="85"/>
      <c r="H70" s="86"/>
      <c r="I70" s="86"/>
      <c r="J70" s="8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11"/>
      <c r="B71" s="240" t="s">
        <v>194</v>
      </c>
      <c r="C71" s="241"/>
      <c r="D71" s="179">
        <f t="shared" si="7"/>
        <v>799000</v>
      </c>
      <c r="E71" s="250">
        <v>400000.0</v>
      </c>
      <c r="F71" s="85"/>
      <c r="G71" s="85"/>
      <c r="H71" s="86"/>
      <c r="I71" s="86"/>
      <c r="J71" s="8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5"/>
      <c r="D72" s="85"/>
      <c r="E72" s="85"/>
      <c r="F72" s="85"/>
      <c r="G72" s="85"/>
      <c r="H72" s="86"/>
      <c r="I72" s="86"/>
      <c r="J72" s="8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5"/>
      <c r="D73" s="85"/>
      <c r="E73" s="85"/>
      <c r="F73" s="85"/>
      <c r="G73" s="85"/>
      <c r="H73" s="86"/>
      <c r="I73" s="86"/>
      <c r="J73" s="8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5"/>
      <c r="D74" s="85"/>
      <c r="E74" s="85"/>
      <c r="F74" s="85"/>
      <c r="G74" s="85"/>
      <c r="H74" s="86"/>
      <c r="I74" s="86"/>
      <c r="J74" s="8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5"/>
      <c r="D75" s="85"/>
      <c r="E75" s="85"/>
      <c r="F75" s="85"/>
      <c r="G75" s="85"/>
      <c r="H75" s="86"/>
      <c r="I75" s="86"/>
      <c r="J75" s="8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5"/>
      <c r="D76" s="85"/>
      <c r="E76" s="85"/>
      <c r="F76" s="85"/>
      <c r="G76" s="85"/>
      <c r="H76" s="86"/>
      <c r="I76" s="86"/>
      <c r="J76" s="8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5"/>
      <c r="D77" s="85"/>
      <c r="E77" s="85"/>
      <c r="F77" s="85"/>
      <c r="G77" s="85"/>
      <c r="H77" s="86"/>
      <c r="I77" s="86"/>
      <c r="J77" s="8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5"/>
      <c r="D78" s="85"/>
      <c r="E78" s="85"/>
      <c r="F78" s="85"/>
      <c r="G78" s="85"/>
      <c r="H78" s="86"/>
      <c r="I78" s="86"/>
      <c r="J78" s="8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5"/>
      <c r="D79" s="85"/>
      <c r="E79" s="85"/>
      <c r="F79" s="85"/>
      <c r="G79" s="85"/>
      <c r="H79" s="86"/>
      <c r="I79" s="86"/>
      <c r="J79" s="8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5"/>
      <c r="D80" s="85"/>
      <c r="E80" s="85"/>
      <c r="F80" s="85"/>
      <c r="G80" s="85"/>
      <c r="H80" s="86"/>
      <c r="I80" s="86"/>
      <c r="J80" s="8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5"/>
      <c r="D81" s="85"/>
      <c r="E81" s="85"/>
      <c r="F81" s="85"/>
      <c r="G81" s="85"/>
      <c r="H81" s="86"/>
      <c r="I81" s="86"/>
      <c r="J81" s="8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5"/>
      <c r="D82" s="85"/>
      <c r="E82" s="85"/>
      <c r="F82" s="85"/>
      <c r="G82" s="85"/>
      <c r="H82" s="86"/>
      <c r="I82" s="86"/>
      <c r="J82" s="8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5"/>
      <c r="D83" s="85"/>
      <c r="E83" s="85"/>
      <c r="F83" s="85"/>
      <c r="G83" s="85"/>
      <c r="H83" s="86"/>
      <c r="I83" s="86"/>
      <c r="J83" s="8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5"/>
      <c r="D84" s="85"/>
      <c r="E84" s="85"/>
      <c r="F84" s="85"/>
      <c r="G84" s="85"/>
      <c r="H84" s="86"/>
      <c r="I84" s="86"/>
      <c r="J84" s="8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5"/>
      <c r="D85" s="85"/>
      <c r="E85" s="85"/>
      <c r="F85" s="85"/>
      <c r="G85" s="85"/>
      <c r="H85" s="86"/>
      <c r="I85" s="86"/>
      <c r="J85" s="8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5"/>
      <c r="D86" s="85"/>
      <c r="E86" s="85"/>
      <c r="F86" s="85"/>
      <c r="G86" s="85"/>
      <c r="H86" s="86"/>
      <c r="I86" s="86"/>
      <c r="J86" s="8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5"/>
      <c r="D87" s="85"/>
      <c r="E87" s="85"/>
      <c r="F87" s="85"/>
      <c r="G87" s="85"/>
      <c r="H87" s="86"/>
      <c r="I87" s="86"/>
      <c r="J87" s="8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5"/>
      <c r="D88" s="85"/>
      <c r="E88" s="85"/>
      <c r="F88" s="85"/>
      <c r="G88" s="85"/>
      <c r="H88" s="86"/>
      <c r="I88" s="86"/>
      <c r="J88" s="8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5"/>
      <c r="D89" s="85"/>
      <c r="E89" s="85"/>
      <c r="F89" s="85"/>
      <c r="G89" s="85"/>
      <c r="H89" s="86"/>
      <c r="I89" s="86"/>
      <c r="J89" s="8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5"/>
      <c r="D90" s="85"/>
      <c r="E90" s="85"/>
      <c r="F90" s="85"/>
      <c r="G90" s="85"/>
      <c r="H90" s="86"/>
      <c r="I90" s="86"/>
      <c r="J90" s="8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5"/>
      <c r="D91" s="85"/>
      <c r="E91" s="85"/>
      <c r="F91" s="85"/>
      <c r="G91" s="85"/>
      <c r="H91" s="86"/>
      <c r="I91" s="86"/>
      <c r="J91" s="8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5"/>
      <c r="D92" s="85"/>
      <c r="E92" s="85"/>
      <c r="F92" s="85"/>
      <c r="G92" s="85"/>
      <c r="H92" s="86"/>
      <c r="I92" s="86"/>
      <c r="J92" s="8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5"/>
      <c r="D93" s="85"/>
      <c r="E93" s="85"/>
      <c r="F93" s="85"/>
      <c r="G93" s="85"/>
      <c r="H93" s="86"/>
      <c r="I93" s="86"/>
      <c r="J93" s="8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5"/>
      <c r="D94" s="85"/>
      <c r="E94" s="85"/>
      <c r="F94" s="85"/>
      <c r="G94" s="85"/>
      <c r="H94" s="86"/>
      <c r="I94" s="86"/>
      <c r="J94" s="8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5"/>
      <c r="D95" s="85"/>
      <c r="E95" s="85"/>
      <c r="F95" s="85"/>
      <c r="G95" s="85"/>
      <c r="H95" s="86"/>
      <c r="I95" s="86"/>
      <c r="J95" s="8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5"/>
      <c r="D96" s="85"/>
      <c r="E96" s="85"/>
      <c r="F96" s="85"/>
      <c r="G96" s="85"/>
      <c r="H96" s="86"/>
      <c r="I96" s="86"/>
      <c r="J96" s="8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5"/>
      <c r="D97" s="85"/>
      <c r="E97" s="85"/>
      <c r="F97" s="85"/>
      <c r="G97" s="85"/>
      <c r="H97" s="86"/>
      <c r="I97" s="86"/>
      <c r="J97" s="8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5"/>
      <c r="D98" s="85"/>
      <c r="E98" s="85"/>
      <c r="F98" s="85"/>
      <c r="G98" s="85"/>
      <c r="H98" s="86"/>
      <c r="I98" s="86"/>
      <c r="J98" s="8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5"/>
      <c r="D99" s="85"/>
      <c r="E99" s="85"/>
      <c r="F99" s="85"/>
      <c r="G99" s="85"/>
      <c r="H99" s="86"/>
      <c r="I99" s="86"/>
      <c r="J99" s="8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5"/>
      <c r="D100" s="85"/>
      <c r="E100" s="85"/>
      <c r="F100" s="85"/>
      <c r="G100" s="85"/>
      <c r="H100" s="86"/>
      <c r="I100" s="86"/>
      <c r="J100" s="8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5"/>
      <c r="D101" s="85"/>
      <c r="E101" s="85"/>
      <c r="F101" s="85"/>
      <c r="G101" s="85"/>
      <c r="H101" s="86"/>
      <c r="I101" s="86"/>
      <c r="J101" s="8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5"/>
      <c r="D102" s="85"/>
      <c r="E102" s="85"/>
      <c r="F102" s="85"/>
      <c r="G102" s="85"/>
      <c r="H102" s="86"/>
      <c r="I102" s="86"/>
      <c r="J102" s="8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5"/>
      <c r="D103" s="85"/>
      <c r="E103" s="85"/>
      <c r="F103" s="85"/>
      <c r="G103" s="85"/>
      <c r="H103" s="86"/>
      <c r="I103" s="86"/>
      <c r="J103" s="8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5"/>
      <c r="D104" s="85"/>
      <c r="E104" s="85"/>
      <c r="F104" s="85"/>
      <c r="G104" s="85"/>
      <c r="H104" s="86"/>
      <c r="I104" s="86"/>
      <c r="J104" s="8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5"/>
      <c r="D105" s="85"/>
      <c r="E105" s="85"/>
      <c r="F105" s="85"/>
      <c r="G105" s="85"/>
      <c r="H105" s="86"/>
      <c r="I105" s="86"/>
      <c r="J105" s="8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5"/>
      <c r="D106" s="85"/>
      <c r="E106" s="85"/>
      <c r="F106" s="85"/>
      <c r="G106" s="85"/>
      <c r="H106" s="86"/>
      <c r="I106" s="86"/>
      <c r="J106" s="8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5"/>
      <c r="D107" s="85"/>
      <c r="E107" s="85"/>
      <c r="F107" s="85"/>
      <c r="G107" s="85"/>
      <c r="H107" s="86"/>
      <c r="I107" s="86"/>
      <c r="J107" s="8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5"/>
      <c r="D108" s="85"/>
      <c r="E108" s="85"/>
      <c r="F108" s="85"/>
      <c r="G108" s="85"/>
      <c r="H108" s="86"/>
      <c r="I108" s="86"/>
      <c r="J108" s="8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5"/>
      <c r="D109" s="85"/>
      <c r="E109" s="85"/>
      <c r="F109" s="85"/>
      <c r="G109" s="85"/>
      <c r="H109" s="86"/>
      <c r="I109" s="86"/>
      <c r="J109" s="8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5"/>
      <c r="D110" s="85"/>
      <c r="E110" s="85"/>
      <c r="F110" s="85"/>
      <c r="G110" s="85"/>
      <c r="H110" s="86"/>
      <c r="I110" s="86"/>
      <c r="J110" s="8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5"/>
      <c r="D111" s="85"/>
      <c r="E111" s="85"/>
      <c r="F111" s="85"/>
      <c r="G111" s="85"/>
      <c r="H111" s="86"/>
      <c r="I111" s="86"/>
      <c r="J111" s="8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5"/>
      <c r="D112" s="85"/>
      <c r="E112" s="85"/>
      <c r="F112" s="85"/>
      <c r="G112" s="85"/>
      <c r="H112" s="86"/>
      <c r="I112" s="86"/>
      <c r="J112" s="8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5"/>
      <c r="D113" s="85"/>
      <c r="E113" s="85"/>
      <c r="F113" s="85"/>
      <c r="G113" s="85"/>
      <c r="H113" s="86"/>
      <c r="I113" s="86"/>
      <c r="J113" s="8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5"/>
      <c r="D114" s="85"/>
      <c r="E114" s="85"/>
      <c r="F114" s="85"/>
      <c r="G114" s="85"/>
      <c r="H114" s="86"/>
      <c r="I114" s="86"/>
      <c r="J114" s="8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5"/>
      <c r="D115" s="85"/>
      <c r="E115" s="85"/>
      <c r="F115" s="85"/>
      <c r="G115" s="85"/>
      <c r="H115" s="86"/>
      <c r="I115" s="86"/>
      <c r="J115" s="8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5"/>
      <c r="D116" s="85"/>
      <c r="E116" s="85"/>
      <c r="F116" s="85"/>
      <c r="G116" s="85"/>
      <c r="H116" s="86"/>
      <c r="I116" s="86"/>
      <c r="J116" s="8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5"/>
      <c r="D117" s="85"/>
      <c r="E117" s="85"/>
      <c r="F117" s="85"/>
      <c r="G117" s="85"/>
      <c r="H117" s="86"/>
      <c r="I117" s="86"/>
      <c r="J117" s="8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5"/>
      <c r="D118" s="85"/>
      <c r="E118" s="85"/>
      <c r="F118" s="85"/>
      <c r="G118" s="85"/>
      <c r="H118" s="86"/>
      <c r="I118" s="86"/>
      <c r="J118" s="8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5"/>
      <c r="D119" s="85"/>
      <c r="E119" s="85"/>
      <c r="F119" s="85"/>
      <c r="G119" s="85"/>
      <c r="H119" s="86"/>
      <c r="I119" s="86"/>
      <c r="J119" s="8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5"/>
      <c r="D120" s="85"/>
      <c r="E120" s="85"/>
      <c r="F120" s="85"/>
      <c r="G120" s="85"/>
      <c r="H120" s="86"/>
      <c r="I120" s="86"/>
      <c r="J120" s="8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5"/>
      <c r="D121" s="85"/>
      <c r="E121" s="85"/>
      <c r="F121" s="85"/>
      <c r="G121" s="85"/>
      <c r="H121" s="86"/>
      <c r="I121" s="86"/>
      <c r="J121" s="8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5"/>
      <c r="D122" s="85"/>
      <c r="E122" s="85"/>
      <c r="F122" s="85"/>
      <c r="G122" s="85"/>
      <c r="H122" s="86"/>
      <c r="I122" s="86"/>
      <c r="J122" s="8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5"/>
      <c r="D123" s="85"/>
      <c r="E123" s="85"/>
      <c r="F123" s="85"/>
      <c r="G123" s="85"/>
      <c r="H123" s="86"/>
      <c r="I123" s="86"/>
      <c r="J123" s="8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5"/>
      <c r="D124" s="85"/>
      <c r="E124" s="85"/>
      <c r="F124" s="85"/>
      <c r="G124" s="85"/>
      <c r="H124" s="86"/>
      <c r="I124" s="86"/>
      <c r="J124" s="8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5"/>
      <c r="D125" s="85"/>
      <c r="E125" s="85"/>
      <c r="F125" s="85"/>
      <c r="G125" s="85"/>
      <c r="H125" s="86"/>
      <c r="I125" s="86"/>
      <c r="J125" s="8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5"/>
      <c r="D126" s="85"/>
      <c r="E126" s="85"/>
      <c r="F126" s="85"/>
      <c r="G126" s="85"/>
      <c r="H126" s="86"/>
      <c r="I126" s="86"/>
      <c r="J126" s="8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5"/>
      <c r="D127" s="85"/>
      <c r="E127" s="85"/>
      <c r="F127" s="85"/>
      <c r="G127" s="85"/>
      <c r="H127" s="86"/>
      <c r="I127" s="86"/>
      <c r="J127" s="8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5"/>
      <c r="D128" s="85"/>
      <c r="E128" s="85"/>
      <c r="F128" s="85"/>
      <c r="G128" s="85"/>
      <c r="H128" s="86"/>
      <c r="I128" s="86"/>
      <c r="J128" s="8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5"/>
      <c r="D129" s="85"/>
      <c r="E129" s="85"/>
      <c r="F129" s="85"/>
      <c r="G129" s="85"/>
      <c r="H129" s="86"/>
      <c r="I129" s="86"/>
      <c r="J129" s="8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5"/>
      <c r="D130" s="85"/>
      <c r="E130" s="85"/>
      <c r="F130" s="85"/>
      <c r="G130" s="85"/>
      <c r="H130" s="86"/>
      <c r="I130" s="86"/>
      <c r="J130" s="8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5"/>
      <c r="D131" s="85"/>
      <c r="E131" s="85"/>
      <c r="F131" s="85"/>
      <c r="G131" s="85"/>
      <c r="H131" s="86"/>
      <c r="I131" s="86"/>
      <c r="J131" s="8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5"/>
      <c r="D132" s="85"/>
      <c r="E132" s="85"/>
      <c r="F132" s="85"/>
      <c r="G132" s="85"/>
      <c r="H132" s="86"/>
      <c r="I132" s="86"/>
      <c r="J132" s="8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5"/>
      <c r="D133" s="85"/>
      <c r="E133" s="85"/>
      <c r="F133" s="85"/>
      <c r="G133" s="85"/>
      <c r="H133" s="86"/>
      <c r="I133" s="86"/>
      <c r="J133" s="8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5"/>
      <c r="D134" s="85"/>
      <c r="E134" s="85"/>
      <c r="F134" s="85"/>
      <c r="G134" s="85"/>
      <c r="H134" s="86"/>
      <c r="I134" s="86"/>
      <c r="J134" s="8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5"/>
      <c r="D135" s="85"/>
      <c r="E135" s="85"/>
      <c r="F135" s="85"/>
      <c r="G135" s="85"/>
      <c r="H135" s="86"/>
      <c r="I135" s="86"/>
      <c r="J135" s="8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5"/>
      <c r="D136" s="85"/>
      <c r="E136" s="85"/>
      <c r="F136" s="85"/>
      <c r="G136" s="85"/>
      <c r="H136" s="86"/>
      <c r="I136" s="86"/>
      <c r="J136" s="8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5"/>
      <c r="D137" s="85"/>
      <c r="E137" s="85"/>
      <c r="F137" s="85"/>
      <c r="G137" s="85"/>
      <c r="H137" s="86"/>
      <c r="I137" s="86"/>
      <c r="J137" s="8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5"/>
      <c r="D138" s="85"/>
      <c r="E138" s="85"/>
      <c r="F138" s="85"/>
      <c r="G138" s="85"/>
      <c r="H138" s="86"/>
      <c r="I138" s="86"/>
      <c r="J138" s="8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5"/>
      <c r="D139" s="85"/>
      <c r="E139" s="85"/>
      <c r="F139" s="85"/>
      <c r="G139" s="85"/>
      <c r="H139" s="86"/>
      <c r="I139" s="86"/>
      <c r="J139" s="8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5"/>
      <c r="D140" s="85"/>
      <c r="E140" s="85"/>
      <c r="F140" s="85"/>
      <c r="G140" s="85"/>
      <c r="H140" s="86"/>
      <c r="I140" s="86"/>
      <c r="J140" s="8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5"/>
      <c r="D141" s="85"/>
      <c r="E141" s="85"/>
      <c r="F141" s="85"/>
      <c r="G141" s="85"/>
      <c r="H141" s="86"/>
      <c r="I141" s="86"/>
      <c r="J141" s="8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5"/>
      <c r="D142" s="85"/>
      <c r="E142" s="85"/>
      <c r="F142" s="85"/>
      <c r="G142" s="85"/>
      <c r="H142" s="86"/>
      <c r="I142" s="86"/>
      <c r="J142" s="8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5"/>
      <c r="D143" s="85"/>
      <c r="E143" s="85"/>
      <c r="F143" s="85"/>
      <c r="G143" s="85"/>
      <c r="H143" s="86"/>
      <c r="I143" s="86"/>
      <c r="J143" s="8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5"/>
      <c r="D144" s="85"/>
      <c r="E144" s="85"/>
      <c r="F144" s="85"/>
      <c r="G144" s="85"/>
      <c r="H144" s="86"/>
      <c r="I144" s="86"/>
      <c r="J144" s="8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5"/>
      <c r="D145" s="85"/>
      <c r="E145" s="85"/>
      <c r="F145" s="85"/>
      <c r="G145" s="85"/>
      <c r="H145" s="86"/>
      <c r="I145" s="86"/>
      <c r="J145" s="8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5"/>
      <c r="D146" s="85"/>
      <c r="E146" s="85"/>
      <c r="F146" s="85"/>
      <c r="G146" s="85"/>
      <c r="H146" s="86"/>
      <c r="I146" s="86"/>
      <c r="J146" s="8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5"/>
      <c r="D147" s="85"/>
      <c r="E147" s="85"/>
      <c r="F147" s="85"/>
      <c r="G147" s="85"/>
      <c r="H147" s="86"/>
      <c r="I147" s="86"/>
      <c r="J147" s="8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5"/>
      <c r="D148" s="85"/>
      <c r="E148" s="85"/>
      <c r="F148" s="85"/>
      <c r="G148" s="85"/>
      <c r="H148" s="86"/>
      <c r="I148" s="86"/>
      <c r="J148" s="8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5"/>
      <c r="D149" s="85"/>
      <c r="E149" s="85"/>
      <c r="F149" s="85"/>
      <c r="G149" s="85"/>
      <c r="H149" s="86"/>
      <c r="I149" s="86"/>
      <c r="J149" s="8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5"/>
      <c r="D150" s="85"/>
      <c r="E150" s="85"/>
      <c r="F150" s="85"/>
      <c r="G150" s="85"/>
      <c r="H150" s="86"/>
      <c r="I150" s="86"/>
      <c r="J150" s="8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5"/>
      <c r="D151" s="85"/>
      <c r="E151" s="85"/>
      <c r="F151" s="85"/>
      <c r="G151" s="85"/>
      <c r="H151" s="86"/>
      <c r="I151" s="86"/>
      <c r="J151" s="8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5"/>
      <c r="D152" s="85"/>
      <c r="E152" s="85"/>
      <c r="F152" s="85"/>
      <c r="G152" s="85"/>
      <c r="H152" s="86"/>
      <c r="I152" s="86"/>
      <c r="J152" s="8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5"/>
      <c r="D153" s="85"/>
      <c r="E153" s="85"/>
      <c r="F153" s="85"/>
      <c r="G153" s="85"/>
      <c r="H153" s="86"/>
      <c r="I153" s="86"/>
      <c r="J153" s="8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5"/>
      <c r="D154" s="85"/>
      <c r="E154" s="85"/>
      <c r="F154" s="85"/>
      <c r="G154" s="85"/>
      <c r="H154" s="86"/>
      <c r="I154" s="86"/>
      <c r="J154" s="8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5"/>
      <c r="D155" s="85"/>
      <c r="E155" s="85"/>
      <c r="F155" s="85"/>
      <c r="G155" s="85"/>
      <c r="H155" s="86"/>
      <c r="I155" s="86"/>
      <c r="J155" s="8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5"/>
      <c r="D156" s="85"/>
      <c r="E156" s="85"/>
      <c r="F156" s="85"/>
      <c r="G156" s="85"/>
      <c r="H156" s="86"/>
      <c r="I156" s="86"/>
      <c r="J156" s="8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5"/>
      <c r="D157" s="85"/>
      <c r="E157" s="85"/>
      <c r="F157" s="85"/>
      <c r="G157" s="85"/>
      <c r="H157" s="86"/>
      <c r="I157" s="86"/>
      <c r="J157" s="8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6"/>
      <c r="D158" s="86"/>
      <c r="E158" s="86"/>
      <c r="F158" s="86"/>
      <c r="G158" s="86"/>
      <c r="H158" s="86"/>
      <c r="I158" s="86"/>
      <c r="J158" s="8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6"/>
      <c r="D159" s="86"/>
      <c r="E159" s="86"/>
      <c r="F159" s="86"/>
      <c r="G159" s="86"/>
      <c r="H159" s="86"/>
      <c r="I159" s="86"/>
      <c r="J159" s="8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6"/>
      <c r="D160" s="86"/>
      <c r="E160" s="86"/>
      <c r="F160" s="86"/>
      <c r="G160" s="86"/>
      <c r="H160" s="86"/>
      <c r="I160" s="86"/>
      <c r="J160" s="8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6"/>
      <c r="D161" s="86"/>
      <c r="E161" s="86"/>
      <c r="F161" s="86"/>
      <c r="G161" s="86"/>
      <c r="H161" s="86"/>
      <c r="I161" s="86"/>
      <c r="J161" s="8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6"/>
      <c r="D162" s="86"/>
      <c r="E162" s="86"/>
      <c r="F162" s="86"/>
      <c r="G162" s="86"/>
      <c r="H162" s="86"/>
      <c r="I162" s="86"/>
      <c r="J162" s="8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6"/>
      <c r="D163" s="86"/>
      <c r="E163" s="86"/>
      <c r="F163" s="86"/>
      <c r="G163" s="86"/>
      <c r="H163" s="86"/>
      <c r="I163" s="86"/>
      <c r="J163" s="8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6"/>
      <c r="D164" s="86"/>
      <c r="E164" s="86"/>
      <c r="F164" s="86"/>
      <c r="G164" s="86"/>
      <c r="H164" s="86"/>
      <c r="I164" s="86"/>
      <c r="J164" s="8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6"/>
      <c r="D165" s="86"/>
      <c r="E165" s="86"/>
      <c r="F165" s="86"/>
      <c r="G165" s="86"/>
      <c r="H165" s="86"/>
      <c r="I165" s="86"/>
      <c r="J165" s="8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6"/>
      <c r="D166" s="86"/>
      <c r="E166" s="86"/>
      <c r="F166" s="86"/>
      <c r="G166" s="86"/>
      <c r="H166" s="86"/>
      <c r="I166" s="86"/>
      <c r="J166" s="8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6"/>
      <c r="D167" s="86"/>
      <c r="E167" s="86"/>
      <c r="F167" s="86"/>
      <c r="G167" s="86"/>
      <c r="H167" s="86"/>
      <c r="I167" s="86"/>
      <c r="J167" s="8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6"/>
      <c r="D168" s="86"/>
      <c r="E168" s="86"/>
      <c r="F168" s="86"/>
      <c r="G168" s="86"/>
      <c r="H168" s="86"/>
      <c r="I168" s="86"/>
      <c r="J168" s="8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6"/>
      <c r="D169" s="86"/>
      <c r="E169" s="86"/>
      <c r="F169" s="86"/>
      <c r="G169" s="86"/>
      <c r="H169" s="86"/>
      <c r="I169" s="86"/>
      <c r="J169" s="8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6"/>
      <c r="D170" s="86"/>
      <c r="E170" s="86"/>
      <c r="F170" s="86"/>
      <c r="G170" s="86"/>
      <c r="H170" s="86"/>
      <c r="I170" s="86"/>
      <c r="J170" s="8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6"/>
      <c r="D171" s="86"/>
      <c r="E171" s="86"/>
      <c r="F171" s="86"/>
      <c r="G171" s="86"/>
      <c r="H171" s="86"/>
      <c r="I171" s="86"/>
      <c r="J171" s="8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6"/>
      <c r="D172" s="86"/>
      <c r="E172" s="86"/>
      <c r="F172" s="86"/>
      <c r="G172" s="86"/>
      <c r="H172" s="86"/>
      <c r="I172" s="86"/>
      <c r="J172" s="8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6"/>
      <c r="D173" s="86"/>
      <c r="E173" s="86"/>
      <c r="F173" s="86"/>
      <c r="G173" s="86"/>
      <c r="H173" s="86"/>
      <c r="I173" s="86"/>
      <c r="J173" s="8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6"/>
      <c r="D174" s="86"/>
      <c r="E174" s="86"/>
      <c r="F174" s="86"/>
      <c r="G174" s="86"/>
      <c r="H174" s="86"/>
      <c r="I174" s="86"/>
      <c r="J174" s="8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6"/>
      <c r="D175" s="86"/>
      <c r="E175" s="86"/>
      <c r="F175" s="86"/>
      <c r="G175" s="86"/>
      <c r="H175" s="86"/>
      <c r="I175" s="86"/>
      <c r="J175" s="8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6"/>
      <c r="D176" s="86"/>
      <c r="E176" s="86"/>
      <c r="F176" s="86"/>
      <c r="G176" s="86"/>
      <c r="H176" s="86"/>
      <c r="I176" s="86"/>
      <c r="J176" s="8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6"/>
      <c r="D177" s="86"/>
      <c r="E177" s="86"/>
      <c r="F177" s="86"/>
      <c r="G177" s="86"/>
      <c r="H177" s="86"/>
      <c r="I177" s="86"/>
      <c r="J177" s="8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6"/>
      <c r="D178" s="86"/>
      <c r="E178" s="86"/>
      <c r="F178" s="86"/>
      <c r="G178" s="86"/>
      <c r="H178" s="86"/>
      <c r="I178" s="86"/>
      <c r="J178" s="8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6"/>
      <c r="D179" s="86"/>
      <c r="E179" s="86"/>
      <c r="F179" s="86"/>
      <c r="G179" s="86"/>
      <c r="H179" s="86"/>
      <c r="I179" s="86"/>
      <c r="J179" s="8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6"/>
      <c r="D180" s="86"/>
      <c r="E180" s="86"/>
      <c r="F180" s="86"/>
      <c r="G180" s="86"/>
      <c r="H180" s="86"/>
      <c r="I180" s="86"/>
      <c r="J180" s="8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6"/>
      <c r="D181" s="86"/>
      <c r="E181" s="86"/>
      <c r="F181" s="86"/>
      <c r="G181" s="86"/>
      <c r="H181" s="86"/>
      <c r="I181" s="86"/>
      <c r="J181" s="8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6"/>
      <c r="D182" s="86"/>
      <c r="E182" s="86"/>
      <c r="F182" s="86"/>
      <c r="G182" s="86"/>
      <c r="H182" s="86"/>
      <c r="I182" s="86"/>
      <c r="J182" s="8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6"/>
      <c r="D183" s="86"/>
      <c r="E183" s="86"/>
      <c r="F183" s="86"/>
      <c r="G183" s="86"/>
      <c r="H183" s="86"/>
      <c r="I183" s="86"/>
      <c r="J183" s="8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6"/>
      <c r="D184" s="86"/>
      <c r="E184" s="86"/>
      <c r="F184" s="86"/>
      <c r="G184" s="86"/>
      <c r="H184" s="86"/>
      <c r="I184" s="86"/>
      <c r="J184" s="8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6"/>
      <c r="D185" s="86"/>
      <c r="E185" s="86"/>
      <c r="F185" s="86"/>
      <c r="G185" s="86"/>
      <c r="H185" s="86"/>
      <c r="I185" s="86"/>
      <c r="J185" s="8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6"/>
      <c r="D186" s="86"/>
      <c r="E186" s="86"/>
      <c r="F186" s="86"/>
      <c r="G186" s="86"/>
      <c r="H186" s="86"/>
      <c r="I186" s="86"/>
      <c r="J186" s="8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6"/>
      <c r="D187" s="86"/>
      <c r="E187" s="86"/>
      <c r="F187" s="86"/>
      <c r="G187" s="86"/>
      <c r="H187" s="86"/>
      <c r="I187" s="86"/>
      <c r="J187" s="8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6"/>
      <c r="D188" s="86"/>
      <c r="E188" s="86"/>
      <c r="F188" s="86"/>
      <c r="G188" s="86"/>
      <c r="H188" s="86"/>
      <c r="I188" s="86"/>
      <c r="J188" s="8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6"/>
      <c r="D189" s="86"/>
      <c r="E189" s="86"/>
      <c r="F189" s="86"/>
      <c r="G189" s="86"/>
      <c r="H189" s="86"/>
      <c r="I189" s="86"/>
      <c r="J189" s="8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6"/>
      <c r="D190" s="86"/>
      <c r="E190" s="86"/>
      <c r="F190" s="86"/>
      <c r="G190" s="86"/>
      <c r="H190" s="86"/>
      <c r="I190" s="86"/>
      <c r="J190" s="8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6"/>
      <c r="D191" s="86"/>
      <c r="E191" s="86"/>
      <c r="F191" s="86"/>
      <c r="G191" s="86"/>
      <c r="H191" s="86"/>
      <c r="I191" s="86"/>
      <c r="J191" s="8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6"/>
      <c r="D192" s="86"/>
      <c r="E192" s="86"/>
      <c r="F192" s="86"/>
      <c r="G192" s="86"/>
      <c r="H192" s="86"/>
      <c r="I192" s="86"/>
      <c r="J192" s="8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6"/>
      <c r="D193" s="86"/>
      <c r="E193" s="86"/>
      <c r="F193" s="86"/>
      <c r="G193" s="86"/>
      <c r="H193" s="86"/>
      <c r="I193" s="86"/>
      <c r="J193" s="8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6"/>
      <c r="D194" s="86"/>
      <c r="E194" s="86"/>
      <c r="F194" s="86"/>
      <c r="G194" s="86"/>
      <c r="H194" s="86"/>
      <c r="I194" s="86"/>
      <c r="J194" s="8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6"/>
      <c r="D195" s="86"/>
      <c r="E195" s="86"/>
      <c r="F195" s="86"/>
      <c r="G195" s="86"/>
      <c r="H195" s="86"/>
      <c r="I195" s="86"/>
      <c r="J195" s="8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6"/>
      <c r="D196" s="86"/>
      <c r="E196" s="86"/>
      <c r="F196" s="86"/>
      <c r="G196" s="86"/>
      <c r="H196" s="86"/>
      <c r="I196" s="86"/>
      <c r="J196" s="8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6"/>
      <c r="D197" s="86"/>
      <c r="E197" s="86"/>
      <c r="F197" s="86"/>
      <c r="G197" s="86"/>
      <c r="H197" s="86"/>
      <c r="I197" s="86"/>
      <c r="J197" s="8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6"/>
      <c r="D198" s="86"/>
      <c r="E198" s="86"/>
      <c r="F198" s="86"/>
      <c r="G198" s="86"/>
      <c r="H198" s="86"/>
      <c r="I198" s="86"/>
      <c r="J198" s="8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6"/>
      <c r="D199" s="86"/>
      <c r="E199" s="86"/>
      <c r="F199" s="86"/>
      <c r="G199" s="86"/>
      <c r="H199" s="86"/>
      <c r="I199" s="86"/>
      <c r="J199" s="8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6"/>
      <c r="D200" s="86"/>
      <c r="E200" s="86"/>
      <c r="F200" s="86"/>
      <c r="G200" s="86"/>
      <c r="H200" s="86"/>
      <c r="I200" s="86"/>
      <c r="J200" s="8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6"/>
      <c r="D201" s="86"/>
      <c r="E201" s="86"/>
      <c r="F201" s="86"/>
      <c r="G201" s="86"/>
      <c r="H201" s="86"/>
      <c r="I201" s="86"/>
      <c r="J201" s="8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6"/>
      <c r="D202" s="86"/>
      <c r="E202" s="86"/>
      <c r="F202" s="86"/>
      <c r="G202" s="86"/>
      <c r="H202" s="86"/>
      <c r="I202" s="86"/>
      <c r="J202" s="8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6"/>
      <c r="D203" s="86"/>
      <c r="E203" s="86"/>
      <c r="F203" s="86"/>
      <c r="G203" s="86"/>
      <c r="H203" s="86"/>
      <c r="I203" s="86"/>
      <c r="J203" s="8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6"/>
      <c r="D204" s="86"/>
      <c r="E204" s="86"/>
      <c r="F204" s="86"/>
      <c r="G204" s="86"/>
      <c r="H204" s="86"/>
      <c r="I204" s="86"/>
      <c r="J204" s="8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6"/>
      <c r="D205" s="86"/>
      <c r="E205" s="86"/>
      <c r="F205" s="86"/>
      <c r="G205" s="86"/>
      <c r="H205" s="86"/>
      <c r="I205" s="86"/>
      <c r="J205" s="8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6"/>
      <c r="D206" s="86"/>
      <c r="E206" s="86"/>
      <c r="F206" s="86"/>
      <c r="G206" s="86"/>
      <c r="H206" s="86"/>
      <c r="I206" s="86"/>
      <c r="J206" s="8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6"/>
      <c r="D207" s="86"/>
      <c r="E207" s="86"/>
      <c r="F207" s="86"/>
      <c r="G207" s="86"/>
      <c r="H207" s="86"/>
      <c r="I207" s="86"/>
      <c r="J207" s="8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6"/>
      <c r="D208" s="86"/>
      <c r="E208" s="86"/>
      <c r="F208" s="86"/>
      <c r="G208" s="86"/>
      <c r="H208" s="86"/>
      <c r="I208" s="86"/>
      <c r="J208" s="8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6"/>
      <c r="D209" s="86"/>
      <c r="E209" s="86"/>
      <c r="F209" s="86"/>
      <c r="G209" s="86"/>
      <c r="H209" s="86"/>
      <c r="I209" s="86"/>
      <c r="J209" s="8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6"/>
      <c r="D210" s="86"/>
      <c r="E210" s="86"/>
      <c r="F210" s="86"/>
      <c r="G210" s="86"/>
      <c r="H210" s="86"/>
      <c r="I210" s="86"/>
      <c r="J210" s="8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6"/>
      <c r="D211" s="86"/>
      <c r="E211" s="86"/>
      <c r="F211" s="86"/>
      <c r="G211" s="86"/>
      <c r="H211" s="86"/>
      <c r="I211" s="86"/>
      <c r="J211" s="8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6"/>
      <c r="D212" s="86"/>
      <c r="E212" s="86"/>
      <c r="F212" s="86"/>
      <c r="G212" s="86"/>
      <c r="H212" s="86"/>
      <c r="I212" s="86"/>
      <c r="J212" s="8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6"/>
      <c r="D213" s="86"/>
      <c r="E213" s="86"/>
      <c r="F213" s="86"/>
      <c r="G213" s="86"/>
      <c r="H213" s="86"/>
      <c r="I213" s="86"/>
      <c r="J213" s="8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6"/>
      <c r="D214" s="86"/>
      <c r="E214" s="86"/>
      <c r="F214" s="86"/>
      <c r="G214" s="86"/>
      <c r="H214" s="86"/>
      <c r="I214" s="86"/>
      <c r="J214" s="8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6"/>
      <c r="D215" s="86"/>
      <c r="E215" s="86"/>
      <c r="F215" s="86"/>
      <c r="G215" s="86"/>
      <c r="H215" s="86"/>
      <c r="I215" s="86"/>
      <c r="J215" s="8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6"/>
      <c r="D216" s="86"/>
      <c r="E216" s="86"/>
      <c r="F216" s="86"/>
      <c r="G216" s="86"/>
      <c r="H216" s="86"/>
      <c r="I216" s="86"/>
      <c r="J216" s="8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6"/>
      <c r="D217" s="86"/>
      <c r="E217" s="86"/>
      <c r="F217" s="86"/>
      <c r="G217" s="86"/>
      <c r="H217" s="86"/>
      <c r="I217" s="86"/>
      <c r="J217" s="8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6"/>
      <c r="D218" s="86"/>
      <c r="E218" s="86"/>
      <c r="F218" s="86"/>
      <c r="G218" s="86"/>
      <c r="H218" s="86"/>
      <c r="I218" s="86"/>
      <c r="J218" s="8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6"/>
      <c r="D219" s="86"/>
      <c r="E219" s="86"/>
      <c r="F219" s="86"/>
      <c r="G219" s="86"/>
      <c r="H219" s="86"/>
      <c r="I219" s="86"/>
      <c r="J219" s="8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6"/>
      <c r="D220" s="86"/>
      <c r="E220" s="86"/>
      <c r="F220" s="86"/>
      <c r="G220" s="86"/>
      <c r="H220" s="86"/>
      <c r="I220" s="86"/>
      <c r="J220" s="8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6"/>
      <c r="D221" s="86"/>
      <c r="E221" s="86"/>
      <c r="F221" s="86"/>
      <c r="G221" s="86"/>
      <c r="H221" s="86"/>
      <c r="I221" s="86"/>
      <c r="J221" s="8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6"/>
      <c r="D222" s="86"/>
      <c r="E222" s="86"/>
      <c r="F222" s="86"/>
      <c r="G222" s="86"/>
      <c r="H222" s="86"/>
      <c r="I222" s="86"/>
      <c r="J222" s="8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6"/>
      <c r="D223" s="86"/>
      <c r="E223" s="86"/>
      <c r="F223" s="86"/>
      <c r="G223" s="86"/>
      <c r="H223" s="86"/>
      <c r="I223" s="86"/>
      <c r="J223" s="8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6"/>
      <c r="D224" s="86"/>
      <c r="E224" s="86"/>
      <c r="F224" s="86"/>
      <c r="G224" s="86"/>
      <c r="H224" s="86"/>
      <c r="I224" s="86"/>
      <c r="J224" s="8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6"/>
      <c r="D225" s="86"/>
      <c r="E225" s="86"/>
      <c r="F225" s="86"/>
      <c r="G225" s="86"/>
      <c r="H225" s="86"/>
      <c r="I225" s="86"/>
      <c r="J225" s="8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6"/>
      <c r="D226" s="86"/>
      <c r="E226" s="86"/>
      <c r="F226" s="86"/>
      <c r="G226" s="86"/>
      <c r="H226" s="86"/>
      <c r="I226" s="86"/>
      <c r="J226" s="8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6"/>
      <c r="D227" s="86"/>
      <c r="E227" s="86"/>
      <c r="F227" s="86"/>
      <c r="G227" s="86"/>
      <c r="H227" s="86"/>
      <c r="I227" s="86"/>
      <c r="J227" s="8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6"/>
      <c r="D228" s="86"/>
      <c r="E228" s="86"/>
      <c r="F228" s="86"/>
      <c r="G228" s="86"/>
      <c r="H228" s="86"/>
      <c r="I228" s="86"/>
      <c r="J228" s="8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6"/>
      <c r="D229" s="86"/>
      <c r="E229" s="86"/>
      <c r="F229" s="86"/>
      <c r="G229" s="86"/>
      <c r="H229" s="86"/>
      <c r="I229" s="86"/>
      <c r="J229" s="8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6"/>
      <c r="D230" s="86"/>
      <c r="E230" s="86"/>
      <c r="F230" s="86"/>
      <c r="G230" s="86"/>
      <c r="H230" s="86"/>
      <c r="I230" s="86"/>
      <c r="J230" s="8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6"/>
      <c r="D231" s="86"/>
      <c r="E231" s="86"/>
      <c r="F231" s="86"/>
      <c r="G231" s="86"/>
      <c r="H231" s="86"/>
      <c r="I231" s="86"/>
      <c r="J231" s="8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6"/>
      <c r="D232" s="86"/>
      <c r="E232" s="86"/>
      <c r="F232" s="86"/>
      <c r="G232" s="86"/>
      <c r="H232" s="86"/>
      <c r="I232" s="86"/>
      <c r="J232" s="8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6"/>
      <c r="D233" s="86"/>
      <c r="E233" s="86"/>
      <c r="F233" s="86"/>
      <c r="G233" s="86"/>
      <c r="H233" s="86"/>
      <c r="I233" s="86"/>
      <c r="J233" s="8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6"/>
      <c r="D234" s="86"/>
      <c r="E234" s="86"/>
      <c r="F234" s="86"/>
      <c r="G234" s="86"/>
      <c r="H234" s="86"/>
      <c r="I234" s="86"/>
      <c r="J234" s="8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6"/>
      <c r="D235" s="86"/>
      <c r="E235" s="86"/>
      <c r="F235" s="86"/>
      <c r="G235" s="86"/>
      <c r="H235" s="86"/>
      <c r="I235" s="86"/>
      <c r="J235" s="8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6"/>
      <c r="D236" s="86"/>
      <c r="E236" s="86"/>
      <c r="F236" s="86"/>
      <c r="G236" s="86"/>
      <c r="H236" s="86"/>
      <c r="I236" s="86"/>
      <c r="J236" s="8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6"/>
      <c r="D237" s="86"/>
      <c r="E237" s="86"/>
      <c r="F237" s="86"/>
      <c r="G237" s="86"/>
      <c r="H237" s="86"/>
      <c r="I237" s="86"/>
      <c r="J237" s="8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6"/>
      <c r="D238" s="86"/>
      <c r="E238" s="86"/>
      <c r="F238" s="86"/>
      <c r="G238" s="86"/>
      <c r="H238" s="86"/>
      <c r="I238" s="86"/>
      <c r="J238" s="8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6"/>
      <c r="D239" s="86"/>
      <c r="E239" s="86"/>
      <c r="F239" s="86"/>
      <c r="G239" s="86"/>
      <c r="H239" s="86"/>
      <c r="I239" s="86"/>
      <c r="J239" s="8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6"/>
      <c r="D240" s="86"/>
      <c r="E240" s="86"/>
      <c r="F240" s="86"/>
      <c r="G240" s="86"/>
      <c r="H240" s="86"/>
      <c r="I240" s="86"/>
      <c r="J240" s="8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6"/>
      <c r="D241" s="86"/>
      <c r="E241" s="86"/>
      <c r="F241" s="86"/>
      <c r="G241" s="86"/>
      <c r="H241" s="86"/>
      <c r="I241" s="86"/>
      <c r="J241" s="8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6"/>
      <c r="D242" s="86"/>
      <c r="E242" s="86"/>
      <c r="F242" s="86"/>
      <c r="G242" s="86"/>
      <c r="H242" s="86"/>
      <c r="I242" s="86"/>
      <c r="J242" s="8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6"/>
      <c r="D243" s="86"/>
      <c r="E243" s="86"/>
      <c r="F243" s="86"/>
      <c r="G243" s="86"/>
      <c r="H243" s="86"/>
      <c r="I243" s="86"/>
      <c r="J243" s="8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6"/>
      <c r="D244" s="86"/>
      <c r="E244" s="86"/>
      <c r="F244" s="86"/>
      <c r="G244" s="86"/>
      <c r="H244" s="86"/>
      <c r="I244" s="86"/>
      <c r="J244" s="8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6"/>
      <c r="D245" s="86"/>
      <c r="E245" s="86"/>
      <c r="F245" s="86"/>
      <c r="G245" s="86"/>
      <c r="H245" s="86"/>
      <c r="I245" s="86"/>
      <c r="J245" s="8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6"/>
      <c r="D246" s="86"/>
      <c r="E246" s="86"/>
      <c r="F246" s="86"/>
      <c r="G246" s="86"/>
      <c r="H246" s="86"/>
      <c r="I246" s="86"/>
      <c r="J246" s="8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6"/>
      <c r="D247" s="86"/>
      <c r="E247" s="86"/>
      <c r="F247" s="86"/>
      <c r="G247" s="86"/>
      <c r="H247" s="86"/>
      <c r="I247" s="86"/>
      <c r="J247" s="8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6"/>
      <c r="D248" s="86"/>
      <c r="E248" s="86"/>
      <c r="F248" s="86"/>
      <c r="G248" s="86"/>
      <c r="H248" s="86"/>
      <c r="I248" s="86"/>
      <c r="J248" s="8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6"/>
      <c r="D249" s="86"/>
      <c r="E249" s="86"/>
      <c r="F249" s="86"/>
      <c r="G249" s="86"/>
      <c r="H249" s="86"/>
      <c r="I249" s="86"/>
      <c r="J249" s="8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J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J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J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J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J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J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J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J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J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J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J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J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J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J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J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J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J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J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J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J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J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J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J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J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J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J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J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J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J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J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J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J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J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J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J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J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J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J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J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J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J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J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J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J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J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J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J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J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J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J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J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J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J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J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J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J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J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J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J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J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J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J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J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J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J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J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J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J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J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J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J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J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J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J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J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J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J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J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J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J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J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J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J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J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J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J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J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J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J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J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J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J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J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J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J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J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J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J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J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J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J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J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J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J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J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J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J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J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J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J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J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J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J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J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J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J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J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J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J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J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J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J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J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J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J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J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J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J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J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J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J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J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J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J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J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J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J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J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J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J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J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J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J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J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J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J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J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J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J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J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J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J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J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J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J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J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J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J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J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J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J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J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J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J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J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J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J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J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J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J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J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J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J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J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J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J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J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J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J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J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J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J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J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J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J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J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J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J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J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J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J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J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J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J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J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J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J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J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J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J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J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J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J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J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J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J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J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J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J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J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J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J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J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J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J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J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J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J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J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J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J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J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J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J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J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J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J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J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J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J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J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J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J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J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J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J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J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J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J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J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J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J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J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J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J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J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J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J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J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J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J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J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J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J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J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J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J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J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J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J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J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J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J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J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J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J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J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J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J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J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J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J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J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J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J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J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J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J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J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J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J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J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J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J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J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J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J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J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J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J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J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J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J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J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J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J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J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J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J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J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J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J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J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J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J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J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J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J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J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J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J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J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J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J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J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J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J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J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J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J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J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J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J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J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J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J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J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J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J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J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J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J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J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J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J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J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J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J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J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J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J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J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J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J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J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J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J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J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J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J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J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J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J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J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J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J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J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J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J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J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J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J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J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J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J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J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J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J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J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J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J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J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J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J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J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J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J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J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J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J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J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J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J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J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J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J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J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J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J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J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J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J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J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J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J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J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J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J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J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J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J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J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J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J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J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J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J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J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J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J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J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J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J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J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J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J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J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J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J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J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J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J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J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J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J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J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J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J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J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J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J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J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J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J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J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J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J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J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J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J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J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J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J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J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J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J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J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J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J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J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J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J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J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J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J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J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J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J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J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J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J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J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J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J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J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J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J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J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J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J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J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J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J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J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J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J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J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J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J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J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J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J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J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J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J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J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J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J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J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J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J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J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J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J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J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J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J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J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J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J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J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J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J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J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J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J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J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J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J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J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J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J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J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J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J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J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J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J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J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J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J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J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J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J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J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J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J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J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J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J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J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J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J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J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J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J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J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J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J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J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J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J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J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J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J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J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J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J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J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J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J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J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J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J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J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J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J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J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J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J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J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J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J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J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J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J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J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J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J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J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J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J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J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J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J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J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J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J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J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J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J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J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J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J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J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J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J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J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J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J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J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J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J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J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J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J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J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J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J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J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J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J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J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J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J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J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J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J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J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J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J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J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J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J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J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J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J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J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J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J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J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J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J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J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J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J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J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J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J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J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J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J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J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J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J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J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J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J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J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J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J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J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J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J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J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J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J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J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J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J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J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J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J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J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J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J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J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J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J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J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J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J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J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J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J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J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J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J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J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J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J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J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J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J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J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J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J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J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J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J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J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J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J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J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J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J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J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J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J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J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J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J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J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J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J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J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J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J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J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J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J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J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J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J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J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J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J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J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J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J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J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J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J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J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J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J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J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J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J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J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J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J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J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J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J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J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J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J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J1000" s="92"/>
    </row>
  </sheetData>
  <mergeCells count="35">
    <mergeCell ref="A1:B2"/>
    <mergeCell ref="C1:C2"/>
    <mergeCell ref="D1:D2"/>
    <mergeCell ref="E1:E2"/>
    <mergeCell ref="F1:J2"/>
    <mergeCell ref="A3:B3"/>
    <mergeCell ref="C3:C4"/>
    <mergeCell ref="J3:J4"/>
    <mergeCell ref="A29:A32"/>
    <mergeCell ref="B29:B32"/>
    <mergeCell ref="A33:A39"/>
    <mergeCell ref="A40:A44"/>
    <mergeCell ref="A45:A46"/>
    <mergeCell ref="A47:A49"/>
    <mergeCell ref="A50:J54"/>
    <mergeCell ref="A58:A71"/>
    <mergeCell ref="D3:D4"/>
    <mergeCell ref="E3:E4"/>
    <mergeCell ref="A5:A9"/>
    <mergeCell ref="A10:A15"/>
    <mergeCell ref="A16:A19"/>
    <mergeCell ref="A20:A24"/>
    <mergeCell ref="A25:A28"/>
    <mergeCell ref="I29:I32"/>
    <mergeCell ref="I33:I39"/>
    <mergeCell ref="I40:I44"/>
    <mergeCell ref="I45:I46"/>
    <mergeCell ref="I47:I49"/>
    <mergeCell ref="F3:F4"/>
    <mergeCell ref="I3:I4"/>
    <mergeCell ref="I5:I9"/>
    <mergeCell ref="I10:I15"/>
    <mergeCell ref="I16:I19"/>
    <mergeCell ref="I20:I24"/>
    <mergeCell ref="I25:I28"/>
  </mergeCells>
  <printOptions/>
  <pageMargins bottom="0.75" footer="0.0" header="0.0" left="0.25" right="0.25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1.57"/>
    <col customWidth="1" min="2" max="2" width="110.86"/>
    <col customWidth="1" min="3" max="3" width="36.29"/>
    <col customWidth="1" min="4" max="5" width="34.29"/>
    <col customWidth="1" min="6" max="6" width="30.86"/>
    <col customWidth="1" min="7" max="7" width="21.14"/>
    <col customWidth="1" min="8" max="8" width="21.57"/>
    <col customWidth="1" min="10" max="10" width="49.71"/>
  </cols>
  <sheetData>
    <row r="1" ht="16.5" customHeight="1">
      <c r="A1" s="1" t="s">
        <v>326</v>
      </c>
      <c r="B1" s="2"/>
      <c r="C1" s="254" t="s">
        <v>66</v>
      </c>
      <c r="D1" s="255" t="s">
        <v>327</v>
      </c>
      <c r="E1" s="256" t="s">
        <v>328</v>
      </c>
      <c r="F1" s="257" t="s">
        <v>201</v>
      </c>
      <c r="G1" s="2"/>
      <c r="H1" s="2"/>
      <c r="I1" s="2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0"/>
      <c r="C2" s="11"/>
      <c r="D2" s="36"/>
      <c r="E2" s="11"/>
      <c r="F2" s="13"/>
      <c r="J2" s="1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258"/>
      <c r="B3" s="16"/>
      <c r="C3" s="259" t="s">
        <v>202</v>
      </c>
      <c r="D3" s="260" t="s">
        <v>203</v>
      </c>
      <c r="E3" s="261" t="s">
        <v>204</v>
      </c>
      <c r="F3" s="260" t="s">
        <v>205</v>
      </c>
      <c r="G3" s="262" t="s">
        <v>4</v>
      </c>
      <c r="H3" s="263" t="s">
        <v>5</v>
      </c>
      <c r="I3" s="259" t="s">
        <v>6</v>
      </c>
      <c r="J3" s="260" t="s">
        <v>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23" t="s">
        <v>8</v>
      </c>
      <c r="B4" s="264" t="s">
        <v>9</v>
      </c>
      <c r="C4" s="28"/>
      <c r="D4" s="11"/>
      <c r="E4" s="26"/>
      <c r="F4" s="25"/>
      <c r="G4" s="265" t="s">
        <v>10</v>
      </c>
      <c r="H4" s="265" t="s">
        <v>11</v>
      </c>
      <c r="I4" s="28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89" t="s">
        <v>329</v>
      </c>
      <c r="B5" s="208" t="s">
        <v>330</v>
      </c>
      <c r="C5" s="266">
        <v>98000.0</v>
      </c>
      <c r="D5" s="151">
        <v>157000.0</v>
      </c>
      <c r="E5" s="266">
        <v>79000.0</v>
      </c>
      <c r="F5" s="267">
        <v>0.194</v>
      </c>
      <c r="G5" s="268"/>
      <c r="H5" s="269"/>
      <c r="I5" s="270"/>
      <c r="J5" s="22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25"/>
      <c r="B6" s="212" t="s">
        <v>331</v>
      </c>
      <c r="C6" s="271">
        <v>279000.0</v>
      </c>
      <c r="D6" s="152">
        <v>397000.0</v>
      </c>
      <c r="E6" s="271">
        <v>199000.0</v>
      </c>
      <c r="F6" s="272">
        <v>0.287</v>
      </c>
      <c r="G6" s="273"/>
      <c r="H6" s="274"/>
      <c r="I6" s="26"/>
      <c r="J6" s="225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25"/>
      <c r="B7" s="212" t="s">
        <v>332</v>
      </c>
      <c r="C7" s="271">
        <v>398000.0</v>
      </c>
      <c r="D7" s="152">
        <v>497000.0</v>
      </c>
      <c r="E7" s="271">
        <v>249000.0</v>
      </c>
      <c r="F7" s="272">
        <v>0.374</v>
      </c>
      <c r="G7" s="275"/>
      <c r="H7" s="276"/>
      <c r="I7" s="26"/>
      <c r="J7" s="225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1"/>
      <c r="B8" s="277" t="s">
        <v>333</v>
      </c>
      <c r="C8" s="278">
        <v>681000.0</v>
      </c>
      <c r="D8" s="153">
        <v>997000.0</v>
      </c>
      <c r="E8" s="278">
        <v>499000.0</v>
      </c>
      <c r="F8" s="279">
        <v>0.267</v>
      </c>
      <c r="G8" s="280"/>
      <c r="H8" s="281"/>
      <c r="I8" s="26"/>
      <c r="J8" s="225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282" t="s">
        <v>334</v>
      </c>
      <c r="B9" s="208" t="s">
        <v>335</v>
      </c>
      <c r="C9" s="266">
        <v>178000.0</v>
      </c>
      <c r="D9" s="151">
        <v>297000.0</v>
      </c>
      <c r="E9" s="266">
        <v>149000.0</v>
      </c>
      <c r="F9" s="267">
        <v>0.163</v>
      </c>
      <c r="G9" s="283"/>
      <c r="H9" s="284"/>
      <c r="I9" s="26"/>
      <c r="J9" s="225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25"/>
      <c r="B10" s="212" t="s">
        <v>336</v>
      </c>
      <c r="C10" s="271">
        <v>339000.0</v>
      </c>
      <c r="D10" s="152">
        <v>417000.0</v>
      </c>
      <c r="E10" s="152">
        <v>209000.0</v>
      </c>
      <c r="F10" s="272">
        <v>0.383</v>
      </c>
      <c r="G10" s="275"/>
      <c r="H10" s="276"/>
      <c r="I10" s="26"/>
      <c r="J10" s="225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1"/>
      <c r="B11" s="214" t="s">
        <v>337</v>
      </c>
      <c r="C11" s="278">
        <v>358000.0</v>
      </c>
      <c r="D11" s="153">
        <v>577000.0</v>
      </c>
      <c r="E11" s="153">
        <v>289000.0</v>
      </c>
      <c r="F11" s="279">
        <v>0.193</v>
      </c>
      <c r="G11" s="285"/>
      <c r="H11" s="286"/>
      <c r="I11" s="26"/>
      <c r="J11" s="225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282" t="s">
        <v>338</v>
      </c>
      <c r="B12" s="208" t="s">
        <v>339</v>
      </c>
      <c r="C12" s="151">
        <v>158000.0</v>
      </c>
      <c r="D12" s="287">
        <f t="shared" ref="D12:D21" si="1">E12*2-1000</f>
        <v>199000</v>
      </c>
      <c r="E12" s="151">
        <v>100000.0</v>
      </c>
      <c r="F12" s="267">
        <f t="shared" ref="F12:F16" si="2">1-E12/C12</f>
        <v>0.3670886076</v>
      </c>
      <c r="G12" s="283"/>
      <c r="H12" s="288"/>
      <c r="I12" s="26"/>
      <c r="J12" s="225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25"/>
      <c r="B13" s="212" t="s">
        <v>340</v>
      </c>
      <c r="C13" s="152">
        <v>120000.0</v>
      </c>
      <c r="D13" s="289">
        <f t="shared" si="1"/>
        <v>199000</v>
      </c>
      <c r="E13" s="152">
        <v>100000.0</v>
      </c>
      <c r="F13" s="272">
        <f t="shared" si="2"/>
        <v>0.1666666667</v>
      </c>
      <c r="G13" s="275"/>
      <c r="H13" s="276"/>
      <c r="I13" s="26"/>
      <c r="J13" s="22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25"/>
      <c r="B14" s="212" t="s">
        <v>341</v>
      </c>
      <c r="C14" s="152">
        <v>119000.0</v>
      </c>
      <c r="D14" s="289">
        <f t="shared" si="1"/>
        <v>199000</v>
      </c>
      <c r="E14" s="152">
        <v>100000.0</v>
      </c>
      <c r="F14" s="272">
        <f t="shared" si="2"/>
        <v>0.1596638655</v>
      </c>
      <c r="G14" s="290"/>
      <c r="H14" s="276"/>
      <c r="I14" s="26"/>
      <c r="J14" s="225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1"/>
      <c r="B15" s="277" t="s">
        <v>342</v>
      </c>
      <c r="C15" s="153">
        <v>149000.0</v>
      </c>
      <c r="D15" s="291">
        <f t="shared" si="1"/>
        <v>199000</v>
      </c>
      <c r="E15" s="153">
        <v>100000.0</v>
      </c>
      <c r="F15" s="279">
        <f t="shared" si="2"/>
        <v>0.3288590604</v>
      </c>
      <c r="G15" s="280"/>
      <c r="H15" s="281"/>
      <c r="I15" s="26"/>
      <c r="J15" s="225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89" t="s">
        <v>343</v>
      </c>
      <c r="B16" s="292" t="s">
        <v>124</v>
      </c>
      <c r="C16" s="145">
        <v>199000.0</v>
      </c>
      <c r="D16" s="152">
        <f t="shared" si="1"/>
        <v>277000</v>
      </c>
      <c r="E16" s="145">
        <v>139000.0</v>
      </c>
      <c r="F16" s="272">
        <f t="shared" si="2"/>
        <v>0.3015075377</v>
      </c>
      <c r="G16" s="293"/>
      <c r="H16" s="288"/>
      <c r="I16" s="294"/>
      <c r="J16" s="225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25"/>
      <c r="B17" s="292" t="s">
        <v>344</v>
      </c>
      <c r="C17" s="145" t="s">
        <v>345</v>
      </c>
      <c r="D17" s="152">
        <f t="shared" si="1"/>
        <v>399000</v>
      </c>
      <c r="E17" s="145">
        <v>200000.0</v>
      </c>
      <c r="F17" s="272">
        <f>1-E17/250000</f>
        <v>0.2</v>
      </c>
      <c r="G17" s="275"/>
      <c r="H17" s="276"/>
      <c r="I17" s="14"/>
      <c r="J17" s="225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25"/>
      <c r="B18" s="292" t="s">
        <v>346</v>
      </c>
      <c r="C18" s="145">
        <v>290000.0</v>
      </c>
      <c r="D18" s="152">
        <f t="shared" si="1"/>
        <v>497000</v>
      </c>
      <c r="E18" s="145">
        <v>249000.0</v>
      </c>
      <c r="F18" s="272">
        <f t="shared" ref="F18:F21" si="3">1-E18/C18</f>
        <v>0.1413793103</v>
      </c>
      <c r="G18" s="275"/>
      <c r="H18" s="276"/>
      <c r="I18" s="14"/>
      <c r="J18" s="225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25"/>
      <c r="B19" s="292" t="s">
        <v>222</v>
      </c>
      <c r="C19" s="145">
        <v>379000.0</v>
      </c>
      <c r="D19" s="152">
        <f t="shared" si="1"/>
        <v>597000</v>
      </c>
      <c r="E19" s="145">
        <v>299000.0</v>
      </c>
      <c r="F19" s="272">
        <f t="shared" si="3"/>
        <v>0.2110817942</v>
      </c>
      <c r="G19" s="275"/>
      <c r="H19" s="276"/>
      <c r="I19" s="14"/>
      <c r="J19" s="225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25"/>
      <c r="B20" s="292" t="s">
        <v>347</v>
      </c>
      <c r="C20" s="145">
        <v>589000.0</v>
      </c>
      <c r="D20" s="152">
        <f t="shared" si="1"/>
        <v>997000</v>
      </c>
      <c r="E20" s="145">
        <v>499000.0</v>
      </c>
      <c r="F20" s="272">
        <f t="shared" si="3"/>
        <v>0.1528013582</v>
      </c>
      <c r="G20" s="290"/>
      <c r="H20" s="276"/>
      <c r="I20" s="14"/>
      <c r="J20" s="225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11"/>
      <c r="B21" s="132" t="s">
        <v>348</v>
      </c>
      <c r="C21" s="145">
        <v>1280000.0</v>
      </c>
      <c r="D21" s="153">
        <f t="shared" si="1"/>
        <v>2299000</v>
      </c>
      <c r="E21" s="147">
        <v>1150000.0</v>
      </c>
      <c r="F21" s="279">
        <f t="shared" si="3"/>
        <v>0.1015625</v>
      </c>
      <c r="G21" s="280"/>
      <c r="H21" s="281"/>
      <c r="I21" s="14"/>
      <c r="J21" s="295" t="s">
        <v>349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296" t="s">
        <v>350</v>
      </c>
      <c r="B22" s="297" t="s">
        <v>351</v>
      </c>
      <c r="C22" s="151">
        <v>169000.0</v>
      </c>
      <c r="D22" s="151">
        <v>197000.0</v>
      </c>
      <c r="E22" s="298">
        <v>99000.0</v>
      </c>
      <c r="F22" s="267">
        <v>0.414</v>
      </c>
      <c r="G22" s="283"/>
      <c r="H22" s="283"/>
      <c r="I22" s="270"/>
      <c r="J22" s="225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28"/>
      <c r="B23" s="299" t="s">
        <v>352</v>
      </c>
      <c r="C23" s="152">
        <v>179000.0</v>
      </c>
      <c r="D23" s="152">
        <v>217000.0</v>
      </c>
      <c r="E23" s="298">
        <v>109000.0</v>
      </c>
      <c r="F23" s="272">
        <v>0.391</v>
      </c>
      <c r="G23" s="283"/>
      <c r="H23" s="283"/>
      <c r="I23" s="26"/>
      <c r="J23" s="225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28"/>
      <c r="B24" s="299" t="s">
        <v>353</v>
      </c>
      <c r="C24" s="152">
        <v>199000.0</v>
      </c>
      <c r="D24" s="152">
        <v>297000.0</v>
      </c>
      <c r="E24" s="298">
        <v>149000.0</v>
      </c>
      <c r="F24" s="272">
        <v>0.251</v>
      </c>
      <c r="G24" s="290"/>
      <c r="H24" s="275"/>
      <c r="I24" s="26"/>
      <c r="J24" s="225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28"/>
      <c r="B25" s="299" t="s">
        <v>354</v>
      </c>
      <c r="C25" s="152">
        <v>449000.0</v>
      </c>
      <c r="D25" s="152">
        <v>597000.0</v>
      </c>
      <c r="E25" s="298">
        <v>299000.0</v>
      </c>
      <c r="F25" s="272">
        <v>0.334</v>
      </c>
      <c r="G25" s="275"/>
      <c r="H25" s="275"/>
      <c r="I25" s="26"/>
      <c r="J25" s="22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8"/>
      <c r="B26" s="299" t="s">
        <v>355</v>
      </c>
      <c r="C26" s="152">
        <v>420000.0</v>
      </c>
      <c r="D26" s="152">
        <v>777000.0</v>
      </c>
      <c r="E26" s="298">
        <v>389000.0</v>
      </c>
      <c r="F26" s="272">
        <v>0.074</v>
      </c>
      <c r="G26" s="275"/>
      <c r="H26" s="275"/>
      <c r="I26" s="26"/>
      <c r="J26" s="225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28"/>
      <c r="B27" s="277" t="s">
        <v>356</v>
      </c>
      <c r="C27" s="153">
        <v>420000.0</v>
      </c>
      <c r="D27" s="152">
        <v>777000.0</v>
      </c>
      <c r="E27" s="298">
        <v>389000.0</v>
      </c>
      <c r="F27" s="272">
        <v>0.074</v>
      </c>
      <c r="G27" s="275"/>
      <c r="H27" s="275"/>
      <c r="I27" s="26"/>
      <c r="J27" s="22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189" t="s">
        <v>357</v>
      </c>
      <c r="B28" s="292" t="s">
        <v>358</v>
      </c>
      <c r="C28" s="145">
        <v>319000.0</v>
      </c>
      <c r="D28" s="151">
        <v>537000.0</v>
      </c>
      <c r="E28" s="144">
        <v>269000.0</v>
      </c>
      <c r="F28" s="267">
        <v>0.157</v>
      </c>
      <c r="G28" s="300"/>
      <c r="H28" s="300"/>
      <c r="I28" s="301"/>
      <c r="J28" s="225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25"/>
      <c r="B29" s="292" t="s">
        <v>359</v>
      </c>
      <c r="C29" s="145">
        <v>399000.0</v>
      </c>
      <c r="D29" s="152">
        <v>597000.0</v>
      </c>
      <c r="E29" s="145">
        <v>299000.0</v>
      </c>
      <c r="F29" s="272">
        <v>0.251</v>
      </c>
      <c r="G29" s="275"/>
      <c r="H29" s="275"/>
      <c r="I29" s="26"/>
      <c r="J29" s="225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25"/>
      <c r="B30" s="292" t="s">
        <v>360</v>
      </c>
      <c r="C30" s="145">
        <f>(69000+79000)*3</f>
        <v>444000</v>
      </c>
      <c r="D30" s="152">
        <f t="shared" ref="D30:D32" si="4">E30*2-1000</f>
        <v>797000</v>
      </c>
      <c r="E30" s="145">
        <v>399000.0</v>
      </c>
      <c r="F30" s="272">
        <f t="shared" ref="F30:F32" si="5">1-E30/C30</f>
        <v>0.1013513514</v>
      </c>
      <c r="G30" s="275"/>
      <c r="H30" s="275"/>
      <c r="I30" s="26"/>
      <c r="J30" s="225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25"/>
      <c r="B31" s="292" t="s">
        <v>361</v>
      </c>
      <c r="C31" s="145">
        <v>459000.0</v>
      </c>
      <c r="D31" s="152">
        <f t="shared" si="4"/>
        <v>897000</v>
      </c>
      <c r="E31" s="145">
        <v>449000.0</v>
      </c>
      <c r="F31" s="272">
        <f t="shared" si="5"/>
        <v>0.02178649237</v>
      </c>
      <c r="G31" s="275"/>
      <c r="H31" s="275"/>
      <c r="I31" s="26"/>
      <c r="J31" s="225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11"/>
      <c r="B32" s="292" t="s">
        <v>362</v>
      </c>
      <c r="C32" s="145">
        <v>600000.0</v>
      </c>
      <c r="D32" s="153">
        <f t="shared" si="4"/>
        <v>1097000</v>
      </c>
      <c r="E32" s="145">
        <v>549000.0</v>
      </c>
      <c r="F32" s="279">
        <f t="shared" si="5"/>
        <v>0.085</v>
      </c>
      <c r="G32" s="302"/>
      <c r="H32" s="303"/>
      <c r="I32" s="26"/>
      <c r="J32" s="225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15" t="s">
        <v>363</v>
      </c>
      <c r="B33" s="304" t="s">
        <v>364</v>
      </c>
      <c r="C33" s="287">
        <v>49000.0</v>
      </c>
      <c r="D33" s="151">
        <v>57000.0</v>
      </c>
      <c r="E33" s="144">
        <v>29000.0</v>
      </c>
      <c r="F33" s="267">
        <v>0.408</v>
      </c>
      <c r="G33" s="305"/>
      <c r="H33" s="306"/>
      <c r="I33" s="307"/>
      <c r="J33" s="225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10"/>
      <c r="B34" s="308" t="s">
        <v>365</v>
      </c>
      <c r="C34" s="289">
        <v>150000.0</v>
      </c>
      <c r="D34" s="152">
        <v>217000.0</v>
      </c>
      <c r="E34" s="145">
        <v>109000.0</v>
      </c>
      <c r="F34" s="272">
        <v>0.273</v>
      </c>
      <c r="G34" s="309"/>
      <c r="H34" s="276"/>
      <c r="I34" s="293"/>
      <c r="J34" s="225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10"/>
      <c r="B35" s="308" t="s">
        <v>366</v>
      </c>
      <c r="C35" s="289">
        <v>248000.0</v>
      </c>
      <c r="D35" s="152">
        <v>397000.0</v>
      </c>
      <c r="E35" s="145">
        <v>199000.0</v>
      </c>
      <c r="F35" s="272">
        <v>0.198</v>
      </c>
      <c r="G35" s="309"/>
      <c r="H35" s="276"/>
      <c r="I35" s="293"/>
      <c r="J35" s="225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10"/>
      <c r="B36" s="308" t="s">
        <v>367</v>
      </c>
      <c r="C36" s="289">
        <v>249000.0</v>
      </c>
      <c r="D36" s="152">
        <v>397000.0</v>
      </c>
      <c r="E36" s="145">
        <v>199000.0</v>
      </c>
      <c r="F36" s="272">
        <v>0.201</v>
      </c>
      <c r="G36" s="309"/>
      <c r="H36" s="276"/>
      <c r="I36" s="293"/>
      <c r="J36" s="225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10"/>
      <c r="B37" s="308" t="s">
        <v>368</v>
      </c>
      <c r="C37" s="289">
        <v>299000.0</v>
      </c>
      <c r="D37" s="152">
        <v>497000.0</v>
      </c>
      <c r="E37" s="145">
        <v>249000.0</v>
      </c>
      <c r="F37" s="272">
        <v>0.167</v>
      </c>
      <c r="G37" s="310"/>
      <c r="H37" s="311"/>
      <c r="I37" s="293"/>
      <c r="J37" s="225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58"/>
      <c r="B38" s="312" t="s">
        <v>369</v>
      </c>
      <c r="C38" s="291">
        <v>799000.0</v>
      </c>
      <c r="D38" s="153">
        <v>1397000.0</v>
      </c>
      <c r="E38" s="145">
        <v>699000.0</v>
      </c>
      <c r="F38" s="279">
        <v>0.125</v>
      </c>
      <c r="G38" s="313"/>
      <c r="H38" s="281"/>
      <c r="I38" s="285"/>
      <c r="J38" s="225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165" t="s">
        <v>370</v>
      </c>
      <c r="B39" s="212" t="s">
        <v>265</v>
      </c>
      <c r="C39" s="145">
        <v>79000.0</v>
      </c>
      <c r="D39" s="151">
        <v>117000.0</v>
      </c>
      <c r="E39" s="144">
        <v>59000.0</v>
      </c>
      <c r="F39" s="267">
        <v>0.253</v>
      </c>
      <c r="G39" s="314"/>
      <c r="H39" s="315"/>
      <c r="I39" s="301"/>
      <c r="J39" s="225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25"/>
      <c r="B40" s="212" t="s">
        <v>266</v>
      </c>
      <c r="C40" s="145">
        <v>89500.0</v>
      </c>
      <c r="D40" s="152">
        <v>157000.0</v>
      </c>
      <c r="E40" s="145">
        <v>79000.0</v>
      </c>
      <c r="F40" s="272">
        <v>0.117</v>
      </c>
      <c r="G40" s="316"/>
      <c r="H40" s="317"/>
      <c r="I40" s="26"/>
      <c r="J40" s="225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11"/>
      <c r="B41" s="212" t="s">
        <v>267</v>
      </c>
      <c r="C41" s="145">
        <v>118000.0</v>
      </c>
      <c r="D41" s="153">
        <v>177000.0</v>
      </c>
      <c r="E41" s="145">
        <v>89000.0</v>
      </c>
      <c r="F41" s="279">
        <v>0.246</v>
      </c>
      <c r="G41" s="275"/>
      <c r="H41" s="318"/>
      <c r="I41" s="26"/>
      <c r="J41" s="225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142" t="s">
        <v>371</v>
      </c>
      <c r="B42" s="2"/>
      <c r="C42" s="2"/>
      <c r="D42" s="2"/>
      <c r="E42" s="2"/>
      <c r="F42" s="2"/>
      <c r="G42" s="2"/>
      <c r="H42" s="2"/>
      <c r="I42" s="2"/>
      <c r="J42" s="7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10"/>
      <c r="J43" s="1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10"/>
      <c r="J44" s="14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10"/>
      <c r="J45" s="1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58"/>
      <c r="B46" s="82"/>
      <c r="C46" s="82"/>
      <c r="D46" s="82"/>
      <c r="E46" s="82"/>
      <c r="F46" s="82"/>
      <c r="G46" s="82"/>
      <c r="H46" s="82"/>
      <c r="I46" s="82"/>
      <c r="J46" s="83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85"/>
      <c r="D47" s="85"/>
      <c r="E47" s="85"/>
      <c r="F47" s="85"/>
      <c r="G47" s="85"/>
      <c r="H47" s="86"/>
      <c r="I47" s="86"/>
      <c r="J47" s="8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5"/>
      <c r="D48" s="85"/>
      <c r="E48" s="85"/>
      <c r="F48" s="85"/>
      <c r="G48" s="85"/>
      <c r="H48" s="86"/>
      <c r="I48" s="86"/>
      <c r="J48" s="8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5"/>
      <c r="D49" s="85"/>
      <c r="E49" s="85"/>
      <c r="F49" s="85"/>
      <c r="G49" s="85"/>
      <c r="H49" s="86"/>
      <c r="I49" s="86"/>
      <c r="J49" s="8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5"/>
      <c r="D50" s="85"/>
      <c r="E50" s="85"/>
      <c r="F50" s="85"/>
      <c r="G50" s="85"/>
      <c r="H50" s="86"/>
      <c r="I50" s="86"/>
      <c r="J50" s="8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5"/>
      <c r="D51" s="85"/>
      <c r="E51" s="85"/>
      <c r="F51" s="85"/>
      <c r="G51" s="85"/>
      <c r="H51" s="86"/>
      <c r="I51" s="86"/>
      <c r="J51" s="8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5"/>
      <c r="D52" s="85"/>
      <c r="E52" s="85"/>
      <c r="F52" s="85"/>
      <c r="G52" s="85"/>
      <c r="H52" s="86"/>
      <c r="I52" s="86"/>
      <c r="J52" s="8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5"/>
      <c r="D53" s="85"/>
      <c r="E53" s="85"/>
      <c r="F53" s="85"/>
      <c r="G53" s="85"/>
      <c r="H53" s="86"/>
      <c r="I53" s="86"/>
      <c r="J53" s="8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5"/>
      <c r="D54" s="85"/>
      <c r="E54" s="85"/>
      <c r="F54" s="85"/>
      <c r="G54" s="85"/>
      <c r="H54" s="86"/>
      <c r="I54" s="86"/>
      <c r="J54" s="8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5"/>
      <c r="D55" s="85"/>
      <c r="E55" s="85"/>
      <c r="F55" s="85"/>
      <c r="G55" s="85"/>
      <c r="H55" s="86"/>
      <c r="I55" s="86"/>
      <c r="J55" s="8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5"/>
      <c r="D56" s="85"/>
      <c r="E56" s="85"/>
      <c r="F56" s="85"/>
      <c r="G56" s="85"/>
      <c r="H56" s="86"/>
      <c r="I56" s="86"/>
      <c r="J56" s="8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5"/>
      <c r="D57" s="85"/>
      <c r="E57" s="85"/>
      <c r="F57" s="85"/>
      <c r="G57" s="85"/>
      <c r="H57" s="86"/>
      <c r="I57" s="86"/>
      <c r="J57" s="8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5"/>
      <c r="D58" s="85"/>
      <c r="E58" s="85"/>
      <c r="F58" s="85"/>
      <c r="G58" s="85"/>
      <c r="H58" s="86"/>
      <c r="I58" s="86"/>
      <c r="J58" s="8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5"/>
      <c r="D59" s="85"/>
      <c r="E59" s="85"/>
      <c r="F59" s="85"/>
      <c r="G59" s="85"/>
      <c r="H59" s="86"/>
      <c r="I59" s="86"/>
      <c r="J59" s="8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5"/>
      <c r="D60" s="85"/>
      <c r="E60" s="85"/>
      <c r="F60" s="85"/>
      <c r="G60" s="85"/>
      <c r="H60" s="86"/>
      <c r="I60" s="86"/>
      <c r="J60" s="8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5"/>
      <c r="D61" s="85"/>
      <c r="E61" s="85"/>
      <c r="F61" s="85"/>
      <c r="G61" s="85"/>
      <c r="H61" s="86"/>
      <c r="I61" s="86"/>
      <c r="J61" s="8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5"/>
      <c r="D62" s="85"/>
      <c r="E62" s="85"/>
      <c r="F62" s="85"/>
      <c r="G62" s="85"/>
      <c r="H62" s="86"/>
      <c r="I62" s="86"/>
      <c r="J62" s="8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5"/>
      <c r="D63" s="85"/>
      <c r="E63" s="85"/>
      <c r="F63" s="85"/>
      <c r="G63" s="85"/>
      <c r="H63" s="86"/>
      <c r="I63" s="86"/>
      <c r="J63" s="8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5"/>
      <c r="D64" s="85"/>
      <c r="E64" s="85"/>
      <c r="F64" s="85"/>
      <c r="G64" s="85"/>
      <c r="H64" s="86"/>
      <c r="I64" s="86"/>
      <c r="J64" s="8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5"/>
      <c r="D65" s="85"/>
      <c r="E65" s="85"/>
      <c r="F65" s="85"/>
      <c r="G65" s="85"/>
      <c r="H65" s="86"/>
      <c r="I65" s="86"/>
      <c r="J65" s="8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5"/>
      <c r="D66" s="85"/>
      <c r="E66" s="85"/>
      <c r="F66" s="85"/>
      <c r="G66" s="85"/>
      <c r="H66" s="86"/>
      <c r="I66" s="86"/>
      <c r="J66" s="8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5"/>
      <c r="D67" s="85"/>
      <c r="E67" s="85"/>
      <c r="F67" s="85"/>
      <c r="G67" s="85"/>
      <c r="H67" s="86"/>
      <c r="I67" s="86"/>
      <c r="J67" s="8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5"/>
      <c r="D68" s="85"/>
      <c r="E68" s="85"/>
      <c r="F68" s="85"/>
      <c r="G68" s="85"/>
      <c r="H68" s="86"/>
      <c r="I68" s="86"/>
      <c r="J68" s="8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5"/>
      <c r="D69" s="85"/>
      <c r="E69" s="85"/>
      <c r="F69" s="85"/>
      <c r="G69" s="85"/>
      <c r="H69" s="86"/>
      <c r="I69" s="86"/>
      <c r="J69" s="8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5"/>
      <c r="D70" s="85"/>
      <c r="E70" s="85"/>
      <c r="F70" s="85"/>
      <c r="G70" s="85"/>
      <c r="H70" s="86"/>
      <c r="I70" s="86"/>
      <c r="J70" s="8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5"/>
      <c r="D71" s="85"/>
      <c r="E71" s="85"/>
      <c r="F71" s="85"/>
      <c r="G71" s="85"/>
      <c r="H71" s="86"/>
      <c r="I71" s="86"/>
      <c r="J71" s="8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5"/>
      <c r="D72" s="85"/>
      <c r="E72" s="85"/>
      <c r="F72" s="85"/>
      <c r="G72" s="85"/>
      <c r="H72" s="86"/>
      <c r="I72" s="86"/>
      <c r="J72" s="8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5"/>
      <c r="D73" s="85"/>
      <c r="E73" s="85"/>
      <c r="F73" s="85"/>
      <c r="G73" s="85"/>
      <c r="H73" s="86"/>
      <c r="I73" s="86"/>
      <c r="J73" s="8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5"/>
      <c r="D74" s="85"/>
      <c r="E74" s="85"/>
      <c r="F74" s="85"/>
      <c r="G74" s="85"/>
      <c r="H74" s="86"/>
      <c r="I74" s="86"/>
      <c r="J74" s="8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5"/>
      <c r="D75" s="85"/>
      <c r="E75" s="85"/>
      <c r="F75" s="85"/>
      <c r="G75" s="85"/>
      <c r="H75" s="86"/>
      <c r="I75" s="86"/>
      <c r="J75" s="8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5"/>
      <c r="D76" s="85"/>
      <c r="E76" s="85"/>
      <c r="F76" s="85"/>
      <c r="G76" s="85"/>
      <c r="H76" s="86"/>
      <c r="I76" s="86"/>
      <c r="J76" s="8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5"/>
      <c r="D77" s="85"/>
      <c r="E77" s="85"/>
      <c r="F77" s="85"/>
      <c r="G77" s="85"/>
      <c r="H77" s="86"/>
      <c r="I77" s="86"/>
      <c r="J77" s="8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5"/>
      <c r="D78" s="85"/>
      <c r="E78" s="85"/>
      <c r="F78" s="85"/>
      <c r="G78" s="85"/>
      <c r="H78" s="86"/>
      <c r="I78" s="86"/>
      <c r="J78" s="8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5"/>
      <c r="D79" s="85"/>
      <c r="E79" s="85"/>
      <c r="F79" s="85"/>
      <c r="G79" s="85"/>
      <c r="H79" s="86"/>
      <c r="I79" s="86"/>
      <c r="J79" s="8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5"/>
      <c r="D80" s="85"/>
      <c r="E80" s="85"/>
      <c r="F80" s="85"/>
      <c r="G80" s="85"/>
      <c r="H80" s="86"/>
      <c r="I80" s="86"/>
      <c r="J80" s="8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5"/>
      <c r="D81" s="85"/>
      <c r="E81" s="85"/>
      <c r="F81" s="85"/>
      <c r="G81" s="85"/>
      <c r="H81" s="86"/>
      <c r="I81" s="86"/>
      <c r="J81" s="8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5"/>
      <c r="D82" s="85"/>
      <c r="E82" s="85"/>
      <c r="F82" s="85"/>
      <c r="G82" s="85"/>
      <c r="H82" s="86"/>
      <c r="I82" s="86"/>
      <c r="J82" s="8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5"/>
      <c r="D83" s="85"/>
      <c r="E83" s="85"/>
      <c r="F83" s="85"/>
      <c r="G83" s="85"/>
      <c r="H83" s="86"/>
      <c r="I83" s="86"/>
      <c r="J83" s="8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5"/>
      <c r="D84" s="85"/>
      <c r="E84" s="85"/>
      <c r="F84" s="85"/>
      <c r="G84" s="85"/>
      <c r="H84" s="86"/>
      <c r="I84" s="86"/>
      <c r="J84" s="8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5"/>
      <c r="D85" s="85"/>
      <c r="E85" s="85"/>
      <c r="F85" s="85"/>
      <c r="G85" s="85"/>
      <c r="H85" s="86"/>
      <c r="I85" s="86"/>
      <c r="J85" s="8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5"/>
      <c r="D86" s="85"/>
      <c r="E86" s="85"/>
      <c r="F86" s="85"/>
      <c r="G86" s="85"/>
      <c r="H86" s="86"/>
      <c r="I86" s="86"/>
      <c r="J86" s="8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5"/>
      <c r="D87" s="85"/>
      <c r="E87" s="85"/>
      <c r="F87" s="85"/>
      <c r="G87" s="85"/>
      <c r="H87" s="86"/>
      <c r="I87" s="86"/>
      <c r="J87" s="8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5"/>
      <c r="D88" s="85"/>
      <c r="E88" s="85"/>
      <c r="F88" s="85"/>
      <c r="G88" s="85"/>
      <c r="H88" s="86"/>
      <c r="I88" s="86"/>
      <c r="J88" s="8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5"/>
      <c r="D89" s="85"/>
      <c r="E89" s="85"/>
      <c r="F89" s="85"/>
      <c r="G89" s="85"/>
      <c r="H89" s="86"/>
      <c r="I89" s="86"/>
      <c r="J89" s="8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5"/>
      <c r="D90" s="85"/>
      <c r="E90" s="85"/>
      <c r="F90" s="85"/>
      <c r="G90" s="85"/>
      <c r="H90" s="86"/>
      <c r="I90" s="86"/>
      <c r="J90" s="8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5"/>
      <c r="D91" s="85"/>
      <c r="E91" s="85"/>
      <c r="F91" s="85"/>
      <c r="G91" s="85"/>
      <c r="H91" s="86"/>
      <c r="I91" s="86"/>
      <c r="J91" s="8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5"/>
      <c r="D92" s="85"/>
      <c r="E92" s="85"/>
      <c r="F92" s="85"/>
      <c r="G92" s="85"/>
      <c r="H92" s="86"/>
      <c r="I92" s="86"/>
      <c r="J92" s="8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5"/>
      <c r="D93" s="85"/>
      <c r="E93" s="85"/>
      <c r="F93" s="85"/>
      <c r="G93" s="85"/>
      <c r="H93" s="86"/>
      <c r="I93" s="86"/>
      <c r="J93" s="8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5"/>
      <c r="D94" s="85"/>
      <c r="E94" s="85"/>
      <c r="F94" s="85"/>
      <c r="G94" s="85"/>
      <c r="H94" s="86"/>
      <c r="I94" s="86"/>
      <c r="J94" s="8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5"/>
      <c r="D95" s="85"/>
      <c r="E95" s="85"/>
      <c r="F95" s="85"/>
      <c r="G95" s="85"/>
      <c r="H95" s="86"/>
      <c r="I95" s="86"/>
      <c r="J95" s="8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5"/>
      <c r="D96" s="85"/>
      <c r="E96" s="85"/>
      <c r="F96" s="85"/>
      <c r="G96" s="85"/>
      <c r="H96" s="86"/>
      <c r="I96" s="86"/>
      <c r="J96" s="8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5"/>
      <c r="D97" s="85"/>
      <c r="E97" s="85"/>
      <c r="F97" s="85"/>
      <c r="G97" s="85"/>
      <c r="H97" s="86"/>
      <c r="I97" s="86"/>
      <c r="J97" s="8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5"/>
      <c r="D98" s="85"/>
      <c r="E98" s="85"/>
      <c r="F98" s="85"/>
      <c r="G98" s="85"/>
      <c r="H98" s="86"/>
      <c r="I98" s="86"/>
      <c r="J98" s="8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5"/>
      <c r="D99" s="85"/>
      <c r="E99" s="85"/>
      <c r="F99" s="85"/>
      <c r="G99" s="85"/>
      <c r="H99" s="86"/>
      <c r="I99" s="86"/>
      <c r="J99" s="8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5"/>
      <c r="D100" s="85"/>
      <c r="E100" s="85"/>
      <c r="F100" s="85"/>
      <c r="G100" s="85"/>
      <c r="H100" s="86"/>
      <c r="I100" s="86"/>
      <c r="J100" s="8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5"/>
      <c r="D101" s="85"/>
      <c r="E101" s="85"/>
      <c r="F101" s="85"/>
      <c r="G101" s="85"/>
      <c r="H101" s="86"/>
      <c r="I101" s="86"/>
      <c r="J101" s="8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5"/>
      <c r="D102" s="85"/>
      <c r="E102" s="85"/>
      <c r="F102" s="85"/>
      <c r="G102" s="85"/>
      <c r="H102" s="86"/>
      <c r="I102" s="86"/>
      <c r="J102" s="8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5"/>
      <c r="D103" s="85"/>
      <c r="E103" s="85"/>
      <c r="F103" s="85"/>
      <c r="G103" s="85"/>
      <c r="H103" s="86"/>
      <c r="I103" s="86"/>
      <c r="J103" s="8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5"/>
      <c r="D104" s="85"/>
      <c r="E104" s="85"/>
      <c r="F104" s="85"/>
      <c r="G104" s="85"/>
      <c r="H104" s="86"/>
      <c r="I104" s="86"/>
      <c r="J104" s="8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5"/>
      <c r="D105" s="85"/>
      <c r="E105" s="85"/>
      <c r="F105" s="85"/>
      <c r="G105" s="85"/>
      <c r="H105" s="86"/>
      <c r="I105" s="86"/>
      <c r="J105" s="8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5"/>
      <c r="D106" s="85"/>
      <c r="E106" s="85"/>
      <c r="F106" s="85"/>
      <c r="G106" s="85"/>
      <c r="H106" s="86"/>
      <c r="I106" s="86"/>
      <c r="J106" s="8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5"/>
      <c r="D107" s="85"/>
      <c r="E107" s="85"/>
      <c r="F107" s="85"/>
      <c r="G107" s="85"/>
      <c r="H107" s="86"/>
      <c r="I107" s="86"/>
      <c r="J107" s="8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5"/>
      <c r="D108" s="85"/>
      <c r="E108" s="85"/>
      <c r="F108" s="85"/>
      <c r="G108" s="85"/>
      <c r="H108" s="86"/>
      <c r="I108" s="86"/>
      <c r="J108" s="8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5"/>
      <c r="D109" s="85"/>
      <c r="E109" s="85"/>
      <c r="F109" s="85"/>
      <c r="G109" s="85"/>
      <c r="H109" s="86"/>
      <c r="I109" s="86"/>
      <c r="J109" s="8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5"/>
      <c r="D110" s="85"/>
      <c r="E110" s="85"/>
      <c r="F110" s="85"/>
      <c r="G110" s="85"/>
      <c r="H110" s="86"/>
      <c r="I110" s="86"/>
      <c r="J110" s="8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5"/>
      <c r="D111" s="85"/>
      <c r="E111" s="85"/>
      <c r="F111" s="85"/>
      <c r="G111" s="85"/>
      <c r="H111" s="86"/>
      <c r="I111" s="86"/>
      <c r="J111" s="8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5"/>
      <c r="D112" s="85"/>
      <c r="E112" s="85"/>
      <c r="F112" s="85"/>
      <c r="G112" s="85"/>
      <c r="H112" s="86"/>
      <c r="I112" s="86"/>
      <c r="J112" s="8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5"/>
      <c r="D113" s="85"/>
      <c r="E113" s="85"/>
      <c r="F113" s="85"/>
      <c r="G113" s="85"/>
      <c r="H113" s="86"/>
      <c r="I113" s="86"/>
      <c r="J113" s="8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5"/>
      <c r="D114" s="85"/>
      <c r="E114" s="85"/>
      <c r="F114" s="85"/>
      <c r="G114" s="85"/>
      <c r="H114" s="86"/>
      <c r="I114" s="86"/>
      <c r="J114" s="8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5"/>
      <c r="D115" s="85"/>
      <c r="E115" s="85"/>
      <c r="F115" s="85"/>
      <c r="G115" s="85"/>
      <c r="H115" s="86"/>
      <c r="I115" s="86"/>
      <c r="J115" s="8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5"/>
      <c r="D116" s="85"/>
      <c r="E116" s="85"/>
      <c r="F116" s="85"/>
      <c r="G116" s="85"/>
      <c r="H116" s="86"/>
      <c r="I116" s="86"/>
      <c r="J116" s="8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5"/>
      <c r="D117" s="85"/>
      <c r="E117" s="85"/>
      <c r="F117" s="85"/>
      <c r="G117" s="85"/>
      <c r="H117" s="86"/>
      <c r="I117" s="86"/>
      <c r="J117" s="8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5"/>
      <c r="D118" s="85"/>
      <c r="E118" s="85"/>
      <c r="F118" s="85"/>
      <c r="G118" s="85"/>
      <c r="H118" s="86"/>
      <c r="I118" s="86"/>
      <c r="J118" s="8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5"/>
      <c r="D119" s="85"/>
      <c r="E119" s="85"/>
      <c r="F119" s="85"/>
      <c r="G119" s="85"/>
      <c r="H119" s="86"/>
      <c r="I119" s="86"/>
      <c r="J119" s="8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5"/>
      <c r="D120" s="85"/>
      <c r="E120" s="85"/>
      <c r="F120" s="85"/>
      <c r="G120" s="85"/>
      <c r="H120" s="86"/>
      <c r="I120" s="86"/>
      <c r="J120" s="8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5"/>
      <c r="D121" s="85"/>
      <c r="E121" s="85"/>
      <c r="F121" s="85"/>
      <c r="G121" s="85"/>
      <c r="H121" s="86"/>
      <c r="I121" s="86"/>
      <c r="J121" s="8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5"/>
      <c r="D122" s="85"/>
      <c r="E122" s="85"/>
      <c r="F122" s="85"/>
      <c r="G122" s="85"/>
      <c r="H122" s="86"/>
      <c r="I122" s="86"/>
      <c r="J122" s="8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5"/>
      <c r="D123" s="85"/>
      <c r="E123" s="85"/>
      <c r="F123" s="85"/>
      <c r="G123" s="85"/>
      <c r="H123" s="86"/>
      <c r="I123" s="86"/>
      <c r="J123" s="8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5"/>
      <c r="D124" s="85"/>
      <c r="E124" s="85"/>
      <c r="F124" s="85"/>
      <c r="G124" s="85"/>
      <c r="H124" s="86"/>
      <c r="I124" s="86"/>
      <c r="J124" s="8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5"/>
      <c r="D125" s="85"/>
      <c r="E125" s="85"/>
      <c r="F125" s="85"/>
      <c r="G125" s="85"/>
      <c r="H125" s="86"/>
      <c r="I125" s="86"/>
      <c r="J125" s="8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5"/>
      <c r="D126" s="85"/>
      <c r="E126" s="85"/>
      <c r="F126" s="85"/>
      <c r="G126" s="85"/>
      <c r="H126" s="86"/>
      <c r="I126" s="86"/>
      <c r="J126" s="8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5"/>
      <c r="D127" s="85"/>
      <c r="E127" s="85"/>
      <c r="F127" s="85"/>
      <c r="G127" s="85"/>
      <c r="H127" s="86"/>
      <c r="I127" s="86"/>
      <c r="J127" s="8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5"/>
      <c r="D128" s="85"/>
      <c r="E128" s="85"/>
      <c r="F128" s="85"/>
      <c r="G128" s="85"/>
      <c r="H128" s="86"/>
      <c r="I128" s="86"/>
      <c r="J128" s="8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5"/>
      <c r="D129" s="85"/>
      <c r="E129" s="85"/>
      <c r="F129" s="85"/>
      <c r="G129" s="85"/>
      <c r="H129" s="86"/>
      <c r="I129" s="86"/>
      <c r="J129" s="8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5"/>
      <c r="D130" s="85"/>
      <c r="E130" s="85"/>
      <c r="F130" s="85"/>
      <c r="G130" s="85"/>
      <c r="H130" s="86"/>
      <c r="I130" s="86"/>
      <c r="J130" s="8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5"/>
      <c r="D131" s="85"/>
      <c r="E131" s="85"/>
      <c r="F131" s="85"/>
      <c r="G131" s="85"/>
      <c r="H131" s="86"/>
      <c r="I131" s="86"/>
      <c r="J131" s="8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5"/>
      <c r="D132" s="85"/>
      <c r="E132" s="85"/>
      <c r="F132" s="85"/>
      <c r="G132" s="85"/>
      <c r="H132" s="86"/>
      <c r="I132" s="86"/>
      <c r="J132" s="8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5"/>
      <c r="D133" s="85"/>
      <c r="E133" s="85"/>
      <c r="F133" s="85"/>
      <c r="G133" s="85"/>
      <c r="H133" s="86"/>
      <c r="I133" s="86"/>
      <c r="J133" s="8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5"/>
      <c r="D134" s="85"/>
      <c r="E134" s="85"/>
      <c r="F134" s="85"/>
      <c r="G134" s="85"/>
      <c r="H134" s="86"/>
      <c r="I134" s="86"/>
      <c r="J134" s="8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5"/>
      <c r="D135" s="85"/>
      <c r="E135" s="85"/>
      <c r="F135" s="85"/>
      <c r="G135" s="85"/>
      <c r="H135" s="86"/>
      <c r="I135" s="86"/>
      <c r="J135" s="8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5"/>
      <c r="D136" s="85"/>
      <c r="E136" s="85"/>
      <c r="F136" s="85"/>
      <c r="G136" s="85"/>
      <c r="H136" s="86"/>
      <c r="I136" s="86"/>
      <c r="J136" s="8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5"/>
      <c r="D137" s="85"/>
      <c r="E137" s="85"/>
      <c r="F137" s="85"/>
      <c r="G137" s="85"/>
      <c r="H137" s="86"/>
      <c r="I137" s="86"/>
      <c r="J137" s="8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5"/>
      <c r="D138" s="85"/>
      <c r="E138" s="85"/>
      <c r="F138" s="85"/>
      <c r="G138" s="85"/>
      <c r="H138" s="86"/>
      <c r="I138" s="86"/>
      <c r="J138" s="8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5"/>
      <c r="D139" s="85"/>
      <c r="E139" s="85"/>
      <c r="F139" s="85"/>
      <c r="G139" s="85"/>
      <c r="H139" s="86"/>
      <c r="I139" s="86"/>
      <c r="J139" s="8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5"/>
      <c r="D140" s="85"/>
      <c r="E140" s="85"/>
      <c r="F140" s="85"/>
      <c r="G140" s="85"/>
      <c r="H140" s="86"/>
      <c r="I140" s="86"/>
      <c r="J140" s="8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5"/>
      <c r="D141" s="85"/>
      <c r="E141" s="85"/>
      <c r="F141" s="85"/>
      <c r="G141" s="85"/>
      <c r="H141" s="86"/>
      <c r="I141" s="86"/>
      <c r="J141" s="8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5"/>
      <c r="D142" s="85"/>
      <c r="E142" s="85"/>
      <c r="F142" s="85"/>
      <c r="G142" s="85"/>
      <c r="H142" s="86"/>
      <c r="I142" s="86"/>
      <c r="J142" s="8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5"/>
      <c r="D143" s="85"/>
      <c r="E143" s="85"/>
      <c r="F143" s="85"/>
      <c r="G143" s="85"/>
      <c r="H143" s="86"/>
      <c r="I143" s="86"/>
      <c r="J143" s="8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5"/>
      <c r="D144" s="85"/>
      <c r="E144" s="85"/>
      <c r="F144" s="85"/>
      <c r="G144" s="85"/>
      <c r="H144" s="86"/>
      <c r="I144" s="86"/>
      <c r="J144" s="8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5"/>
      <c r="D145" s="85"/>
      <c r="E145" s="85"/>
      <c r="F145" s="85"/>
      <c r="G145" s="85"/>
      <c r="H145" s="86"/>
      <c r="I145" s="86"/>
      <c r="J145" s="8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5"/>
      <c r="D146" s="85"/>
      <c r="E146" s="85"/>
      <c r="F146" s="85"/>
      <c r="G146" s="85"/>
      <c r="H146" s="86"/>
      <c r="I146" s="86"/>
      <c r="J146" s="8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5"/>
      <c r="D147" s="85"/>
      <c r="E147" s="85"/>
      <c r="F147" s="85"/>
      <c r="G147" s="85"/>
      <c r="H147" s="86"/>
      <c r="I147" s="86"/>
      <c r="J147" s="8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5"/>
      <c r="D148" s="85"/>
      <c r="E148" s="85"/>
      <c r="F148" s="85"/>
      <c r="G148" s="85"/>
      <c r="H148" s="86"/>
      <c r="I148" s="86"/>
      <c r="J148" s="8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5"/>
      <c r="D149" s="85"/>
      <c r="E149" s="85"/>
      <c r="F149" s="85"/>
      <c r="G149" s="85"/>
      <c r="H149" s="86"/>
      <c r="I149" s="86"/>
      <c r="J149" s="8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6"/>
      <c r="D150" s="86"/>
      <c r="E150" s="86"/>
      <c r="F150" s="86"/>
      <c r="G150" s="86"/>
      <c r="H150" s="86"/>
      <c r="I150" s="86"/>
      <c r="J150" s="8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6"/>
      <c r="D151" s="86"/>
      <c r="E151" s="86"/>
      <c r="F151" s="86"/>
      <c r="G151" s="86"/>
      <c r="H151" s="86"/>
      <c r="I151" s="86"/>
      <c r="J151" s="8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6"/>
      <c r="D152" s="86"/>
      <c r="E152" s="86"/>
      <c r="F152" s="86"/>
      <c r="G152" s="86"/>
      <c r="H152" s="86"/>
      <c r="I152" s="86"/>
      <c r="J152" s="8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6"/>
      <c r="D153" s="86"/>
      <c r="E153" s="86"/>
      <c r="F153" s="86"/>
      <c r="G153" s="86"/>
      <c r="H153" s="86"/>
      <c r="I153" s="86"/>
      <c r="J153" s="8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6"/>
      <c r="D154" s="86"/>
      <c r="E154" s="86"/>
      <c r="F154" s="86"/>
      <c r="G154" s="86"/>
      <c r="H154" s="86"/>
      <c r="I154" s="86"/>
      <c r="J154" s="8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6"/>
      <c r="D155" s="86"/>
      <c r="E155" s="86"/>
      <c r="F155" s="86"/>
      <c r="G155" s="86"/>
      <c r="H155" s="86"/>
      <c r="I155" s="86"/>
      <c r="J155" s="8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6"/>
      <c r="D156" s="86"/>
      <c r="E156" s="86"/>
      <c r="F156" s="86"/>
      <c r="G156" s="86"/>
      <c r="H156" s="86"/>
      <c r="I156" s="86"/>
      <c r="J156" s="8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6"/>
      <c r="D157" s="86"/>
      <c r="E157" s="86"/>
      <c r="F157" s="86"/>
      <c r="G157" s="86"/>
      <c r="H157" s="86"/>
      <c r="I157" s="86"/>
      <c r="J157" s="8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6"/>
      <c r="D158" s="86"/>
      <c r="E158" s="86"/>
      <c r="F158" s="86"/>
      <c r="G158" s="86"/>
      <c r="H158" s="86"/>
      <c r="I158" s="86"/>
      <c r="J158" s="8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6"/>
      <c r="D159" s="86"/>
      <c r="E159" s="86"/>
      <c r="F159" s="86"/>
      <c r="G159" s="86"/>
      <c r="H159" s="86"/>
      <c r="I159" s="86"/>
      <c r="J159" s="8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6"/>
      <c r="D160" s="86"/>
      <c r="E160" s="86"/>
      <c r="F160" s="86"/>
      <c r="G160" s="86"/>
      <c r="H160" s="86"/>
      <c r="I160" s="86"/>
      <c r="J160" s="8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6"/>
      <c r="D161" s="86"/>
      <c r="E161" s="86"/>
      <c r="F161" s="86"/>
      <c r="G161" s="86"/>
      <c r="H161" s="86"/>
      <c r="I161" s="86"/>
      <c r="J161" s="8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6"/>
      <c r="D162" s="86"/>
      <c r="E162" s="86"/>
      <c r="F162" s="86"/>
      <c r="G162" s="86"/>
      <c r="H162" s="86"/>
      <c r="I162" s="86"/>
      <c r="J162" s="8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6"/>
      <c r="D163" s="86"/>
      <c r="E163" s="86"/>
      <c r="F163" s="86"/>
      <c r="G163" s="86"/>
      <c r="H163" s="86"/>
      <c r="I163" s="86"/>
      <c r="J163" s="8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6"/>
      <c r="D164" s="86"/>
      <c r="E164" s="86"/>
      <c r="F164" s="86"/>
      <c r="G164" s="86"/>
      <c r="H164" s="86"/>
      <c r="I164" s="86"/>
      <c r="J164" s="8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6"/>
      <c r="D165" s="86"/>
      <c r="E165" s="86"/>
      <c r="F165" s="86"/>
      <c r="G165" s="86"/>
      <c r="H165" s="86"/>
      <c r="I165" s="86"/>
      <c r="J165" s="8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6"/>
      <c r="D166" s="86"/>
      <c r="E166" s="86"/>
      <c r="F166" s="86"/>
      <c r="G166" s="86"/>
      <c r="H166" s="86"/>
      <c r="I166" s="86"/>
      <c r="J166" s="8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6"/>
      <c r="D167" s="86"/>
      <c r="E167" s="86"/>
      <c r="F167" s="86"/>
      <c r="G167" s="86"/>
      <c r="H167" s="86"/>
      <c r="I167" s="86"/>
      <c r="J167" s="8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6"/>
      <c r="D168" s="86"/>
      <c r="E168" s="86"/>
      <c r="F168" s="86"/>
      <c r="G168" s="86"/>
      <c r="H168" s="86"/>
      <c r="I168" s="86"/>
      <c r="J168" s="8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6"/>
      <c r="D169" s="86"/>
      <c r="E169" s="86"/>
      <c r="F169" s="86"/>
      <c r="G169" s="86"/>
      <c r="H169" s="86"/>
      <c r="I169" s="86"/>
      <c r="J169" s="8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6"/>
      <c r="D170" s="86"/>
      <c r="E170" s="86"/>
      <c r="F170" s="86"/>
      <c r="G170" s="86"/>
      <c r="H170" s="86"/>
      <c r="I170" s="86"/>
      <c r="J170" s="8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6"/>
      <c r="D171" s="86"/>
      <c r="E171" s="86"/>
      <c r="F171" s="86"/>
      <c r="G171" s="86"/>
      <c r="H171" s="86"/>
      <c r="I171" s="86"/>
      <c r="J171" s="8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6"/>
      <c r="D172" s="86"/>
      <c r="E172" s="86"/>
      <c r="F172" s="86"/>
      <c r="G172" s="86"/>
      <c r="H172" s="86"/>
      <c r="I172" s="86"/>
      <c r="J172" s="8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6"/>
      <c r="D173" s="86"/>
      <c r="E173" s="86"/>
      <c r="F173" s="86"/>
      <c r="G173" s="86"/>
      <c r="H173" s="86"/>
      <c r="I173" s="86"/>
      <c r="J173" s="8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6"/>
      <c r="D174" s="86"/>
      <c r="E174" s="86"/>
      <c r="F174" s="86"/>
      <c r="G174" s="86"/>
      <c r="H174" s="86"/>
      <c r="I174" s="86"/>
      <c r="J174" s="8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6"/>
      <c r="D175" s="86"/>
      <c r="E175" s="86"/>
      <c r="F175" s="86"/>
      <c r="G175" s="86"/>
      <c r="H175" s="86"/>
      <c r="I175" s="86"/>
      <c r="J175" s="8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6"/>
      <c r="D176" s="86"/>
      <c r="E176" s="86"/>
      <c r="F176" s="86"/>
      <c r="G176" s="86"/>
      <c r="H176" s="86"/>
      <c r="I176" s="86"/>
      <c r="J176" s="8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6"/>
      <c r="D177" s="86"/>
      <c r="E177" s="86"/>
      <c r="F177" s="86"/>
      <c r="G177" s="86"/>
      <c r="H177" s="86"/>
      <c r="I177" s="86"/>
      <c r="J177" s="8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6"/>
      <c r="D178" s="86"/>
      <c r="E178" s="86"/>
      <c r="F178" s="86"/>
      <c r="G178" s="86"/>
      <c r="H178" s="86"/>
      <c r="I178" s="86"/>
      <c r="J178" s="8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6"/>
      <c r="D179" s="86"/>
      <c r="E179" s="86"/>
      <c r="F179" s="86"/>
      <c r="G179" s="86"/>
      <c r="H179" s="86"/>
      <c r="I179" s="86"/>
      <c r="J179" s="8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6"/>
      <c r="D180" s="86"/>
      <c r="E180" s="86"/>
      <c r="F180" s="86"/>
      <c r="G180" s="86"/>
      <c r="H180" s="86"/>
      <c r="I180" s="86"/>
      <c r="J180" s="8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6"/>
      <c r="D181" s="86"/>
      <c r="E181" s="86"/>
      <c r="F181" s="86"/>
      <c r="G181" s="86"/>
      <c r="H181" s="86"/>
      <c r="I181" s="86"/>
      <c r="J181" s="8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6"/>
      <c r="D182" s="86"/>
      <c r="E182" s="86"/>
      <c r="F182" s="86"/>
      <c r="G182" s="86"/>
      <c r="H182" s="86"/>
      <c r="I182" s="86"/>
      <c r="J182" s="8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6"/>
      <c r="D183" s="86"/>
      <c r="E183" s="86"/>
      <c r="F183" s="86"/>
      <c r="G183" s="86"/>
      <c r="H183" s="86"/>
      <c r="I183" s="86"/>
      <c r="J183" s="8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6"/>
      <c r="D184" s="86"/>
      <c r="E184" s="86"/>
      <c r="F184" s="86"/>
      <c r="G184" s="86"/>
      <c r="H184" s="86"/>
      <c r="I184" s="86"/>
      <c r="J184" s="8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6"/>
      <c r="D185" s="86"/>
      <c r="E185" s="86"/>
      <c r="F185" s="86"/>
      <c r="G185" s="86"/>
      <c r="H185" s="86"/>
      <c r="I185" s="86"/>
      <c r="J185" s="8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6"/>
      <c r="D186" s="86"/>
      <c r="E186" s="86"/>
      <c r="F186" s="86"/>
      <c r="G186" s="86"/>
      <c r="H186" s="86"/>
      <c r="I186" s="86"/>
      <c r="J186" s="8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6"/>
      <c r="D187" s="86"/>
      <c r="E187" s="86"/>
      <c r="F187" s="86"/>
      <c r="G187" s="86"/>
      <c r="H187" s="86"/>
      <c r="I187" s="86"/>
      <c r="J187" s="8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6"/>
      <c r="D188" s="86"/>
      <c r="E188" s="86"/>
      <c r="F188" s="86"/>
      <c r="G188" s="86"/>
      <c r="H188" s="86"/>
      <c r="I188" s="86"/>
      <c r="J188" s="8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6"/>
      <c r="D189" s="86"/>
      <c r="E189" s="86"/>
      <c r="F189" s="86"/>
      <c r="G189" s="86"/>
      <c r="H189" s="86"/>
      <c r="I189" s="86"/>
      <c r="J189" s="8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6"/>
      <c r="D190" s="86"/>
      <c r="E190" s="86"/>
      <c r="F190" s="86"/>
      <c r="G190" s="86"/>
      <c r="H190" s="86"/>
      <c r="I190" s="86"/>
      <c r="J190" s="8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6"/>
      <c r="D191" s="86"/>
      <c r="E191" s="86"/>
      <c r="F191" s="86"/>
      <c r="G191" s="86"/>
      <c r="H191" s="86"/>
      <c r="I191" s="86"/>
      <c r="J191" s="8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6"/>
      <c r="D192" s="86"/>
      <c r="E192" s="86"/>
      <c r="F192" s="86"/>
      <c r="G192" s="86"/>
      <c r="H192" s="86"/>
      <c r="I192" s="86"/>
      <c r="J192" s="8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6"/>
      <c r="D193" s="86"/>
      <c r="E193" s="86"/>
      <c r="F193" s="86"/>
      <c r="G193" s="86"/>
      <c r="H193" s="86"/>
      <c r="I193" s="86"/>
      <c r="J193" s="8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6"/>
      <c r="D194" s="86"/>
      <c r="E194" s="86"/>
      <c r="F194" s="86"/>
      <c r="G194" s="86"/>
      <c r="H194" s="86"/>
      <c r="I194" s="86"/>
      <c r="J194" s="8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6"/>
      <c r="D195" s="86"/>
      <c r="E195" s="86"/>
      <c r="F195" s="86"/>
      <c r="G195" s="86"/>
      <c r="H195" s="86"/>
      <c r="I195" s="86"/>
      <c r="J195" s="8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6"/>
      <c r="D196" s="86"/>
      <c r="E196" s="86"/>
      <c r="F196" s="86"/>
      <c r="G196" s="86"/>
      <c r="H196" s="86"/>
      <c r="I196" s="86"/>
      <c r="J196" s="8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6"/>
      <c r="D197" s="86"/>
      <c r="E197" s="86"/>
      <c r="F197" s="86"/>
      <c r="G197" s="86"/>
      <c r="H197" s="86"/>
      <c r="I197" s="86"/>
      <c r="J197" s="8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6"/>
      <c r="D198" s="86"/>
      <c r="E198" s="86"/>
      <c r="F198" s="86"/>
      <c r="G198" s="86"/>
      <c r="H198" s="86"/>
      <c r="I198" s="86"/>
      <c r="J198" s="8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6"/>
      <c r="D199" s="86"/>
      <c r="E199" s="86"/>
      <c r="F199" s="86"/>
      <c r="G199" s="86"/>
      <c r="H199" s="86"/>
      <c r="I199" s="86"/>
      <c r="J199" s="8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6"/>
      <c r="D200" s="86"/>
      <c r="E200" s="86"/>
      <c r="F200" s="86"/>
      <c r="G200" s="86"/>
      <c r="H200" s="86"/>
      <c r="I200" s="86"/>
      <c r="J200" s="8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6"/>
      <c r="D201" s="86"/>
      <c r="E201" s="86"/>
      <c r="F201" s="86"/>
      <c r="G201" s="86"/>
      <c r="H201" s="86"/>
      <c r="I201" s="86"/>
      <c r="J201" s="8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6"/>
      <c r="D202" s="86"/>
      <c r="E202" s="86"/>
      <c r="F202" s="86"/>
      <c r="G202" s="86"/>
      <c r="H202" s="86"/>
      <c r="I202" s="86"/>
      <c r="J202" s="8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6"/>
      <c r="D203" s="86"/>
      <c r="E203" s="86"/>
      <c r="F203" s="86"/>
      <c r="G203" s="86"/>
      <c r="H203" s="86"/>
      <c r="I203" s="86"/>
      <c r="J203" s="8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6"/>
      <c r="D204" s="86"/>
      <c r="E204" s="86"/>
      <c r="F204" s="86"/>
      <c r="G204" s="86"/>
      <c r="H204" s="86"/>
      <c r="I204" s="86"/>
      <c r="J204" s="8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6"/>
      <c r="D205" s="86"/>
      <c r="E205" s="86"/>
      <c r="F205" s="86"/>
      <c r="G205" s="86"/>
      <c r="H205" s="86"/>
      <c r="I205" s="86"/>
      <c r="J205" s="8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6"/>
      <c r="D206" s="86"/>
      <c r="E206" s="86"/>
      <c r="F206" s="86"/>
      <c r="G206" s="86"/>
      <c r="H206" s="86"/>
      <c r="I206" s="86"/>
      <c r="J206" s="8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6"/>
      <c r="D207" s="86"/>
      <c r="E207" s="86"/>
      <c r="F207" s="86"/>
      <c r="G207" s="86"/>
      <c r="H207" s="86"/>
      <c r="I207" s="86"/>
      <c r="J207" s="8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6"/>
      <c r="D208" s="86"/>
      <c r="E208" s="86"/>
      <c r="F208" s="86"/>
      <c r="G208" s="86"/>
      <c r="H208" s="86"/>
      <c r="I208" s="86"/>
      <c r="J208" s="8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6"/>
      <c r="D209" s="86"/>
      <c r="E209" s="86"/>
      <c r="F209" s="86"/>
      <c r="G209" s="86"/>
      <c r="H209" s="86"/>
      <c r="I209" s="86"/>
      <c r="J209" s="8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6"/>
      <c r="D210" s="86"/>
      <c r="E210" s="86"/>
      <c r="F210" s="86"/>
      <c r="G210" s="86"/>
      <c r="H210" s="86"/>
      <c r="I210" s="86"/>
      <c r="J210" s="8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6"/>
      <c r="D211" s="86"/>
      <c r="E211" s="86"/>
      <c r="F211" s="86"/>
      <c r="G211" s="86"/>
      <c r="H211" s="86"/>
      <c r="I211" s="86"/>
      <c r="J211" s="8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6"/>
      <c r="D212" s="86"/>
      <c r="E212" s="86"/>
      <c r="F212" s="86"/>
      <c r="G212" s="86"/>
      <c r="H212" s="86"/>
      <c r="I212" s="86"/>
      <c r="J212" s="8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6"/>
      <c r="D213" s="86"/>
      <c r="E213" s="86"/>
      <c r="F213" s="86"/>
      <c r="G213" s="86"/>
      <c r="H213" s="86"/>
      <c r="I213" s="86"/>
      <c r="J213" s="8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6"/>
      <c r="D214" s="86"/>
      <c r="E214" s="86"/>
      <c r="F214" s="86"/>
      <c r="G214" s="86"/>
      <c r="H214" s="86"/>
      <c r="I214" s="86"/>
      <c r="J214" s="8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6"/>
      <c r="D215" s="86"/>
      <c r="E215" s="86"/>
      <c r="F215" s="86"/>
      <c r="G215" s="86"/>
      <c r="H215" s="86"/>
      <c r="I215" s="86"/>
      <c r="J215" s="8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6"/>
      <c r="D216" s="86"/>
      <c r="E216" s="86"/>
      <c r="F216" s="86"/>
      <c r="G216" s="86"/>
      <c r="H216" s="86"/>
      <c r="I216" s="86"/>
      <c r="J216" s="8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6"/>
      <c r="D217" s="86"/>
      <c r="E217" s="86"/>
      <c r="F217" s="86"/>
      <c r="G217" s="86"/>
      <c r="H217" s="86"/>
      <c r="I217" s="86"/>
      <c r="J217" s="8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6"/>
      <c r="D218" s="86"/>
      <c r="E218" s="86"/>
      <c r="F218" s="86"/>
      <c r="G218" s="86"/>
      <c r="H218" s="86"/>
      <c r="I218" s="86"/>
      <c r="J218" s="8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6"/>
      <c r="D219" s="86"/>
      <c r="E219" s="86"/>
      <c r="F219" s="86"/>
      <c r="G219" s="86"/>
      <c r="H219" s="86"/>
      <c r="I219" s="86"/>
      <c r="J219" s="8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6"/>
      <c r="D220" s="86"/>
      <c r="E220" s="86"/>
      <c r="F220" s="86"/>
      <c r="G220" s="86"/>
      <c r="H220" s="86"/>
      <c r="I220" s="86"/>
      <c r="J220" s="8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6"/>
      <c r="D221" s="86"/>
      <c r="E221" s="86"/>
      <c r="F221" s="86"/>
      <c r="G221" s="86"/>
      <c r="H221" s="86"/>
      <c r="I221" s="86"/>
      <c r="J221" s="8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6"/>
      <c r="D222" s="86"/>
      <c r="E222" s="86"/>
      <c r="F222" s="86"/>
      <c r="G222" s="86"/>
      <c r="H222" s="86"/>
      <c r="I222" s="86"/>
      <c r="J222" s="8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6"/>
      <c r="D223" s="86"/>
      <c r="E223" s="86"/>
      <c r="F223" s="86"/>
      <c r="G223" s="86"/>
      <c r="H223" s="86"/>
      <c r="I223" s="86"/>
      <c r="J223" s="8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6"/>
      <c r="D224" s="86"/>
      <c r="E224" s="86"/>
      <c r="F224" s="86"/>
      <c r="G224" s="86"/>
      <c r="H224" s="86"/>
      <c r="I224" s="86"/>
      <c r="J224" s="8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6"/>
      <c r="D225" s="86"/>
      <c r="E225" s="86"/>
      <c r="F225" s="86"/>
      <c r="G225" s="86"/>
      <c r="H225" s="86"/>
      <c r="I225" s="86"/>
      <c r="J225" s="8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6"/>
      <c r="D226" s="86"/>
      <c r="E226" s="86"/>
      <c r="F226" s="86"/>
      <c r="G226" s="86"/>
      <c r="H226" s="86"/>
      <c r="I226" s="86"/>
      <c r="J226" s="8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6"/>
      <c r="D227" s="86"/>
      <c r="E227" s="86"/>
      <c r="F227" s="86"/>
      <c r="G227" s="86"/>
      <c r="H227" s="86"/>
      <c r="I227" s="86"/>
      <c r="J227" s="8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6"/>
      <c r="D228" s="86"/>
      <c r="E228" s="86"/>
      <c r="F228" s="86"/>
      <c r="G228" s="86"/>
      <c r="H228" s="86"/>
      <c r="I228" s="86"/>
      <c r="J228" s="8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6"/>
      <c r="D229" s="86"/>
      <c r="E229" s="86"/>
      <c r="F229" s="86"/>
      <c r="G229" s="86"/>
      <c r="H229" s="86"/>
      <c r="I229" s="86"/>
      <c r="J229" s="8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6"/>
      <c r="D230" s="86"/>
      <c r="E230" s="86"/>
      <c r="F230" s="86"/>
      <c r="G230" s="86"/>
      <c r="H230" s="86"/>
      <c r="I230" s="86"/>
      <c r="J230" s="8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6"/>
      <c r="D231" s="86"/>
      <c r="E231" s="86"/>
      <c r="F231" s="86"/>
      <c r="G231" s="86"/>
      <c r="H231" s="86"/>
      <c r="I231" s="86"/>
      <c r="J231" s="8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6"/>
      <c r="D232" s="86"/>
      <c r="E232" s="86"/>
      <c r="F232" s="86"/>
      <c r="G232" s="86"/>
      <c r="H232" s="86"/>
      <c r="I232" s="86"/>
      <c r="J232" s="8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6"/>
      <c r="D233" s="86"/>
      <c r="E233" s="86"/>
      <c r="F233" s="86"/>
      <c r="G233" s="86"/>
      <c r="H233" s="86"/>
      <c r="I233" s="86"/>
      <c r="J233" s="8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6"/>
      <c r="D234" s="86"/>
      <c r="E234" s="86"/>
      <c r="F234" s="86"/>
      <c r="G234" s="86"/>
      <c r="H234" s="86"/>
      <c r="I234" s="86"/>
      <c r="J234" s="8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6"/>
      <c r="D235" s="86"/>
      <c r="E235" s="86"/>
      <c r="F235" s="86"/>
      <c r="G235" s="86"/>
      <c r="H235" s="86"/>
      <c r="I235" s="86"/>
      <c r="J235" s="8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6"/>
      <c r="D236" s="86"/>
      <c r="E236" s="86"/>
      <c r="F236" s="86"/>
      <c r="G236" s="86"/>
      <c r="H236" s="86"/>
      <c r="I236" s="86"/>
      <c r="J236" s="8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6"/>
      <c r="D237" s="86"/>
      <c r="E237" s="86"/>
      <c r="F237" s="86"/>
      <c r="G237" s="86"/>
      <c r="H237" s="86"/>
      <c r="I237" s="86"/>
      <c r="J237" s="8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6"/>
      <c r="D238" s="86"/>
      <c r="E238" s="86"/>
      <c r="F238" s="86"/>
      <c r="G238" s="86"/>
      <c r="H238" s="86"/>
      <c r="I238" s="86"/>
      <c r="J238" s="8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6"/>
      <c r="D239" s="86"/>
      <c r="E239" s="86"/>
      <c r="F239" s="86"/>
      <c r="G239" s="86"/>
      <c r="H239" s="86"/>
      <c r="I239" s="86"/>
      <c r="J239" s="8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6"/>
      <c r="D240" s="86"/>
      <c r="E240" s="86"/>
      <c r="F240" s="86"/>
      <c r="G240" s="86"/>
      <c r="H240" s="86"/>
      <c r="I240" s="86"/>
      <c r="J240" s="8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6"/>
      <c r="D241" s="86"/>
      <c r="E241" s="86"/>
      <c r="F241" s="86"/>
      <c r="G241" s="86"/>
      <c r="H241" s="86"/>
      <c r="I241" s="86"/>
      <c r="J241" s="8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6"/>
      <c r="D242" s="86"/>
      <c r="E242" s="86"/>
      <c r="F242" s="86"/>
      <c r="G242" s="86"/>
      <c r="H242" s="86"/>
      <c r="I242" s="86"/>
      <c r="J242" s="8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J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J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J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J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J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J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J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J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J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J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J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J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J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J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J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J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J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J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J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J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J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J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J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J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J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J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J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J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J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J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J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J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J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J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J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J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J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J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J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J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J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J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J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J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J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J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J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J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J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J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J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J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J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J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J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J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J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J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J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J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J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J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J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J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J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J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J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J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J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J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J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J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J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J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J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J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J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J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J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J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J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J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J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J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J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J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J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J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J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J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J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J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J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J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J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J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J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J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J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J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J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J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J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J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J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J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J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J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J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J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J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J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J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J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J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J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J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J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J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J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J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J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J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J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J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J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J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J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J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J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J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J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J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J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J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J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J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J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J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J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J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J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J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J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J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J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J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J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J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J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J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J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J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J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J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J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J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J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J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J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J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J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J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J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J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J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J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J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J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J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J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J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J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J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J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J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J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J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J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J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J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J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J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J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J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J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J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J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J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J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J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J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J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J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J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J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J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J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J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J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J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J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J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J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J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J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J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J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J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J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J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J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J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J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J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J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J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J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J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J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J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J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J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J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J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J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J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J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J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J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J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J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J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J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J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J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J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J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J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J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J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J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J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J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J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J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J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J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J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J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J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J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J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J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J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J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J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J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J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J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J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J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J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J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J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J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J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J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J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J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J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J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J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J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J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J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J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J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J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J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J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J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J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J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J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J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J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J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J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J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J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J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J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J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J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J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J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J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J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J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J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J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J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J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J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J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J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J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J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J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J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J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J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J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J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J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J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J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J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J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J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J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J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J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J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J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J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J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J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J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J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J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J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J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J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J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J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J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J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J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J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J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J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J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J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J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J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J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J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J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J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J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J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J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J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J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J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J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J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J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J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J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J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J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J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J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J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J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J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J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J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J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J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J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J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J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J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J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J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J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J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J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J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J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J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J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J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J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J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J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J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J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J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J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J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J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J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J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J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J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J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J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J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J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J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J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J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J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J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J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J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J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J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J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J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J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J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J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J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J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J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J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J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J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J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J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J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J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J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J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J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J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J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J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J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J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J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J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J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J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J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J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J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J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J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J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J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J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J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J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J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J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J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J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J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J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J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J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J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J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J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J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J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J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J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J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J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J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J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J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J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J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J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J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J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J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J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J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J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J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J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J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J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J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J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J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J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J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J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J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J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J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J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J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J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J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J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J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J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J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J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J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J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J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J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J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J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J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J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J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J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J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J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J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J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J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J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J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J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J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J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J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J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J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J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J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J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J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J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J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J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J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J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J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J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J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J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J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J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J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J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J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J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J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J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J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J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J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J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J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J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J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J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J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J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J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J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J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J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J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J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J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J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J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J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J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J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J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J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J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J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J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J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J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J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J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J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J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J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J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J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J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J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J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J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J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J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J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J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J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J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J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J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J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J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J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J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J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J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J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J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J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J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J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J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J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J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J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J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J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J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J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J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J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J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J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J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J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J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J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J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J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J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J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J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J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J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J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J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J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J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J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J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J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J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J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J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J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J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J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J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J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J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J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J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J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J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J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J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J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J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J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J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J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J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J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J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J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J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J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J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J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J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J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J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J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J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J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J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J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J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J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J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J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J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J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J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J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J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J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J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J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J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J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J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J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J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J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J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J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J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J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J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J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J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J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J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J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J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J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J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J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J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J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J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J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J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J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J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J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J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J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J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J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J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J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J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J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J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J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J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J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J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J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J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J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J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J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J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J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J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J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J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J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J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J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J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J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J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J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J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J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J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J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J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J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J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J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J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J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J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J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J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J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J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J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J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J1000" s="92"/>
    </row>
  </sheetData>
  <mergeCells count="26">
    <mergeCell ref="F3:F4"/>
    <mergeCell ref="I3:I4"/>
    <mergeCell ref="I5:I15"/>
    <mergeCell ref="I16:I21"/>
    <mergeCell ref="I22:I27"/>
    <mergeCell ref="I28:I32"/>
    <mergeCell ref="I39:I41"/>
    <mergeCell ref="A1:B2"/>
    <mergeCell ref="C1:C2"/>
    <mergeCell ref="D1:D2"/>
    <mergeCell ref="E1:E2"/>
    <mergeCell ref="F1:J2"/>
    <mergeCell ref="A3:B3"/>
    <mergeCell ref="C3:C4"/>
    <mergeCell ref="J3:J4"/>
    <mergeCell ref="A28:A32"/>
    <mergeCell ref="A33:A38"/>
    <mergeCell ref="A39:A41"/>
    <mergeCell ref="A42:J46"/>
    <mergeCell ref="D3:D4"/>
    <mergeCell ref="E3:E4"/>
    <mergeCell ref="A5:A8"/>
    <mergeCell ref="A9:A11"/>
    <mergeCell ref="A12:A15"/>
    <mergeCell ref="A16:A21"/>
    <mergeCell ref="A22:A27"/>
  </mergeCells>
  <printOptions/>
  <pageMargins bottom="0.75" footer="0.0" header="0.0" left="0.25" right="0.25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1.43"/>
    <col customWidth="1" min="2" max="2" width="141.14"/>
    <col customWidth="1" min="3" max="3" width="41.71"/>
    <col customWidth="1" min="4" max="4" width="26.43"/>
    <col customWidth="1" min="5" max="5" width="21.57"/>
    <col customWidth="1" min="6" max="7" width="12.43"/>
    <col customWidth="1" min="8" max="8" width="21.14"/>
    <col customWidth="1" min="9" max="9" width="21.57"/>
    <col customWidth="1" min="11" max="11" width="35.57"/>
  </cols>
  <sheetData>
    <row r="1" ht="16.5" customHeight="1">
      <c r="A1" s="1" t="s">
        <v>372</v>
      </c>
      <c r="B1" s="2"/>
      <c r="C1" s="254" t="s">
        <v>327</v>
      </c>
      <c r="D1" s="254" t="s">
        <v>373</v>
      </c>
      <c r="E1" s="319" t="s">
        <v>201</v>
      </c>
      <c r="F1" s="2"/>
      <c r="G1" s="2"/>
      <c r="H1" s="2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8.0" customHeight="1">
      <c r="A2" s="10"/>
      <c r="C2" s="11"/>
      <c r="D2" s="11"/>
      <c r="E2" s="13"/>
      <c r="I2" s="1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6.5" customHeight="1">
      <c r="A3" s="320"/>
      <c r="B3" s="321"/>
      <c r="C3" s="260" t="s">
        <v>203</v>
      </c>
      <c r="D3" s="261" t="s">
        <v>204</v>
      </c>
      <c r="E3" s="260" t="s">
        <v>205</v>
      </c>
      <c r="F3" s="19" t="s">
        <v>4</v>
      </c>
      <c r="G3" s="20" t="s">
        <v>5</v>
      </c>
      <c r="H3" s="259" t="s">
        <v>6</v>
      </c>
      <c r="I3" s="260" t="s">
        <v>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6.5" customHeight="1">
      <c r="A4" s="322" t="s">
        <v>8</v>
      </c>
      <c r="B4" s="323" t="s">
        <v>9</v>
      </c>
      <c r="C4" s="11"/>
      <c r="D4" s="26"/>
      <c r="E4" s="25"/>
      <c r="F4" s="265" t="s">
        <v>10</v>
      </c>
      <c r="G4" s="265" t="s">
        <v>11</v>
      </c>
      <c r="H4" s="28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6.5" customHeight="1">
      <c r="A5" s="324" t="s">
        <v>374</v>
      </c>
      <c r="B5" s="118" t="s">
        <v>375</v>
      </c>
      <c r="C5" s="325"/>
      <c r="D5" s="325">
        <v>220000.0</v>
      </c>
      <c r="E5" s="193" t="str">
        <f t="shared" ref="E5:E11" si="1">1-D5/#REF!</f>
        <v>#REF!</v>
      </c>
      <c r="F5" s="326"/>
      <c r="G5" s="326"/>
      <c r="H5" s="327"/>
      <c r="I5" s="22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6.5" customHeight="1">
      <c r="A6" s="25"/>
      <c r="B6" s="111" t="s">
        <v>376</v>
      </c>
      <c r="C6" s="194"/>
      <c r="D6" s="194">
        <v>1000000.0</v>
      </c>
      <c r="E6" s="193" t="str">
        <f t="shared" si="1"/>
        <v>#REF!</v>
      </c>
      <c r="F6" s="328"/>
      <c r="G6" s="328"/>
      <c r="H6" s="328"/>
      <c r="I6" s="4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6.5" customHeight="1">
      <c r="A7" s="25"/>
      <c r="B7" s="111" t="s">
        <v>377</v>
      </c>
      <c r="C7" s="194"/>
      <c r="D7" s="194">
        <v>2000000.0</v>
      </c>
      <c r="E7" s="193" t="str">
        <f t="shared" si="1"/>
        <v>#REF!</v>
      </c>
      <c r="F7" s="329"/>
      <c r="G7" s="329"/>
      <c r="H7" s="329"/>
      <c r="I7" s="4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6.5" customHeight="1">
      <c r="A8" s="25"/>
      <c r="B8" s="111" t="s">
        <v>378</v>
      </c>
      <c r="C8" s="194"/>
      <c r="D8" s="194">
        <v>3000000.0</v>
      </c>
      <c r="E8" s="193" t="str">
        <f t="shared" si="1"/>
        <v>#REF!</v>
      </c>
      <c r="F8" s="329"/>
      <c r="G8" s="329"/>
      <c r="H8" s="329"/>
      <c r="I8" s="4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1"/>
      <c r="B9" s="115" t="s">
        <v>379</v>
      </c>
      <c r="C9" s="196"/>
      <c r="D9" s="196">
        <v>4000000.0</v>
      </c>
      <c r="E9" s="197" t="str">
        <f t="shared" si="1"/>
        <v>#REF!</v>
      </c>
      <c r="F9" s="330"/>
      <c r="G9" s="330"/>
      <c r="H9" s="330"/>
      <c r="I9" s="4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6.5" customHeight="1">
      <c r="A10" s="331" t="s">
        <v>380</v>
      </c>
      <c r="B10" s="332" t="s">
        <v>381</v>
      </c>
      <c r="C10" s="333">
        <v>137000.0</v>
      </c>
      <c r="D10" s="334">
        <v>69000.0</v>
      </c>
      <c r="E10" s="193" t="str">
        <f t="shared" si="1"/>
        <v>#REF!</v>
      </c>
      <c r="F10" s="335"/>
      <c r="G10" s="336"/>
      <c r="H10" s="337"/>
      <c r="I10" s="4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6.5" customHeight="1">
      <c r="A11" s="28"/>
      <c r="B11" s="66" t="s">
        <v>382</v>
      </c>
      <c r="C11" s="160">
        <f>D11*2-1000</f>
        <v>137000</v>
      </c>
      <c r="D11" s="163">
        <v>69000.0</v>
      </c>
      <c r="E11" s="193" t="str">
        <f t="shared" si="1"/>
        <v>#REF!</v>
      </c>
      <c r="F11" s="335"/>
      <c r="G11" s="336"/>
      <c r="H11" s="26"/>
      <c r="I11" s="4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28"/>
      <c r="B12" s="338" t="s">
        <v>383</v>
      </c>
      <c r="C12" s="333">
        <v>297000.0</v>
      </c>
      <c r="D12" s="334">
        <v>149000.0</v>
      </c>
      <c r="E12" s="193"/>
      <c r="F12" s="339"/>
      <c r="G12" s="340"/>
      <c r="H12" s="26"/>
      <c r="I12" s="4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6.5" customHeight="1">
      <c r="A13" s="28"/>
      <c r="B13" s="109" t="s">
        <v>384</v>
      </c>
      <c r="C13" s="160">
        <f>D13*2-1000</f>
        <v>297000</v>
      </c>
      <c r="D13" s="163">
        <v>149000.0</v>
      </c>
      <c r="E13" s="193" t="str">
        <f>1-D13/#REF!</f>
        <v>#REF!</v>
      </c>
      <c r="F13" s="339"/>
      <c r="G13" s="340"/>
      <c r="H13" s="26"/>
      <c r="I13" s="4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28"/>
      <c r="B14" s="338" t="s">
        <v>385</v>
      </c>
      <c r="C14" s="333">
        <v>355000.0</v>
      </c>
      <c r="D14" s="334">
        <v>178000.0</v>
      </c>
      <c r="E14" s="193"/>
      <c r="F14" s="339"/>
      <c r="G14" s="341"/>
      <c r="H14" s="26"/>
      <c r="I14" s="4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28"/>
      <c r="B15" s="109" t="s">
        <v>386</v>
      </c>
      <c r="C15" s="160">
        <f t="shared" ref="C15:C16" si="2">D15*2-1000</f>
        <v>477000</v>
      </c>
      <c r="D15" s="163">
        <v>239000.0</v>
      </c>
      <c r="E15" s="193" t="str">
        <f t="shared" ref="E15:E16" si="3">1-D15/#REF!</f>
        <v>#REF!</v>
      </c>
      <c r="F15" s="342"/>
      <c r="G15" s="343"/>
      <c r="H15" s="26"/>
      <c r="I15" s="4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6.5" customHeight="1">
      <c r="A16" s="28"/>
      <c r="B16" s="344" t="s">
        <v>387</v>
      </c>
      <c r="C16" s="160">
        <f t="shared" si="2"/>
        <v>457000</v>
      </c>
      <c r="D16" s="163">
        <v>229000.0</v>
      </c>
      <c r="E16" s="193" t="str">
        <f t="shared" si="3"/>
        <v>#REF!</v>
      </c>
      <c r="F16" s="342"/>
      <c r="G16" s="343"/>
      <c r="H16" s="26"/>
      <c r="I16" s="4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149"/>
      <c r="B17" s="345" t="s">
        <v>388</v>
      </c>
      <c r="C17" s="346">
        <v>799000.0</v>
      </c>
      <c r="D17" s="346">
        <v>400000.0</v>
      </c>
      <c r="E17" s="193"/>
      <c r="F17" s="347"/>
      <c r="G17" s="348"/>
      <c r="H17" s="12"/>
      <c r="I17" s="4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148" t="s">
        <v>389</v>
      </c>
      <c r="B18" s="349" t="s">
        <v>390</v>
      </c>
      <c r="C18" s="334">
        <v>397000.0</v>
      </c>
      <c r="D18" s="350">
        <v>199000.0</v>
      </c>
      <c r="E18" s="351"/>
      <c r="F18" s="352"/>
      <c r="G18" s="353"/>
      <c r="H18" s="337"/>
      <c r="I18" s="4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6.5" customHeight="1">
      <c r="A19" s="28"/>
      <c r="B19" s="109" t="s">
        <v>391</v>
      </c>
      <c r="C19" s="160">
        <f>D19*2-1000</f>
        <v>397000</v>
      </c>
      <c r="D19" s="354">
        <v>199000.0</v>
      </c>
      <c r="E19" s="193" t="str">
        <f>1-(D19/#REF!)</f>
        <v>#REF!</v>
      </c>
      <c r="F19" s="355"/>
      <c r="G19" s="336"/>
      <c r="H19" s="26"/>
      <c r="I19" s="4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28"/>
      <c r="B20" s="338" t="s">
        <v>15</v>
      </c>
      <c r="C20" s="333">
        <v>397000.0</v>
      </c>
      <c r="D20" s="356">
        <v>199000.0</v>
      </c>
      <c r="E20" s="193"/>
      <c r="F20" s="339"/>
      <c r="G20" s="341"/>
      <c r="H20" s="26"/>
      <c r="I20" s="4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28"/>
      <c r="B21" s="109" t="s">
        <v>392</v>
      </c>
      <c r="C21" s="160">
        <v>557000.0</v>
      </c>
      <c r="D21" s="354">
        <v>279000.0</v>
      </c>
      <c r="E21" s="193" t="str">
        <f t="shared" ref="E21:E23" si="4">1-D21/#REF!</f>
        <v>#REF!</v>
      </c>
      <c r="F21" s="339"/>
      <c r="G21" s="341"/>
      <c r="H21" s="26"/>
      <c r="I21" s="4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6.5" customHeight="1">
      <c r="A22" s="28"/>
      <c r="B22" s="344" t="s">
        <v>393</v>
      </c>
      <c r="C22" s="160">
        <f>D22*2-1000</f>
        <v>1197000</v>
      </c>
      <c r="D22" s="163">
        <v>599000.0</v>
      </c>
      <c r="E22" s="193" t="str">
        <f t="shared" si="4"/>
        <v>#REF!</v>
      </c>
      <c r="F22" s="339"/>
      <c r="G22" s="341"/>
      <c r="H22" s="26"/>
      <c r="I22" s="4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28"/>
      <c r="B23" s="66" t="s">
        <v>394</v>
      </c>
      <c r="C23" s="160">
        <v>677000.0</v>
      </c>
      <c r="D23" s="163">
        <v>329000.0</v>
      </c>
      <c r="E23" s="193" t="str">
        <f t="shared" si="4"/>
        <v>#REF!</v>
      </c>
      <c r="F23" s="357"/>
      <c r="G23" s="341"/>
      <c r="H23" s="26"/>
      <c r="I23" s="4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28"/>
      <c r="B24" s="332" t="s">
        <v>395</v>
      </c>
      <c r="C24" s="333">
        <v>1137000.0</v>
      </c>
      <c r="D24" s="334">
        <v>569000.0</v>
      </c>
      <c r="E24" s="193"/>
      <c r="F24" s="358"/>
      <c r="G24" s="343"/>
      <c r="H24" s="26"/>
      <c r="I24" s="4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6.5" customHeight="1">
      <c r="A25" s="149"/>
      <c r="B25" s="359" t="s">
        <v>396</v>
      </c>
      <c r="C25" s="160">
        <f>D25*2-1000</f>
        <v>597000</v>
      </c>
      <c r="D25" s="354">
        <v>299000.0</v>
      </c>
      <c r="E25" s="197" t="str">
        <f t="shared" ref="E25:E26" si="5">1-D25/#REF!</f>
        <v>#REF!</v>
      </c>
      <c r="F25" s="347"/>
      <c r="G25" s="348"/>
      <c r="H25" s="12"/>
      <c r="I25" s="4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6.5" customHeight="1">
      <c r="A26" s="148" t="s">
        <v>397</v>
      </c>
      <c r="B26" s="30" t="s">
        <v>398</v>
      </c>
      <c r="C26" s="190">
        <v>257000.0</v>
      </c>
      <c r="D26" s="360">
        <v>149000.0</v>
      </c>
      <c r="E26" s="193" t="str">
        <f t="shared" si="5"/>
        <v>#REF!</v>
      </c>
      <c r="F26" s="352"/>
      <c r="G26" s="353"/>
      <c r="H26" s="361"/>
      <c r="I26" s="4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6.5" customHeight="1">
      <c r="A27" s="28"/>
      <c r="B27" s="338" t="s">
        <v>399</v>
      </c>
      <c r="C27" s="334">
        <v>297000.0</v>
      </c>
      <c r="D27" s="362">
        <v>149000.0</v>
      </c>
      <c r="E27" s="193"/>
      <c r="F27" s="339"/>
      <c r="G27" s="341"/>
      <c r="H27" s="26"/>
      <c r="I27" s="4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6.5" customHeight="1">
      <c r="A28" s="28"/>
      <c r="B28" s="109" t="s">
        <v>400</v>
      </c>
      <c r="C28" s="163">
        <f t="shared" ref="C28:C30" si="6">D28*2-1000</f>
        <v>537000</v>
      </c>
      <c r="D28" s="161">
        <v>269000.0</v>
      </c>
      <c r="E28" s="193" t="str">
        <f>1-D28/#REF!</f>
        <v>#REF!</v>
      </c>
      <c r="F28" s="339"/>
      <c r="G28" s="341"/>
      <c r="H28" s="26"/>
      <c r="I28" s="4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28"/>
      <c r="B29" s="109" t="s">
        <v>401</v>
      </c>
      <c r="C29" s="163">
        <f t="shared" si="6"/>
        <v>237000</v>
      </c>
      <c r="D29" s="161">
        <v>119000.0</v>
      </c>
      <c r="E29" s="193"/>
      <c r="F29" s="339"/>
      <c r="G29" s="341"/>
      <c r="H29" s="26"/>
      <c r="I29" s="4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28"/>
      <c r="B30" s="109" t="s">
        <v>402</v>
      </c>
      <c r="C30" s="163">
        <f t="shared" si="6"/>
        <v>437000</v>
      </c>
      <c r="D30" s="161">
        <v>219000.0</v>
      </c>
      <c r="E30" s="193" t="str">
        <f>1-D30/#REF!</f>
        <v>#REF!</v>
      </c>
      <c r="F30" s="342"/>
      <c r="G30" s="343"/>
      <c r="H30" s="26"/>
      <c r="I30" s="4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6.5" customHeight="1">
      <c r="A31" s="28"/>
      <c r="B31" s="338" t="s">
        <v>403</v>
      </c>
      <c r="C31" s="334">
        <v>417000.0</v>
      </c>
      <c r="D31" s="362">
        <v>209000.0</v>
      </c>
      <c r="E31" s="193"/>
      <c r="F31" s="358"/>
      <c r="G31" s="343"/>
      <c r="H31" s="26"/>
      <c r="I31" s="4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28"/>
      <c r="B32" s="109" t="s">
        <v>404</v>
      </c>
      <c r="C32" s="163">
        <v>417000.0</v>
      </c>
      <c r="D32" s="161">
        <v>209000.0</v>
      </c>
      <c r="E32" s="193" t="str">
        <f>1-D32/#REF!</f>
        <v>#REF!</v>
      </c>
      <c r="F32" s="358"/>
      <c r="G32" s="343"/>
      <c r="H32" s="26"/>
      <c r="I32" s="4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28"/>
      <c r="B33" s="338" t="s">
        <v>405</v>
      </c>
      <c r="C33" s="334">
        <v>757000.0</v>
      </c>
      <c r="D33" s="362">
        <v>379000.0</v>
      </c>
      <c r="E33" s="193"/>
      <c r="F33" s="342"/>
      <c r="G33" s="343"/>
      <c r="H33" s="26"/>
      <c r="I33" s="4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6.5" customHeight="1">
      <c r="A34" s="28"/>
      <c r="B34" s="344" t="s">
        <v>406</v>
      </c>
      <c r="C34" s="163">
        <f>D34*2-1000</f>
        <v>337000</v>
      </c>
      <c r="D34" s="161">
        <v>169000.0</v>
      </c>
      <c r="E34" s="193" t="str">
        <f>1-D34/#REF!</f>
        <v>#REF!</v>
      </c>
      <c r="F34" s="342"/>
      <c r="G34" s="343"/>
      <c r="H34" s="26"/>
      <c r="I34" s="4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28"/>
      <c r="B35" s="338" t="s">
        <v>407</v>
      </c>
      <c r="C35" s="334">
        <v>757000.0</v>
      </c>
      <c r="D35" s="362">
        <v>379000.0</v>
      </c>
      <c r="E35" s="193"/>
      <c r="F35" s="342"/>
      <c r="G35" s="363"/>
      <c r="H35" s="26"/>
      <c r="I35" s="4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28"/>
      <c r="B36" s="109" t="s">
        <v>408</v>
      </c>
      <c r="C36" s="163">
        <v>757000.0</v>
      </c>
      <c r="D36" s="161">
        <v>379000.0</v>
      </c>
      <c r="E36" s="193" t="str">
        <f>1-D36/#REF!</f>
        <v>#REF!</v>
      </c>
      <c r="F36" s="342"/>
      <c r="G36" s="363"/>
      <c r="H36" s="26"/>
      <c r="I36" s="4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6.5" customHeight="1">
      <c r="A37" s="28"/>
      <c r="B37" s="338" t="s">
        <v>409</v>
      </c>
      <c r="C37" s="334">
        <v>777000.0</v>
      </c>
      <c r="D37" s="362">
        <v>389000.0</v>
      </c>
      <c r="E37" s="193"/>
      <c r="F37" s="342"/>
      <c r="G37" s="363"/>
      <c r="H37" s="26"/>
      <c r="I37" s="4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28"/>
      <c r="B38" s="364" t="s">
        <v>16</v>
      </c>
      <c r="C38" s="163">
        <f>D38*2-1000</f>
        <v>437000</v>
      </c>
      <c r="D38" s="161">
        <v>219000.0</v>
      </c>
      <c r="E38" s="193" t="str">
        <f t="shared" ref="E38:E39" si="7">1-D38/#REF!</f>
        <v>#REF!</v>
      </c>
      <c r="F38" s="342"/>
      <c r="G38" s="343"/>
      <c r="H38" s="26"/>
      <c r="I38" s="4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52" t="s">
        <v>410</v>
      </c>
      <c r="B39" s="30" t="s">
        <v>411</v>
      </c>
      <c r="C39" s="360">
        <v>49000.0</v>
      </c>
      <c r="D39" s="360">
        <v>25000.0</v>
      </c>
      <c r="E39" s="191" t="str">
        <f t="shared" si="7"/>
        <v>#REF!</v>
      </c>
      <c r="F39" s="352"/>
      <c r="G39" s="365"/>
      <c r="H39" s="366"/>
      <c r="I39" s="4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"/>
      <c r="B40" s="37" t="s">
        <v>412</v>
      </c>
      <c r="C40" s="73">
        <v>97000.0</v>
      </c>
      <c r="D40" s="74">
        <v>49000.0</v>
      </c>
      <c r="E40" s="193"/>
      <c r="F40" s="339"/>
      <c r="G40" s="367"/>
      <c r="H40" s="368"/>
      <c r="I40" s="4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"/>
      <c r="B41" s="37" t="s">
        <v>413</v>
      </c>
      <c r="C41" s="161">
        <v>97000.0</v>
      </c>
      <c r="D41" s="161">
        <v>49000.0</v>
      </c>
      <c r="E41" s="193" t="str">
        <f t="shared" ref="E41:E44" si="8">1-D41/#REF!</f>
        <v>#REF!</v>
      </c>
      <c r="F41" s="339"/>
      <c r="G41" s="367"/>
      <c r="H41" s="368"/>
      <c r="I41" s="4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10"/>
      <c r="B42" s="37" t="s">
        <v>414</v>
      </c>
      <c r="C42" s="161">
        <v>217000.0</v>
      </c>
      <c r="D42" s="161">
        <v>109000.0</v>
      </c>
      <c r="E42" s="193" t="str">
        <f t="shared" si="8"/>
        <v>#REF!</v>
      </c>
      <c r="F42" s="339"/>
      <c r="G42" s="367"/>
      <c r="H42" s="368"/>
      <c r="I42" s="4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6.5" customHeight="1">
      <c r="A43" s="10"/>
      <c r="B43" s="37" t="s">
        <v>415</v>
      </c>
      <c r="C43" s="161">
        <f>D43*2-1000</f>
        <v>699000</v>
      </c>
      <c r="D43" s="161">
        <v>350000.0</v>
      </c>
      <c r="E43" s="193" t="str">
        <f t="shared" si="8"/>
        <v>#REF!</v>
      </c>
      <c r="F43" s="342"/>
      <c r="G43" s="369"/>
      <c r="H43" s="368"/>
      <c r="I43" s="4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58"/>
      <c r="B44" s="49" t="s">
        <v>416</v>
      </c>
      <c r="C44" s="161">
        <v>397000.0</v>
      </c>
      <c r="D44" s="161">
        <v>199000.0</v>
      </c>
      <c r="E44" s="193" t="str">
        <f t="shared" si="8"/>
        <v>#REF!</v>
      </c>
      <c r="F44" s="347"/>
      <c r="G44" s="370"/>
      <c r="H44" s="371"/>
      <c r="I44" s="4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52" t="s">
        <v>417</v>
      </c>
      <c r="B45" s="372" t="s">
        <v>35</v>
      </c>
      <c r="C45" s="373">
        <v>177000.0</v>
      </c>
      <c r="D45" s="374">
        <v>89000.0</v>
      </c>
      <c r="E45" s="191"/>
      <c r="F45" s="375"/>
      <c r="G45" s="376"/>
      <c r="H45" s="337"/>
      <c r="I45" s="14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6.5" customHeight="1">
      <c r="A46" s="10"/>
      <c r="B46" s="377" t="s">
        <v>267</v>
      </c>
      <c r="C46" s="73">
        <f>D46*2-1000</f>
        <v>177000</v>
      </c>
      <c r="D46" s="122">
        <v>89000.0</v>
      </c>
      <c r="E46" s="193" t="str">
        <f t="shared" ref="E46:E48" si="9">1-D46/#REF!</f>
        <v>#REF!</v>
      </c>
      <c r="F46" s="378"/>
      <c r="G46" s="379"/>
      <c r="H46" s="26"/>
      <c r="I46" s="14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10"/>
      <c r="B47" s="111" t="s">
        <v>418</v>
      </c>
      <c r="C47" s="73">
        <v>197000.0</v>
      </c>
      <c r="D47" s="122">
        <v>99000.0</v>
      </c>
      <c r="E47" s="193" t="str">
        <f t="shared" si="9"/>
        <v>#REF!</v>
      </c>
      <c r="F47" s="380"/>
      <c r="G47" s="381"/>
      <c r="H47" s="26"/>
      <c r="I47" s="14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10"/>
      <c r="B48" s="111" t="s">
        <v>419</v>
      </c>
      <c r="C48" s="73">
        <f>D48*2-1000</f>
        <v>177000</v>
      </c>
      <c r="D48" s="122">
        <v>89000.0</v>
      </c>
      <c r="E48" s="193" t="str">
        <f t="shared" si="9"/>
        <v>#REF!</v>
      </c>
      <c r="F48" s="382"/>
      <c r="G48" s="383"/>
      <c r="H48" s="26"/>
      <c r="I48" s="14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6.5" customHeight="1">
      <c r="A49" s="58"/>
      <c r="B49" s="384" t="s">
        <v>420</v>
      </c>
      <c r="C49" s="385">
        <v>197000.0</v>
      </c>
      <c r="D49" s="386">
        <v>99000.0</v>
      </c>
      <c r="E49" s="193"/>
      <c r="F49" s="387"/>
      <c r="G49" s="348"/>
      <c r="H49" s="12"/>
      <c r="I49" s="7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117" t="s">
        <v>421</v>
      </c>
      <c r="B50" s="86" t="s">
        <v>422</v>
      </c>
      <c r="C50" s="160">
        <v>1379000.0</v>
      </c>
      <c r="D50" s="388">
        <v>690000.0</v>
      </c>
      <c r="E50" s="191"/>
      <c r="F50" s="389"/>
      <c r="G50" s="353"/>
      <c r="H50" s="390"/>
      <c r="I50" s="35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25"/>
      <c r="B51" s="86" t="s">
        <v>423</v>
      </c>
      <c r="C51" s="160">
        <v>1779000.0</v>
      </c>
      <c r="D51" s="388">
        <v>890000.0</v>
      </c>
      <c r="E51" s="193"/>
      <c r="F51" s="391"/>
      <c r="G51" s="341"/>
      <c r="H51" s="26"/>
      <c r="I51" s="35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6.5" customHeight="1">
      <c r="A52" s="25"/>
      <c r="B52" s="86" t="s">
        <v>424</v>
      </c>
      <c r="C52" s="160">
        <v>2379000.0</v>
      </c>
      <c r="D52" s="388">
        <v>1190000.0</v>
      </c>
      <c r="E52" s="193"/>
      <c r="F52" s="391"/>
      <c r="G52" s="341"/>
      <c r="H52" s="26"/>
      <c r="I52" s="35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25"/>
      <c r="B53" s="86" t="s">
        <v>425</v>
      </c>
      <c r="C53" s="160">
        <v>2979000.0</v>
      </c>
      <c r="D53" s="388">
        <v>1490000.0</v>
      </c>
      <c r="E53" s="193"/>
      <c r="F53" s="391"/>
      <c r="G53" s="341"/>
      <c r="H53" s="26"/>
      <c r="I53" s="35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25"/>
      <c r="B54" s="86" t="s">
        <v>426</v>
      </c>
      <c r="C54" s="160">
        <v>199000.0</v>
      </c>
      <c r="D54" s="388">
        <v>100000.0</v>
      </c>
      <c r="E54" s="193"/>
      <c r="F54" s="391"/>
      <c r="G54" s="341"/>
      <c r="H54" s="26"/>
      <c r="I54" s="35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6.5" customHeight="1">
      <c r="A55" s="25"/>
      <c r="B55" s="86" t="s">
        <v>427</v>
      </c>
      <c r="C55" s="160">
        <v>299000.0</v>
      </c>
      <c r="D55" s="388">
        <v>150000.0</v>
      </c>
      <c r="E55" s="193"/>
      <c r="F55" s="391"/>
      <c r="G55" s="341"/>
      <c r="H55" s="26"/>
      <c r="I55" s="35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25"/>
      <c r="B56" s="86" t="s">
        <v>428</v>
      </c>
      <c r="C56" s="160">
        <v>399000.0</v>
      </c>
      <c r="D56" s="388">
        <v>200000.0</v>
      </c>
      <c r="E56" s="193"/>
      <c r="F56" s="391"/>
      <c r="G56" s="341"/>
      <c r="H56" s="26"/>
      <c r="I56" s="35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25"/>
      <c r="B57" s="86" t="s">
        <v>429</v>
      </c>
      <c r="C57" s="160">
        <v>359000.0</v>
      </c>
      <c r="D57" s="388">
        <v>180000.0</v>
      </c>
      <c r="E57" s="193"/>
      <c r="F57" s="391"/>
      <c r="G57" s="341"/>
      <c r="H57" s="26"/>
      <c r="I57" s="35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6.5" customHeight="1">
      <c r="A58" s="25"/>
      <c r="B58" s="86" t="s">
        <v>430</v>
      </c>
      <c r="C58" s="160">
        <v>399000.0</v>
      </c>
      <c r="D58" s="388">
        <v>200000.0</v>
      </c>
      <c r="E58" s="193"/>
      <c r="F58" s="391"/>
      <c r="G58" s="341"/>
      <c r="H58" s="26"/>
      <c r="I58" s="35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11"/>
      <c r="B59" s="392" t="s">
        <v>431</v>
      </c>
      <c r="C59" s="160">
        <v>799000.0</v>
      </c>
      <c r="D59" s="388">
        <v>400000.0</v>
      </c>
      <c r="E59" s="193"/>
      <c r="F59" s="393"/>
      <c r="G59" s="348"/>
      <c r="H59" s="26"/>
      <c r="I59" s="35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77" t="s">
        <v>432</v>
      </c>
      <c r="B60" s="394" t="s">
        <v>433</v>
      </c>
      <c r="C60" s="395">
        <v>2779000.0</v>
      </c>
      <c r="D60" s="396">
        <v>1390000.0</v>
      </c>
      <c r="E60" s="191"/>
      <c r="F60" s="397"/>
      <c r="G60" s="398"/>
      <c r="H60" s="399"/>
      <c r="I60" s="35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6.5" customHeight="1">
      <c r="A61" s="25"/>
      <c r="B61" s="400" t="s">
        <v>434</v>
      </c>
      <c r="C61" s="401">
        <v>4799000.0</v>
      </c>
      <c r="D61" s="402">
        <v>2400000.0</v>
      </c>
      <c r="E61" s="193"/>
      <c r="F61" s="397"/>
      <c r="G61" s="341"/>
      <c r="H61" s="25"/>
      <c r="I61" s="35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11"/>
      <c r="B62" s="403" t="s">
        <v>435</v>
      </c>
      <c r="C62" s="404">
        <v>7979000.0</v>
      </c>
      <c r="D62" s="79">
        <v>3990000.0</v>
      </c>
      <c r="E62" s="197"/>
      <c r="F62" s="405"/>
      <c r="G62" s="406"/>
      <c r="H62" s="11"/>
      <c r="I62" s="35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52" t="s">
        <v>436</v>
      </c>
      <c r="B63" s="2"/>
      <c r="C63" s="2"/>
      <c r="D63" s="2"/>
      <c r="E63" s="2"/>
      <c r="F63" s="2"/>
      <c r="G63" s="2"/>
      <c r="H63" s="2"/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6.5" customHeight="1">
      <c r="A64" s="10"/>
      <c r="I64" s="14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10"/>
      <c r="I65" s="14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10"/>
      <c r="I66" s="1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6.5" customHeight="1">
      <c r="A67" s="58"/>
      <c r="B67" s="82"/>
      <c r="C67" s="82"/>
      <c r="D67" s="82"/>
      <c r="E67" s="82"/>
      <c r="F67" s="82"/>
      <c r="G67" s="82"/>
      <c r="H67" s="82"/>
      <c r="I67" s="8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8"/>
      <c r="B68" s="407"/>
      <c r="C68" s="8"/>
      <c r="D68" s="8"/>
      <c r="E68" s="8"/>
      <c r="F68" s="216"/>
      <c r="G68" s="216"/>
      <c r="H68" s="21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8"/>
      <c r="B69" s="407"/>
      <c r="C69" s="8"/>
      <c r="D69" s="8"/>
      <c r="E69" s="8"/>
      <c r="F69" s="216"/>
      <c r="G69" s="216"/>
      <c r="H69" s="21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6.5" customHeight="1">
      <c r="A70" s="8"/>
      <c r="B70" s="407"/>
      <c r="C70" s="8"/>
      <c r="D70" s="8"/>
      <c r="E70" s="8"/>
      <c r="F70" s="216"/>
      <c r="G70" s="216"/>
      <c r="H70" s="21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6.5" customHeight="1">
      <c r="A71" s="8"/>
      <c r="B71" s="407"/>
      <c r="C71" s="8"/>
      <c r="D71" s="8"/>
      <c r="E71" s="8"/>
      <c r="F71" s="216"/>
      <c r="G71" s="216"/>
      <c r="H71" s="21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8"/>
      <c r="B72" s="407"/>
      <c r="C72" s="8"/>
      <c r="D72" s="8"/>
      <c r="E72" s="8"/>
      <c r="F72" s="216"/>
      <c r="G72" s="216"/>
      <c r="H72" s="21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8"/>
      <c r="B73" s="407"/>
      <c r="C73" s="8"/>
      <c r="D73" s="8"/>
      <c r="E73" s="8"/>
      <c r="F73" s="216"/>
      <c r="G73" s="216"/>
      <c r="H73" s="21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8"/>
      <c r="B74" s="407"/>
      <c r="C74" s="8"/>
      <c r="D74" s="8"/>
      <c r="E74" s="8"/>
      <c r="F74" s="216"/>
      <c r="G74" s="216"/>
      <c r="H74" s="21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8"/>
      <c r="B75" s="407"/>
      <c r="C75" s="8"/>
      <c r="D75" s="8"/>
      <c r="E75" s="8"/>
      <c r="F75" s="216"/>
      <c r="G75" s="216"/>
      <c r="H75" s="21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8"/>
      <c r="B76" s="407"/>
      <c r="C76" s="8"/>
      <c r="D76" s="8"/>
      <c r="E76" s="8"/>
      <c r="F76" s="216"/>
      <c r="G76" s="216"/>
      <c r="H76" s="21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8"/>
      <c r="B77" s="407"/>
      <c r="C77" s="8"/>
      <c r="D77" s="8"/>
      <c r="E77" s="8"/>
      <c r="F77" s="216"/>
      <c r="G77" s="216"/>
      <c r="H77" s="21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8"/>
      <c r="B78" s="407"/>
      <c r="C78" s="8"/>
      <c r="D78" s="8"/>
      <c r="E78" s="8"/>
      <c r="F78" s="216"/>
      <c r="G78" s="216"/>
      <c r="H78" s="21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8"/>
      <c r="B79" s="407"/>
      <c r="C79" s="8"/>
      <c r="D79" s="8"/>
      <c r="E79" s="8"/>
      <c r="F79" s="216"/>
      <c r="G79" s="216"/>
      <c r="H79" s="21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8"/>
      <c r="B80" s="407"/>
      <c r="C80" s="8"/>
      <c r="D80" s="8"/>
      <c r="E80" s="8"/>
      <c r="F80" s="216"/>
      <c r="G80" s="216"/>
      <c r="H80" s="21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8"/>
      <c r="B81" s="407"/>
      <c r="C81" s="8"/>
      <c r="D81" s="8"/>
      <c r="E81" s="8"/>
      <c r="F81" s="216"/>
      <c r="G81" s="216"/>
      <c r="H81" s="21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8"/>
      <c r="B82" s="407"/>
      <c r="C82" s="8"/>
      <c r="D82" s="8"/>
      <c r="E82" s="8"/>
      <c r="F82" s="216"/>
      <c r="G82" s="216"/>
      <c r="H82" s="21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8"/>
      <c r="B83" s="407"/>
      <c r="C83" s="8"/>
      <c r="D83" s="8"/>
      <c r="E83" s="8"/>
      <c r="F83" s="216"/>
      <c r="G83" s="216"/>
      <c r="H83" s="21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8"/>
      <c r="B84" s="407"/>
      <c r="C84" s="8"/>
      <c r="D84" s="8"/>
      <c r="E84" s="8"/>
      <c r="F84" s="216"/>
      <c r="G84" s="216"/>
      <c r="H84" s="21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8"/>
      <c r="B85" s="407"/>
      <c r="C85" s="8"/>
      <c r="D85" s="8"/>
      <c r="E85" s="8"/>
      <c r="F85" s="216"/>
      <c r="G85" s="216"/>
      <c r="H85" s="21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8"/>
      <c r="B86" s="407"/>
      <c r="C86" s="8"/>
      <c r="D86" s="8"/>
      <c r="E86" s="8"/>
      <c r="F86" s="216"/>
      <c r="G86" s="216"/>
      <c r="H86" s="21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8"/>
      <c r="B87" s="407"/>
      <c r="C87" s="8"/>
      <c r="D87" s="8"/>
      <c r="E87" s="8"/>
      <c r="F87" s="216"/>
      <c r="G87" s="216"/>
      <c r="H87" s="21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8"/>
      <c r="B88" s="407"/>
      <c r="C88" s="8"/>
      <c r="D88" s="8"/>
      <c r="E88" s="8"/>
      <c r="F88" s="216"/>
      <c r="G88" s="216"/>
      <c r="H88" s="21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8"/>
      <c r="B89" s="407"/>
      <c r="C89" s="8"/>
      <c r="D89" s="8"/>
      <c r="E89" s="8"/>
      <c r="F89" s="216"/>
      <c r="G89" s="216"/>
      <c r="H89" s="21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8"/>
      <c r="B90" s="407"/>
      <c r="C90" s="8"/>
      <c r="D90" s="8"/>
      <c r="E90" s="8"/>
      <c r="F90" s="216"/>
      <c r="G90" s="216"/>
      <c r="H90" s="21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6.5" customHeight="1">
      <c r="A91" s="8"/>
      <c r="B91" s="407"/>
      <c r="C91" s="8"/>
      <c r="D91" s="8"/>
      <c r="E91" s="8"/>
      <c r="F91" s="216"/>
      <c r="G91" s="216"/>
      <c r="H91" s="21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6.5" customHeight="1">
      <c r="A92" s="8"/>
      <c r="B92" s="407"/>
      <c r="C92" s="8"/>
      <c r="D92" s="8"/>
      <c r="E92" s="8"/>
      <c r="F92" s="216"/>
      <c r="G92" s="216"/>
      <c r="H92" s="21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6.5" customHeight="1">
      <c r="A93" s="8"/>
      <c r="B93" s="407"/>
      <c r="C93" s="8"/>
      <c r="D93" s="8"/>
      <c r="E93" s="8"/>
      <c r="F93" s="216"/>
      <c r="G93" s="216"/>
      <c r="H93" s="21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6.5" customHeight="1">
      <c r="A94" s="8"/>
      <c r="B94" s="407"/>
      <c r="C94" s="8"/>
      <c r="D94" s="8"/>
      <c r="E94" s="8"/>
      <c r="F94" s="216"/>
      <c r="G94" s="216"/>
      <c r="H94" s="21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6.5" customHeight="1">
      <c r="A95" s="8"/>
      <c r="B95" s="407"/>
      <c r="C95" s="8"/>
      <c r="D95" s="8"/>
      <c r="E95" s="8"/>
      <c r="F95" s="216"/>
      <c r="G95" s="216"/>
      <c r="H95" s="21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6.5" customHeight="1">
      <c r="A96" s="8"/>
      <c r="B96" s="407"/>
      <c r="C96" s="8"/>
      <c r="D96" s="8"/>
      <c r="E96" s="8"/>
      <c r="F96" s="216"/>
      <c r="G96" s="216"/>
      <c r="H96" s="21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6.5" customHeight="1">
      <c r="A97" s="8"/>
      <c r="B97" s="407"/>
      <c r="C97" s="8"/>
      <c r="D97" s="8"/>
      <c r="E97" s="8"/>
      <c r="F97" s="216"/>
      <c r="G97" s="216"/>
      <c r="H97" s="21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6.5" customHeight="1">
      <c r="A98" s="8"/>
      <c r="B98" s="407"/>
      <c r="C98" s="8"/>
      <c r="D98" s="8"/>
      <c r="E98" s="8"/>
      <c r="F98" s="216"/>
      <c r="G98" s="216"/>
      <c r="H98" s="21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6.5" customHeight="1">
      <c r="A99" s="8"/>
      <c r="B99" s="407"/>
      <c r="C99" s="8"/>
      <c r="D99" s="8"/>
      <c r="E99" s="8"/>
      <c r="F99" s="216"/>
      <c r="G99" s="216"/>
      <c r="H99" s="21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6.5" customHeight="1">
      <c r="A100" s="8"/>
      <c r="B100" s="407"/>
      <c r="C100" s="8"/>
      <c r="D100" s="8"/>
      <c r="E100" s="8"/>
      <c r="F100" s="216"/>
      <c r="G100" s="216"/>
      <c r="H100" s="21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6.5" customHeight="1">
      <c r="A101" s="8"/>
      <c r="B101" s="407"/>
      <c r="C101" s="8"/>
      <c r="D101" s="8"/>
      <c r="E101" s="8"/>
      <c r="F101" s="216"/>
      <c r="G101" s="216"/>
      <c r="H101" s="21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6.5" customHeight="1">
      <c r="A102" s="8"/>
      <c r="B102" s="407"/>
      <c r="C102" s="8"/>
      <c r="D102" s="8"/>
      <c r="E102" s="8"/>
      <c r="F102" s="216"/>
      <c r="G102" s="216"/>
      <c r="H102" s="21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6.5" customHeight="1">
      <c r="A103" s="8"/>
      <c r="B103" s="407"/>
      <c r="C103" s="8"/>
      <c r="D103" s="8"/>
      <c r="E103" s="8"/>
      <c r="F103" s="216"/>
      <c r="G103" s="216"/>
      <c r="H103" s="21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6.5" customHeight="1">
      <c r="A104" s="8"/>
      <c r="B104" s="407"/>
      <c r="C104" s="8"/>
      <c r="D104" s="8"/>
      <c r="E104" s="8"/>
      <c r="F104" s="216"/>
      <c r="G104" s="216"/>
      <c r="H104" s="21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6.5" customHeight="1">
      <c r="A105" s="8"/>
      <c r="B105" s="407"/>
      <c r="C105" s="8"/>
      <c r="D105" s="8"/>
      <c r="E105" s="8"/>
      <c r="F105" s="216"/>
      <c r="G105" s="216"/>
      <c r="H105" s="21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6.5" customHeight="1">
      <c r="A106" s="8"/>
      <c r="B106" s="407"/>
      <c r="C106" s="8"/>
      <c r="D106" s="8"/>
      <c r="E106" s="8"/>
      <c r="F106" s="216"/>
      <c r="G106" s="216"/>
      <c r="H106" s="21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6.5" customHeight="1">
      <c r="A107" s="8"/>
      <c r="B107" s="407"/>
      <c r="C107" s="8"/>
      <c r="D107" s="8"/>
      <c r="E107" s="8"/>
      <c r="F107" s="216"/>
      <c r="G107" s="216"/>
      <c r="H107" s="21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6.5" customHeight="1">
      <c r="A108" s="8"/>
      <c r="B108" s="407"/>
      <c r="C108" s="8"/>
      <c r="D108" s="8"/>
      <c r="E108" s="8"/>
      <c r="F108" s="216"/>
      <c r="G108" s="216"/>
      <c r="H108" s="21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6.5" customHeight="1">
      <c r="A109" s="8"/>
      <c r="B109" s="407"/>
      <c r="C109" s="8"/>
      <c r="D109" s="8"/>
      <c r="E109" s="8"/>
      <c r="F109" s="216"/>
      <c r="G109" s="216"/>
      <c r="H109" s="21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6.5" customHeight="1">
      <c r="A110" s="8"/>
      <c r="B110" s="407"/>
      <c r="C110" s="8"/>
      <c r="D110" s="8"/>
      <c r="E110" s="8"/>
      <c r="F110" s="216"/>
      <c r="G110" s="216"/>
      <c r="H110" s="21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6.5" customHeight="1">
      <c r="A111" s="8"/>
      <c r="B111" s="407"/>
      <c r="C111" s="8"/>
      <c r="D111" s="8"/>
      <c r="E111" s="8"/>
      <c r="F111" s="216"/>
      <c r="G111" s="216"/>
      <c r="H111" s="21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6.5" customHeight="1">
      <c r="A112" s="8"/>
      <c r="B112" s="407"/>
      <c r="C112" s="8"/>
      <c r="D112" s="8"/>
      <c r="E112" s="8"/>
      <c r="F112" s="216"/>
      <c r="G112" s="216"/>
      <c r="H112" s="21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6.5" customHeight="1">
      <c r="A113" s="8"/>
      <c r="B113" s="407"/>
      <c r="C113" s="8"/>
      <c r="D113" s="8"/>
      <c r="E113" s="8"/>
      <c r="F113" s="216"/>
      <c r="G113" s="216"/>
      <c r="H113" s="21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6.5" customHeight="1">
      <c r="A114" s="8"/>
      <c r="B114" s="407"/>
      <c r="C114" s="8"/>
      <c r="D114" s="8"/>
      <c r="E114" s="8"/>
      <c r="F114" s="216"/>
      <c r="G114" s="216"/>
      <c r="H114" s="216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6.5" customHeight="1">
      <c r="A115" s="8"/>
      <c r="B115" s="407"/>
      <c r="C115" s="8"/>
      <c r="D115" s="8"/>
      <c r="E115" s="8"/>
      <c r="F115" s="216"/>
      <c r="G115" s="216"/>
      <c r="H115" s="21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6.5" customHeight="1">
      <c r="A116" s="8"/>
      <c r="B116" s="407"/>
      <c r="C116" s="8"/>
      <c r="D116" s="8"/>
      <c r="E116" s="8"/>
      <c r="F116" s="216"/>
      <c r="G116" s="216"/>
      <c r="H116" s="21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6.5" customHeight="1">
      <c r="A117" s="8"/>
      <c r="B117" s="407"/>
      <c r="C117" s="8"/>
      <c r="D117" s="8"/>
      <c r="E117" s="8"/>
      <c r="F117" s="216"/>
      <c r="G117" s="216"/>
      <c r="H117" s="21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6.5" customHeight="1">
      <c r="A118" s="8"/>
      <c r="B118" s="407"/>
      <c r="C118" s="8"/>
      <c r="D118" s="8"/>
      <c r="E118" s="8"/>
      <c r="F118" s="216"/>
      <c r="G118" s="216"/>
      <c r="H118" s="21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6.5" customHeight="1">
      <c r="A119" s="8"/>
      <c r="B119" s="407"/>
      <c r="C119" s="8"/>
      <c r="D119" s="8"/>
      <c r="E119" s="8"/>
      <c r="F119" s="216"/>
      <c r="G119" s="216"/>
      <c r="H119" s="21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6.5" customHeight="1">
      <c r="A120" s="8"/>
      <c r="B120" s="407"/>
      <c r="C120" s="8"/>
      <c r="D120" s="8"/>
      <c r="E120" s="8"/>
      <c r="F120" s="216"/>
      <c r="G120" s="216"/>
      <c r="H120" s="21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6.5" customHeight="1">
      <c r="A121" s="8"/>
      <c r="B121" s="407"/>
      <c r="C121" s="8"/>
      <c r="D121" s="8"/>
      <c r="E121" s="8"/>
      <c r="F121" s="216"/>
      <c r="G121" s="216"/>
      <c r="H121" s="21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6.5" customHeight="1">
      <c r="A122" s="8"/>
      <c r="B122" s="407"/>
      <c r="C122" s="8"/>
      <c r="D122" s="8"/>
      <c r="E122" s="8"/>
      <c r="F122" s="216"/>
      <c r="G122" s="216"/>
      <c r="H122" s="21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6.5" customHeight="1">
      <c r="A123" s="8"/>
      <c r="B123" s="407"/>
      <c r="C123" s="8"/>
      <c r="D123" s="8"/>
      <c r="E123" s="8"/>
      <c r="F123" s="216"/>
      <c r="G123" s="216"/>
      <c r="H123" s="21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6.5" customHeight="1">
      <c r="A124" s="8"/>
      <c r="B124" s="407"/>
      <c r="C124" s="8"/>
      <c r="D124" s="8"/>
      <c r="E124" s="8"/>
      <c r="F124" s="216"/>
      <c r="G124" s="216"/>
      <c r="H124" s="21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6.5" customHeight="1">
      <c r="A125" s="8"/>
      <c r="B125" s="407"/>
      <c r="C125" s="8"/>
      <c r="D125" s="8"/>
      <c r="E125" s="8"/>
      <c r="F125" s="216"/>
      <c r="G125" s="216"/>
      <c r="H125" s="21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6.5" customHeight="1">
      <c r="A126" s="8"/>
      <c r="B126" s="407"/>
      <c r="C126" s="8"/>
      <c r="D126" s="8"/>
      <c r="E126" s="8"/>
      <c r="F126" s="216"/>
      <c r="G126" s="216"/>
      <c r="H126" s="21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6.5" customHeight="1">
      <c r="A127" s="8"/>
      <c r="B127" s="407"/>
      <c r="C127" s="8"/>
      <c r="D127" s="8"/>
      <c r="E127" s="8"/>
      <c r="F127" s="216"/>
      <c r="G127" s="216"/>
      <c r="H127" s="21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6.5" customHeight="1">
      <c r="A128" s="8"/>
      <c r="B128" s="407"/>
      <c r="C128" s="8"/>
      <c r="D128" s="8"/>
      <c r="E128" s="8"/>
      <c r="F128" s="216"/>
      <c r="G128" s="216"/>
      <c r="H128" s="21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6.5" customHeight="1">
      <c r="A129" s="8"/>
      <c r="B129" s="407"/>
      <c r="C129" s="8"/>
      <c r="D129" s="8"/>
      <c r="E129" s="8"/>
      <c r="F129" s="216"/>
      <c r="G129" s="216"/>
      <c r="H129" s="21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6.5" customHeight="1">
      <c r="A130" s="8"/>
      <c r="B130" s="407"/>
      <c r="C130" s="8"/>
      <c r="D130" s="8"/>
      <c r="E130" s="8"/>
      <c r="F130" s="216"/>
      <c r="G130" s="216"/>
      <c r="H130" s="21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6.5" customHeight="1">
      <c r="A131" s="8"/>
      <c r="B131" s="407"/>
      <c r="C131" s="8"/>
      <c r="D131" s="8"/>
      <c r="E131" s="8"/>
      <c r="F131" s="216"/>
      <c r="G131" s="216"/>
      <c r="H131" s="21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6.5" customHeight="1">
      <c r="A132" s="8"/>
      <c r="B132" s="407"/>
      <c r="C132" s="8"/>
      <c r="D132" s="8"/>
      <c r="E132" s="8"/>
      <c r="F132" s="216"/>
      <c r="G132" s="216"/>
      <c r="H132" s="21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6.5" customHeight="1">
      <c r="A133" s="8"/>
      <c r="B133" s="407"/>
      <c r="C133" s="8"/>
      <c r="D133" s="8"/>
      <c r="E133" s="8"/>
      <c r="F133" s="216"/>
      <c r="G133" s="216"/>
      <c r="H133" s="21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6.5" customHeight="1">
      <c r="A134" s="8"/>
      <c r="B134" s="407"/>
      <c r="C134" s="8"/>
      <c r="D134" s="8"/>
      <c r="E134" s="8"/>
      <c r="F134" s="216"/>
      <c r="G134" s="216"/>
      <c r="H134" s="21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6.5" customHeight="1">
      <c r="A135" s="8"/>
      <c r="B135" s="407"/>
      <c r="C135" s="8"/>
      <c r="D135" s="8"/>
      <c r="E135" s="8"/>
      <c r="F135" s="216"/>
      <c r="G135" s="216"/>
      <c r="H135" s="21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6.5" customHeight="1">
      <c r="A136" s="8"/>
      <c r="B136" s="407"/>
      <c r="C136" s="8"/>
      <c r="D136" s="8"/>
      <c r="E136" s="8"/>
      <c r="F136" s="216"/>
      <c r="G136" s="216"/>
      <c r="H136" s="21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6.5" customHeight="1">
      <c r="A137" s="8"/>
      <c r="B137" s="407"/>
      <c r="C137" s="8"/>
      <c r="D137" s="8"/>
      <c r="E137" s="8"/>
      <c r="F137" s="216"/>
      <c r="G137" s="216"/>
      <c r="H137" s="21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6.5" customHeight="1">
      <c r="A138" s="8"/>
      <c r="B138" s="407"/>
      <c r="C138" s="8"/>
      <c r="D138" s="8"/>
      <c r="E138" s="8"/>
      <c r="F138" s="216"/>
      <c r="G138" s="216"/>
      <c r="H138" s="21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6.5" customHeight="1">
      <c r="A139" s="8"/>
      <c r="B139" s="407"/>
      <c r="C139" s="8"/>
      <c r="D139" s="8"/>
      <c r="E139" s="8"/>
      <c r="F139" s="216"/>
      <c r="G139" s="216"/>
      <c r="H139" s="21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6.5" customHeight="1">
      <c r="A140" s="8"/>
      <c r="B140" s="407"/>
      <c r="C140" s="8"/>
      <c r="D140" s="8"/>
      <c r="E140" s="8"/>
      <c r="F140" s="216"/>
      <c r="G140" s="216"/>
      <c r="H140" s="21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6.5" customHeight="1">
      <c r="A141" s="8"/>
      <c r="B141" s="407"/>
      <c r="C141" s="8"/>
      <c r="D141" s="8"/>
      <c r="E141" s="8"/>
      <c r="F141" s="216"/>
      <c r="G141" s="216"/>
      <c r="H141" s="21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6.5" customHeight="1">
      <c r="A142" s="8"/>
      <c r="B142" s="407"/>
      <c r="C142" s="8"/>
      <c r="D142" s="8"/>
      <c r="E142" s="8"/>
      <c r="F142" s="216"/>
      <c r="G142" s="216"/>
      <c r="H142" s="21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6.5" customHeight="1">
      <c r="A143" s="8"/>
      <c r="B143" s="407"/>
      <c r="C143" s="8"/>
      <c r="D143" s="8"/>
      <c r="E143" s="8"/>
      <c r="F143" s="216"/>
      <c r="G143" s="216"/>
      <c r="H143" s="21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6.5" customHeight="1">
      <c r="A144" s="8"/>
      <c r="B144" s="407"/>
      <c r="C144" s="8"/>
      <c r="D144" s="8"/>
      <c r="E144" s="8"/>
      <c r="F144" s="216"/>
      <c r="G144" s="216"/>
      <c r="H144" s="21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6.5" customHeight="1">
      <c r="A145" s="8"/>
      <c r="B145" s="407"/>
      <c r="C145" s="8"/>
      <c r="D145" s="8"/>
      <c r="E145" s="8"/>
      <c r="F145" s="216"/>
      <c r="G145" s="216"/>
      <c r="H145" s="21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6.5" customHeight="1">
      <c r="A146" s="8"/>
      <c r="B146" s="407"/>
      <c r="C146" s="8"/>
      <c r="D146" s="8"/>
      <c r="E146" s="8"/>
      <c r="F146" s="216"/>
      <c r="G146" s="216"/>
      <c r="H146" s="21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6.5" customHeight="1">
      <c r="A147" s="8"/>
      <c r="B147" s="407"/>
      <c r="C147" s="8"/>
      <c r="D147" s="8"/>
      <c r="E147" s="8"/>
      <c r="F147" s="216"/>
      <c r="G147" s="216"/>
      <c r="H147" s="21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6.5" customHeight="1">
      <c r="A148" s="8"/>
      <c r="B148" s="407"/>
      <c r="C148" s="8"/>
      <c r="D148" s="8"/>
      <c r="E148" s="8"/>
      <c r="F148" s="216"/>
      <c r="G148" s="216"/>
      <c r="H148" s="21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6.5" customHeight="1">
      <c r="A149" s="8"/>
      <c r="B149" s="407"/>
      <c r="C149" s="8"/>
      <c r="D149" s="8"/>
      <c r="E149" s="8"/>
      <c r="F149" s="216"/>
      <c r="G149" s="216"/>
      <c r="H149" s="21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6.5" customHeight="1">
      <c r="A150" s="8"/>
      <c r="B150" s="407"/>
      <c r="C150" s="8"/>
      <c r="D150" s="8"/>
      <c r="E150" s="8"/>
      <c r="F150" s="216"/>
      <c r="G150" s="216"/>
      <c r="H150" s="21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6.5" customHeight="1">
      <c r="A151" s="8"/>
      <c r="B151" s="407"/>
      <c r="C151" s="8"/>
      <c r="D151" s="8"/>
      <c r="E151" s="8"/>
      <c r="F151" s="216"/>
      <c r="G151" s="216"/>
      <c r="H151" s="21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6.5" customHeight="1">
      <c r="A152" s="8"/>
      <c r="B152" s="407"/>
      <c r="C152" s="8"/>
      <c r="D152" s="8"/>
      <c r="E152" s="8"/>
      <c r="F152" s="216"/>
      <c r="G152" s="216"/>
      <c r="H152" s="21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6.5" customHeight="1">
      <c r="A153" s="8"/>
      <c r="B153" s="407"/>
      <c r="C153" s="8"/>
      <c r="D153" s="8"/>
      <c r="E153" s="8"/>
      <c r="F153" s="216"/>
      <c r="G153" s="216"/>
      <c r="H153" s="21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6.5" customHeight="1">
      <c r="A154" s="8"/>
      <c r="B154" s="407"/>
      <c r="C154" s="8"/>
      <c r="D154" s="8"/>
      <c r="E154" s="8"/>
      <c r="F154" s="216"/>
      <c r="G154" s="216"/>
      <c r="H154" s="21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6.5" customHeight="1">
      <c r="A155" s="8"/>
      <c r="B155" s="407"/>
      <c r="C155" s="8"/>
      <c r="D155" s="8"/>
      <c r="E155" s="8"/>
      <c r="F155" s="216"/>
      <c r="G155" s="216"/>
      <c r="H155" s="21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6.5" customHeight="1">
      <c r="A156" s="8"/>
      <c r="B156" s="407"/>
      <c r="C156" s="8"/>
      <c r="D156" s="8"/>
      <c r="E156" s="8"/>
      <c r="F156" s="216"/>
      <c r="G156" s="216"/>
      <c r="H156" s="21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6.5" customHeight="1">
      <c r="A157" s="8"/>
      <c r="B157" s="407"/>
      <c r="C157" s="8"/>
      <c r="D157" s="8"/>
      <c r="E157" s="8"/>
      <c r="F157" s="216"/>
      <c r="G157" s="216"/>
      <c r="H157" s="21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6.5" customHeight="1">
      <c r="A158" s="8"/>
      <c r="B158" s="407"/>
      <c r="C158" s="8"/>
      <c r="D158" s="8"/>
      <c r="E158" s="8"/>
      <c r="F158" s="216"/>
      <c r="G158" s="216"/>
      <c r="H158" s="21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6.5" customHeight="1">
      <c r="A159" s="8"/>
      <c r="B159" s="407"/>
      <c r="C159" s="8"/>
      <c r="D159" s="8"/>
      <c r="E159" s="8"/>
      <c r="F159" s="216"/>
      <c r="G159" s="216"/>
      <c r="H159" s="21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6.5" customHeight="1">
      <c r="A160" s="8"/>
      <c r="B160" s="407"/>
      <c r="C160" s="8"/>
      <c r="D160" s="8"/>
      <c r="E160" s="8"/>
      <c r="F160" s="216"/>
      <c r="G160" s="216"/>
      <c r="H160" s="21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6.5" customHeight="1">
      <c r="A161" s="8"/>
      <c r="B161" s="407"/>
      <c r="C161" s="8"/>
      <c r="D161" s="8"/>
      <c r="E161" s="8"/>
      <c r="F161" s="216"/>
      <c r="G161" s="216"/>
      <c r="H161" s="21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6.5" customHeight="1">
      <c r="A162" s="8"/>
      <c r="B162" s="407"/>
      <c r="C162" s="8"/>
      <c r="D162" s="8"/>
      <c r="E162" s="8"/>
      <c r="F162" s="216"/>
      <c r="G162" s="216"/>
      <c r="H162" s="21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6.5" customHeight="1">
      <c r="A163" s="8"/>
      <c r="B163" s="407"/>
      <c r="C163" s="8"/>
      <c r="D163" s="8"/>
      <c r="E163" s="8"/>
      <c r="F163" s="216"/>
      <c r="G163" s="216"/>
      <c r="H163" s="21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6.5" customHeight="1">
      <c r="A164" s="8"/>
      <c r="B164" s="407"/>
      <c r="C164" s="8"/>
      <c r="D164" s="8"/>
      <c r="E164" s="8"/>
      <c r="F164" s="216"/>
      <c r="G164" s="216"/>
      <c r="H164" s="21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6.5" customHeight="1">
      <c r="A165" s="8"/>
      <c r="B165" s="407"/>
      <c r="C165" s="8"/>
      <c r="D165" s="8"/>
      <c r="E165" s="8"/>
      <c r="F165" s="216"/>
      <c r="G165" s="216"/>
      <c r="H165" s="21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6.5" customHeight="1">
      <c r="A166" s="8"/>
      <c r="B166" s="407"/>
      <c r="C166" s="8"/>
      <c r="D166" s="8"/>
      <c r="E166" s="8"/>
      <c r="F166" s="216"/>
      <c r="G166" s="216"/>
      <c r="H166" s="21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6.5" customHeight="1">
      <c r="A167" s="8"/>
      <c r="B167" s="407"/>
      <c r="C167" s="8"/>
      <c r="D167" s="8"/>
      <c r="E167" s="8"/>
      <c r="F167" s="216"/>
      <c r="G167" s="216"/>
      <c r="H167" s="21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6.5" customHeight="1">
      <c r="A168" s="8"/>
      <c r="B168" s="407"/>
      <c r="C168" s="8"/>
      <c r="D168" s="8"/>
      <c r="E168" s="8"/>
      <c r="F168" s="216"/>
      <c r="G168" s="216"/>
      <c r="H168" s="21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6.5" customHeight="1">
      <c r="A169" s="8"/>
      <c r="B169" s="407"/>
      <c r="C169" s="8"/>
      <c r="D169" s="8"/>
      <c r="E169" s="8"/>
      <c r="F169" s="216"/>
      <c r="G169" s="216"/>
      <c r="H169" s="21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6.5" customHeight="1">
      <c r="A170" s="8"/>
      <c r="B170" s="407"/>
      <c r="C170" s="8"/>
      <c r="D170" s="8"/>
      <c r="E170" s="8"/>
      <c r="F170" s="216"/>
      <c r="G170" s="216"/>
      <c r="H170" s="21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6.5" customHeight="1">
      <c r="A171" s="8"/>
      <c r="B171" s="407"/>
      <c r="C171" s="8"/>
      <c r="D171" s="8"/>
      <c r="E171" s="8"/>
      <c r="F171" s="216"/>
      <c r="G171" s="216"/>
      <c r="H171" s="21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6.5" customHeight="1">
      <c r="A172" s="8"/>
      <c r="B172" s="407"/>
      <c r="C172" s="8"/>
      <c r="D172" s="8"/>
      <c r="E172" s="8"/>
      <c r="F172" s="216"/>
      <c r="G172" s="216"/>
      <c r="H172" s="21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6.5" customHeight="1">
      <c r="A173" s="8"/>
      <c r="B173" s="407"/>
      <c r="C173" s="8"/>
      <c r="D173" s="8"/>
      <c r="E173" s="8"/>
      <c r="F173" s="216"/>
      <c r="G173" s="216"/>
      <c r="H173" s="21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6.5" customHeight="1">
      <c r="A174" s="8"/>
      <c r="B174" s="407"/>
      <c r="C174" s="8"/>
      <c r="D174" s="8"/>
      <c r="E174" s="8"/>
      <c r="F174" s="216"/>
      <c r="G174" s="216"/>
      <c r="H174" s="21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6.5" customHeight="1">
      <c r="A175" s="8"/>
      <c r="B175" s="407"/>
      <c r="C175" s="8"/>
      <c r="D175" s="8"/>
      <c r="E175" s="8"/>
      <c r="F175" s="216"/>
      <c r="G175" s="216"/>
      <c r="H175" s="21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6.5" customHeight="1">
      <c r="A176" s="8"/>
      <c r="B176" s="407"/>
      <c r="C176" s="8"/>
      <c r="D176" s="8"/>
      <c r="E176" s="8"/>
      <c r="F176" s="216"/>
      <c r="G176" s="216"/>
      <c r="H176" s="21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6.5" customHeight="1">
      <c r="A177" s="8"/>
      <c r="B177" s="407"/>
      <c r="C177" s="8"/>
      <c r="D177" s="8"/>
      <c r="E177" s="8"/>
      <c r="F177" s="216"/>
      <c r="G177" s="216"/>
      <c r="H177" s="21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6.5" customHeight="1">
      <c r="A178" s="8"/>
      <c r="B178" s="407"/>
      <c r="C178" s="8"/>
      <c r="D178" s="8"/>
      <c r="E178" s="8"/>
      <c r="F178" s="216"/>
      <c r="G178" s="216"/>
      <c r="H178" s="21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6.5" customHeight="1">
      <c r="A179" s="8"/>
      <c r="B179" s="407"/>
      <c r="C179" s="8"/>
      <c r="D179" s="8"/>
      <c r="E179" s="8"/>
      <c r="F179" s="216"/>
      <c r="G179" s="216"/>
      <c r="H179" s="21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6.5" customHeight="1">
      <c r="A180" s="8"/>
      <c r="B180" s="407"/>
      <c r="C180" s="8"/>
      <c r="D180" s="8"/>
      <c r="E180" s="8"/>
      <c r="F180" s="216"/>
      <c r="G180" s="216"/>
      <c r="H180" s="21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6.5" customHeight="1">
      <c r="A181" s="8"/>
      <c r="B181" s="407"/>
      <c r="C181" s="8"/>
      <c r="D181" s="8"/>
      <c r="E181" s="8"/>
      <c r="F181" s="216"/>
      <c r="G181" s="216"/>
      <c r="H181" s="21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6.5" customHeight="1">
      <c r="A182" s="8"/>
      <c r="B182" s="407"/>
      <c r="C182" s="8"/>
      <c r="D182" s="8"/>
      <c r="E182" s="8"/>
      <c r="F182" s="216"/>
      <c r="G182" s="216"/>
      <c r="H182" s="21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6.5" customHeight="1">
      <c r="A183" s="8"/>
      <c r="B183" s="407"/>
      <c r="C183" s="8"/>
      <c r="D183" s="8"/>
      <c r="E183" s="8"/>
      <c r="F183" s="216"/>
      <c r="G183" s="216"/>
      <c r="H183" s="21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6.5" customHeight="1">
      <c r="A184" s="8"/>
      <c r="B184" s="407"/>
      <c r="C184" s="8"/>
      <c r="D184" s="8"/>
      <c r="E184" s="8"/>
      <c r="F184" s="216"/>
      <c r="G184" s="216"/>
      <c r="H184" s="21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6.5" customHeight="1">
      <c r="A185" s="8"/>
      <c r="B185" s="407"/>
      <c r="C185" s="8"/>
      <c r="D185" s="8"/>
      <c r="E185" s="8"/>
      <c r="F185" s="216"/>
      <c r="G185" s="216"/>
      <c r="H185" s="21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6.5" customHeight="1">
      <c r="A186" s="8"/>
      <c r="B186" s="407"/>
      <c r="C186" s="8"/>
      <c r="D186" s="8"/>
      <c r="E186" s="8"/>
      <c r="F186" s="216"/>
      <c r="G186" s="216"/>
      <c r="H186" s="21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6.5" customHeight="1">
      <c r="A187" s="8"/>
      <c r="B187" s="407"/>
      <c r="C187" s="8"/>
      <c r="D187" s="8"/>
      <c r="E187" s="8"/>
      <c r="F187" s="216"/>
      <c r="G187" s="216"/>
      <c r="H187" s="21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6.5" customHeight="1">
      <c r="A188" s="8"/>
      <c r="B188" s="407"/>
      <c r="C188" s="8"/>
      <c r="D188" s="8"/>
      <c r="E188" s="8"/>
      <c r="F188" s="216"/>
      <c r="G188" s="216"/>
      <c r="H188" s="21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6.5" customHeight="1">
      <c r="A189" s="8"/>
      <c r="B189" s="407"/>
      <c r="C189" s="8"/>
      <c r="D189" s="8"/>
      <c r="E189" s="8"/>
      <c r="F189" s="216"/>
      <c r="G189" s="216"/>
      <c r="H189" s="21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6.5" customHeight="1">
      <c r="A190" s="8"/>
      <c r="B190" s="407"/>
      <c r="C190" s="8"/>
      <c r="D190" s="8"/>
      <c r="E190" s="8"/>
      <c r="F190" s="216"/>
      <c r="G190" s="216"/>
      <c r="H190" s="21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6.5" customHeight="1">
      <c r="A191" s="8"/>
      <c r="B191" s="407"/>
      <c r="C191" s="8"/>
      <c r="D191" s="8"/>
      <c r="E191" s="8"/>
      <c r="F191" s="216"/>
      <c r="G191" s="216"/>
      <c r="H191" s="21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6.5" customHeight="1">
      <c r="A192" s="8"/>
      <c r="B192" s="407"/>
      <c r="C192" s="8"/>
      <c r="D192" s="8"/>
      <c r="E192" s="8"/>
      <c r="F192" s="216"/>
      <c r="G192" s="216"/>
      <c r="H192" s="21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6.5" customHeight="1">
      <c r="A193" s="8"/>
      <c r="B193" s="407"/>
      <c r="C193" s="8"/>
      <c r="D193" s="8"/>
      <c r="E193" s="8"/>
      <c r="F193" s="216"/>
      <c r="G193" s="216"/>
      <c r="H193" s="21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6.5" customHeight="1">
      <c r="A194" s="8"/>
      <c r="B194" s="407"/>
      <c r="C194" s="8"/>
      <c r="D194" s="8"/>
      <c r="E194" s="8"/>
      <c r="F194" s="216"/>
      <c r="G194" s="216"/>
      <c r="H194" s="21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6.5" customHeight="1">
      <c r="A195" s="8"/>
      <c r="B195" s="407"/>
      <c r="C195" s="8"/>
      <c r="D195" s="8"/>
      <c r="E195" s="8"/>
      <c r="F195" s="216"/>
      <c r="G195" s="216"/>
      <c r="H195" s="21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6.5" customHeight="1">
      <c r="A196" s="8"/>
      <c r="B196" s="407"/>
      <c r="C196" s="8"/>
      <c r="D196" s="8"/>
      <c r="E196" s="8"/>
      <c r="F196" s="216"/>
      <c r="G196" s="216"/>
      <c r="H196" s="21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6.5" customHeight="1">
      <c r="A197" s="8"/>
      <c r="B197" s="407"/>
      <c r="C197" s="8"/>
      <c r="D197" s="8"/>
      <c r="E197" s="8"/>
      <c r="F197" s="216"/>
      <c r="G197" s="216"/>
      <c r="H197" s="21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6.5" customHeight="1">
      <c r="A198" s="8"/>
      <c r="B198" s="407"/>
      <c r="C198" s="8"/>
      <c r="D198" s="8"/>
      <c r="E198" s="8"/>
      <c r="F198" s="216"/>
      <c r="G198" s="216"/>
      <c r="H198" s="21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6.5" customHeight="1">
      <c r="A199" s="8"/>
      <c r="B199" s="407"/>
      <c r="C199" s="8"/>
      <c r="D199" s="8"/>
      <c r="E199" s="8"/>
      <c r="F199" s="216"/>
      <c r="G199" s="216"/>
      <c r="H199" s="21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6.5" customHeight="1">
      <c r="A200" s="8"/>
      <c r="B200" s="407"/>
      <c r="C200" s="8"/>
      <c r="D200" s="8"/>
      <c r="E200" s="8"/>
      <c r="F200" s="216"/>
      <c r="G200" s="216"/>
      <c r="H200" s="21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6.5" customHeight="1">
      <c r="A201" s="8"/>
      <c r="B201" s="407"/>
      <c r="C201" s="8"/>
      <c r="D201" s="8"/>
      <c r="E201" s="8"/>
      <c r="F201" s="216"/>
      <c r="G201" s="216"/>
      <c r="H201" s="21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6.5" customHeight="1">
      <c r="A202" s="8"/>
      <c r="B202" s="407"/>
      <c r="C202" s="8"/>
      <c r="D202" s="8"/>
      <c r="E202" s="8"/>
      <c r="F202" s="216"/>
      <c r="G202" s="216"/>
      <c r="H202" s="21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6.5" customHeight="1">
      <c r="A203" s="8"/>
      <c r="B203" s="407"/>
      <c r="C203" s="8"/>
      <c r="D203" s="8"/>
      <c r="E203" s="8"/>
      <c r="F203" s="216"/>
      <c r="G203" s="216"/>
      <c r="H203" s="21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6.5" customHeight="1">
      <c r="A204" s="8"/>
      <c r="B204" s="407"/>
      <c r="C204" s="8"/>
      <c r="D204" s="8"/>
      <c r="E204" s="8"/>
      <c r="F204" s="216"/>
      <c r="G204" s="216"/>
      <c r="H204" s="21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6.5" customHeight="1">
      <c r="A205" s="8"/>
      <c r="B205" s="407"/>
      <c r="C205" s="8"/>
      <c r="D205" s="8"/>
      <c r="E205" s="8"/>
      <c r="F205" s="216"/>
      <c r="G205" s="216"/>
      <c r="H205" s="21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6.5" customHeight="1">
      <c r="A206" s="8"/>
      <c r="B206" s="407"/>
      <c r="C206" s="8"/>
      <c r="D206" s="8"/>
      <c r="E206" s="8"/>
      <c r="F206" s="216"/>
      <c r="G206" s="216"/>
      <c r="H206" s="21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6.5" customHeight="1">
      <c r="A207" s="8"/>
      <c r="B207" s="407"/>
      <c r="C207" s="8"/>
      <c r="D207" s="8"/>
      <c r="E207" s="8"/>
      <c r="F207" s="216"/>
      <c r="G207" s="216"/>
      <c r="H207" s="21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6.5" customHeight="1">
      <c r="A208" s="8"/>
      <c r="B208" s="407"/>
      <c r="C208" s="8"/>
      <c r="D208" s="8"/>
      <c r="E208" s="8"/>
      <c r="F208" s="216"/>
      <c r="G208" s="216"/>
      <c r="H208" s="21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6.5" customHeight="1">
      <c r="A209" s="8"/>
      <c r="B209" s="407"/>
      <c r="C209" s="8"/>
      <c r="D209" s="8"/>
      <c r="E209" s="8"/>
      <c r="F209" s="216"/>
      <c r="G209" s="216"/>
      <c r="H209" s="21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6.5" customHeight="1">
      <c r="A210" s="8"/>
      <c r="B210" s="407"/>
      <c r="C210" s="8"/>
      <c r="D210" s="8"/>
      <c r="E210" s="8"/>
      <c r="F210" s="216"/>
      <c r="G210" s="216"/>
      <c r="H210" s="21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6.5" customHeight="1">
      <c r="A211" s="8"/>
      <c r="B211" s="407"/>
      <c r="C211" s="8"/>
      <c r="D211" s="8"/>
      <c r="E211" s="8"/>
      <c r="F211" s="216"/>
      <c r="G211" s="216"/>
      <c r="H211" s="21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6.5" customHeight="1">
      <c r="A212" s="8"/>
      <c r="B212" s="407"/>
      <c r="C212" s="8"/>
      <c r="D212" s="8"/>
      <c r="E212" s="8"/>
      <c r="F212" s="216"/>
      <c r="G212" s="216"/>
      <c r="H212" s="21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6.5" customHeight="1">
      <c r="A213" s="8"/>
      <c r="B213" s="407"/>
      <c r="C213" s="8"/>
      <c r="D213" s="8"/>
      <c r="E213" s="8"/>
      <c r="F213" s="216"/>
      <c r="G213" s="216"/>
      <c r="H213" s="21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6.5" customHeight="1">
      <c r="A214" s="8"/>
      <c r="B214" s="407"/>
      <c r="C214" s="8"/>
      <c r="D214" s="8"/>
      <c r="E214" s="8"/>
      <c r="F214" s="216"/>
      <c r="G214" s="216"/>
      <c r="H214" s="21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6.5" customHeight="1">
      <c r="A215" s="8"/>
      <c r="B215" s="407"/>
      <c r="C215" s="8"/>
      <c r="D215" s="8"/>
      <c r="E215" s="8"/>
      <c r="F215" s="216"/>
      <c r="G215" s="216"/>
      <c r="H215" s="21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407"/>
      <c r="C216" s="8"/>
      <c r="D216" s="8"/>
      <c r="E216" s="8"/>
      <c r="F216" s="216"/>
      <c r="G216" s="216"/>
      <c r="H216" s="21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407"/>
      <c r="C217" s="8"/>
      <c r="D217" s="8"/>
      <c r="E217" s="8"/>
      <c r="F217" s="216"/>
      <c r="G217" s="216"/>
      <c r="H217" s="21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407"/>
      <c r="C218" s="8"/>
      <c r="D218" s="8"/>
      <c r="E218" s="8"/>
      <c r="F218" s="216"/>
      <c r="G218" s="216"/>
      <c r="H218" s="21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407"/>
      <c r="C219" s="8"/>
      <c r="D219" s="8"/>
      <c r="E219" s="8"/>
      <c r="F219" s="216"/>
      <c r="G219" s="216"/>
      <c r="H219" s="21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407"/>
      <c r="C220" s="8"/>
      <c r="D220" s="8"/>
      <c r="E220" s="8"/>
      <c r="F220" s="216"/>
      <c r="G220" s="216"/>
      <c r="H220" s="21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40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407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40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407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40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407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40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  <c r="K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  <c r="K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  <c r="K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  <c r="K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  <c r="K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  <c r="K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  <c r="K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K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K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K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K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K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K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K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K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K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K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K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K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K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K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K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K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K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K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K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K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K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K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K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K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K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K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K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K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K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K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K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K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K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K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K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K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K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K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K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K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K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K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K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K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K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K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K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K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K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K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K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K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K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K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K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K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K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K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K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K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K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K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K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K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K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K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K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K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K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K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K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K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K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K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K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K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K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K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K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K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K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K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K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K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K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K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K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K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K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K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K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K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K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K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K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K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K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K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K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K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K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K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K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K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K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K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K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K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K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K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K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K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K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K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K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K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K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K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K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K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K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K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K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K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K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K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K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K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K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K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K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K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K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K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K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K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K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K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K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K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K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K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K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K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K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K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K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K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K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K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K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K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K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K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K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K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K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K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K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K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K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K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K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K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K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K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K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K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K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K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K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K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K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K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K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K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K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K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K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K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K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K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K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K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K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K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K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K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K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K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K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K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K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K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K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K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K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K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K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K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K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K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K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K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K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K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K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K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K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K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K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K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K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K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K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K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K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K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K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K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K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K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K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K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K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K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K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K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K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K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K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K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K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K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K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K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K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K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K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K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K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K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K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K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K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K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K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K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K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K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K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K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K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K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K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K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K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K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K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K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K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K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K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K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K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K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K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K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K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K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K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K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K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K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K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K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K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K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K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K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K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K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K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K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K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K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K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K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K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K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K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K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K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K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K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K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K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K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K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K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K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K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K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K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K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K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K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K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K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K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K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K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K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K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K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K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K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K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K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K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K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K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K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K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K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K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K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K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K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K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K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K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K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K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K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K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K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K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K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K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K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K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K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K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K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K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K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K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K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K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K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K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K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K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K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K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K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K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K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K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K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K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K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K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K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K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K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K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K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K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K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K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K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K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K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K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K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K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K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K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K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K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K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K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K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K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K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K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K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K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K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K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K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K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K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K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K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K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K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K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K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K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K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K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K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K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K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K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K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K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K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K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K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K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K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K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K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K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K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K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K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K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K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K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K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K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K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K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K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K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K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K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K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K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K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K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K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K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K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K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K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K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K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K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K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K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K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K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K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K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K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K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K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K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K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K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K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K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K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K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K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K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K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K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K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K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K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K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K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K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K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K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K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K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K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K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K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K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K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K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K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K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K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K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K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K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K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K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K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K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K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K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K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K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K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K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K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K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K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K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K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K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K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K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K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K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K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K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K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K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K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K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K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K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K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K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K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K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K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K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K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K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K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K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K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K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K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K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K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K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K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K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K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K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K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K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K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K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K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K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K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K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K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K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K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K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K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K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K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K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K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K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K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K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K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K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K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K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K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K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K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K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K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K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K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K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K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K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K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K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K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K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K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K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K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K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K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K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K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K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K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K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K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K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K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K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K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K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K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K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K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K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K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K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K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K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K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K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K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K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K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K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K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K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K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K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K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K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K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K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K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K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K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K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K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K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K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K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K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K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K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K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K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K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K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K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K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K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K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K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K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K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K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K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K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K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K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K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K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K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K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K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K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K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K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K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K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K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K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K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K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K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K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K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K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K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K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K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K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K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K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K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K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K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K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K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K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K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K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K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K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K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K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K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K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K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K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K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K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K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K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K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K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K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K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K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K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K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K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K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K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K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K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K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K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K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K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K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K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K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K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K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K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K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K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K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K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K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K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K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K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K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K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K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K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K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K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K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K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K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K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K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K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K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K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K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K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K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K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K1000" s="92"/>
    </row>
  </sheetData>
  <mergeCells count="28">
    <mergeCell ref="A1:B2"/>
    <mergeCell ref="C1:C2"/>
    <mergeCell ref="D1:D2"/>
    <mergeCell ref="E1:I2"/>
    <mergeCell ref="C3:C4"/>
    <mergeCell ref="D3:D4"/>
    <mergeCell ref="I3:I4"/>
    <mergeCell ref="H26:H38"/>
    <mergeCell ref="H45:H49"/>
    <mergeCell ref="H50:H59"/>
    <mergeCell ref="H60:H62"/>
    <mergeCell ref="E3:E4"/>
    <mergeCell ref="H3:H4"/>
    <mergeCell ref="F6:F9"/>
    <mergeCell ref="G6:G9"/>
    <mergeCell ref="H6:H9"/>
    <mergeCell ref="H10:H17"/>
    <mergeCell ref="H18:H25"/>
    <mergeCell ref="A50:A59"/>
    <mergeCell ref="A60:A62"/>
    <mergeCell ref="A63:I67"/>
    <mergeCell ref="A3:B3"/>
    <mergeCell ref="A5:A9"/>
    <mergeCell ref="A10:A17"/>
    <mergeCell ref="A18:A25"/>
    <mergeCell ref="A26:A38"/>
    <mergeCell ref="A39:A44"/>
    <mergeCell ref="A45:A49"/>
  </mergeCells>
  <printOptions/>
  <pageMargins bottom="0.75" footer="0.0" header="0.0" left="0.25" right="0.25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60.14"/>
    <col customWidth="1" min="3" max="3" width="16.86"/>
    <col customWidth="1" min="4" max="4" width="27.71"/>
    <col customWidth="1" min="5" max="5" width="18.29"/>
    <col customWidth="1" min="6" max="6" width="34.71"/>
    <col customWidth="1" min="7" max="8" width="12.43"/>
    <col customWidth="1" min="9" max="9" width="21.14"/>
    <col customWidth="1" min="10" max="10" width="8.86"/>
    <col customWidth="1" min="11" max="11" width="79.57"/>
    <col customWidth="1" min="13" max="13" width="35.57"/>
  </cols>
  <sheetData>
    <row r="1" ht="16.5" customHeight="1">
      <c r="A1" s="1" t="s">
        <v>437</v>
      </c>
      <c r="B1" s="2"/>
      <c r="C1" s="2"/>
      <c r="D1" s="2"/>
      <c r="E1" s="2"/>
      <c r="F1" s="2"/>
      <c r="G1" s="2"/>
      <c r="H1" s="2"/>
      <c r="I1" s="2"/>
      <c r="J1" s="408"/>
      <c r="K1" s="245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18.0" customHeight="1">
      <c r="A2" s="58"/>
      <c r="B2" s="82"/>
      <c r="C2" s="82"/>
      <c r="D2" s="82"/>
      <c r="E2" s="82"/>
      <c r="F2" s="82"/>
      <c r="G2" s="82"/>
      <c r="H2" s="82"/>
      <c r="I2" s="82"/>
      <c r="J2" s="8"/>
      <c r="K2" s="13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6.5" customHeight="1">
      <c r="A3" s="320"/>
      <c r="B3" s="409"/>
      <c r="C3" s="260" t="s">
        <v>438</v>
      </c>
      <c r="D3" s="261" t="s">
        <v>439</v>
      </c>
      <c r="E3" s="261" t="s">
        <v>204</v>
      </c>
      <c r="F3" s="260" t="s">
        <v>440</v>
      </c>
      <c r="G3" s="410" t="s">
        <v>4</v>
      </c>
      <c r="H3" s="410" t="s">
        <v>5</v>
      </c>
      <c r="I3" s="259" t="s">
        <v>6</v>
      </c>
      <c r="J3" s="411" t="s">
        <v>7</v>
      </c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6.5" customHeight="1">
      <c r="A4" s="412" t="s">
        <v>8</v>
      </c>
      <c r="B4" s="24" t="s">
        <v>9</v>
      </c>
      <c r="C4" s="25"/>
      <c r="D4" s="26"/>
      <c r="E4" s="26"/>
      <c r="F4" s="25"/>
      <c r="G4" s="265" t="s">
        <v>10</v>
      </c>
      <c r="H4" s="265" t="s">
        <v>11</v>
      </c>
      <c r="I4" s="28"/>
      <c r="J4" s="58"/>
      <c r="K4" s="83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6.5" customHeight="1">
      <c r="A5" s="178" t="s">
        <v>441</v>
      </c>
      <c r="B5" s="413" t="s">
        <v>442</v>
      </c>
      <c r="C5" s="414">
        <v>117000.0</v>
      </c>
      <c r="D5" s="415">
        <v>98000.0</v>
      </c>
      <c r="E5" s="416">
        <v>69000.0</v>
      </c>
      <c r="F5" s="417">
        <f t="shared" ref="F5:F21" si="1">1-E5/D5</f>
        <v>0.2959183673</v>
      </c>
      <c r="G5" s="418"/>
      <c r="H5" s="419"/>
      <c r="I5" s="420"/>
      <c r="J5" s="421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6.5" customHeight="1">
      <c r="A6" s="28"/>
      <c r="B6" s="422" t="s">
        <v>443</v>
      </c>
      <c r="C6" s="423">
        <v>197000.0</v>
      </c>
      <c r="D6" s="424">
        <v>151800.0</v>
      </c>
      <c r="E6" s="425">
        <v>99000.0</v>
      </c>
      <c r="F6" s="417">
        <f t="shared" si="1"/>
        <v>0.347826087</v>
      </c>
      <c r="G6" s="426"/>
      <c r="H6" s="427"/>
      <c r="I6" s="26"/>
      <c r="J6" s="216"/>
      <c r="K6" s="1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6.5" customHeight="1">
      <c r="A7" s="28"/>
      <c r="B7" s="422" t="s">
        <v>444</v>
      </c>
      <c r="C7" s="423">
        <v>337000.0</v>
      </c>
      <c r="D7" s="424">
        <v>220000.0</v>
      </c>
      <c r="E7" s="425">
        <v>199000.0</v>
      </c>
      <c r="F7" s="417">
        <f t="shared" si="1"/>
        <v>0.09545454545</v>
      </c>
      <c r="G7" s="428"/>
      <c r="H7" s="429"/>
      <c r="I7" s="26"/>
      <c r="J7" s="216"/>
      <c r="K7" s="1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6.5" customHeight="1">
      <c r="A8" s="149"/>
      <c r="B8" s="422" t="s">
        <v>445</v>
      </c>
      <c r="C8" s="430">
        <v>1377000.0</v>
      </c>
      <c r="D8" s="431">
        <v>750000.0</v>
      </c>
      <c r="E8" s="432">
        <v>650000.0</v>
      </c>
      <c r="F8" s="417">
        <f t="shared" si="1"/>
        <v>0.1333333333</v>
      </c>
      <c r="G8" s="433"/>
      <c r="H8" s="434"/>
      <c r="I8" s="12"/>
      <c r="J8" s="216"/>
      <c r="K8" s="14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6.5" customHeight="1">
      <c r="A9" s="178" t="s">
        <v>446</v>
      </c>
      <c r="B9" s="435" t="s">
        <v>447</v>
      </c>
      <c r="C9" s="415">
        <v>157000.0</v>
      </c>
      <c r="D9" s="415">
        <v>99000.0</v>
      </c>
      <c r="E9" s="436">
        <v>89000.0</v>
      </c>
      <c r="F9" s="417">
        <f t="shared" si="1"/>
        <v>0.101010101</v>
      </c>
      <c r="G9" s="437"/>
      <c r="H9" s="419"/>
      <c r="I9" s="76"/>
      <c r="J9" s="216"/>
      <c r="K9" s="14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6.5" customHeight="1">
      <c r="A10" s="28"/>
      <c r="B10" s="438" t="s">
        <v>131</v>
      </c>
      <c r="C10" s="424">
        <v>297000.0</v>
      </c>
      <c r="D10" s="424">
        <v>177000.0</v>
      </c>
      <c r="E10" s="439">
        <v>149000.0</v>
      </c>
      <c r="F10" s="417">
        <f t="shared" si="1"/>
        <v>0.1581920904</v>
      </c>
      <c r="G10" s="426"/>
      <c r="H10" s="427"/>
      <c r="I10" s="26"/>
      <c r="J10" s="216"/>
      <c r="K10" s="1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6.5" customHeight="1">
      <c r="A11" s="28"/>
      <c r="B11" s="438" t="s">
        <v>448</v>
      </c>
      <c r="C11" s="424">
        <v>597000.0</v>
      </c>
      <c r="D11" s="424">
        <v>240000.0</v>
      </c>
      <c r="E11" s="439">
        <v>199000.0</v>
      </c>
      <c r="F11" s="417">
        <f t="shared" si="1"/>
        <v>0.1708333333</v>
      </c>
      <c r="G11" s="426"/>
      <c r="H11" s="429"/>
      <c r="I11" s="26"/>
      <c r="J11" s="216"/>
      <c r="K11" s="1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6.5" customHeight="1">
      <c r="A12" s="28"/>
      <c r="B12" s="440" t="s">
        <v>449</v>
      </c>
      <c r="C12" s="424">
        <v>437000.0</v>
      </c>
      <c r="D12" s="424">
        <v>319000.0</v>
      </c>
      <c r="E12" s="424">
        <v>219000.0</v>
      </c>
      <c r="F12" s="417">
        <f t="shared" si="1"/>
        <v>0.3134796238</v>
      </c>
      <c r="G12" s="426"/>
      <c r="H12" s="427"/>
      <c r="I12" s="26"/>
      <c r="J12" s="216"/>
      <c r="K12" s="1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6.5" customHeight="1">
      <c r="A13" s="149"/>
      <c r="B13" s="441" t="s">
        <v>450</v>
      </c>
      <c r="C13" s="424">
        <v>297000.0</v>
      </c>
      <c r="D13" s="424">
        <v>508000.0</v>
      </c>
      <c r="E13" s="439">
        <v>399000.0</v>
      </c>
      <c r="F13" s="417">
        <f t="shared" si="1"/>
        <v>0.2145669291</v>
      </c>
      <c r="G13" s="433"/>
      <c r="H13" s="434"/>
      <c r="I13" s="12"/>
      <c r="J13" s="216" t="s">
        <v>451</v>
      </c>
      <c r="K13" s="14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6.5" customHeight="1">
      <c r="A14" s="178" t="s">
        <v>452</v>
      </c>
      <c r="B14" s="438" t="s">
        <v>453</v>
      </c>
      <c r="C14" s="415">
        <v>137000.0</v>
      </c>
      <c r="D14" s="416">
        <v>83000.0</v>
      </c>
      <c r="E14" s="442">
        <v>69000.0</v>
      </c>
      <c r="F14" s="417">
        <f t="shared" si="1"/>
        <v>0.1686746988</v>
      </c>
      <c r="G14" s="437"/>
      <c r="H14" s="419"/>
      <c r="I14" s="245"/>
      <c r="J14" s="216"/>
      <c r="K14" s="1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6.5" customHeight="1">
      <c r="A15" s="28"/>
      <c r="B15" s="438" t="s">
        <v>454</v>
      </c>
      <c r="C15" s="424">
        <v>57000.0</v>
      </c>
      <c r="D15" s="425">
        <v>229000.0</v>
      </c>
      <c r="E15" s="443">
        <v>189000.0</v>
      </c>
      <c r="F15" s="417">
        <f t="shared" si="1"/>
        <v>0.1746724891</v>
      </c>
      <c r="G15" s="444"/>
      <c r="H15" s="427"/>
      <c r="I15" s="14"/>
      <c r="J15" s="216"/>
      <c r="K15" s="14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6.5" customHeight="1">
      <c r="A16" s="28"/>
      <c r="B16" s="440" t="s">
        <v>455</v>
      </c>
      <c r="C16" s="424">
        <v>377000.0</v>
      </c>
      <c r="D16" s="425">
        <v>219000.0</v>
      </c>
      <c r="E16" s="443">
        <v>189000.0</v>
      </c>
      <c r="F16" s="417">
        <f t="shared" si="1"/>
        <v>0.1369863014</v>
      </c>
      <c r="G16" s="426"/>
      <c r="H16" s="427"/>
      <c r="I16" s="14"/>
      <c r="J16" s="216"/>
      <c r="K16" s="1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6.5" customHeight="1">
      <c r="A17" s="28"/>
      <c r="B17" s="438" t="s">
        <v>456</v>
      </c>
      <c r="C17" s="424">
        <v>437000.0</v>
      </c>
      <c r="D17" s="425">
        <v>249000.0</v>
      </c>
      <c r="E17" s="443">
        <v>219000.0</v>
      </c>
      <c r="F17" s="417">
        <f t="shared" si="1"/>
        <v>0.1204819277</v>
      </c>
      <c r="G17" s="426"/>
      <c r="H17" s="427"/>
      <c r="I17" s="14"/>
      <c r="J17" s="216"/>
      <c r="K17" s="1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6.5" customHeight="1">
      <c r="A18" s="28"/>
      <c r="B18" s="438" t="s">
        <v>457</v>
      </c>
      <c r="C18" s="424">
        <v>1879000.0</v>
      </c>
      <c r="D18" s="425">
        <v>439000.0</v>
      </c>
      <c r="E18" s="443">
        <v>399000.0</v>
      </c>
      <c r="F18" s="417">
        <f t="shared" si="1"/>
        <v>0.09111617312</v>
      </c>
      <c r="G18" s="445"/>
      <c r="H18" s="446"/>
      <c r="I18" s="14"/>
      <c r="J18" s="216"/>
      <c r="K18" s="14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6.5" customHeight="1">
      <c r="A19" s="28"/>
      <c r="B19" s="438" t="s">
        <v>458</v>
      </c>
      <c r="C19" s="424">
        <v>1557000.0</v>
      </c>
      <c r="D19" s="425">
        <v>838000.0</v>
      </c>
      <c r="E19" s="443">
        <v>749000.0</v>
      </c>
      <c r="F19" s="417">
        <f t="shared" si="1"/>
        <v>0.1062052506</v>
      </c>
      <c r="G19" s="445"/>
      <c r="H19" s="446"/>
      <c r="I19" s="14"/>
      <c r="J19" s="216"/>
      <c r="K19" s="14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6.5" customHeight="1">
      <c r="A20" s="28"/>
      <c r="B20" s="438" t="s">
        <v>459</v>
      </c>
      <c r="C20" s="424">
        <v>1579000.0</v>
      </c>
      <c r="D20" s="425">
        <v>850000.0</v>
      </c>
      <c r="E20" s="443">
        <v>790000.0</v>
      </c>
      <c r="F20" s="417">
        <f t="shared" si="1"/>
        <v>0.07058823529</v>
      </c>
      <c r="G20" s="445"/>
      <c r="H20" s="446"/>
      <c r="I20" s="14"/>
      <c r="J20" s="216"/>
      <c r="K20" s="14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6.5" customHeight="1">
      <c r="A21" s="28"/>
      <c r="B21" s="438" t="s">
        <v>460</v>
      </c>
      <c r="C21" s="424">
        <v>2499000.0</v>
      </c>
      <c r="D21" s="425">
        <v>1400000.0</v>
      </c>
      <c r="E21" s="443">
        <v>1250000.0</v>
      </c>
      <c r="F21" s="417">
        <f t="shared" si="1"/>
        <v>0.1071428571</v>
      </c>
      <c r="G21" s="447"/>
      <c r="H21" s="446"/>
      <c r="I21" s="14"/>
      <c r="J21" s="216"/>
      <c r="K21" s="14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6.5" customHeight="1">
      <c r="A22" s="165" t="s">
        <v>461</v>
      </c>
      <c r="B22" s="235" t="s">
        <v>462</v>
      </c>
      <c r="C22" s="414"/>
      <c r="D22" s="414" t="s">
        <v>463</v>
      </c>
      <c r="E22" s="414" t="s">
        <v>464</v>
      </c>
      <c r="F22" s="448"/>
      <c r="G22" s="449"/>
      <c r="H22" s="450"/>
      <c r="I22" s="225"/>
      <c r="J22" s="216"/>
      <c r="K22" s="225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6.5" customHeight="1">
      <c r="A23" s="25"/>
      <c r="B23" s="239" t="s">
        <v>465</v>
      </c>
      <c r="C23" s="423"/>
      <c r="D23" s="451">
        <v>220000.0</v>
      </c>
      <c r="E23" s="451">
        <v>550000.0</v>
      </c>
      <c r="F23" s="448"/>
      <c r="G23" s="452"/>
      <c r="H23" s="453"/>
      <c r="I23" s="225"/>
      <c r="J23" s="216"/>
      <c r="K23" s="225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6.5" customHeight="1">
      <c r="A24" s="25"/>
      <c r="B24" s="239" t="s">
        <v>466</v>
      </c>
      <c r="C24" s="423"/>
      <c r="D24" s="451">
        <v>300000.0</v>
      </c>
      <c r="E24" s="451">
        <v>750000.0</v>
      </c>
      <c r="F24" s="448"/>
      <c r="G24" s="452"/>
      <c r="H24" s="453"/>
      <c r="I24" s="225"/>
      <c r="J24" s="216"/>
      <c r="K24" s="225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6.5" customHeight="1">
      <c r="A25" s="25"/>
      <c r="B25" s="239" t="s">
        <v>467</v>
      </c>
      <c r="C25" s="423"/>
      <c r="D25" s="451">
        <v>390000.0</v>
      </c>
      <c r="E25" s="451">
        <v>950000.0</v>
      </c>
      <c r="F25" s="448"/>
      <c r="G25" s="452"/>
      <c r="H25" s="453"/>
      <c r="I25" s="225"/>
      <c r="J25" s="216"/>
      <c r="K25" s="225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6.5" customHeight="1">
      <c r="A26" s="25"/>
      <c r="B26" s="212" t="s">
        <v>468</v>
      </c>
      <c r="C26" s="423"/>
      <c r="D26" s="423"/>
      <c r="E26" s="423"/>
      <c r="F26" s="448"/>
      <c r="G26" s="452"/>
      <c r="H26" s="453"/>
      <c r="I26" s="225"/>
      <c r="J26" s="216"/>
      <c r="K26" s="225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6.5" customHeight="1">
      <c r="A27" s="25"/>
      <c r="B27" s="239" t="s">
        <v>469</v>
      </c>
      <c r="C27" s="423"/>
      <c r="D27" s="423"/>
      <c r="E27" s="451">
        <v>800000.0</v>
      </c>
      <c r="F27" s="448"/>
      <c r="G27" s="452"/>
      <c r="H27" s="453"/>
      <c r="I27" s="225"/>
      <c r="J27" s="216"/>
      <c r="K27" s="225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6.5" customHeight="1">
      <c r="A28" s="25"/>
      <c r="B28" s="239" t="s">
        <v>470</v>
      </c>
      <c r="C28" s="423"/>
      <c r="D28" s="423"/>
      <c r="E28" s="451">
        <v>950000.0</v>
      </c>
      <c r="F28" s="448"/>
      <c r="G28" s="452"/>
      <c r="H28" s="453"/>
      <c r="I28" s="225"/>
      <c r="J28" s="216"/>
      <c r="K28" s="225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6.5" customHeight="1">
      <c r="A29" s="11"/>
      <c r="B29" s="240" t="s">
        <v>471</v>
      </c>
      <c r="C29" s="430"/>
      <c r="D29" s="430"/>
      <c r="E29" s="454">
        <v>1500000.0</v>
      </c>
      <c r="F29" s="455"/>
      <c r="G29" s="456"/>
      <c r="H29" s="457"/>
      <c r="I29" s="225"/>
      <c r="J29" s="216"/>
      <c r="K29" s="225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6.5" customHeight="1">
      <c r="A30" s="458" t="s">
        <v>410</v>
      </c>
      <c r="B30" s="459" t="s">
        <v>472</v>
      </c>
      <c r="C30" s="423">
        <v>117000.0</v>
      </c>
      <c r="D30" s="424">
        <v>79000.0</v>
      </c>
      <c r="E30" s="460">
        <v>59000.0</v>
      </c>
      <c r="F30" s="461">
        <f t="shared" ref="F30:F39" si="2">1-E30/D30</f>
        <v>0.253164557</v>
      </c>
      <c r="G30" s="462"/>
      <c r="H30" s="463"/>
      <c r="I30" s="76"/>
      <c r="J30" s="216"/>
      <c r="K30" s="14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6.5" customHeight="1">
      <c r="A31" s="25"/>
      <c r="B31" s="459" t="s">
        <v>473</v>
      </c>
      <c r="C31" s="423">
        <v>217000.0</v>
      </c>
      <c r="D31" s="424">
        <v>120000.0</v>
      </c>
      <c r="E31" s="464">
        <v>99000.0</v>
      </c>
      <c r="F31" s="417">
        <f t="shared" si="2"/>
        <v>0.175</v>
      </c>
      <c r="G31" s="465"/>
      <c r="H31" s="466"/>
      <c r="I31" s="26"/>
      <c r="J31" s="216"/>
      <c r="K31" s="14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6.5" customHeight="1">
      <c r="A32" s="25"/>
      <c r="B32" s="459" t="s">
        <v>474</v>
      </c>
      <c r="C32" s="423">
        <v>257000.0</v>
      </c>
      <c r="D32" s="424">
        <v>173800.0</v>
      </c>
      <c r="E32" s="460">
        <v>129000.0</v>
      </c>
      <c r="F32" s="417">
        <f t="shared" si="2"/>
        <v>0.2577675489</v>
      </c>
      <c r="G32" s="465"/>
      <c r="H32" s="466"/>
      <c r="I32" s="26"/>
      <c r="J32" s="216"/>
      <c r="K32" s="14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6.5" customHeight="1">
      <c r="A33" s="25"/>
      <c r="B33" s="459" t="s">
        <v>475</v>
      </c>
      <c r="C33" s="423">
        <v>397000.0</v>
      </c>
      <c r="D33" s="424">
        <v>248600.0</v>
      </c>
      <c r="E33" s="460">
        <v>199000.0</v>
      </c>
      <c r="F33" s="417">
        <f t="shared" si="2"/>
        <v>0.1995172969</v>
      </c>
      <c r="G33" s="465"/>
      <c r="H33" s="466"/>
      <c r="I33" s="26"/>
      <c r="J33" s="216"/>
      <c r="K33" s="14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6.5" customHeight="1">
      <c r="A34" s="25"/>
      <c r="B34" s="459" t="s">
        <v>476</v>
      </c>
      <c r="C34" s="423">
        <v>597000.0</v>
      </c>
      <c r="D34" s="424">
        <v>300000.0</v>
      </c>
      <c r="E34" s="460">
        <v>249000.0</v>
      </c>
      <c r="F34" s="417">
        <f t="shared" si="2"/>
        <v>0.17</v>
      </c>
      <c r="G34" s="465"/>
      <c r="H34" s="466"/>
      <c r="I34" s="26"/>
      <c r="J34" s="216"/>
      <c r="K34" s="14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6.5" customHeight="1">
      <c r="A35" s="25"/>
      <c r="B35" s="459" t="s">
        <v>477</v>
      </c>
      <c r="C35" s="423">
        <v>457000.0</v>
      </c>
      <c r="D35" s="424">
        <v>371800.0</v>
      </c>
      <c r="E35" s="460">
        <v>299000.0</v>
      </c>
      <c r="F35" s="417">
        <f t="shared" si="2"/>
        <v>0.1958041958</v>
      </c>
      <c r="G35" s="465"/>
      <c r="H35" s="467"/>
      <c r="I35" s="26"/>
      <c r="J35" s="216"/>
      <c r="K35" s="14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6.5" customHeight="1">
      <c r="A36" s="11"/>
      <c r="B36" s="459" t="s">
        <v>478</v>
      </c>
      <c r="C36" s="423">
        <v>797000.0</v>
      </c>
      <c r="D36" s="424">
        <v>499000.0</v>
      </c>
      <c r="E36" s="464">
        <v>399000.0</v>
      </c>
      <c r="F36" s="417">
        <f t="shared" si="2"/>
        <v>0.2004008016</v>
      </c>
      <c r="G36" s="433"/>
      <c r="H36" s="434"/>
      <c r="I36" s="12"/>
      <c r="J36" s="216"/>
      <c r="K36" s="14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6.5" customHeight="1">
      <c r="A37" s="142" t="s">
        <v>479</v>
      </c>
      <c r="B37" s="468" t="s">
        <v>35</v>
      </c>
      <c r="C37" s="266">
        <v>217000.0</v>
      </c>
      <c r="D37" s="469">
        <v>109000.0</v>
      </c>
      <c r="E37" s="470">
        <v>79000.0</v>
      </c>
      <c r="F37" s="417">
        <f t="shared" si="2"/>
        <v>0.2752293578</v>
      </c>
      <c r="G37" s="471"/>
      <c r="H37" s="472"/>
      <c r="I37" s="76"/>
      <c r="J37" s="473"/>
      <c r="K37" s="14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6.5" customHeight="1">
      <c r="A38" s="10"/>
      <c r="B38" s="474" t="s">
        <v>480</v>
      </c>
      <c r="C38" s="271">
        <v>297000.0</v>
      </c>
      <c r="D38" s="475">
        <v>149000.0</v>
      </c>
      <c r="E38" s="476">
        <v>99000.0</v>
      </c>
      <c r="F38" s="417">
        <f t="shared" si="2"/>
        <v>0.3355704698</v>
      </c>
      <c r="G38" s="465"/>
      <c r="H38" s="466"/>
      <c r="I38" s="26"/>
      <c r="J38" s="473"/>
      <c r="K38" s="14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6.5" customHeight="1">
      <c r="A39" s="58"/>
      <c r="B39" s="477" t="s">
        <v>481</v>
      </c>
      <c r="C39" s="278">
        <v>237000.0</v>
      </c>
      <c r="D39" s="478">
        <v>119000.0</v>
      </c>
      <c r="E39" s="479">
        <v>89000.0</v>
      </c>
      <c r="F39" s="417">
        <f t="shared" si="2"/>
        <v>0.2521008403</v>
      </c>
      <c r="G39" s="445"/>
      <c r="H39" s="446"/>
      <c r="I39" s="12"/>
      <c r="J39" s="215"/>
      <c r="K39" s="14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65" t="s">
        <v>482</v>
      </c>
      <c r="B40" s="468" t="s">
        <v>483</v>
      </c>
      <c r="C40" s="271">
        <f t="shared" ref="C40:C47" si="3">E40*2-1000</f>
        <v>1999000</v>
      </c>
      <c r="D40" s="480"/>
      <c r="E40" s="481">
        <v>1000000.0</v>
      </c>
      <c r="F40" s="417"/>
      <c r="G40" s="482"/>
      <c r="H40" s="483"/>
      <c r="I40" s="76"/>
      <c r="J40" s="8"/>
      <c r="K40" s="14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6.5" customHeight="1">
      <c r="A41" s="25"/>
      <c r="B41" s="474" t="s">
        <v>484</v>
      </c>
      <c r="C41" s="271">
        <f t="shared" si="3"/>
        <v>3599000</v>
      </c>
      <c r="D41" s="484"/>
      <c r="E41" s="464">
        <v>1800000.0</v>
      </c>
      <c r="F41" s="417"/>
      <c r="G41" s="465"/>
      <c r="H41" s="466"/>
      <c r="I41" s="26"/>
      <c r="J41" s="8"/>
      <c r="K41" s="14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6.5" customHeight="1">
      <c r="A42" s="25"/>
      <c r="B42" s="474" t="s">
        <v>485</v>
      </c>
      <c r="C42" s="271">
        <f t="shared" si="3"/>
        <v>4399000</v>
      </c>
      <c r="D42" s="484"/>
      <c r="E42" s="464">
        <v>2200000.0</v>
      </c>
      <c r="F42" s="417"/>
      <c r="G42" s="426"/>
      <c r="H42" s="429"/>
      <c r="I42" s="26"/>
      <c r="J42" s="8"/>
      <c r="K42" s="14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6.5" customHeight="1">
      <c r="A43" s="11"/>
      <c r="B43" s="195" t="s">
        <v>486</v>
      </c>
      <c r="C43" s="278">
        <f t="shared" si="3"/>
        <v>4799000</v>
      </c>
      <c r="D43" s="485"/>
      <c r="E43" s="486">
        <v>2400000.0</v>
      </c>
      <c r="F43" s="417"/>
      <c r="G43" s="487"/>
      <c r="H43" s="488"/>
      <c r="I43" s="12"/>
      <c r="J43" s="8"/>
      <c r="K43" s="14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6.5" customHeight="1">
      <c r="A44" s="165" t="s">
        <v>487</v>
      </c>
      <c r="B44" s="8" t="s">
        <v>422</v>
      </c>
      <c r="C44" s="266">
        <f t="shared" si="3"/>
        <v>1379000</v>
      </c>
      <c r="D44" s="484"/>
      <c r="E44" s="489">
        <v>690000.0</v>
      </c>
      <c r="F44" s="417"/>
      <c r="G44" s="490"/>
      <c r="H44" s="419"/>
      <c r="I44" s="491"/>
      <c r="J44" s="8"/>
      <c r="K44" s="14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6.5" customHeight="1">
      <c r="A45" s="25"/>
      <c r="B45" s="8" t="s">
        <v>423</v>
      </c>
      <c r="C45" s="271">
        <f t="shared" si="3"/>
        <v>1779000</v>
      </c>
      <c r="D45" s="484"/>
      <c r="E45" s="489">
        <v>890000.0</v>
      </c>
      <c r="F45" s="417"/>
      <c r="G45" s="492"/>
      <c r="H45" s="427"/>
      <c r="I45" s="26"/>
      <c r="J45" s="8"/>
      <c r="K45" s="14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6.5" customHeight="1">
      <c r="A46" s="25"/>
      <c r="B46" s="8" t="s">
        <v>424</v>
      </c>
      <c r="C46" s="271">
        <f t="shared" si="3"/>
        <v>2379000</v>
      </c>
      <c r="D46" s="484"/>
      <c r="E46" s="489">
        <v>1190000.0</v>
      </c>
      <c r="F46" s="417"/>
      <c r="G46" s="492"/>
      <c r="H46" s="427"/>
      <c r="I46" s="26"/>
      <c r="J46" s="8"/>
      <c r="K46" s="14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6.5" customHeight="1">
      <c r="A47" s="25"/>
      <c r="B47" s="8" t="s">
        <v>425</v>
      </c>
      <c r="C47" s="271">
        <f t="shared" si="3"/>
        <v>2979000</v>
      </c>
      <c r="D47" s="484"/>
      <c r="E47" s="489">
        <v>1490000.0</v>
      </c>
      <c r="F47" s="417"/>
      <c r="G47" s="492"/>
      <c r="H47" s="427"/>
      <c r="I47" s="26"/>
      <c r="J47" s="8"/>
      <c r="K47" s="14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6.5" customHeight="1">
      <c r="A48" s="25"/>
      <c r="B48" s="8" t="s">
        <v>426</v>
      </c>
      <c r="C48" s="271">
        <v>199000.0</v>
      </c>
      <c r="D48" s="484"/>
      <c r="E48" s="489">
        <v>100000.0</v>
      </c>
      <c r="F48" s="417"/>
      <c r="G48" s="492"/>
      <c r="H48" s="427"/>
      <c r="I48" s="26"/>
      <c r="J48" s="8"/>
      <c r="K48" s="14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6.5" customHeight="1">
      <c r="A49" s="25"/>
      <c r="B49" s="8" t="s">
        <v>427</v>
      </c>
      <c r="C49" s="271">
        <v>299000.0</v>
      </c>
      <c r="D49" s="484"/>
      <c r="E49" s="489">
        <v>150000.0</v>
      </c>
      <c r="F49" s="417"/>
      <c r="G49" s="492"/>
      <c r="H49" s="427"/>
      <c r="I49" s="26"/>
      <c r="J49" s="8"/>
      <c r="K49" s="14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6.5" customHeight="1">
      <c r="A50" s="25"/>
      <c r="B50" s="8" t="s">
        <v>428</v>
      </c>
      <c r="C50" s="271">
        <v>399000.0</v>
      </c>
      <c r="D50" s="484"/>
      <c r="E50" s="489">
        <v>200000.0</v>
      </c>
      <c r="F50" s="417"/>
      <c r="G50" s="492"/>
      <c r="H50" s="427"/>
      <c r="I50" s="26"/>
      <c r="J50" s="8"/>
      <c r="K50" s="14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6.5" customHeight="1">
      <c r="A51" s="25"/>
      <c r="B51" s="8" t="s">
        <v>429</v>
      </c>
      <c r="C51" s="271">
        <v>359000.0</v>
      </c>
      <c r="D51" s="484"/>
      <c r="E51" s="489">
        <v>180000.0</v>
      </c>
      <c r="F51" s="417"/>
      <c r="G51" s="492"/>
      <c r="H51" s="427"/>
      <c r="I51" s="26"/>
      <c r="J51" s="8"/>
      <c r="K51" s="14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6.5" customHeight="1">
      <c r="A52" s="25"/>
      <c r="B52" s="8" t="s">
        <v>430</v>
      </c>
      <c r="C52" s="271">
        <v>399000.0</v>
      </c>
      <c r="D52" s="484"/>
      <c r="E52" s="489">
        <v>200000.0</v>
      </c>
      <c r="F52" s="417"/>
      <c r="G52" s="492"/>
      <c r="H52" s="427"/>
      <c r="I52" s="26"/>
      <c r="J52" s="8"/>
      <c r="K52" s="14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6.5" customHeight="1">
      <c r="A53" s="11"/>
      <c r="B53" s="213" t="s">
        <v>431</v>
      </c>
      <c r="C53" s="278">
        <v>799000.0</v>
      </c>
      <c r="D53" s="484"/>
      <c r="E53" s="489">
        <v>400000.0</v>
      </c>
      <c r="F53" s="417"/>
      <c r="G53" s="493"/>
      <c r="H53" s="434"/>
      <c r="I53" s="26"/>
      <c r="J53" s="8"/>
      <c r="K53" s="14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5.75" customHeight="1">
      <c r="A54" s="494" t="s">
        <v>432</v>
      </c>
      <c r="B54" s="495" t="s">
        <v>433</v>
      </c>
      <c r="C54" s="266">
        <f t="shared" ref="C54:C56" si="4">E54*2-1000</f>
        <v>2779000</v>
      </c>
      <c r="D54" s="469">
        <f>560000+179000+420000+219000+100000</f>
        <v>1478000</v>
      </c>
      <c r="E54" s="496">
        <v>1390000.0</v>
      </c>
      <c r="F54" s="417">
        <f t="shared" ref="F54:F56" si="5">1-E54/D54</f>
        <v>0.05953991881</v>
      </c>
      <c r="G54" s="497"/>
      <c r="H54" s="498"/>
      <c r="I54" s="499"/>
      <c r="J54" s="92"/>
      <c r="K54" s="14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</row>
    <row r="55" ht="16.5" customHeight="1">
      <c r="A55" s="25"/>
      <c r="B55" s="459" t="s">
        <v>434</v>
      </c>
      <c r="C55" s="271">
        <f t="shared" si="4"/>
        <v>4799000</v>
      </c>
      <c r="D55" s="475">
        <f>1800000+600000+100000</f>
        <v>2500000</v>
      </c>
      <c r="E55" s="460">
        <v>2400000.0</v>
      </c>
      <c r="F55" s="417">
        <f t="shared" si="5"/>
        <v>0.04</v>
      </c>
      <c r="G55" s="497"/>
      <c r="H55" s="429"/>
      <c r="I55" s="25"/>
      <c r="J55" s="92"/>
      <c r="K55" s="14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</row>
    <row r="56" ht="16.5" customHeight="1">
      <c r="A56" s="11"/>
      <c r="B56" s="195" t="s">
        <v>435</v>
      </c>
      <c r="C56" s="278">
        <f t="shared" si="4"/>
        <v>7979000</v>
      </c>
      <c r="D56" s="478">
        <v>4119000.0</v>
      </c>
      <c r="E56" s="500">
        <v>3990000.0</v>
      </c>
      <c r="F56" s="501">
        <f t="shared" si="5"/>
        <v>0.03131828114</v>
      </c>
      <c r="G56" s="502"/>
      <c r="H56" s="503"/>
      <c r="I56" s="11"/>
      <c r="J56" s="92"/>
      <c r="K56" s="14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</row>
    <row r="57" ht="16.5" customHeight="1">
      <c r="A57" s="215" t="s">
        <v>488</v>
      </c>
      <c r="K57" s="14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6.5" customHeight="1">
      <c r="A58" s="10"/>
      <c r="K58" s="14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6.5" customHeight="1">
      <c r="A59" s="10"/>
      <c r="K59" s="14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6.5" customHeight="1">
      <c r="A60" s="10"/>
      <c r="K60" s="14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6.5" customHeight="1">
      <c r="A61" s="58"/>
      <c r="B61" s="82"/>
      <c r="C61" s="82"/>
      <c r="D61" s="82"/>
      <c r="E61" s="82"/>
      <c r="F61" s="82"/>
      <c r="G61" s="82"/>
      <c r="H61" s="82"/>
      <c r="I61" s="82"/>
      <c r="J61" s="82"/>
      <c r="K61" s="83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6.5" customHeight="1">
      <c r="A62" s="8"/>
      <c r="B62" s="92"/>
      <c r="C62" s="8"/>
      <c r="D62" s="8"/>
      <c r="E62" s="8"/>
      <c r="F62" s="8"/>
      <c r="G62" s="216"/>
      <c r="H62" s="216"/>
      <c r="I62" s="216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6.5" customHeight="1">
      <c r="A63" s="8"/>
      <c r="B63" s="407"/>
      <c r="C63" s="8"/>
      <c r="D63" s="8"/>
      <c r="E63" s="8"/>
      <c r="F63" s="8"/>
      <c r="G63" s="216"/>
      <c r="H63" s="216"/>
      <c r="I63" s="216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6.5" customHeight="1">
      <c r="A64" s="8"/>
      <c r="B64" s="407"/>
      <c r="C64" s="8"/>
      <c r="D64" s="8"/>
      <c r="E64" s="8"/>
      <c r="F64" s="8"/>
      <c r="G64" s="216"/>
      <c r="H64" s="216"/>
      <c r="I64" s="216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6.5" customHeight="1">
      <c r="A65" s="8"/>
      <c r="B65" s="407"/>
      <c r="C65" s="8"/>
      <c r="D65" s="8"/>
      <c r="E65" s="8"/>
      <c r="F65" s="8"/>
      <c r="G65" s="216"/>
      <c r="H65" s="216"/>
      <c r="I65" s="216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6.5" customHeight="1">
      <c r="A66" s="8"/>
      <c r="B66" s="407"/>
      <c r="C66" s="8"/>
      <c r="D66" s="8"/>
      <c r="E66" s="8"/>
      <c r="F66" s="8"/>
      <c r="G66" s="216"/>
      <c r="H66" s="216"/>
      <c r="I66" s="216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6.5" customHeight="1">
      <c r="A67" s="8"/>
      <c r="B67" s="407"/>
      <c r="C67" s="8"/>
      <c r="D67" s="8"/>
      <c r="E67" s="8"/>
      <c r="F67" s="8"/>
      <c r="G67" s="216"/>
      <c r="H67" s="216"/>
      <c r="I67" s="216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6.5" customHeight="1">
      <c r="A68" s="8"/>
      <c r="B68" s="407"/>
      <c r="C68" s="8"/>
      <c r="D68" s="8"/>
      <c r="E68" s="8"/>
      <c r="F68" s="8"/>
      <c r="G68" s="216"/>
      <c r="H68" s="216"/>
      <c r="I68" s="216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6.5" customHeight="1">
      <c r="A69" s="8"/>
      <c r="B69" s="407"/>
      <c r="C69" s="8"/>
      <c r="D69" s="8"/>
      <c r="E69" s="8"/>
      <c r="F69" s="8"/>
      <c r="G69" s="216"/>
      <c r="H69" s="216"/>
      <c r="I69" s="216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6.5" customHeight="1">
      <c r="A70" s="8"/>
      <c r="B70" s="407"/>
      <c r="C70" s="8"/>
      <c r="D70" s="8"/>
      <c r="E70" s="8"/>
      <c r="F70" s="8"/>
      <c r="G70" s="216"/>
      <c r="H70" s="216"/>
      <c r="I70" s="216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6.5" customHeight="1">
      <c r="A71" s="8"/>
      <c r="B71" s="407"/>
      <c r="C71" s="8"/>
      <c r="D71" s="8"/>
      <c r="E71" s="8"/>
      <c r="F71" s="8"/>
      <c r="G71" s="216"/>
      <c r="H71" s="216"/>
      <c r="I71" s="216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6.5" customHeight="1">
      <c r="A72" s="8"/>
      <c r="B72" s="407"/>
      <c r="C72" s="8"/>
      <c r="D72" s="8"/>
      <c r="E72" s="8"/>
      <c r="F72" s="8"/>
      <c r="G72" s="216"/>
      <c r="H72" s="216"/>
      <c r="I72" s="216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6.5" customHeight="1">
      <c r="A73" s="8"/>
      <c r="B73" s="407"/>
      <c r="C73" s="8"/>
      <c r="D73" s="8"/>
      <c r="E73" s="8"/>
      <c r="F73" s="8"/>
      <c r="G73" s="216"/>
      <c r="H73" s="216"/>
      <c r="I73" s="216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6.5" customHeight="1">
      <c r="A74" s="8"/>
      <c r="B74" s="407"/>
      <c r="C74" s="8"/>
      <c r="D74" s="8"/>
      <c r="E74" s="8"/>
      <c r="F74" s="8"/>
      <c r="G74" s="216"/>
      <c r="H74" s="216"/>
      <c r="I74" s="216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6.5" customHeight="1">
      <c r="A75" s="8"/>
      <c r="B75" s="407"/>
      <c r="C75" s="8"/>
      <c r="D75" s="8"/>
      <c r="E75" s="8"/>
      <c r="F75" s="8"/>
      <c r="G75" s="216"/>
      <c r="H75" s="216"/>
      <c r="I75" s="216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6.5" customHeight="1">
      <c r="A76" s="8"/>
      <c r="B76" s="407"/>
      <c r="C76" s="8"/>
      <c r="D76" s="8"/>
      <c r="E76" s="8"/>
      <c r="F76" s="8"/>
      <c r="G76" s="216"/>
      <c r="H76" s="216"/>
      <c r="I76" s="216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6.5" customHeight="1">
      <c r="A77" s="8"/>
      <c r="B77" s="407"/>
      <c r="C77" s="8"/>
      <c r="D77" s="8"/>
      <c r="E77" s="8"/>
      <c r="F77" s="8"/>
      <c r="G77" s="216"/>
      <c r="H77" s="216"/>
      <c r="I77" s="216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6.5" customHeight="1">
      <c r="A78" s="8"/>
      <c r="B78" s="407"/>
      <c r="C78" s="8"/>
      <c r="D78" s="8"/>
      <c r="E78" s="8"/>
      <c r="F78" s="8"/>
      <c r="G78" s="216"/>
      <c r="H78" s="216"/>
      <c r="I78" s="216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6.5" customHeight="1">
      <c r="A79" s="8"/>
      <c r="B79" s="407"/>
      <c r="C79" s="8"/>
      <c r="D79" s="8"/>
      <c r="E79" s="8"/>
      <c r="F79" s="8"/>
      <c r="G79" s="216"/>
      <c r="H79" s="216"/>
      <c r="I79" s="216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6.5" customHeight="1">
      <c r="A80" s="8"/>
      <c r="B80" s="407"/>
      <c r="C80" s="8"/>
      <c r="D80" s="8"/>
      <c r="E80" s="8"/>
      <c r="F80" s="8"/>
      <c r="G80" s="216"/>
      <c r="H80" s="216"/>
      <c r="I80" s="216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6.5" customHeight="1">
      <c r="A81" s="8"/>
      <c r="B81" s="407"/>
      <c r="C81" s="8"/>
      <c r="D81" s="8"/>
      <c r="E81" s="8"/>
      <c r="F81" s="8"/>
      <c r="G81" s="216"/>
      <c r="H81" s="216"/>
      <c r="I81" s="216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6.5" customHeight="1">
      <c r="A82" s="8"/>
      <c r="B82" s="407"/>
      <c r="C82" s="8"/>
      <c r="D82" s="8"/>
      <c r="E82" s="8"/>
      <c r="F82" s="8"/>
      <c r="G82" s="216"/>
      <c r="H82" s="216"/>
      <c r="I82" s="216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6.5" customHeight="1">
      <c r="A83" s="8"/>
      <c r="B83" s="407"/>
      <c r="C83" s="8"/>
      <c r="D83" s="8"/>
      <c r="E83" s="8"/>
      <c r="F83" s="8"/>
      <c r="G83" s="216"/>
      <c r="H83" s="216"/>
      <c r="I83" s="216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6.5" customHeight="1">
      <c r="A84" s="8"/>
      <c r="B84" s="407"/>
      <c r="C84" s="8"/>
      <c r="D84" s="8"/>
      <c r="E84" s="8"/>
      <c r="F84" s="8"/>
      <c r="G84" s="216"/>
      <c r="H84" s="216"/>
      <c r="I84" s="216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6.5" customHeight="1">
      <c r="A85" s="8"/>
      <c r="B85" s="407"/>
      <c r="C85" s="8"/>
      <c r="D85" s="8"/>
      <c r="E85" s="8"/>
      <c r="F85" s="8"/>
      <c r="G85" s="216"/>
      <c r="H85" s="216"/>
      <c r="I85" s="216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6.5" customHeight="1">
      <c r="A86" s="8"/>
      <c r="B86" s="407"/>
      <c r="C86" s="8"/>
      <c r="D86" s="8"/>
      <c r="E86" s="8"/>
      <c r="F86" s="8"/>
      <c r="G86" s="216"/>
      <c r="H86" s="216"/>
      <c r="I86" s="216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6.5" customHeight="1">
      <c r="A87" s="8"/>
      <c r="B87" s="407"/>
      <c r="C87" s="8"/>
      <c r="D87" s="8"/>
      <c r="E87" s="8"/>
      <c r="F87" s="8"/>
      <c r="G87" s="216"/>
      <c r="H87" s="216"/>
      <c r="I87" s="216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6.5" customHeight="1">
      <c r="A88" s="8"/>
      <c r="B88" s="407"/>
      <c r="C88" s="8"/>
      <c r="D88" s="8"/>
      <c r="E88" s="8"/>
      <c r="F88" s="8"/>
      <c r="G88" s="216"/>
      <c r="H88" s="216"/>
      <c r="I88" s="216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6.5" customHeight="1">
      <c r="A89" s="8"/>
      <c r="B89" s="407"/>
      <c r="C89" s="8"/>
      <c r="D89" s="8"/>
      <c r="E89" s="8"/>
      <c r="F89" s="8"/>
      <c r="G89" s="216"/>
      <c r="H89" s="216"/>
      <c r="I89" s="216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6.5" customHeight="1">
      <c r="A90" s="8"/>
      <c r="B90" s="407"/>
      <c r="C90" s="8"/>
      <c r="D90" s="8"/>
      <c r="E90" s="8"/>
      <c r="F90" s="8"/>
      <c r="G90" s="216"/>
      <c r="H90" s="216"/>
      <c r="I90" s="216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6.5" customHeight="1">
      <c r="A91" s="8"/>
      <c r="B91" s="407"/>
      <c r="C91" s="8"/>
      <c r="D91" s="8"/>
      <c r="E91" s="8"/>
      <c r="F91" s="8"/>
      <c r="G91" s="216"/>
      <c r="H91" s="216"/>
      <c r="I91" s="216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6.5" customHeight="1">
      <c r="A92" s="8"/>
      <c r="B92" s="407"/>
      <c r="C92" s="8"/>
      <c r="D92" s="8"/>
      <c r="E92" s="8"/>
      <c r="F92" s="8"/>
      <c r="G92" s="216"/>
      <c r="H92" s="216"/>
      <c r="I92" s="216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6.5" customHeight="1">
      <c r="A93" s="8"/>
      <c r="B93" s="407"/>
      <c r="C93" s="8"/>
      <c r="D93" s="8"/>
      <c r="E93" s="8"/>
      <c r="F93" s="8"/>
      <c r="G93" s="216"/>
      <c r="H93" s="216"/>
      <c r="I93" s="216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6.5" customHeight="1">
      <c r="A94" s="8"/>
      <c r="B94" s="407"/>
      <c r="C94" s="8"/>
      <c r="D94" s="8"/>
      <c r="E94" s="8"/>
      <c r="F94" s="8"/>
      <c r="G94" s="216"/>
      <c r="H94" s="216"/>
      <c r="I94" s="216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6.5" customHeight="1">
      <c r="A95" s="8"/>
      <c r="B95" s="407"/>
      <c r="C95" s="8"/>
      <c r="D95" s="8"/>
      <c r="E95" s="8"/>
      <c r="F95" s="8"/>
      <c r="G95" s="216"/>
      <c r="H95" s="216"/>
      <c r="I95" s="216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6.5" customHeight="1">
      <c r="A96" s="8"/>
      <c r="B96" s="407"/>
      <c r="C96" s="8"/>
      <c r="D96" s="8"/>
      <c r="E96" s="8"/>
      <c r="F96" s="8"/>
      <c r="G96" s="216"/>
      <c r="H96" s="216"/>
      <c r="I96" s="216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6.5" customHeight="1">
      <c r="A97" s="8"/>
      <c r="B97" s="407"/>
      <c r="C97" s="8"/>
      <c r="D97" s="8"/>
      <c r="E97" s="8"/>
      <c r="F97" s="8"/>
      <c r="G97" s="216"/>
      <c r="H97" s="216"/>
      <c r="I97" s="216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6.5" customHeight="1">
      <c r="A98" s="8"/>
      <c r="B98" s="407"/>
      <c r="C98" s="8"/>
      <c r="D98" s="8"/>
      <c r="E98" s="8"/>
      <c r="F98" s="8"/>
      <c r="G98" s="216"/>
      <c r="H98" s="216"/>
      <c r="I98" s="21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6.5" customHeight="1">
      <c r="A99" s="8"/>
      <c r="B99" s="407"/>
      <c r="C99" s="8"/>
      <c r="D99" s="8"/>
      <c r="E99" s="8"/>
      <c r="F99" s="8"/>
      <c r="G99" s="216"/>
      <c r="H99" s="216"/>
      <c r="I99" s="216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6.5" customHeight="1">
      <c r="A100" s="8"/>
      <c r="B100" s="407"/>
      <c r="C100" s="8"/>
      <c r="D100" s="8"/>
      <c r="E100" s="8"/>
      <c r="F100" s="8"/>
      <c r="G100" s="216"/>
      <c r="H100" s="216"/>
      <c r="I100" s="216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6.5" customHeight="1">
      <c r="A101" s="8"/>
      <c r="B101" s="407"/>
      <c r="C101" s="8"/>
      <c r="D101" s="8"/>
      <c r="E101" s="8"/>
      <c r="F101" s="8"/>
      <c r="G101" s="216"/>
      <c r="H101" s="216"/>
      <c r="I101" s="216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6.5" customHeight="1">
      <c r="A102" s="8"/>
      <c r="B102" s="407"/>
      <c r="C102" s="8"/>
      <c r="D102" s="8"/>
      <c r="E102" s="8"/>
      <c r="F102" s="8"/>
      <c r="G102" s="216"/>
      <c r="H102" s="216"/>
      <c r="I102" s="216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6.5" customHeight="1">
      <c r="A103" s="8"/>
      <c r="B103" s="407"/>
      <c r="C103" s="8"/>
      <c r="D103" s="8"/>
      <c r="E103" s="8"/>
      <c r="F103" s="8"/>
      <c r="G103" s="216"/>
      <c r="H103" s="216"/>
      <c r="I103" s="216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6.5" customHeight="1">
      <c r="A104" s="8"/>
      <c r="B104" s="407"/>
      <c r="C104" s="8"/>
      <c r="D104" s="8"/>
      <c r="E104" s="8"/>
      <c r="F104" s="8"/>
      <c r="G104" s="216"/>
      <c r="H104" s="216"/>
      <c r="I104" s="21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6.5" customHeight="1">
      <c r="A105" s="8"/>
      <c r="B105" s="407"/>
      <c r="C105" s="8"/>
      <c r="D105" s="8"/>
      <c r="E105" s="8"/>
      <c r="F105" s="8"/>
      <c r="G105" s="216"/>
      <c r="H105" s="216"/>
      <c r="I105" s="216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6.5" customHeight="1">
      <c r="A106" s="8"/>
      <c r="B106" s="407"/>
      <c r="C106" s="8"/>
      <c r="D106" s="8"/>
      <c r="E106" s="8"/>
      <c r="F106" s="8"/>
      <c r="G106" s="216"/>
      <c r="H106" s="216"/>
      <c r="I106" s="216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6.5" customHeight="1">
      <c r="A107" s="8"/>
      <c r="B107" s="407"/>
      <c r="C107" s="8"/>
      <c r="D107" s="8"/>
      <c r="E107" s="8"/>
      <c r="F107" s="8"/>
      <c r="G107" s="216"/>
      <c r="H107" s="216"/>
      <c r="I107" s="21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6.5" customHeight="1">
      <c r="A108" s="8"/>
      <c r="B108" s="407"/>
      <c r="C108" s="8"/>
      <c r="D108" s="8"/>
      <c r="E108" s="8"/>
      <c r="F108" s="8"/>
      <c r="G108" s="216"/>
      <c r="H108" s="216"/>
      <c r="I108" s="216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6.5" customHeight="1">
      <c r="A109" s="8"/>
      <c r="B109" s="407"/>
      <c r="C109" s="8"/>
      <c r="D109" s="8"/>
      <c r="E109" s="8"/>
      <c r="F109" s="8"/>
      <c r="G109" s="216"/>
      <c r="H109" s="216"/>
      <c r="I109" s="216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6.5" customHeight="1">
      <c r="A110" s="8"/>
      <c r="B110" s="407"/>
      <c r="C110" s="8"/>
      <c r="D110" s="8"/>
      <c r="E110" s="8"/>
      <c r="F110" s="8"/>
      <c r="G110" s="216"/>
      <c r="H110" s="216"/>
      <c r="I110" s="21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6.5" customHeight="1">
      <c r="A111" s="8"/>
      <c r="B111" s="407"/>
      <c r="C111" s="8"/>
      <c r="D111" s="8"/>
      <c r="E111" s="8"/>
      <c r="F111" s="8"/>
      <c r="G111" s="216"/>
      <c r="H111" s="216"/>
      <c r="I111" s="216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6.5" customHeight="1">
      <c r="A112" s="8"/>
      <c r="B112" s="407"/>
      <c r="C112" s="8"/>
      <c r="D112" s="8"/>
      <c r="E112" s="8"/>
      <c r="F112" s="8"/>
      <c r="G112" s="216"/>
      <c r="H112" s="216"/>
      <c r="I112" s="216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6.5" customHeight="1">
      <c r="A113" s="8"/>
      <c r="B113" s="407"/>
      <c r="C113" s="8"/>
      <c r="D113" s="8"/>
      <c r="E113" s="8"/>
      <c r="F113" s="8"/>
      <c r="G113" s="216"/>
      <c r="H113" s="216"/>
      <c r="I113" s="21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6.5" customHeight="1">
      <c r="A114" s="8"/>
      <c r="B114" s="407"/>
      <c r="C114" s="8"/>
      <c r="D114" s="8"/>
      <c r="E114" s="8"/>
      <c r="F114" s="8"/>
      <c r="G114" s="216"/>
      <c r="H114" s="216"/>
      <c r="I114" s="216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6.5" customHeight="1">
      <c r="A115" s="8"/>
      <c r="B115" s="407"/>
      <c r="C115" s="8"/>
      <c r="D115" s="8"/>
      <c r="E115" s="8"/>
      <c r="F115" s="8"/>
      <c r="G115" s="216"/>
      <c r="H115" s="216"/>
      <c r="I115" s="216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6.5" customHeight="1">
      <c r="A116" s="8"/>
      <c r="B116" s="407"/>
      <c r="C116" s="8"/>
      <c r="D116" s="8"/>
      <c r="E116" s="8"/>
      <c r="F116" s="8"/>
      <c r="G116" s="216"/>
      <c r="H116" s="216"/>
      <c r="I116" s="21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6.5" customHeight="1">
      <c r="A117" s="8"/>
      <c r="B117" s="407"/>
      <c r="C117" s="8"/>
      <c r="D117" s="8"/>
      <c r="E117" s="8"/>
      <c r="F117" s="8"/>
      <c r="G117" s="216"/>
      <c r="H117" s="216"/>
      <c r="I117" s="216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6.5" customHeight="1">
      <c r="A118" s="8"/>
      <c r="B118" s="407"/>
      <c r="C118" s="8"/>
      <c r="D118" s="8"/>
      <c r="E118" s="8"/>
      <c r="F118" s="8"/>
      <c r="G118" s="216"/>
      <c r="H118" s="216"/>
      <c r="I118" s="216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6.5" customHeight="1">
      <c r="A119" s="8"/>
      <c r="B119" s="407"/>
      <c r="C119" s="8"/>
      <c r="D119" s="8"/>
      <c r="E119" s="8"/>
      <c r="F119" s="8"/>
      <c r="G119" s="216"/>
      <c r="H119" s="216"/>
      <c r="I119" s="216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6.5" customHeight="1">
      <c r="A120" s="8"/>
      <c r="B120" s="407"/>
      <c r="C120" s="8"/>
      <c r="D120" s="8"/>
      <c r="E120" s="8"/>
      <c r="F120" s="8"/>
      <c r="G120" s="216"/>
      <c r="H120" s="216"/>
      <c r="I120" s="216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6.5" customHeight="1">
      <c r="A121" s="8"/>
      <c r="B121" s="407"/>
      <c r="C121" s="8"/>
      <c r="D121" s="8"/>
      <c r="E121" s="8"/>
      <c r="F121" s="8"/>
      <c r="G121" s="216"/>
      <c r="H121" s="216"/>
      <c r="I121" s="216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6.5" customHeight="1">
      <c r="A122" s="8"/>
      <c r="B122" s="407"/>
      <c r="C122" s="8"/>
      <c r="D122" s="8"/>
      <c r="E122" s="8"/>
      <c r="F122" s="8"/>
      <c r="G122" s="216"/>
      <c r="H122" s="216"/>
      <c r="I122" s="216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6.5" customHeight="1">
      <c r="A123" s="8"/>
      <c r="B123" s="407"/>
      <c r="C123" s="8"/>
      <c r="D123" s="8"/>
      <c r="E123" s="8"/>
      <c r="F123" s="8"/>
      <c r="G123" s="216"/>
      <c r="H123" s="216"/>
      <c r="I123" s="216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6.5" customHeight="1">
      <c r="A124" s="8"/>
      <c r="B124" s="407"/>
      <c r="C124" s="8"/>
      <c r="D124" s="8"/>
      <c r="E124" s="8"/>
      <c r="F124" s="8"/>
      <c r="G124" s="216"/>
      <c r="H124" s="216"/>
      <c r="I124" s="216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6.5" customHeight="1">
      <c r="A125" s="8"/>
      <c r="B125" s="407"/>
      <c r="C125" s="8"/>
      <c r="D125" s="8"/>
      <c r="E125" s="8"/>
      <c r="F125" s="8"/>
      <c r="G125" s="216"/>
      <c r="H125" s="216"/>
      <c r="I125" s="216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6.5" customHeight="1">
      <c r="A126" s="8"/>
      <c r="B126" s="407"/>
      <c r="C126" s="8"/>
      <c r="D126" s="8"/>
      <c r="E126" s="8"/>
      <c r="F126" s="8"/>
      <c r="G126" s="216"/>
      <c r="H126" s="216"/>
      <c r="I126" s="216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6.5" customHeight="1">
      <c r="A127" s="8"/>
      <c r="B127" s="407"/>
      <c r="C127" s="8"/>
      <c r="D127" s="8"/>
      <c r="E127" s="8"/>
      <c r="F127" s="8"/>
      <c r="G127" s="216"/>
      <c r="H127" s="216"/>
      <c r="I127" s="216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6.5" customHeight="1">
      <c r="A128" s="8"/>
      <c r="B128" s="407"/>
      <c r="C128" s="8"/>
      <c r="D128" s="8"/>
      <c r="E128" s="8"/>
      <c r="F128" s="8"/>
      <c r="G128" s="216"/>
      <c r="H128" s="216"/>
      <c r="I128" s="216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6.5" customHeight="1">
      <c r="A129" s="8"/>
      <c r="B129" s="407"/>
      <c r="C129" s="8"/>
      <c r="D129" s="8"/>
      <c r="E129" s="8"/>
      <c r="F129" s="8"/>
      <c r="G129" s="216"/>
      <c r="H129" s="216"/>
      <c r="I129" s="21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6.5" customHeight="1">
      <c r="A130" s="8"/>
      <c r="B130" s="407"/>
      <c r="C130" s="8"/>
      <c r="D130" s="8"/>
      <c r="E130" s="8"/>
      <c r="F130" s="8"/>
      <c r="G130" s="216"/>
      <c r="H130" s="216"/>
      <c r="I130" s="21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6.5" customHeight="1">
      <c r="A131" s="8"/>
      <c r="B131" s="407"/>
      <c r="C131" s="8"/>
      <c r="D131" s="8"/>
      <c r="E131" s="8"/>
      <c r="F131" s="8"/>
      <c r="G131" s="216"/>
      <c r="H131" s="216"/>
      <c r="I131" s="216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6.5" customHeight="1">
      <c r="A132" s="8"/>
      <c r="B132" s="407"/>
      <c r="C132" s="8"/>
      <c r="D132" s="8"/>
      <c r="E132" s="8"/>
      <c r="F132" s="8"/>
      <c r="G132" s="216"/>
      <c r="H132" s="216"/>
      <c r="I132" s="216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6.5" customHeight="1">
      <c r="A133" s="8"/>
      <c r="B133" s="407"/>
      <c r="C133" s="8"/>
      <c r="D133" s="8"/>
      <c r="E133" s="8"/>
      <c r="F133" s="8"/>
      <c r="G133" s="216"/>
      <c r="H133" s="216"/>
      <c r="I133" s="21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6.5" customHeight="1">
      <c r="A134" s="8"/>
      <c r="B134" s="407"/>
      <c r="C134" s="8"/>
      <c r="D134" s="8"/>
      <c r="E134" s="8"/>
      <c r="F134" s="8"/>
      <c r="G134" s="216"/>
      <c r="H134" s="216"/>
      <c r="I134" s="216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6.5" customHeight="1">
      <c r="A135" s="8"/>
      <c r="B135" s="407"/>
      <c r="C135" s="8"/>
      <c r="D135" s="8"/>
      <c r="E135" s="8"/>
      <c r="F135" s="8"/>
      <c r="G135" s="216"/>
      <c r="H135" s="216"/>
      <c r="I135" s="216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6.5" customHeight="1">
      <c r="A136" s="8"/>
      <c r="B136" s="407"/>
      <c r="C136" s="8"/>
      <c r="D136" s="8"/>
      <c r="E136" s="8"/>
      <c r="F136" s="8"/>
      <c r="G136" s="216"/>
      <c r="H136" s="216"/>
      <c r="I136" s="21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6.5" customHeight="1">
      <c r="A137" s="8"/>
      <c r="B137" s="407"/>
      <c r="C137" s="8"/>
      <c r="D137" s="8"/>
      <c r="E137" s="8"/>
      <c r="F137" s="8"/>
      <c r="G137" s="216"/>
      <c r="H137" s="216"/>
      <c r="I137" s="216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6.5" customHeight="1">
      <c r="A138" s="8"/>
      <c r="B138" s="407"/>
      <c r="C138" s="8"/>
      <c r="D138" s="8"/>
      <c r="E138" s="8"/>
      <c r="F138" s="8"/>
      <c r="G138" s="216"/>
      <c r="H138" s="216"/>
      <c r="I138" s="21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6.5" customHeight="1">
      <c r="A139" s="8"/>
      <c r="B139" s="407"/>
      <c r="C139" s="8"/>
      <c r="D139" s="8"/>
      <c r="E139" s="8"/>
      <c r="F139" s="8"/>
      <c r="G139" s="216"/>
      <c r="H139" s="216"/>
      <c r="I139" s="21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6.5" customHeight="1">
      <c r="A140" s="8"/>
      <c r="B140" s="407"/>
      <c r="C140" s="8"/>
      <c r="D140" s="8"/>
      <c r="E140" s="8"/>
      <c r="F140" s="8"/>
      <c r="G140" s="216"/>
      <c r="H140" s="216"/>
      <c r="I140" s="216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6.5" customHeight="1">
      <c r="A141" s="8"/>
      <c r="B141" s="407"/>
      <c r="C141" s="8"/>
      <c r="D141" s="8"/>
      <c r="E141" s="8"/>
      <c r="F141" s="8"/>
      <c r="G141" s="216"/>
      <c r="H141" s="216"/>
      <c r="I141" s="216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6.5" customHeight="1">
      <c r="A142" s="8"/>
      <c r="B142" s="407"/>
      <c r="C142" s="8"/>
      <c r="D142" s="8"/>
      <c r="E142" s="8"/>
      <c r="F142" s="8"/>
      <c r="G142" s="216"/>
      <c r="H142" s="216"/>
      <c r="I142" s="216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6.5" customHeight="1">
      <c r="A143" s="8"/>
      <c r="B143" s="407"/>
      <c r="C143" s="8"/>
      <c r="D143" s="8"/>
      <c r="E143" s="8"/>
      <c r="F143" s="8"/>
      <c r="G143" s="216"/>
      <c r="H143" s="216"/>
      <c r="I143" s="216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6.5" customHeight="1">
      <c r="A144" s="8"/>
      <c r="B144" s="407"/>
      <c r="C144" s="8"/>
      <c r="D144" s="8"/>
      <c r="E144" s="8"/>
      <c r="F144" s="8"/>
      <c r="G144" s="216"/>
      <c r="H144" s="216"/>
      <c r="I144" s="216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6.5" customHeight="1">
      <c r="A145" s="8"/>
      <c r="B145" s="407"/>
      <c r="C145" s="8"/>
      <c r="D145" s="8"/>
      <c r="E145" s="8"/>
      <c r="F145" s="8"/>
      <c r="G145" s="216"/>
      <c r="H145" s="216"/>
      <c r="I145" s="216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6.5" customHeight="1">
      <c r="A146" s="8"/>
      <c r="B146" s="407"/>
      <c r="C146" s="8"/>
      <c r="D146" s="8"/>
      <c r="E146" s="8"/>
      <c r="F146" s="8"/>
      <c r="G146" s="216"/>
      <c r="H146" s="216"/>
      <c r="I146" s="21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6.5" customHeight="1">
      <c r="A147" s="8"/>
      <c r="B147" s="407"/>
      <c r="C147" s="8"/>
      <c r="D147" s="8"/>
      <c r="E147" s="8"/>
      <c r="F147" s="8"/>
      <c r="G147" s="216"/>
      <c r="H147" s="216"/>
      <c r="I147" s="216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6.5" customHeight="1">
      <c r="A148" s="8"/>
      <c r="B148" s="407"/>
      <c r="C148" s="8"/>
      <c r="D148" s="8"/>
      <c r="E148" s="8"/>
      <c r="F148" s="8"/>
      <c r="G148" s="216"/>
      <c r="H148" s="216"/>
      <c r="I148" s="21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6.5" customHeight="1">
      <c r="A149" s="8"/>
      <c r="B149" s="407"/>
      <c r="C149" s="8"/>
      <c r="D149" s="8"/>
      <c r="E149" s="8"/>
      <c r="F149" s="8"/>
      <c r="G149" s="216"/>
      <c r="H149" s="216"/>
      <c r="I149" s="216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6.5" customHeight="1">
      <c r="A150" s="8"/>
      <c r="B150" s="407"/>
      <c r="C150" s="8"/>
      <c r="D150" s="8"/>
      <c r="E150" s="8"/>
      <c r="F150" s="8"/>
      <c r="G150" s="216"/>
      <c r="H150" s="216"/>
      <c r="I150" s="216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6.5" customHeight="1">
      <c r="A151" s="8"/>
      <c r="B151" s="407"/>
      <c r="C151" s="8"/>
      <c r="D151" s="8"/>
      <c r="E151" s="8"/>
      <c r="F151" s="8"/>
      <c r="G151" s="216"/>
      <c r="H151" s="216"/>
      <c r="I151" s="216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6.5" customHeight="1">
      <c r="A152" s="8"/>
      <c r="B152" s="407"/>
      <c r="C152" s="8"/>
      <c r="D152" s="8"/>
      <c r="E152" s="8"/>
      <c r="F152" s="8"/>
      <c r="G152" s="216"/>
      <c r="H152" s="216"/>
      <c r="I152" s="216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6.5" customHeight="1">
      <c r="A153" s="8"/>
      <c r="B153" s="407"/>
      <c r="C153" s="8"/>
      <c r="D153" s="8"/>
      <c r="E153" s="8"/>
      <c r="F153" s="8"/>
      <c r="G153" s="216"/>
      <c r="H153" s="216"/>
      <c r="I153" s="216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6.5" customHeight="1">
      <c r="A154" s="8"/>
      <c r="B154" s="407"/>
      <c r="C154" s="8"/>
      <c r="D154" s="8"/>
      <c r="E154" s="8"/>
      <c r="F154" s="8"/>
      <c r="G154" s="216"/>
      <c r="H154" s="216"/>
      <c r="I154" s="216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6.5" customHeight="1">
      <c r="A155" s="8"/>
      <c r="B155" s="407"/>
      <c r="C155" s="8"/>
      <c r="D155" s="8"/>
      <c r="E155" s="8"/>
      <c r="F155" s="8"/>
      <c r="G155" s="216"/>
      <c r="H155" s="216"/>
      <c r="I155" s="216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6.5" customHeight="1">
      <c r="A156" s="8"/>
      <c r="B156" s="407"/>
      <c r="C156" s="8"/>
      <c r="D156" s="8"/>
      <c r="E156" s="8"/>
      <c r="F156" s="8"/>
      <c r="G156" s="216"/>
      <c r="H156" s="216"/>
      <c r="I156" s="21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6.5" customHeight="1">
      <c r="A157" s="8"/>
      <c r="B157" s="407"/>
      <c r="C157" s="8"/>
      <c r="D157" s="8"/>
      <c r="E157" s="8"/>
      <c r="F157" s="8"/>
      <c r="G157" s="216"/>
      <c r="H157" s="216"/>
      <c r="I157" s="216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6.5" customHeight="1">
      <c r="A158" s="8"/>
      <c r="B158" s="407"/>
      <c r="C158" s="8"/>
      <c r="D158" s="8"/>
      <c r="E158" s="8"/>
      <c r="F158" s="8"/>
      <c r="G158" s="216"/>
      <c r="H158" s="216"/>
      <c r="I158" s="21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6.5" customHeight="1">
      <c r="A159" s="8"/>
      <c r="B159" s="407"/>
      <c r="C159" s="8"/>
      <c r="D159" s="8"/>
      <c r="E159" s="8"/>
      <c r="F159" s="8"/>
      <c r="G159" s="216"/>
      <c r="H159" s="216"/>
      <c r="I159" s="216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6.5" customHeight="1">
      <c r="A160" s="8"/>
      <c r="B160" s="407"/>
      <c r="C160" s="8"/>
      <c r="D160" s="8"/>
      <c r="E160" s="8"/>
      <c r="F160" s="8"/>
      <c r="G160" s="216"/>
      <c r="H160" s="216"/>
      <c r="I160" s="21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6.5" customHeight="1">
      <c r="A161" s="8"/>
      <c r="B161" s="407"/>
      <c r="C161" s="8"/>
      <c r="D161" s="8"/>
      <c r="E161" s="8"/>
      <c r="F161" s="8"/>
      <c r="G161" s="216"/>
      <c r="H161" s="216"/>
      <c r="I161" s="216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6.5" customHeight="1">
      <c r="A162" s="8"/>
      <c r="B162" s="407"/>
      <c r="C162" s="8"/>
      <c r="D162" s="8"/>
      <c r="E162" s="8"/>
      <c r="F162" s="8"/>
      <c r="G162" s="216"/>
      <c r="H162" s="216"/>
      <c r="I162" s="216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6.5" customHeight="1">
      <c r="A163" s="8"/>
      <c r="B163" s="407"/>
      <c r="C163" s="8"/>
      <c r="D163" s="8"/>
      <c r="E163" s="8"/>
      <c r="F163" s="8"/>
      <c r="G163" s="216"/>
      <c r="H163" s="216"/>
      <c r="I163" s="21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6.5" customHeight="1">
      <c r="A164" s="8"/>
      <c r="B164" s="407"/>
      <c r="C164" s="8"/>
      <c r="D164" s="8"/>
      <c r="E164" s="8"/>
      <c r="F164" s="8"/>
      <c r="G164" s="216"/>
      <c r="H164" s="216"/>
      <c r="I164" s="21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6.5" customHeight="1">
      <c r="A165" s="8"/>
      <c r="B165" s="407"/>
      <c r="C165" s="8"/>
      <c r="D165" s="8"/>
      <c r="E165" s="8"/>
      <c r="F165" s="8"/>
      <c r="G165" s="216"/>
      <c r="H165" s="216"/>
      <c r="I165" s="21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6.5" customHeight="1">
      <c r="A166" s="8"/>
      <c r="B166" s="407"/>
      <c r="C166" s="8"/>
      <c r="D166" s="8"/>
      <c r="E166" s="8"/>
      <c r="F166" s="8"/>
      <c r="G166" s="216"/>
      <c r="H166" s="216"/>
      <c r="I166" s="216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6.5" customHeight="1">
      <c r="A167" s="8"/>
      <c r="B167" s="407"/>
      <c r="C167" s="8"/>
      <c r="D167" s="8"/>
      <c r="E167" s="8"/>
      <c r="F167" s="8"/>
      <c r="G167" s="216"/>
      <c r="H167" s="216"/>
      <c r="I167" s="216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6.5" customHeight="1">
      <c r="A168" s="8"/>
      <c r="B168" s="407"/>
      <c r="C168" s="8"/>
      <c r="D168" s="8"/>
      <c r="E168" s="8"/>
      <c r="F168" s="8"/>
      <c r="G168" s="216"/>
      <c r="H168" s="216"/>
      <c r="I168" s="216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6.5" customHeight="1">
      <c r="A169" s="8"/>
      <c r="B169" s="407"/>
      <c r="C169" s="8"/>
      <c r="D169" s="8"/>
      <c r="E169" s="8"/>
      <c r="F169" s="8"/>
      <c r="G169" s="216"/>
      <c r="H169" s="216"/>
      <c r="I169" s="21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6.5" customHeight="1">
      <c r="A170" s="8"/>
      <c r="B170" s="407"/>
      <c r="C170" s="8"/>
      <c r="D170" s="8"/>
      <c r="E170" s="8"/>
      <c r="F170" s="8"/>
      <c r="G170" s="216"/>
      <c r="H170" s="216"/>
      <c r="I170" s="21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6.5" customHeight="1">
      <c r="A171" s="8"/>
      <c r="B171" s="407"/>
      <c r="C171" s="8"/>
      <c r="D171" s="8"/>
      <c r="E171" s="8"/>
      <c r="F171" s="8"/>
      <c r="G171" s="216"/>
      <c r="H171" s="216"/>
      <c r="I171" s="216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6.5" customHeight="1">
      <c r="A172" s="8"/>
      <c r="B172" s="407"/>
      <c r="C172" s="8"/>
      <c r="D172" s="8"/>
      <c r="E172" s="8"/>
      <c r="F172" s="8"/>
      <c r="G172" s="216"/>
      <c r="H172" s="216"/>
      <c r="I172" s="216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6.5" customHeight="1">
      <c r="A173" s="8"/>
      <c r="B173" s="407"/>
      <c r="C173" s="8"/>
      <c r="D173" s="8"/>
      <c r="E173" s="8"/>
      <c r="F173" s="8"/>
      <c r="G173" s="216"/>
      <c r="H173" s="216"/>
      <c r="I173" s="216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6.5" customHeight="1">
      <c r="A174" s="8"/>
      <c r="B174" s="407"/>
      <c r="C174" s="8"/>
      <c r="D174" s="8"/>
      <c r="E174" s="8"/>
      <c r="F174" s="8"/>
      <c r="G174" s="216"/>
      <c r="H174" s="216"/>
      <c r="I174" s="216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6.5" customHeight="1">
      <c r="A175" s="8"/>
      <c r="B175" s="407"/>
      <c r="C175" s="8"/>
      <c r="D175" s="8"/>
      <c r="E175" s="8"/>
      <c r="F175" s="8"/>
      <c r="G175" s="216"/>
      <c r="H175" s="216"/>
      <c r="I175" s="216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6.5" customHeight="1">
      <c r="A176" s="8"/>
      <c r="B176" s="407"/>
      <c r="C176" s="8"/>
      <c r="D176" s="8"/>
      <c r="E176" s="8"/>
      <c r="F176" s="8"/>
      <c r="G176" s="216"/>
      <c r="H176" s="216"/>
      <c r="I176" s="21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6.5" customHeight="1">
      <c r="A177" s="8"/>
      <c r="B177" s="407"/>
      <c r="C177" s="8"/>
      <c r="D177" s="8"/>
      <c r="E177" s="8"/>
      <c r="F177" s="8"/>
      <c r="G177" s="216"/>
      <c r="H177" s="216"/>
      <c r="I177" s="21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6.5" customHeight="1">
      <c r="A178" s="8"/>
      <c r="B178" s="407"/>
      <c r="C178" s="8"/>
      <c r="D178" s="8"/>
      <c r="E178" s="8"/>
      <c r="F178" s="8"/>
      <c r="G178" s="216"/>
      <c r="H178" s="216"/>
      <c r="I178" s="216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6.5" customHeight="1">
      <c r="A179" s="8"/>
      <c r="B179" s="407"/>
      <c r="C179" s="8"/>
      <c r="D179" s="8"/>
      <c r="E179" s="8"/>
      <c r="F179" s="8"/>
      <c r="G179" s="216"/>
      <c r="H179" s="216"/>
      <c r="I179" s="216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6.5" customHeight="1">
      <c r="A180" s="8"/>
      <c r="B180" s="407"/>
      <c r="C180" s="8"/>
      <c r="D180" s="8"/>
      <c r="E180" s="8"/>
      <c r="F180" s="8"/>
      <c r="G180" s="216"/>
      <c r="H180" s="216"/>
      <c r="I180" s="21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6.5" customHeight="1">
      <c r="A181" s="8"/>
      <c r="B181" s="407"/>
      <c r="C181" s="8"/>
      <c r="D181" s="8"/>
      <c r="E181" s="8"/>
      <c r="F181" s="8"/>
      <c r="G181" s="216"/>
      <c r="H181" s="216"/>
      <c r="I181" s="216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6.5" customHeight="1">
      <c r="A182" s="8"/>
      <c r="B182" s="407"/>
      <c r="C182" s="8"/>
      <c r="D182" s="8"/>
      <c r="E182" s="8"/>
      <c r="F182" s="8"/>
      <c r="G182" s="216"/>
      <c r="H182" s="216"/>
      <c r="I182" s="216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6.5" customHeight="1">
      <c r="A183" s="8"/>
      <c r="B183" s="407"/>
      <c r="C183" s="8"/>
      <c r="D183" s="8"/>
      <c r="E183" s="8"/>
      <c r="F183" s="8"/>
      <c r="G183" s="216"/>
      <c r="H183" s="216"/>
      <c r="I183" s="21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6.5" customHeight="1">
      <c r="A184" s="8"/>
      <c r="B184" s="407"/>
      <c r="C184" s="8"/>
      <c r="D184" s="8"/>
      <c r="E184" s="8"/>
      <c r="F184" s="8"/>
      <c r="G184" s="216"/>
      <c r="H184" s="216"/>
      <c r="I184" s="21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6.5" customHeight="1">
      <c r="A185" s="8"/>
      <c r="B185" s="407"/>
      <c r="C185" s="8"/>
      <c r="D185" s="8"/>
      <c r="E185" s="8"/>
      <c r="F185" s="8"/>
      <c r="G185" s="216"/>
      <c r="H185" s="216"/>
      <c r="I185" s="216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6.5" customHeight="1">
      <c r="A186" s="8"/>
      <c r="B186" s="407"/>
      <c r="C186" s="8"/>
      <c r="D186" s="8"/>
      <c r="E186" s="8"/>
      <c r="F186" s="8"/>
      <c r="G186" s="216"/>
      <c r="H186" s="216"/>
      <c r="I186" s="21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6.5" customHeight="1">
      <c r="A187" s="8"/>
      <c r="B187" s="407"/>
      <c r="C187" s="8"/>
      <c r="D187" s="8"/>
      <c r="E187" s="8"/>
      <c r="F187" s="8"/>
      <c r="G187" s="216"/>
      <c r="H187" s="216"/>
      <c r="I187" s="216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6.5" customHeight="1">
      <c r="A188" s="8"/>
      <c r="B188" s="407"/>
      <c r="C188" s="8"/>
      <c r="D188" s="8"/>
      <c r="E188" s="8"/>
      <c r="F188" s="8"/>
      <c r="G188" s="216"/>
      <c r="H188" s="216"/>
      <c r="I188" s="21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6.5" customHeight="1">
      <c r="A189" s="8"/>
      <c r="B189" s="407"/>
      <c r="C189" s="8"/>
      <c r="D189" s="8"/>
      <c r="E189" s="8"/>
      <c r="F189" s="8"/>
      <c r="G189" s="216"/>
      <c r="H189" s="216"/>
      <c r="I189" s="216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6.5" customHeight="1">
      <c r="A190" s="8"/>
      <c r="B190" s="407"/>
      <c r="C190" s="8"/>
      <c r="D190" s="8"/>
      <c r="E190" s="8"/>
      <c r="F190" s="8"/>
      <c r="G190" s="216"/>
      <c r="H190" s="216"/>
      <c r="I190" s="21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6.5" customHeight="1">
      <c r="A191" s="8"/>
      <c r="B191" s="407"/>
      <c r="C191" s="8"/>
      <c r="D191" s="8"/>
      <c r="E191" s="8"/>
      <c r="F191" s="8"/>
      <c r="G191" s="216"/>
      <c r="H191" s="216"/>
      <c r="I191" s="216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6.5" customHeight="1">
      <c r="A192" s="8"/>
      <c r="B192" s="407"/>
      <c r="C192" s="8"/>
      <c r="D192" s="8"/>
      <c r="E192" s="8"/>
      <c r="F192" s="8"/>
      <c r="G192" s="216"/>
      <c r="H192" s="216"/>
      <c r="I192" s="216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6.5" customHeight="1">
      <c r="A193" s="8"/>
      <c r="B193" s="407"/>
      <c r="C193" s="8"/>
      <c r="D193" s="8"/>
      <c r="E193" s="8"/>
      <c r="F193" s="8"/>
      <c r="G193" s="216"/>
      <c r="H193" s="216"/>
      <c r="I193" s="216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6.5" customHeight="1">
      <c r="A194" s="8"/>
      <c r="B194" s="407"/>
      <c r="C194" s="8"/>
      <c r="D194" s="8"/>
      <c r="E194" s="8"/>
      <c r="F194" s="8"/>
      <c r="G194" s="216"/>
      <c r="H194" s="216"/>
      <c r="I194" s="216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6.5" customHeight="1">
      <c r="A195" s="8"/>
      <c r="B195" s="407"/>
      <c r="C195" s="8"/>
      <c r="D195" s="8"/>
      <c r="E195" s="8"/>
      <c r="F195" s="8"/>
      <c r="G195" s="216"/>
      <c r="H195" s="216"/>
      <c r="I195" s="216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6.5" customHeight="1">
      <c r="A196" s="8"/>
      <c r="B196" s="407"/>
      <c r="C196" s="8"/>
      <c r="D196" s="8"/>
      <c r="E196" s="8"/>
      <c r="F196" s="8"/>
      <c r="G196" s="216"/>
      <c r="H196" s="216"/>
      <c r="I196" s="216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6.5" customHeight="1">
      <c r="A197" s="8"/>
      <c r="B197" s="407"/>
      <c r="C197" s="8"/>
      <c r="D197" s="8"/>
      <c r="E197" s="8"/>
      <c r="F197" s="8"/>
      <c r="G197" s="216"/>
      <c r="H197" s="216"/>
      <c r="I197" s="216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6.5" customHeight="1">
      <c r="A198" s="8"/>
      <c r="B198" s="407"/>
      <c r="C198" s="8"/>
      <c r="D198" s="8"/>
      <c r="E198" s="8"/>
      <c r="F198" s="8"/>
      <c r="G198" s="216"/>
      <c r="H198" s="216"/>
      <c r="I198" s="216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6.5" customHeight="1">
      <c r="A199" s="8"/>
      <c r="B199" s="407"/>
      <c r="C199" s="8"/>
      <c r="D199" s="8"/>
      <c r="E199" s="8"/>
      <c r="F199" s="8"/>
      <c r="G199" s="216"/>
      <c r="H199" s="216"/>
      <c r="I199" s="216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6.5" customHeight="1">
      <c r="A200" s="8"/>
      <c r="B200" s="407"/>
      <c r="C200" s="8"/>
      <c r="D200" s="8"/>
      <c r="E200" s="8"/>
      <c r="F200" s="8"/>
      <c r="G200" s="216"/>
      <c r="H200" s="216"/>
      <c r="I200" s="216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6.5" customHeight="1">
      <c r="A201" s="8"/>
      <c r="B201" s="407"/>
      <c r="C201" s="8"/>
      <c r="D201" s="8"/>
      <c r="E201" s="8"/>
      <c r="F201" s="8"/>
      <c r="G201" s="216"/>
      <c r="H201" s="216"/>
      <c r="I201" s="216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6.5" customHeight="1">
      <c r="A202" s="8"/>
      <c r="B202" s="407"/>
      <c r="C202" s="8"/>
      <c r="D202" s="8"/>
      <c r="E202" s="8"/>
      <c r="F202" s="8"/>
      <c r="G202" s="216"/>
      <c r="H202" s="216"/>
      <c r="I202" s="216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6.5" customHeight="1">
      <c r="A203" s="8"/>
      <c r="B203" s="407"/>
      <c r="C203" s="8"/>
      <c r="D203" s="8"/>
      <c r="E203" s="8"/>
      <c r="F203" s="8"/>
      <c r="G203" s="216"/>
      <c r="H203" s="216"/>
      <c r="I203" s="216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6.5" customHeight="1">
      <c r="A204" s="8"/>
      <c r="B204" s="407"/>
      <c r="C204" s="8"/>
      <c r="D204" s="8"/>
      <c r="E204" s="8"/>
      <c r="F204" s="8"/>
      <c r="G204" s="216"/>
      <c r="H204" s="216"/>
      <c r="I204" s="216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6.5" customHeight="1">
      <c r="A205" s="8"/>
      <c r="B205" s="407"/>
      <c r="C205" s="8"/>
      <c r="D205" s="8"/>
      <c r="E205" s="8"/>
      <c r="F205" s="8"/>
      <c r="G205" s="216"/>
      <c r="H205" s="216"/>
      <c r="I205" s="216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6.5" customHeight="1">
      <c r="A206" s="8"/>
      <c r="B206" s="407"/>
      <c r="C206" s="8"/>
      <c r="D206" s="8"/>
      <c r="E206" s="8"/>
      <c r="F206" s="8"/>
      <c r="G206" s="216"/>
      <c r="H206" s="216"/>
      <c r="I206" s="216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6.5" customHeight="1">
      <c r="A207" s="8"/>
      <c r="B207" s="407"/>
      <c r="C207" s="8"/>
      <c r="D207" s="8"/>
      <c r="E207" s="8"/>
      <c r="F207" s="8"/>
      <c r="G207" s="216"/>
      <c r="H207" s="216"/>
      <c r="I207" s="216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6.5" customHeight="1">
      <c r="A208" s="8"/>
      <c r="B208" s="407"/>
      <c r="C208" s="8"/>
      <c r="D208" s="8"/>
      <c r="E208" s="8"/>
      <c r="F208" s="8"/>
      <c r="G208" s="216"/>
      <c r="H208" s="216"/>
      <c r="I208" s="216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6.5" customHeight="1">
      <c r="A209" s="8"/>
      <c r="B209" s="407"/>
      <c r="C209" s="8"/>
      <c r="D209" s="8"/>
      <c r="E209" s="8"/>
      <c r="F209" s="8"/>
      <c r="G209" s="216"/>
      <c r="H209" s="216"/>
      <c r="I209" s="216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6.5" customHeight="1">
      <c r="A210" s="8"/>
      <c r="B210" s="407"/>
      <c r="C210" s="8"/>
      <c r="D210" s="8"/>
      <c r="E210" s="8"/>
      <c r="F210" s="8"/>
      <c r="G210" s="216"/>
      <c r="H210" s="216"/>
      <c r="I210" s="216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6.5" customHeight="1">
      <c r="A211" s="8"/>
      <c r="B211" s="407"/>
      <c r="C211" s="8"/>
      <c r="D211" s="8"/>
      <c r="E211" s="8"/>
      <c r="F211" s="8"/>
      <c r="G211" s="216"/>
      <c r="H211" s="216"/>
      <c r="I211" s="216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6.5" customHeight="1">
      <c r="A212" s="8"/>
      <c r="B212" s="407"/>
      <c r="C212" s="8"/>
      <c r="D212" s="8"/>
      <c r="E212" s="8"/>
      <c r="F212" s="8"/>
      <c r="G212" s="216"/>
      <c r="H212" s="216"/>
      <c r="I212" s="216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6.5" customHeight="1">
      <c r="A213" s="8"/>
      <c r="B213" s="407"/>
      <c r="C213" s="8"/>
      <c r="D213" s="8"/>
      <c r="E213" s="8"/>
      <c r="F213" s="8"/>
      <c r="G213" s="216"/>
      <c r="H213" s="216"/>
      <c r="I213" s="216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6.5" customHeight="1">
      <c r="A214" s="8"/>
      <c r="B214" s="407"/>
      <c r="C214" s="8"/>
      <c r="D214" s="8"/>
      <c r="E214" s="8"/>
      <c r="F214" s="8"/>
      <c r="G214" s="216"/>
      <c r="H214" s="216"/>
      <c r="I214" s="216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6.5" customHeight="1">
      <c r="A215" s="8"/>
      <c r="B215" s="407"/>
      <c r="C215" s="8"/>
      <c r="D215" s="8"/>
      <c r="E215" s="8"/>
      <c r="F215" s="8"/>
      <c r="G215" s="216"/>
      <c r="H215" s="216"/>
      <c r="I215" s="216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6.5" customHeight="1">
      <c r="A216" s="8"/>
      <c r="B216" s="407"/>
      <c r="C216" s="8"/>
      <c r="D216" s="8"/>
      <c r="E216" s="8"/>
      <c r="F216" s="8"/>
      <c r="G216" s="216"/>
      <c r="H216" s="216"/>
      <c r="I216" s="216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6.5" customHeight="1">
      <c r="A217" s="8"/>
      <c r="B217" s="407"/>
      <c r="C217" s="8"/>
      <c r="D217" s="8"/>
      <c r="E217" s="8"/>
      <c r="F217" s="8"/>
      <c r="G217" s="216"/>
      <c r="H217" s="216"/>
      <c r="I217" s="216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6.5" customHeight="1">
      <c r="A218" s="8"/>
      <c r="B218" s="407"/>
      <c r="C218" s="8"/>
      <c r="D218" s="8"/>
      <c r="E218" s="8"/>
      <c r="F218" s="8"/>
      <c r="G218" s="216"/>
      <c r="H218" s="216"/>
      <c r="I218" s="216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6.5" customHeight="1">
      <c r="A219" s="8"/>
      <c r="B219" s="407"/>
      <c r="C219" s="8"/>
      <c r="D219" s="8"/>
      <c r="E219" s="8"/>
      <c r="F219" s="8"/>
      <c r="G219" s="216"/>
      <c r="H219" s="216"/>
      <c r="I219" s="216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6.5" customHeight="1">
      <c r="A220" s="8"/>
      <c r="B220" s="407"/>
      <c r="C220" s="8"/>
      <c r="D220" s="8"/>
      <c r="E220" s="8"/>
      <c r="F220" s="8"/>
      <c r="G220" s="216"/>
      <c r="H220" s="216"/>
      <c r="I220" s="216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6.5" customHeight="1">
      <c r="A221" s="8"/>
      <c r="B221" s="407"/>
      <c r="C221" s="8"/>
      <c r="D221" s="8"/>
      <c r="E221" s="8"/>
      <c r="F221" s="8"/>
      <c r="G221" s="216"/>
      <c r="H221" s="216"/>
      <c r="I221" s="216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5.75" customHeight="1">
      <c r="A222" s="8"/>
      <c r="B222" s="407"/>
      <c r="C222" s="8"/>
      <c r="D222" s="8"/>
      <c r="E222" s="8"/>
      <c r="F222" s="8"/>
      <c r="G222" s="216"/>
      <c r="H222" s="216"/>
      <c r="I222" s="216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5.75" customHeight="1">
      <c r="A223" s="8"/>
      <c r="B223" s="407"/>
      <c r="C223" s="8"/>
      <c r="D223" s="8"/>
      <c r="E223" s="8"/>
      <c r="F223" s="8"/>
      <c r="G223" s="216"/>
      <c r="H223" s="216"/>
      <c r="I223" s="216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5.75" customHeight="1">
      <c r="A224" s="8"/>
      <c r="B224" s="407"/>
      <c r="C224" s="8"/>
      <c r="D224" s="8"/>
      <c r="E224" s="8"/>
      <c r="F224" s="8"/>
      <c r="G224" s="216"/>
      <c r="H224" s="216"/>
      <c r="I224" s="216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5.75" customHeight="1">
      <c r="A225" s="8"/>
      <c r="B225" s="407"/>
      <c r="C225" s="8"/>
      <c r="D225" s="8"/>
      <c r="E225" s="8"/>
      <c r="F225" s="8"/>
      <c r="G225" s="216"/>
      <c r="H225" s="216"/>
      <c r="I225" s="216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5.75" customHeight="1">
      <c r="A226" s="8"/>
      <c r="B226" s="407"/>
      <c r="C226" s="8"/>
      <c r="D226" s="8"/>
      <c r="E226" s="8"/>
      <c r="F226" s="8"/>
      <c r="G226" s="216"/>
      <c r="H226" s="216"/>
      <c r="I226" s="216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5.75" customHeight="1">
      <c r="A227" s="8"/>
      <c r="B227" s="40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5.75" customHeight="1">
      <c r="A228" s="8"/>
      <c r="B228" s="407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5.75" customHeight="1">
      <c r="A229" s="8"/>
      <c r="B229" s="40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5.75" customHeight="1">
      <c r="A230" s="8"/>
      <c r="B230" s="40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5.75" customHeight="1">
      <c r="A231" s="8"/>
      <c r="B231" s="40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5.75" customHeight="1">
      <c r="A232" s="8"/>
      <c r="B232" s="40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5.75" customHeight="1">
      <c r="A233" s="8"/>
      <c r="B233" s="40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M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M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M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M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M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M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M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M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M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M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M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M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M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M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M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M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M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M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M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M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M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M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M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M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M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M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M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M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M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M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M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M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M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M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M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M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M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M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M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M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M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M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M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M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M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M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M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M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M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M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M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M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M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M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M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M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M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M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M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M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M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M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M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M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M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M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M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M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M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M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M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M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M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M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M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M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M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M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M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M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M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M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M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M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M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M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M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M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M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M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M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M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M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M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M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M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M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M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M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M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M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M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M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M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M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M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M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M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M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M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M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M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M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M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M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M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M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M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M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M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M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M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M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M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M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M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M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M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M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M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M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M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M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M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M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M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M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M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M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M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M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M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M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M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M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M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M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M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M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M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M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M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M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M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M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M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M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M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M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M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M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M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M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M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M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M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M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M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M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M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M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M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M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M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M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M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M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M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M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M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M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M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M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M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M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M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M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M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M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M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M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M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M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M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M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M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M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M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M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M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M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M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M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M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M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M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M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M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M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M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M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M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M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M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M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M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M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M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M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M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M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M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M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M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M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M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M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M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M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M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M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M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M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M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M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M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M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M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M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M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M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M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M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M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M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M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M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M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M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M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M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M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M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M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M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M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M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M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M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M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M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M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M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M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M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M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M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M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M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M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M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M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M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M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M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M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M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M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M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M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M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M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M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M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M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M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M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M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M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M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M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M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M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M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M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M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M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M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M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M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M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M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M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M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M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M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M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M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M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M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M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M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M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M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M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M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M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M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M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M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M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M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M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M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M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M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M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M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M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M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M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M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M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M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M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M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M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M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M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M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M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M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M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M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M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M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M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M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M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M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M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M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M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M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M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M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M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M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M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M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M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M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M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M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M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M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M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M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M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M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M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M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M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M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M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M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M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M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M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M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M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M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M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M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M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M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M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M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M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M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M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M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M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M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M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M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M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M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M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M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M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M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M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M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M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M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M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M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M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M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M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M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M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M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M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M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M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M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M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M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M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M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M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M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M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M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M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M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M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M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M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M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M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M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M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M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M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M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M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M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M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M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M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M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M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M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M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M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M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M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M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M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M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M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M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M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M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M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M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M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M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M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M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M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M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M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M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M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M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M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M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M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M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M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M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M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M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M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M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M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M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M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M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M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M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M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M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M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M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M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M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M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M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M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M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M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M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M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M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M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M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M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M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M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M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M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M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M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M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M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M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M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M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M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M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M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M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M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M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M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M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M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M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M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M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M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M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M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M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M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M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M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M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M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M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M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M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M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M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M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M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M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M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M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M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M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M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M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M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M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M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M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M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M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M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M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M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M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M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M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M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M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M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M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M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M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M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M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M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M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M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M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M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M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M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M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M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M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M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M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M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M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M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M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M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M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M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M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M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M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M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M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M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M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M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M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M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M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M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M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M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M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M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M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M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M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M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M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M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M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M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M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M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M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M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M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M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M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M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M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M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M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M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M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M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M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M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M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M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M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M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M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M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M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M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M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M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M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M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M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M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M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M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M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M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M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M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M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M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M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M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M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M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M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M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M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M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M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M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M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M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M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M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M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M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M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M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M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M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M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M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M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M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M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M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M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M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M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M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M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M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M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M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M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M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M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M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M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M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M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M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M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M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M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M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M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M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M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M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M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M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M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M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M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M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M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M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M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M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M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M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M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M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M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M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M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M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M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M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M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M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M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M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M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M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M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M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M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M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M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M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M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M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M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M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M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M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M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M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M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M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M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M1000" s="92"/>
    </row>
  </sheetData>
  <mergeCells count="70">
    <mergeCell ref="J35:K35"/>
    <mergeCell ref="J36:K36"/>
    <mergeCell ref="J19:K19"/>
    <mergeCell ref="J20:K20"/>
    <mergeCell ref="J21:K21"/>
    <mergeCell ref="I30:I36"/>
    <mergeCell ref="J30:K30"/>
    <mergeCell ref="J31:K31"/>
    <mergeCell ref="J32:K32"/>
    <mergeCell ref="J41:K41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I37:I39"/>
    <mergeCell ref="J37:K37"/>
    <mergeCell ref="J38:K38"/>
    <mergeCell ref="J39:K39"/>
    <mergeCell ref="I40:I43"/>
    <mergeCell ref="J40:K40"/>
    <mergeCell ref="I44:I53"/>
    <mergeCell ref="J53:K53"/>
    <mergeCell ref="A1:I2"/>
    <mergeCell ref="C3:C4"/>
    <mergeCell ref="D3:D4"/>
    <mergeCell ref="E3:E4"/>
    <mergeCell ref="F3:F4"/>
    <mergeCell ref="I3:I4"/>
    <mergeCell ref="J3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A22:A29"/>
    <mergeCell ref="A30:A36"/>
    <mergeCell ref="A37:A39"/>
    <mergeCell ref="A40:A43"/>
    <mergeCell ref="A44:A53"/>
    <mergeCell ref="A54:A56"/>
    <mergeCell ref="A3:B3"/>
    <mergeCell ref="A5:A8"/>
    <mergeCell ref="I5:I8"/>
    <mergeCell ref="A9:A13"/>
    <mergeCell ref="I9:I13"/>
    <mergeCell ref="A14:A21"/>
    <mergeCell ref="I14:I21"/>
    <mergeCell ref="J33:K33"/>
    <mergeCell ref="J34:K34"/>
    <mergeCell ref="J42:K42"/>
    <mergeCell ref="J43:K43"/>
    <mergeCell ref="I54:I56"/>
    <mergeCell ref="J54:K54"/>
    <mergeCell ref="J55:K55"/>
    <mergeCell ref="J56:K56"/>
    <mergeCell ref="A57:K61"/>
  </mergeCells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60.14"/>
    <col customWidth="1" min="3" max="3" width="11.86"/>
    <col customWidth="1" min="4" max="4" width="27.71"/>
    <col customWidth="1" min="5" max="5" width="18.29"/>
    <col customWidth="1" min="6" max="6" width="34.71"/>
    <col customWidth="1" min="7" max="8" width="12.43"/>
    <col customWidth="1" min="9" max="9" width="21.14"/>
    <col customWidth="1" min="10" max="10" width="8.86"/>
    <col customWidth="1" min="11" max="11" width="79.57"/>
    <col customWidth="1" min="15" max="15" width="35.57"/>
  </cols>
  <sheetData>
    <row r="1" ht="16.5" customHeight="1">
      <c r="A1" s="1" t="s">
        <v>489</v>
      </c>
      <c r="B1" s="2"/>
      <c r="C1" s="2"/>
      <c r="D1" s="2"/>
      <c r="E1" s="2"/>
      <c r="F1" s="2"/>
      <c r="G1" s="2"/>
      <c r="H1" s="2"/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18.0" customHeight="1">
      <c r="A2" s="58"/>
      <c r="B2" s="82"/>
      <c r="C2" s="82"/>
      <c r="D2" s="82"/>
      <c r="E2" s="82"/>
      <c r="F2" s="82"/>
      <c r="G2" s="82"/>
      <c r="H2" s="82"/>
      <c r="I2" s="82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6.5" customHeight="1">
      <c r="A3" s="320" t="s">
        <v>490</v>
      </c>
      <c r="B3" s="409"/>
      <c r="C3" s="260" t="s">
        <v>438</v>
      </c>
      <c r="D3" s="261" t="s">
        <v>439</v>
      </c>
      <c r="E3" s="261" t="s">
        <v>204</v>
      </c>
      <c r="F3" s="260" t="s">
        <v>440</v>
      </c>
      <c r="G3" s="410" t="s">
        <v>4</v>
      </c>
      <c r="H3" s="410" t="s">
        <v>5</v>
      </c>
      <c r="I3" s="259" t="s">
        <v>6</v>
      </c>
      <c r="J3" s="411" t="s">
        <v>7</v>
      </c>
      <c r="K3" s="7"/>
      <c r="L3" s="260" t="s">
        <v>491</v>
      </c>
      <c r="M3" s="261" t="s">
        <v>492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6.5" customHeight="1">
      <c r="A4" s="412" t="s">
        <v>8</v>
      </c>
      <c r="B4" s="24" t="s">
        <v>9</v>
      </c>
      <c r="C4" s="25"/>
      <c r="D4" s="26"/>
      <c r="E4" s="26"/>
      <c r="F4" s="25"/>
      <c r="G4" s="265" t="s">
        <v>10</v>
      </c>
      <c r="H4" s="265" t="s">
        <v>11</v>
      </c>
      <c r="I4" s="28"/>
      <c r="J4" s="58"/>
      <c r="K4" s="83"/>
      <c r="L4" s="11"/>
      <c r="M4" s="12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6.5" customHeight="1">
      <c r="A5" s="178" t="s">
        <v>493</v>
      </c>
      <c r="B5" s="413" t="s">
        <v>494</v>
      </c>
      <c r="C5" s="414"/>
      <c r="D5" s="415"/>
      <c r="E5" s="416"/>
      <c r="F5" s="417"/>
      <c r="G5" s="418"/>
      <c r="H5" s="504"/>
      <c r="I5" s="76"/>
      <c r="J5" s="421"/>
      <c r="K5" s="2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6.5" customHeight="1">
      <c r="A6" s="28"/>
      <c r="B6" s="422" t="s">
        <v>495</v>
      </c>
      <c r="C6" s="423"/>
      <c r="D6" s="424"/>
      <c r="E6" s="425"/>
      <c r="F6" s="461"/>
      <c r="G6" s="426"/>
      <c r="H6" s="505"/>
      <c r="I6" s="26"/>
      <c r="J6" s="216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6.5" customHeight="1">
      <c r="A7" s="28"/>
      <c r="B7" s="422" t="s">
        <v>496</v>
      </c>
      <c r="C7" s="423"/>
      <c r="D7" s="424"/>
      <c r="E7" s="425"/>
      <c r="F7" s="461"/>
      <c r="G7" s="426"/>
      <c r="H7" s="505"/>
      <c r="I7" s="26"/>
      <c r="J7" s="216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6.5" customHeight="1">
      <c r="A8" s="28"/>
      <c r="B8" s="422" t="s">
        <v>497</v>
      </c>
      <c r="C8" s="423"/>
      <c r="D8" s="424"/>
      <c r="E8" s="425"/>
      <c r="F8" s="461"/>
      <c r="G8" s="426"/>
      <c r="H8" s="505"/>
      <c r="I8" s="26"/>
      <c r="J8" s="216"/>
      <c r="L8" s="216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6.5" customHeight="1">
      <c r="A9" s="149"/>
      <c r="B9" s="506" t="s">
        <v>498</v>
      </c>
      <c r="C9" s="430"/>
      <c r="D9" s="431"/>
      <c r="E9" s="432"/>
      <c r="F9" s="507"/>
      <c r="G9" s="433"/>
      <c r="H9" s="508"/>
      <c r="I9" s="12"/>
      <c r="J9" s="216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6.5" customHeight="1">
      <c r="A10" s="189" t="s">
        <v>499</v>
      </c>
      <c r="B10" s="413" t="s">
        <v>500</v>
      </c>
      <c r="C10" s="414"/>
      <c r="D10" s="415"/>
      <c r="E10" s="436"/>
      <c r="F10" s="417"/>
      <c r="G10" s="437"/>
      <c r="H10" s="504"/>
      <c r="I10" s="76"/>
      <c r="J10" s="216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6.5" customHeight="1">
      <c r="A11" s="25"/>
      <c r="B11" s="422" t="s">
        <v>501</v>
      </c>
      <c r="C11" s="423"/>
      <c r="D11" s="424"/>
      <c r="E11" s="439"/>
      <c r="F11" s="461"/>
      <c r="G11" s="426"/>
      <c r="H11" s="505"/>
      <c r="I11" s="26"/>
      <c r="J11" s="216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6.5" customHeight="1">
      <c r="A12" s="25"/>
      <c r="B12" s="422" t="s">
        <v>502</v>
      </c>
      <c r="C12" s="423"/>
      <c r="D12" s="424"/>
      <c r="E12" s="439"/>
      <c r="F12" s="461"/>
      <c r="G12" s="426"/>
      <c r="H12" s="505"/>
      <c r="I12" s="26"/>
      <c r="J12" s="216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6.5" customHeight="1">
      <c r="A13" s="25"/>
      <c r="B13" s="422" t="s">
        <v>503</v>
      </c>
      <c r="C13" s="423"/>
      <c r="D13" s="424"/>
      <c r="E13" s="439"/>
      <c r="F13" s="461"/>
      <c r="G13" s="426"/>
      <c r="H13" s="505"/>
      <c r="I13" s="26"/>
      <c r="J13" s="216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6.5" customHeight="1">
      <c r="A14" s="11"/>
      <c r="B14" s="241" t="s">
        <v>504</v>
      </c>
      <c r="C14" s="430"/>
      <c r="D14" s="431"/>
      <c r="E14" s="509"/>
      <c r="F14" s="507"/>
      <c r="G14" s="433"/>
      <c r="H14" s="508"/>
      <c r="I14" s="12"/>
      <c r="J14" s="216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6.5" customHeight="1">
      <c r="A15" s="142" t="s">
        <v>505</v>
      </c>
      <c r="B15" s="510" t="s">
        <v>506</v>
      </c>
      <c r="C15" s="415"/>
      <c r="D15" s="416"/>
      <c r="E15" s="442"/>
      <c r="F15" s="417"/>
      <c r="G15" s="437"/>
      <c r="H15" s="504"/>
      <c r="I15" s="294"/>
      <c r="J15" s="216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6.5" customHeight="1">
      <c r="A16" s="10"/>
      <c r="B16" s="511" t="s">
        <v>507</v>
      </c>
      <c r="C16" s="424"/>
      <c r="D16" s="425"/>
      <c r="E16" s="443"/>
      <c r="F16" s="461"/>
      <c r="G16" s="444"/>
      <c r="H16" s="505"/>
      <c r="I16" s="14"/>
      <c r="J16" s="21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6.5" customHeight="1">
      <c r="A17" s="10"/>
      <c r="B17" s="511" t="s">
        <v>508</v>
      </c>
      <c r="C17" s="424"/>
      <c r="D17" s="425"/>
      <c r="E17" s="443"/>
      <c r="F17" s="461"/>
      <c r="G17" s="426"/>
      <c r="H17" s="505"/>
      <c r="I17" s="14"/>
      <c r="J17" s="216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6.5" customHeight="1">
      <c r="A18" s="10"/>
      <c r="B18" s="511" t="s">
        <v>509</v>
      </c>
      <c r="C18" s="424"/>
      <c r="D18" s="425"/>
      <c r="E18" s="443"/>
      <c r="F18" s="461"/>
      <c r="G18" s="426"/>
      <c r="H18" s="505"/>
      <c r="I18" s="14"/>
      <c r="J18" s="216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6.5" customHeight="1">
      <c r="A19" s="58"/>
      <c r="B19" s="512" t="s">
        <v>510</v>
      </c>
      <c r="C19" s="431"/>
      <c r="D19" s="432"/>
      <c r="E19" s="513"/>
      <c r="F19" s="507"/>
      <c r="G19" s="433"/>
      <c r="H19" s="508"/>
      <c r="I19" s="83"/>
      <c r="J19" s="216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6.5" customHeight="1">
      <c r="A20" s="201" t="s">
        <v>410</v>
      </c>
      <c r="B20" s="495" t="s">
        <v>511</v>
      </c>
      <c r="C20" s="414"/>
      <c r="D20" s="415"/>
      <c r="E20" s="496"/>
      <c r="F20" s="417"/>
      <c r="G20" s="482"/>
      <c r="H20" s="514"/>
      <c r="I20" s="515"/>
      <c r="J20" s="216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6.5" customHeight="1">
      <c r="A21" s="25"/>
      <c r="B21" s="459" t="s">
        <v>512</v>
      </c>
      <c r="C21" s="423"/>
      <c r="D21" s="424"/>
      <c r="E21" s="464"/>
      <c r="F21" s="461"/>
      <c r="G21" s="465"/>
      <c r="H21" s="516"/>
      <c r="I21" s="517"/>
      <c r="J21" s="216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6.5" customHeight="1">
      <c r="A22" s="25"/>
      <c r="B22" s="459" t="s">
        <v>513</v>
      </c>
      <c r="C22" s="423"/>
      <c r="D22" s="424"/>
      <c r="E22" s="460"/>
      <c r="F22" s="461"/>
      <c r="G22" s="465"/>
      <c r="H22" s="516"/>
      <c r="I22" s="517"/>
      <c r="J22" s="216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6.5" customHeight="1">
      <c r="A23" s="25"/>
      <c r="B23" s="459" t="s">
        <v>514</v>
      </c>
      <c r="C23" s="423"/>
      <c r="D23" s="424"/>
      <c r="E23" s="460"/>
      <c r="F23" s="461"/>
      <c r="G23" s="465"/>
      <c r="H23" s="516"/>
      <c r="I23" s="517"/>
      <c r="J23" s="216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6.5" customHeight="1">
      <c r="A24" s="25"/>
      <c r="B24" s="459" t="s">
        <v>515</v>
      </c>
      <c r="C24" s="423"/>
      <c r="D24" s="424"/>
      <c r="E24" s="464"/>
      <c r="F24" s="461"/>
      <c r="G24" s="465"/>
      <c r="H24" s="516"/>
      <c r="I24" s="517"/>
      <c r="J24" s="216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6.5" customHeight="1">
      <c r="A25" s="25"/>
      <c r="B25" s="518" t="s">
        <v>516</v>
      </c>
      <c r="C25" s="423"/>
      <c r="D25" s="424"/>
      <c r="E25" s="460"/>
      <c r="F25" s="461"/>
      <c r="G25" s="465"/>
      <c r="H25" s="516"/>
      <c r="I25" s="517"/>
      <c r="J25" s="216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6.5" customHeight="1">
      <c r="A26" s="11"/>
      <c r="B26" s="519" t="s">
        <v>517</v>
      </c>
      <c r="C26" s="430"/>
      <c r="D26" s="431"/>
      <c r="E26" s="500"/>
      <c r="F26" s="507"/>
      <c r="G26" s="433"/>
      <c r="H26" s="508"/>
      <c r="I26" s="520"/>
      <c r="J26" s="216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6.5" customHeight="1">
      <c r="A27" s="142" t="s">
        <v>479</v>
      </c>
      <c r="B27" s="521" t="s">
        <v>142</v>
      </c>
      <c r="C27" s="414"/>
      <c r="D27" s="415"/>
      <c r="E27" s="416"/>
      <c r="F27" s="417"/>
      <c r="G27" s="471"/>
      <c r="H27" s="522"/>
      <c r="I27" s="515"/>
      <c r="J27" s="473"/>
      <c r="K27" s="14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6.5" customHeight="1">
      <c r="A28" s="10"/>
      <c r="B28" s="523" t="s">
        <v>143</v>
      </c>
      <c r="C28" s="423"/>
      <c r="D28" s="424"/>
      <c r="E28" s="425"/>
      <c r="F28" s="461"/>
      <c r="G28" s="465"/>
      <c r="H28" s="516"/>
      <c r="I28" s="517"/>
      <c r="K28" s="14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6.5" customHeight="1">
      <c r="A29" s="58"/>
      <c r="B29" s="524" t="s">
        <v>518</v>
      </c>
      <c r="C29" s="430"/>
      <c r="D29" s="431"/>
      <c r="E29" s="479"/>
      <c r="F29" s="507"/>
      <c r="G29" s="433"/>
      <c r="H29" s="508"/>
      <c r="I29" s="520"/>
      <c r="K29" s="14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165" t="s">
        <v>519</v>
      </c>
      <c r="B30" s="521" t="s">
        <v>483</v>
      </c>
      <c r="C30" s="414"/>
      <c r="D30" s="414"/>
      <c r="E30" s="442"/>
      <c r="F30" s="417"/>
      <c r="G30" s="482"/>
      <c r="H30" s="514"/>
      <c r="I30" s="76"/>
      <c r="J30" s="525"/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6.5" customHeight="1">
      <c r="A31" s="25"/>
      <c r="B31" s="523" t="s">
        <v>484</v>
      </c>
      <c r="C31" s="423"/>
      <c r="D31" s="423"/>
      <c r="E31" s="443"/>
      <c r="F31" s="461"/>
      <c r="G31" s="465"/>
      <c r="H31" s="516"/>
      <c r="I31" s="26"/>
      <c r="K31" s="14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6.5" customHeight="1">
      <c r="A32" s="25"/>
      <c r="B32" s="523" t="s">
        <v>485</v>
      </c>
      <c r="C32" s="423"/>
      <c r="D32" s="423"/>
      <c r="E32" s="443"/>
      <c r="F32" s="461"/>
      <c r="G32" s="426"/>
      <c r="H32" s="505"/>
      <c r="I32" s="26"/>
      <c r="K32" s="14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6.5" customHeight="1">
      <c r="A33" s="11"/>
      <c r="B33" s="519" t="s">
        <v>486</v>
      </c>
      <c r="C33" s="430"/>
      <c r="D33" s="430"/>
      <c r="E33" s="513"/>
      <c r="F33" s="507"/>
      <c r="G33" s="487"/>
      <c r="H33" s="526"/>
      <c r="I33" s="12"/>
      <c r="K33" s="14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6.5" customHeight="1">
      <c r="A34" s="215" t="s">
        <v>520</v>
      </c>
      <c r="K34" s="14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6.5" customHeight="1">
      <c r="A35" s="10"/>
      <c r="K35" s="14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6.5" customHeight="1">
      <c r="A36" s="10"/>
      <c r="K36" s="14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6.5" customHeight="1">
      <c r="A37" s="10"/>
      <c r="K37" s="14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6.5" customHeight="1">
      <c r="A38" s="58"/>
      <c r="B38" s="82"/>
      <c r="C38" s="82"/>
      <c r="D38" s="82"/>
      <c r="E38" s="82"/>
      <c r="F38" s="82"/>
      <c r="G38" s="82"/>
      <c r="H38" s="82"/>
      <c r="I38" s="82"/>
      <c r="J38" s="82"/>
      <c r="K38" s="8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6.5" customHeight="1">
      <c r="A39" s="8"/>
      <c r="B39" s="40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6.5" customHeight="1">
      <c r="A40" s="8"/>
      <c r="B40" s="40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6.5" customHeight="1">
      <c r="A41" s="8"/>
      <c r="B41" s="40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6.5" customHeight="1">
      <c r="A42" s="8"/>
      <c r="B42" s="40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6.5" customHeight="1">
      <c r="A43" s="8"/>
      <c r="B43" s="527"/>
      <c r="C43" s="425"/>
      <c r="D43" s="425"/>
      <c r="E43" s="489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6.5" customHeight="1">
      <c r="A44" s="8"/>
      <c r="B44" s="407"/>
      <c r="C44" s="8"/>
      <c r="D44" s="8"/>
      <c r="E44" s="8"/>
      <c r="F44" s="8"/>
      <c r="G44" s="216"/>
      <c r="H44" s="216"/>
      <c r="I44" s="216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6.5" customHeight="1">
      <c r="A45" s="8"/>
      <c r="B45" s="407"/>
      <c r="C45" s="8"/>
      <c r="D45" s="8"/>
      <c r="E45" s="8"/>
      <c r="F45" s="8"/>
      <c r="G45" s="216"/>
      <c r="H45" s="216"/>
      <c r="I45" s="216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6.5" customHeight="1">
      <c r="A46" s="8"/>
      <c r="B46" s="528"/>
      <c r="C46" s="425"/>
      <c r="D46" s="425"/>
      <c r="E46" s="425"/>
      <c r="F46" s="529"/>
      <c r="G46" s="530"/>
      <c r="H46" s="530"/>
      <c r="I46" s="216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6.5" customHeight="1">
      <c r="A47" s="8"/>
      <c r="B47" s="528"/>
      <c r="C47" s="425"/>
      <c r="D47" s="425"/>
      <c r="E47" s="425"/>
      <c r="F47" s="529"/>
      <c r="G47" s="216"/>
      <c r="H47" s="216"/>
      <c r="I47" s="216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6.5" customHeight="1">
      <c r="A48" s="8"/>
      <c r="B48" s="528"/>
      <c r="C48" s="425"/>
      <c r="D48" s="425"/>
      <c r="E48" s="425"/>
      <c r="F48" s="529"/>
      <c r="G48" s="216"/>
      <c r="H48" s="216"/>
      <c r="I48" s="216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6.5" customHeight="1">
      <c r="A49" s="8"/>
      <c r="B49" s="185"/>
      <c r="C49" s="425"/>
      <c r="D49" s="425"/>
      <c r="E49" s="489"/>
      <c r="F49" s="8"/>
      <c r="G49" s="216"/>
      <c r="H49" s="216"/>
      <c r="I49" s="216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6.5" customHeight="1">
      <c r="A50" s="8"/>
      <c r="B50" s="407"/>
      <c r="C50" s="8"/>
      <c r="D50" s="8"/>
      <c r="E50" s="8"/>
      <c r="F50" s="8"/>
      <c r="G50" s="216"/>
      <c r="H50" s="216"/>
      <c r="I50" s="216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6.5" customHeight="1">
      <c r="A51" s="8"/>
      <c r="B51" s="407"/>
      <c r="C51" s="8"/>
      <c r="D51" s="8"/>
      <c r="E51" s="8"/>
      <c r="F51" s="8"/>
      <c r="G51" s="216"/>
      <c r="H51" s="216"/>
      <c r="I51" s="216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6.5" customHeight="1">
      <c r="A52" s="8"/>
      <c r="B52" s="407"/>
      <c r="C52" s="8"/>
      <c r="D52" s="8"/>
      <c r="E52" s="8"/>
      <c r="F52" s="8"/>
      <c r="G52" s="216"/>
      <c r="H52" s="216"/>
      <c r="I52" s="216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6.5" customHeight="1">
      <c r="A53" s="8"/>
      <c r="B53" s="407"/>
      <c r="C53" s="8"/>
      <c r="D53" s="8"/>
      <c r="E53" s="8"/>
      <c r="F53" s="8"/>
      <c r="G53" s="216"/>
      <c r="H53" s="216"/>
      <c r="I53" s="216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6.5" customHeight="1">
      <c r="A54" s="8"/>
      <c r="B54" s="407"/>
      <c r="C54" s="8"/>
      <c r="D54" s="8"/>
      <c r="E54" s="8"/>
      <c r="F54" s="8"/>
      <c r="G54" s="216"/>
      <c r="H54" s="216"/>
      <c r="I54" s="216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6.5" customHeight="1">
      <c r="A55" s="8"/>
      <c r="B55" s="407"/>
      <c r="C55" s="8"/>
      <c r="D55" s="8"/>
      <c r="E55" s="8"/>
      <c r="F55" s="8"/>
      <c r="G55" s="216"/>
      <c r="H55" s="216"/>
      <c r="I55" s="216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6.5" customHeight="1">
      <c r="A56" s="8"/>
      <c r="B56" s="407"/>
      <c r="C56" s="8"/>
      <c r="D56" s="8"/>
      <c r="E56" s="8"/>
      <c r="F56" s="8"/>
      <c r="G56" s="216"/>
      <c r="H56" s="216"/>
      <c r="I56" s="216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6.5" customHeight="1">
      <c r="A57" s="8"/>
      <c r="B57" s="407"/>
      <c r="C57" s="8"/>
      <c r="D57" s="8"/>
      <c r="E57" s="8"/>
      <c r="F57" s="8"/>
      <c r="G57" s="216"/>
      <c r="H57" s="216"/>
      <c r="I57" s="216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6.5" customHeight="1">
      <c r="A58" s="8"/>
      <c r="B58" s="407"/>
      <c r="C58" s="8"/>
      <c r="D58" s="8"/>
      <c r="E58" s="8"/>
      <c r="F58" s="8"/>
      <c r="G58" s="216"/>
      <c r="H58" s="216"/>
      <c r="I58" s="216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6.5" customHeight="1">
      <c r="A59" s="8"/>
      <c r="B59" s="407"/>
      <c r="C59" s="8"/>
      <c r="D59" s="8"/>
      <c r="E59" s="8"/>
      <c r="F59" s="8"/>
      <c r="G59" s="216"/>
      <c r="H59" s="216"/>
      <c r="I59" s="216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6.5" customHeight="1">
      <c r="A60" s="8"/>
      <c r="B60" s="407"/>
      <c r="C60" s="8"/>
      <c r="D60" s="8"/>
      <c r="E60" s="8"/>
      <c r="F60" s="8"/>
      <c r="G60" s="216"/>
      <c r="H60" s="216"/>
      <c r="I60" s="216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6.5" customHeight="1">
      <c r="A61" s="8"/>
      <c r="B61" s="407"/>
      <c r="C61" s="8"/>
      <c r="D61" s="8"/>
      <c r="E61" s="8"/>
      <c r="F61" s="8"/>
      <c r="G61" s="216"/>
      <c r="H61" s="216"/>
      <c r="I61" s="216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6.5" customHeight="1">
      <c r="A62" s="8"/>
      <c r="B62" s="407"/>
      <c r="C62" s="8"/>
      <c r="D62" s="8"/>
      <c r="E62" s="8"/>
      <c r="F62" s="8"/>
      <c r="G62" s="216"/>
      <c r="H62" s="216"/>
      <c r="I62" s="216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6.5" customHeight="1">
      <c r="A63" s="8"/>
      <c r="B63" s="407"/>
      <c r="C63" s="8"/>
      <c r="D63" s="8"/>
      <c r="E63" s="8"/>
      <c r="F63" s="8"/>
      <c r="G63" s="216"/>
      <c r="H63" s="216"/>
      <c r="I63" s="216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6.5" customHeight="1">
      <c r="A64" s="8"/>
      <c r="B64" s="407"/>
      <c r="C64" s="8"/>
      <c r="D64" s="8"/>
      <c r="E64" s="8"/>
      <c r="F64" s="8"/>
      <c r="G64" s="216"/>
      <c r="H64" s="216"/>
      <c r="I64" s="216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6.5" customHeight="1">
      <c r="A65" s="8"/>
      <c r="B65" s="407"/>
      <c r="C65" s="8"/>
      <c r="D65" s="8"/>
      <c r="E65" s="8"/>
      <c r="F65" s="8"/>
      <c r="G65" s="216"/>
      <c r="H65" s="216"/>
      <c r="I65" s="216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6.5" customHeight="1">
      <c r="A66" s="8"/>
      <c r="B66" s="407"/>
      <c r="C66" s="8"/>
      <c r="D66" s="8"/>
      <c r="E66" s="8"/>
      <c r="F66" s="8"/>
      <c r="G66" s="216"/>
      <c r="H66" s="216"/>
      <c r="I66" s="216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6.5" customHeight="1">
      <c r="A67" s="8"/>
      <c r="B67" s="407"/>
      <c r="C67" s="8"/>
      <c r="D67" s="8"/>
      <c r="E67" s="8"/>
      <c r="F67" s="8"/>
      <c r="G67" s="216"/>
      <c r="H67" s="216"/>
      <c r="I67" s="216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6.5" customHeight="1">
      <c r="A68" s="8"/>
      <c r="B68" s="407"/>
      <c r="C68" s="8"/>
      <c r="D68" s="8"/>
      <c r="E68" s="8"/>
      <c r="F68" s="8"/>
      <c r="G68" s="216"/>
      <c r="H68" s="216"/>
      <c r="I68" s="216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6.5" customHeight="1">
      <c r="A69" s="8"/>
      <c r="B69" s="407"/>
      <c r="C69" s="8"/>
      <c r="D69" s="8"/>
      <c r="E69" s="8"/>
      <c r="F69" s="8"/>
      <c r="G69" s="216"/>
      <c r="H69" s="216"/>
      <c r="I69" s="216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6.5" customHeight="1">
      <c r="A70" s="8"/>
      <c r="B70" s="407"/>
      <c r="C70" s="8"/>
      <c r="D70" s="8"/>
      <c r="E70" s="8"/>
      <c r="F70" s="8"/>
      <c r="G70" s="216"/>
      <c r="H70" s="216"/>
      <c r="I70" s="216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6.5" customHeight="1">
      <c r="A71" s="8"/>
      <c r="B71" s="407"/>
      <c r="C71" s="8"/>
      <c r="D71" s="8"/>
      <c r="E71" s="8"/>
      <c r="F71" s="8"/>
      <c r="G71" s="216"/>
      <c r="H71" s="216"/>
      <c r="I71" s="216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6.5" customHeight="1">
      <c r="A72" s="8"/>
      <c r="B72" s="407"/>
      <c r="C72" s="8"/>
      <c r="D72" s="8"/>
      <c r="E72" s="8"/>
      <c r="F72" s="8"/>
      <c r="G72" s="216"/>
      <c r="H72" s="216"/>
      <c r="I72" s="216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6.5" customHeight="1">
      <c r="A73" s="8"/>
      <c r="B73" s="407"/>
      <c r="C73" s="8"/>
      <c r="D73" s="8"/>
      <c r="E73" s="8"/>
      <c r="F73" s="8"/>
      <c r="G73" s="216"/>
      <c r="H73" s="216"/>
      <c r="I73" s="216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6.5" customHeight="1">
      <c r="A74" s="8"/>
      <c r="B74" s="407"/>
      <c r="C74" s="8"/>
      <c r="D74" s="8"/>
      <c r="E74" s="8"/>
      <c r="F74" s="8"/>
      <c r="G74" s="216"/>
      <c r="H74" s="216"/>
      <c r="I74" s="216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6.5" customHeight="1">
      <c r="A75" s="8"/>
      <c r="B75" s="407"/>
      <c r="C75" s="8"/>
      <c r="D75" s="8"/>
      <c r="E75" s="8"/>
      <c r="F75" s="8"/>
      <c r="G75" s="216"/>
      <c r="H75" s="216"/>
      <c r="I75" s="216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6.5" customHeight="1">
      <c r="A76" s="8"/>
      <c r="B76" s="407"/>
      <c r="C76" s="8"/>
      <c r="D76" s="8"/>
      <c r="E76" s="8"/>
      <c r="F76" s="8"/>
      <c r="G76" s="216"/>
      <c r="H76" s="216"/>
      <c r="I76" s="216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6.5" customHeight="1">
      <c r="A77" s="8"/>
      <c r="B77" s="407"/>
      <c r="C77" s="8"/>
      <c r="D77" s="8"/>
      <c r="E77" s="8"/>
      <c r="F77" s="8"/>
      <c r="G77" s="216"/>
      <c r="H77" s="216"/>
      <c r="I77" s="216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6.5" customHeight="1">
      <c r="A78" s="8"/>
      <c r="B78" s="407"/>
      <c r="C78" s="8"/>
      <c r="D78" s="8"/>
      <c r="E78" s="8"/>
      <c r="F78" s="8"/>
      <c r="G78" s="216"/>
      <c r="H78" s="216"/>
      <c r="I78" s="216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6.5" customHeight="1">
      <c r="A79" s="8"/>
      <c r="B79" s="407"/>
      <c r="C79" s="8"/>
      <c r="D79" s="8"/>
      <c r="E79" s="8"/>
      <c r="F79" s="8"/>
      <c r="G79" s="216"/>
      <c r="H79" s="216"/>
      <c r="I79" s="216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6.5" customHeight="1">
      <c r="A80" s="8"/>
      <c r="B80" s="407"/>
      <c r="C80" s="8"/>
      <c r="D80" s="8"/>
      <c r="E80" s="8"/>
      <c r="F80" s="8"/>
      <c r="G80" s="216"/>
      <c r="H80" s="216"/>
      <c r="I80" s="216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6.5" customHeight="1">
      <c r="A81" s="8"/>
      <c r="B81" s="407"/>
      <c r="C81" s="8"/>
      <c r="D81" s="8"/>
      <c r="E81" s="8"/>
      <c r="F81" s="8"/>
      <c r="G81" s="216"/>
      <c r="H81" s="216"/>
      <c r="I81" s="216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6.5" customHeight="1">
      <c r="A82" s="8"/>
      <c r="B82" s="407"/>
      <c r="C82" s="8"/>
      <c r="D82" s="8"/>
      <c r="E82" s="8"/>
      <c r="F82" s="8"/>
      <c r="G82" s="216"/>
      <c r="H82" s="216"/>
      <c r="I82" s="216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6.5" customHeight="1">
      <c r="A83" s="8"/>
      <c r="B83" s="407"/>
      <c r="C83" s="8"/>
      <c r="D83" s="8"/>
      <c r="E83" s="8"/>
      <c r="F83" s="8"/>
      <c r="G83" s="216"/>
      <c r="H83" s="216"/>
      <c r="I83" s="216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6.5" customHeight="1">
      <c r="A84" s="8"/>
      <c r="B84" s="407"/>
      <c r="C84" s="8"/>
      <c r="D84" s="8"/>
      <c r="E84" s="8"/>
      <c r="F84" s="8"/>
      <c r="G84" s="216"/>
      <c r="H84" s="216"/>
      <c r="I84" s="216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6.5" customHeight="1">
      <c r="A85" s="8"/>
      <c r="B85" s="407"/>
      <c r="C85" s="8"/>
      <c r="D85" s="8"/>
      <c r="E85" s="8"/>
      <c r="F85" s="8"/>
      <c r="G85" s="216"/>
      <c r="H85" s="216"/>
      <c r="I85" s="216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6.5" customHeight="1">
      <c r="A86" s="8"/>
      <c r="B86" s="407"/>
      <c r="C86" s="8"/>
      <c r="D86" s="8"/>
      <c r="E86" s="8"/>
      <c r="F86" s="8"/>
      <c r="G86" s="216"/>
      <c r="H86" s="216"/>
      <c r="I86" s="216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6.5" customHeight="1">
      <c r="A87" s="8"/>
      <c r="B87" s="407"/>
      <c r="C87" s="8"/>
      <c r="D87" s="8"/>
      <c r="E87" s="8"/>
      <c r="F87" s="8"/>
      <c r="G87" s="216"/>
      <c r="H87" s="216"/>
      <c r="I87" s="216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6.5" customHeight="1">
      <c r="A88" s="8"/>
      <c r="B88" s="407"/>
      <c r="C88" s="8"/>
      <c r="D88" s="8"/>
      <c r="E88" s="8"/>
      <c r="F88" s="8"/>
      <c r="G88" s="216"/>
      <c r="H88" s="216"/>
      <c r="I88" s="216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6.5" customHeight="1">
      <c r="A89" s="8"/>
      <c r="B89" s="407"/>
      <c r="C89" s="8"/>
      <c r="D89" s="8"/>
      <c r="E89" s="8"/>
      <c r="F89" s="8"/>
      <c r="G89" s="216"/>
      <c r="H89" s="216"/>
      <c r="I89" s="216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6.5" customHeight="1">
      <c r="A90" s="8"/>
      <c r="B90" s="407"/>
      <c r="C90" s="8"/>
      <c r="D90" s="8"/>
      <c r="E90" s="8"/>
      <c r="F90" s="8"/>
      <c r="G90" s="216"/>
      <c r="H90" s="216"/>
      <c r="I90" s="216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6.5" customHeight="1">
      <c r="A91" s="8"/>
      <c r="B91" s="407"/>
      <c r="C91" s="8"/>
      <c r="D91" s="8"/>
      <c r="E91" s="8"/>
      <c r="F91" s="8"/>
      <c r="G91" s="216"/>
      <c r="H91" s="216"/>
      <c r="I91" s="216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6.5" customHeight="1">
      <c r="A92" s="8"/>
      <c r="B92" s="407"/>
      <c r="C92" s="8"/>
      <c r="D92" s="8"/>
      <c r="E92" s="8"/>
      <c r="F92" s="8"/>
      <c r="G92" s="216"/>
      <c r="H92" s="216"/>
      <c r="I92" s="216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6.5" customHeight="1">
      <c r="A93" s="8"/>
      <c r="B93" s="407"/>
      <c r="C93" s="8"/>
      <c r="D93" s="8"/>
      <c r="E93" s="8"/>
      <c r="F93" s="8"/>
      <c r="G93" s="216"/>
      <c r="H93" s="216"/>
      <c r="I93" s="216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6.5" customHeight="1">
      <c r="A94" s="8"/>
      <c r="B94" s="407"/>
      <c r="C94" s="8"/>
      <c r="D94" s="8"/>
      <c r="E94" s="8"/>
      <c r="F94" s="8"/>
      <c r="G94" s="216"/>
      <c r="H94" s="216"/>
      <c r="I94" s="216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6.5" customHeight="1">
      <c r="A95" s="8"/>
      <c r="B95" s="407"/>
      <c r="C95" s="8"/>
      <c r="D95" s="8"/>
      <c r="E95" s="8"/>
      <c r="F95" s="8"/>
      <c r="G95" s="216"/>
      <c r="H95" s="216"/>
      <c r="I95" s="216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6.5" customHeight="1">
      <c r="A96" s="8"/>
      <c r="B96" s="407"/>
      <c r="C96" s="8"/>
      <c r="D96" s="8"/>
      <c r="E96" s="8"/>
      <c r="F96" s="8"/>
      <c r="G96" s="216"/>
      <c r="H96" s="216"/>
      <c r="I96" s="216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6.5" customHeight="1">
      <c r="A97" s="8"/>
      <c r="B97" s="407"/>
      <c r="C97" s="8"/>
      <c r="D97" s="8"/>
      <c r="E97" s="8"/>
      <c r="F97" s="8"/>
      <c r="G97" s="216"/>
      <c r="H97" s="216"/>
      <c r="I97" s="216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6.5" customHeight="1">
      <c r="A98" s="8"/>
      <c r="B98" s="407"/>
      <c r="C98" s="8"/>
      <c r="D98" s="8"/>
      <c r="E98" s="8"/>
      <c r="F98" s="8"/>
      <c r="G98" s="216"/>
      <c r="H98" s="216"/>
      <c r="I98" s="21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6.5" customHeight="1">
      <c r="A99" s="8"/>
      <c r="B99" s="407"/>
      <c r="C99" s="8"/>
      <c r="D99" s="8"/>
      <c r="E99" s="8"/>
      <c r="F99" s="8"/>
      <c r="G99" s="216"/>
      <c r="H99" s="216"/>
      <c r="I99" s="216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6.5" customHeight="1">
      <c r="A100" s="8"/>
      <c r="B100" s="407"/>
      <c r="C100" s="8"/>
      <c r="D100" s="8"/>
      <c r="E100" s="8"/>
      <c r="F100" s="8"/>
      <c r="G100" s="216"/>
      <c r="H100" s="216"/>
      <c r="I100" s="216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6.5" customHeight="1">
      <c r="A101" s="8"/>
      <c r="B101" s="407"/>
      <c r="C101" s="8"/>
      <c r="D101" s="8"/>
      <c r="E101" s="8"/>
      <c r="F101" s="8"/>
      <c r="G101" s="216"/>
      <c r="H101" s="216"/>
      <c r="I101" s="216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6.5" customHeight="1">
      <c r="A102" s="8"/>
      <c r="B102" s="407"/>
      <c r="C102" s="8"/>
      <c r="D102" s="8"/>
      <c r="E102" s="8"/>
      <c r="F102" s="8"/>
      <c r="G102" s="216"/>
      <c r="H102" s="216"/>
      <c r="I102" s="216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6.5" customHeight="1">
      <c r="A103" s="8"/>
      <c r="B103" s="407"/>
      <c r="C103" s="8"/>
      <c r="D103" s="8"/>
      <c r="E103" s="8"/>
      <c r="F103" s="8"/>
      <c r="G103" s="216"/>
      <c r="H103" s="216"/>
      <c r="I103" s="216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6.5" customHeight="1">
      <c r="A104" s="8"/>
      <c r="B104" s="407"/>
      <c r="C104" s="8"/>
      <c r="D104" s="8"/>
      <c r="E104" s="8"/>
      <c r="F104" s="8"/>
      <c r="G104" s="216"/>
      <c r="H104" s="216"/>
      <c r="I104" s="21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6.5" customHeight="1">
      <c r="A105" s="8"/>
      <c r="B105" s="407"/>
      <c r="C105" s="8"/>
      <c r="D105" s="8"/>
      <c r="E105" s="8"/>
      <c r="F105" s="8"/>
      <c r="G105" s="216"/>
      <c r="H105" s="216"/>
      <c r="I105" s="216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6.5" customHeight="1">
      <c r="A106" s="8"/>
      <c r="B106" s="407"/>
      <c r="C106" s="8"/>
      <c r="D106" s="8"/>
      <c r="E106" s="8"/>
      <c r="F106" s="8"/>
      <c r="G106" s="216"/>
      <c r="H106" s="216"/>
      <c r="I106" s="216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6.5" customHeight="1">
      <c r="A107" s="8"/>
      <c r="B107" s="407"/>
      <c r="C107" s="8"/>
      <c r="D107" s="8"/>
      <c r="E107" s="8"/>
      <c r="F107" s="8"/>
      <c r="G107" s="216"/>
      <c r="H107" s="216"/>
      <c r="I107" s="21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6.5" customHeight="1">
      <c r="A108" s="8"/>
      <c r="B108" s="407"/>
      <c r="C108" s="8"/>
      <c r="D108" s="8"/>
      <c r="E108" s="8"/>
      <c r="F108" s="8"/>
      <c r="G108" s="216"/>
      <c r="H108" s="216"/>
      <c r="I108" s="216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6.5" customHeight="1">
      <c r="A109" s="8"/>
      <c r="B109" s="407"/>
      <c r="C109" s="8"/>
      <c r="D109" s="8"/>
      <c r="E109" s="8"/>
      <c r="F109" s="8"/>
      <c r="G109" s="216"/>
      <c r="H109" s="216"/>
      <c r="I109" s="216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6.5" customHeight="1">
      <c r="A110" s="8"/>
      <c r="B110" s="407"/>
      <c r="C110" s="8"/>
      <c r="D110" s="8"/>
      <c r="E110" s="8"/>
      <c r="F110" s="8"/>
      <c r="G110" s="216"/>
      <c r="H110" s="216"/>
      <c r="I110" s="21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6.5" customHeight="1">
      <c r="A111" s="8"/>
      <c r="B111" s="407"/>
      <c r="C111" s="8"/>
      <c r="D111" s="8"/>
      <c r="E111" s="8"/>
      <c r="F111" s="8"/>
      <c r="G111" s="216"/>
      <c r="H111" s="216"/>
      <c r="I111" s="216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6.5" customHeight="1">
      <c r="A112" s="8"/>
      <c r="B112" s="407"/>
      <c r="C112" s="8"/>
      <c r="D112" s="8"/>
      <c r="E112" s="8"/>
      <c r="F112" s="8"/>
      <c r="G112" s="216"/>
      <c r="H112" s="216"/>
      <c r="I112" s="216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6.5" customHeight="1">
      <c r="A113" s="8"/>
      <c r="B113" s="407"/>
      <c r="C113" s="8"/>
      <c r="D113" s="8"/>
      <c r="E113" s="8"/>
      <c r="F113" s="8"/>
      <c r="G113" s="216"/>
      <c r="H113" s="216"/>
      <c r="I113" s="21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6.5" customHeight="1">
      <c r="A114" s="8"/>
      <c r="B114" s="407"/>
      <c r="C114" s="8"/>
      <c r="D114" s="8"/>
      <c r="E114" s="8"/>
      <c r="F114" s="8"/>
      <c r="G114" s="216"/>
      <c r="H114" s="216"/>
      <c r="I114" s="216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6.5" customHeight="1">
      <c r="A115" s="8"/>
      <c r="B115" s="407"/>
      <c r="C115" s="8"/>
      <c r="D115" s="8"/>
      <c r="E115" s="8"/>
      <c r="F115" s="8"/>
      <c r="G115" s="216"/>
      <c r="H115" s="216"/>
      <c r="I115" s="216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6.5" customHeight="1">
      <c r="A116" s="8"/>
      <c r="B116" s="407"/>
      <c r="C116" s="8"/>
      <c r="D116" s="8"/>
      <c r="E116" s="8"/>
      <c r="F116" s="8"/>
      <c r="G116" s="216"/>
      <c r="H116" s="216"/>
      <c r="I116" s="21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6.5" customHeight="1">
      <c r="A117" s="8"/>
      <c r="B117" s="407"/>
      <c r="C117" s="8"/>
      <c r="D117" s="8"/>
      <c r="E117" s="8"/>
      <c r="F117" s="8"/>
      <c r="G117" s="216"/>
      <c r="H117" s="216"/>
      <c r="I117" s="216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6.5" customHeight="1">
      <c r="A118" s="8"/>
      <c r="B118" s="407"/>
      <c r="C118" s="8"/>
      <c r="D118" s="8"/>
      <c r="E118" s="8"/>
      <c r="F118" s="8"/>
      <c r="G118" s="216"/>
      <c r="H118" s="216"/>
      <c r="I118" s="216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6.5" customHeight="1">
      <c r="A119" s="8"/>
      <c r="B119" s="407"/>
      <c r="C119" s="8"/>
      <c r="D119" s="8"/>
      <c r="E119" s="8"/>
      <c r="F119" s="8"/>
      <c r="G119" s="216"/>
      <c r="H119" s="216"/>
      <c r="I119" s="216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6.5" customHeight="1">
      <c r="A120" s="8"/>
      <c r="B120" s="407"/>
      <c r="C120" s="8"/>
      <c r="D120" s="8"/>
      <c r="E120" s="8"/>
      <c r="F120" s="8"/>
      <c r="G120" s="216"/>
      <c r="H120" s="216"/>
      <c r="I120" s="216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6.5" customHeight="1">
      <c r="A121" s="8"/>
      <c r="B121" s="407"/>
      <c r="C121" s="8"/>
      <c r="D121" s="8"/>
      <c r="E121" s="8"/>
      <c r="F121" s="8"/>
      <c r="G121" s="216"/>
      <c r="H121" s="216"/>
      <c r="I121" s="216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6.5" customHeight="1">
      <c r="A122" s="8"/>
      <c r="B122" s="407"/>
      <c r="C122" s="8"/>
      <c r="D122" s="8"/>
      <c r="E122" s="8"/>
      <c r="F122" s="8"/>
      <c r="G122" s="216"/>
      <c r="H122" s="216"/>
      <c r="I122" s="216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6.5" customHeight="1">
      <c r="A123" s="8"/>
      <c r="B123" s="407"/>
      <c r="C123" s="8"/>
      <c r="D123" s="8"/>
      <c r="E123" s="8"/>
      <c r="F123" s="8"/>
      <c r="G123" s="216"/>
      <c r="H123" s="216"/>
      <c r="I123" s="216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6.5" customHeight="1">
      <c r="A124" s="8"/>
      <c r="B124" s="407"/>
      <c r="C124" s="8"/>
      <c r="D124" s="8"/>
      <c r="E124" s="8"/>
      <c r="F124" s="8"/>
      <c r="G124" s="216"/>
      <c r="H124" s="216"/>
      <c r="I124" s="216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6.5" customHeight="1">
      <c r="A125" s="8"/>
      <c r="B125" s="407"/>
      <c r="C125" s="8"/>
      <c r="D125" s="8"/>
      <c r="E125" s="8"/>
      <c r="F125" s="8"/>
      <c r="G125" s="216"/>
      <c r="H125" s="216"/>
      <c r="I125" s="216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6.5" customHeight="1">
      <c r="A126" s="8"/>
      <c r="B126" s="407"/>
      <c r="C126" s="8"/>
      <c r="D126" s="8"/>
      <c r="E126" s="8"/>
      <c r="F126" s="8"/>
      <c r="G126" s="216"/>
      <c r="H126" s="216"/>
      <c r="I126" s="216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6.5" customHeight="1">
      <c r="A127" s="8"/>
      <c r="B127" s="407"/>
      <c r="C127" s="8"/>
      <c r="D127" s="8"/>
      <c r="E127" s="8"/>
      <c r="F127" s="8"/>
      <c r="G127" s="216"/>
      <c r="H127" s="216"/>
      <c r="I127" s="216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6.5" customHeight="1">
      <c r="A128" s="8"/>
      <c r="B128" s="407"/>
      <c r="C128" s="8"/>
      <c r="D128" s="8"/>
      <c r="E128" s="8"/>
      <c r="F128" s="8"/>
      <c r="G128" s="216"/>
      <c r="H128" s="216"/>
      <c r="I128" s="216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6.5" customHeight="1">
      <c r="A129" s="8"/>
      <c r="B129" s="407"/>
      <c r="C129" s="8"/>
      <c r="D129" s="8"/>
      <c r="E129" s="8"/>
      <c r="F129" s="8"/>
      <c r="G129" s="216"/>
      <c r="H129" s="216"/>
      <c r="I129" s="21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6.5" customHeight="1">
      <c r="A130" s="8"/>
      <c r="B130" s="407"/>
      <c r="C130" s="8"/>
      <c r="D130" s="8"/>
      <c r="E130" s="8"/>
      <c r="F130" s="8"/>
      <c r="G130" s="216"/>
      <c r="H130" s="216"/>
      <c r="I130" s="21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6.5" customHeight="1">
      <c r="A131" s="8"/>
      <c r="B131" s="407"/>
      <c r="C131" s="8"/>
      <c r="D131" s="8"/>
      <c r="E131" s="8"/>
      <c r="F131" s="8"/>
      <c r="G131" s="216"/>
      <c r="H131" s="216"/>
      <c r="I131" s="216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6.5" customHeight="1">
      <c r="A132" s="8"/>
      <c r="B132" s="407"/>
      <c r="C132" s="8"/>
      <c r="D132" s="8"/>
      <c r="E132" s="8"/>
      <c r="F132" s="8"/>
      <c r="G132" s="216"/>
      <c r="H132" s="216"/>
      <c r="I132" s="216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6.5" customHeight="1">
      <c r="A133" s="8"/>
      <c r="B133" s="407"/>
      <c r="C133" s="8"/>
      <c r="D133" s="8"/>
      <c r="E133" s="8"/>
      <c r="F133" s="8"/>
      <c r="G133" s="216"/>
      <c r="H133" s="216"/>
      <c r="I133" s="21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6.5" customHeight="1">
      <c r="A134" s="8"/>
      <c r="B134" s="407"/>
      <c r="C134" s="8"/>
      <c r="D134" s="8"/>
      <c r="E134" s="8"/>
      <c r="F134" s="8"/>
      <c r="G134" s="216"/>
      <c r="H134" s="216"/>
      <c r="I134" s="216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6.5" customHeight="1">
      <c r="A135" s="8"/>
      <c r="B135" s="407"/>
      <c r="C135" s="8"/>
      <c r="D135" s="8"/>
      <c r="E135" s="8"/>
      <c r="F135" s="8"/>
      <c r="G135" s="216"/>
      <c r="H135" s="216"/>
      <c r="I135" s="216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6.5" customHeight="1">
      <c r="A136" s="8"/>
      <c r="B136" s="407"/>
      <c r="C136" s="8"/>
      <c r="D136" s="8"/>
      <c r="E136" s="8"/>
      <c r="F136" s="8"/>
      <c r="G136" s="216"/>
      <c r="H136" s="216"/>
      <c r="I136" s="21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6.5" customHeight="1">
      <c r="A137" s="8"/>
      <c r="B137" s="407"/>
      <c r="C137" s="8"/>
      <c r="D137" s="8"/>
      <c r="E137" s="8"/>
      <c r="F137" s="8"/>
      <c r="G137" s="216"/>
      <c r="H137" s="216"/>
      <c r="I137" s="216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6.5" customHeight="1">
      <c r="A138" s="8"/>
      <c r="B138" s="407"/>
      <c r="C138" s="8"/>
      <c r="D138" s="8"/>
      <c r="E138" s="8"/>
      <c r="F138" s="8"/>
      <c r="G138" s="216"/>
      <c r="H138" s="216"/>
      <c r="I138" s="21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6.5" customHeight="1">
      <c r="A139" s="8"/>
      <c r="B139" s="407"/>
      <c r="C139" s="8"/>
      <c r="D139" s="8"/>
      <c r="E139" s="8"/>
      <c r="F139" s="8"/>
      <c r="G139" s="216"/>
      <c r="H139" s="216"/>
      <c r="I139" s="21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6.5" customHeight="1">
      <c r="A140" s="8"/>
      <c r="B140" s="407"/>
      <c r="C140" s="8"/>
      <c r="D140" s="8"/>
      <c r="E140" s="8"/>
      <c r="F140" s="8"/>
      <c r="G140" s="216"/>
      <c r="H140" s="216"/>
      <c r="I140" s="216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6.5" customHeight="1">
      <c r="A141" s="8"/>
      <c r="B141" s="407"/>
      <c r="C141" s="8"/>
      <c r="D141" s="8"/>
      <c r="E141" s="8"/>
      <c r="F141" s="8"/>
      <c r="G141" s="216"/>
      <c r="H141" s="216"/>
      <c r="I141" s="216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6.5" customHeight="1">
      <c r="A142" s="8"/>
      <c r="B142" s="407"/>
      <c r="C142" s="8"/>
      <c r="D142" s="8"/>
      <c r="E142" s="8"/>
      <c r="F142" s="8"/>
      <c r="G142" s="216"/>
      <c r="H142" s="216"/>
      <c r="I142" s="216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6.5" customHeight="1">
      <c r="A143" s="8"/>
      <c r="B143" s="407"/>
      <c r="C143" s="8"/>
      <c r="D143" s="8"/>
      <c r="E143" s="8"/>
      <c r="F143" s="8"/>
      <c r="G143" s="216"/>
      <c r="H143" s="216"/>
      <c r="I143" s="216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6.5" customHeight="1">
      <c r="A144" s="8"/>
      <c r="B144" s="407"/>
      <c r="C144" s="8"/>
      <c r="D144" s="8"/>
      <c r="E144" s="8"/>
      <c r="F144" s="8"/>
      <c r="G144" s="216"/>
      <c r="H144" s="216"/>
      <c r="I144" s="216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6.5" customHeight="1">
      <c r="A145" s="8"/>
      <c r="B145" s="407"/>
      <c r="C145" s="8"/>
      <c r="D145" s="8"/>
      <c r="E145" s="8"/>
      <c r="F145" s="8"/>
      <c r="G145" s="216"/>
      <c r="H145" s="216"/>
      <c r="I145" s="216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6.5" customHeight="1">
      <c r="A146" s="8"/>
      <c r="B146" s="407"/>
      <c r="C146" s="8"/>
      <c r="D146" s="8"/>
      <c r="E146" s="8"/>
      <c r="F146" s="8"/>
      <c r="G146" s="216"/>
      <c r="H146" s="216"/>
      <c r="I146" s="21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6.5" customHeight="1">
      <c r="A147" s="8"/>
      <c r="B147" s="407"/>
      <c r="C147" s="8"/>
      <c r="D147" s="8"/>
      <c r="E147" s="8"/>
      <c r="F147" s="8"/>
      <c r="G147" s="216"/>
      <c r="H147" s="216"/>
      <c r="I147" s="216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6.5" customHeight="1">
      <c r="A148" s="8"/>
      <c r="B148" s="407"/>
      <c r="C148" s="8"/>
      <c r="D148" s="8"/>
      <c r="E148" s="8"/>
      <c r="F148" s="8"/>
      <c r="G148" s="216"/>
      <c r="H148" s="216"/>
      <c r="I148" s="21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6.5" customHeight="1">
      <c r="A149" s="8"/>
      <c r="B149" s="407"/>
      <c r="C149" s="8"/>
      <c r="D149" s="8"/>
      <c r="E149" s="8"/>
      <c r="F149" s="8"/>
      <c r="G149" s="216"/>
      <c r="H149" s="216"/>
      <c r="I149" s="216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6.5" customHeight="1">
      <c r="A150" s="8"/>
      <c r="B150" s="407"/>
      <c r="C150" s="8"/>
      <c r="D150" s="8"/>
      <c r="E150" s="8"/>
      <c r="F150" s="8"/>
      <c r="G150" s="216"/>
      <c r="H150" s="216"/>
      <c r="I150" s="216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6.5" customHeight="1">
      <c r="A151" s="8"/>
      <c r="B151" s="407"/>
      <c r="C151" s="8"/>
      <c r="D151" s="8"/>
      <c r="E151" s="8"/>
      <c r="F151" s="8"/>
      <c r="G151" s="216"/>
      <c r="H151" s="216"/>
      <c r="I151" s="216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6.5" customHeight="1">
      <c r="A152" s="8"/>
      <c r="B152" s="407"/>
      <c r="C152" s="8"/>
      <c r="D152" s="8"/>
      <c r="E152" s="8"/>
      <c r="F152" s="8"/>
      <c r="G152" s="216"/>
      <c r="H152" s="216"/>
      <c r="I152" s="216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6.5" customHeight="1">
      <c r="A153" s="8"/>
      <c r="B153" s="407"/>
      <c r="C153" s="8"/>
      <c r="D153" s="8"/>
      <c r="E153" s="8"/>
      <c r="F153" s="8"/>
      <c r="G153" s="216"/>
      <c r="H153" s="216"/>
      <c r="I153" s="216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6.5" customHeight="1">
      <c r="A154" s="8"/>
      <c r="B154" s="407"/>
      <c r="C154" s="8"/>
      <c r="D154" s="8"/>
      <c r="E154" s="8"/>
      <c r="F154" s="8"/>
      <c r="G154" s="216"/>
      <c r="H154" s="216"/>
      <c r="I154" s="216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6.5" customHeight="1">
      <c r="A155" s="8"/>
      <c r="B155" s="407"/>
      <c r="C155" s="8"/>
      <c r="D155" s="8"/>
      <c r="E155" s="8"/>
      <c r="F155" s="8"/>
      <c r="G155" s="216"/>
      <c r="H155" s="216"/>
      <c r="I155" s="216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6.5" customHeight="1">
      <c r="A156" s="8"/>
      <c r="B156" s="407"/>
      <c r="C156" s="8"/>
      <c r="D156" s="8"/>
      <c r="E156" s="8"/>
      <c r="F156" s="8"/>
      <c r="G156" s="216"/>
      <c r="H156" s="216"/>
      <c r="I156" s="21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6.5" customHeight="1">
      <c r="A157" s="8"/>
      <c r="B157" s="407"/>
      <c r="C157" s="8"/>
      <c r="D157" s="8"/>
      <c r="E157" s="8"/>
      <c r="F157" s="8"/>
      <c r="G157" s="216"/>
      <c r="H157" s="216"/>
      <c r="I157" s="216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6.5" customHeight="1">
      <c r="A158" s="8"/>
      <c r="B158" s="407"/>
      <c r="C158" s="8"/>
      <c r="D158" s="8"/>
      <c r="E158" s="8"/>
      <c r="F158" s="8"/>
      <c r="G158" s="216"/>
      <c r="H158" s="216"/>
      <c r="I158" s="21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6.5" customHeight="1">
      <c r="A159" s="8"/>
      <c r="B159" s="407"/>
      <c r="C159" s="8"/>
      <c r="D159" s="8"/>
      <c r="E159" s="8"/>
      <c r="F159" s="8"/>
      <c r="G159" s="216"/>
      <c r="H159" s="216"/>
      <c r="I159" s="216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6.5" customHeight="1">
      <c r="A160" s="8"/>
      <c r="B160" s="407"/>
      <c r="C160" s="8"/>
      <c r="D160" s="8"/>
      <c r="E160" s="8"/>
      <c r="F160" s="8"/>
      <c r="G160" s="216"/>
      <c r="H160" s="216"/>
      <c r="I160" s="21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6.5" customHeight="1">
      <c r="A161" s="8"/>
      <c r="B161" s="407"/>
      <c r="C161" s="8"/>
      <c r="D161" s="8"/>
      <c r="E161" s="8"/>
      <c r="F161" s="8"/>
      <c r="G161" s="216"/>
      <c r="H161" s="216"/>
      <c r="I161" s="216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6.5" customHeight="1">
      <c r="A162" s="8"/>
      <c r="B162" s="407"/>
      <c r="C162" s="8"/>
      <c r="D162" s="8"/>
      <c r="E162" s="8"/>
      <c r="F162" s="8"/>
      <c r="G162" s="216"/>
      <c r="H162" s="216"/>
      <c r="I162" s="216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6.5" customHeight="1">
      <c r="A163" s="8"/>
      <c r="B163" s="407"/>
      <c r="C163" s="8"/>
      <c r="D163" s="8"/>
      <c r="E163" s="8"/>
      <c r="F163" s="8"/>
      <c r="G163" s="216"/>
      <c r="H163" s="216"/>
      <c r="I163" s="21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6.5" customHeight="1">
      <c r="A164" s="8"/>
      <c r="B164" s="407"/>
      <c r="C164" s="8"/>
      <c r="D164" s="8"/>
      <c r="E164" s="8"/>
      <c r="F164" s="8"/>
      <c r="G164" s="216"/>
      <c r="H164" s="216"/>
      <c r="I164" s="21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6.5" customHeight="1">
      <c r="A165" s="8"/>
      <c r="B165" s="407"/>
      <c r="C165" s="8"/>
      <c r="D165" s="8"/>
      <c r="E165" s="8"/>
      <c r="F165" s="8"/>
      <c r="G165" s="216"/>
      <c r="H165" s="216"/>
      <c r="I165" s="21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6.5" customHeight="1">
      <c r="A166" s="8"/>
      <c r="B166" s="407"/>
      <c r="C166" s="8"/>
      <c r="D166" s="8"/>
      <c r="E166" s="8"/>
      <c r="F166" s="8"/>
      <c r="G166" s="216"/>
      <c r="H166" s="216"/>
      <c r="I166" s="216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6.5" customHeight="1">
      <c r="A167" s="8"/>
      <c r="B167" s="407"/>
      <c r="C167" s="8"/>
      <c r="D167" s="8"/>
      <c r="E167" s="8"/>
      <c r="F167" s="8"/>
      <c r="G167" s="216"/>
      <c r="H167" s="216"/>
      <c r="I167" s="216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6.5" customHeight="1">
      <c r="A168" s="8"/>
      <c r="B168" s="407"/>
      <c r="C168" s="8"/>
      <c r="D168" s="8"/>
      <c r="E168" s="8"/>
      <c r="F168" s="8"/>
      <c r="G168" s="216"/>
      <c r="H168" s="216"/>
      <c r="I168" s="216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6.5" customHeight="1">
      <c r="A169" s="8"/>
      <c r="B169" s="407"/>
      <c r="C169" s="8"/>
      <c r="D169" s="8"/>
      <c r="E169" s="8"/>
      <c r="F169" s="8"/>
      <c r="G169" s="216"/>
      <c r="H169" s="216"/>
      <c r="I169" s="21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6.5" customHeight="1">
      <c r="A170" s="8"/>
      <c r="B170" s="407"/>
      <c r="C170" s="8"/>
      <c r="D170" s="8"/>
      <c r="E170" s="8"/>
      <c r="F170" s="8"/>
      <c r="G170" s="216"/>
      <c r="H170" s="216"/>
      <c r="I170" s="21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6.5" customHeight="1">
      <c r="A171" s="8"/>
      <c r="B171" s="407"/>
      <c r="C171" s="8"/>
      <c r="D171" s="8"/>
      <c r="E171" s="8"/>
      <c r="F171" s="8"/>
      <c r="G171" s="216"/>
      <c r="H171" s="216"/>
      <c r="I171" s="216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6.5" customHeight="1">
      <c r="A172" s="8"/>
      <c r="B172" s="407"/>
      <c r="C172" s="8"/>
      <c r="D172" s="8"/>
      <c r="E172" s="8"/>
      <c r="F172" s="8"/>
      <c r="G172" s="216"/>
      <c r="H172" s="216"/>
      <c r="I172" s="216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6.5" customHeight="1">
      <c r="A173" s="8"/>
      <c r="B173" s="407"/>
      <c r="C173" s="8"/>
      <c r="D173" s="8"/>
      <c r="E173" s="8"/>
      <c r="F173" s="8"/>
      <c r="G173" s="216"/>
      <c r="H173" s="216"/>
      <c r="I173" s="216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6.5" customHeight="1">
      <c r="A174" s="8"/>
      <c r="B174" s="407"/>
      <c r="C174" s="8"/>
      <c r="D174" s="8"/>
      <c r="E174" s="8"/>
      <c r="F174" s="8"/>
      <c r="G174" s="216"/>
      <c r="H174" s="216"/>
      <c r="I174" s="216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6.5" customHeight="1">
      <c r="A175" s="8"/>
      <c r="B175" s="407"/>
      <c r="C175" s="8"/>
      <c r="D175" s="8"/>
      <c r="E175" s="8"/>
      <c r="F175" s="8"/>
      <c r="G175" s="216"/>
      <c r="H175" s="216"/>
      <c r="I175" s="216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6.5" customHeight="1">
      <c r="A176" s="8"/>
      <c r="B176" s="407"/>
      <c r="C176" s="8"/>
      <c r="D176" s="8"/>
      <c r="E176" s="8"/>
      <c r="F176" s="8"/>
      <c r="G176" s="216"/>
      <c r="H176" s="216"/>
      <c r="I176" s="21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6.5" customHeight="1">
      <c r="A177" s="8"/>
      <c r="B177" s="407"/>
      <c r="C177" s="8"/>
      <c r="D177" s="8"/>
      <c r="E177" s="8"/>
      <c r="F177" s="8"/>
      <c r="G177" s="216"/>
      <c r="H177" s="216"/>
      <c r="I177" s="21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6.5" customHeight="1">
      <c r="A178" s="8"/>
      <c r="B178" s="407"/>
      <c r="C178" s="8"/>
      <c r="D178" s="8"/>
      <c r="E178" s="8"/>
      <c r="F178" s="8"/>
      <c r="G178" s="216"/>
      <c r="H178" s="216"/>
      <c r="I178" s="216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6.5" customHeight="1">
      <c r="A179" s="8"/>
      <c r="B179" s="407"/>
      <c r="C179" s="8"/>
      <c r="D179" s="8"/>
      <c r="E179" s="8"/>
      <c r="F179" s="8"/>
      <c r="G179" s="216"/>
      <c r="H179" s="216"/>
      <c r="I179" s="216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6.5" customHeight="1">
      <c r="A180" s="8"/>
      <c r="B180" s="407"/>
      <c r="C180" s="8"/>
      <c r="D180" s="8"/>
      <c r="E180" s="8"/>
      <c r="F180" s="8"/>
      <c r="G180" s="216"/>
      <c r="H180" s="216"/>
      <c r="I180" s="21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6.5" customHeight="1">
      <c r="A181" s="8"/>
      <c r="B181" s="407"/>
      <c r="C181" s="8"/>
      <c r="D181" s="8"/>
      <c r="E181" s="8"/>
      <c r="F181" s="8"/>
      <c r="G181" s="216"/>
      <c r="H181" s="216"/>
      <c r="I181" s="216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6.5" customHeight="1">
      <c r="A182" s="8"/>
      <c r="B182" s="407"/>
      <c r="C182" s="8"/>
      <c r="D182" s="8"/>
      <c r="E182" s="8"/>
      <c r="F182" s="8"/>
      <c r="G182" s="216"/>
      <c r="H182" s="216"/>
      <c r="I182" s="216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6.5" customHeight="1">
      <c r="A183" s="8"/>
      <c r="B183" s="407"/>
      <c r="C183" s="8"/>
      <c r="D183" s="8"/>
      <c r="E183" s="8"/>
      <c r="F183" s="8"/>
      <c r="G183" s="216"/>
      <c r="H183" s="216"/>
      <c r="I183" s="21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6.5" customHeight="1">
      <c r="A184" s="8"/>
      <c r="B184" s="407"/>
      <c r="C184" s="8"/>
      <c r="D184" s="8"/>
      <c r="E184" s="8"/>
      <c r="F184" s="8"/>
      <c r="G184" s="216"/>
      <c r="H184" s="216"/>
      <c r="I184" s="21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6.5" customHeight="1">
      <c r="A185" s="8"/>
      <c r="B185" s="407"/>
      <c r="C185" s="8"/>
      <c r="D185" s="8"/>
      <c r="E185" s="8"/>
      <c r="F185" s="8"/>
      <c r="G185" s="216"/>
      <c r="H185" s="216"/>
      <c r="I185" s="216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6.5" customHeight="1">
      <c r="A186" s="8"/>
      <c r="B186" s="407"/>
      <c r="C186" s="8"/>
      <c r="D186" s="8"/>
      <c r="E186" s="8"/>
      <c r="F186" s="8"/>
      <c r="G186" s="216"/>
      <c r="H186" s="216"/>
      <c r="I186" s="21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6.5" customHeight="1">
      <c r="A187" s="8"/>
      <c r="B187" s="407"/>
      <c r="C187" s="8"/>
      <c r="D187" s="8"/>
      <c r="E187" s="8"/>
      <c r="F187" s="8"/>
      <c r="G187" s="216"/>
      <c r="H187" s="216"/>
      <c r="I187" s="216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6.5" customHeight="1">
      <c r="A188" s="8"/>
      <c r="B188" s="407"/>
      <c r="C188" s="8"/>
      <c r="D188" s="8"/>
      <c r="E188" s="8"/>
      <c r="F188" s="8"/>
      <c r="G188" s="216"/>
      <c r="H188" s="216"/>
      <c r="I188" s="21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6.5" customHeight="1">
      <c r="A189" s="8"/>
      <c r="B189" s="407"/>
      <c r="C189" s="8"/>
      <c r="D189" s="8"/>
      <c r="E189" s="8"/>
      <c r="F189" s="8"/>
      <c r="G189" s="216"/>
      <c r="H189" s="216"/>
      <c r="I189" s="216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6.5" customHeight="1">
      <c r="A190" s="8"/>
      <c r="B190" s="407"/>
      <c r="C190" s="8"/>
      <c r="D190" s="8"/>
      <c r="E190" s="8"/>
      <c r="F190" s="8"/>
      <c r="G190" s="216"/>
      <c r="H190" s="216"/>
      <c r="I190" s="21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6.5" customHeight="1">
      <c r="A191" s="8"/>
      <c r="B191" s="407"/>
      <c r="C191" s="8"/>
      <c r="D191" s="8"/>
      <c r="E191" s="8"/>
      <c r="F191" s="8"/>
      <c r="G191" s="216"/>
      <c r="H191" s="216"/>
      <c r="I191" s="216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6.5" customHeight="1">
      <c r="A192" s="8"/>
      <c r="B192" s="407"/>
      <c r="C192" s="8"/>
      <c r="D192" s="8"/>
      <c r="E192" s="8"/>
      <c r="F192" s="8"/>
      <c r="G192" s="216"/>
      <c r="H192" s="216"/>
      <c r="I192" s="216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6.5" customHeight="1">
      <c r="A193" s="8"/>
      <c r="B193" s="407"/>
      <c r="C193" s="8"/>
      <c r="D193" s="8"/>
      <c r="E193" s="8"/>
      <c r="F193" s="8"/>
      <c r="G193" s="216"/>
      <c r="H193" s="216"/>
      <c r="I193" s="216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6.5" customHeight="1">
      <c r="A194" s="8"/>
      <c r="B194" s="407"/>
      <c r="C194" s="8"/>
      <c r="D194" s="8"/>
      <c r="E194" s="8"/>
      <c r="F194" s="8"/>
      <c r="G194" s="216"/>
      <c r="H194" s="216"/>
      <c r="I194" s="216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6.5" customHeight="1">
      <c r="A195" s="8"/>
      <c r="B195" s="407"/>
      <c r="C195" s="8"/>
      <c r="D195" s="8"/>
      <c r="E195" s="8"/>
      <c r="F195" s="8"/>
      <c r="G195" s="216"/>
      <c r="H195" s="216"/>
      <c r="I195" s="216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6.5" customHeight="1">
      <c r="A196" s="8"/>
      <c r="B196" s="407"/>
      <c r="C196" s="8"/>
      <c r="D196" s="8"/>
      <c r="E196" s="8"/>
      <c r="F196" s="8"/>
      <c r="G196" s="216"/>
      <c r="H196" s="216"/>
      <c r="I196" s="216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6.5" customHeight="1">
      <c r="A197" s="8"/>
      <c r="B197" s="407"/>
      <c r="C197" s="8"/>
      <c r="D197" s="8"/>
      <c r="E197" s="8"/>
      <c r="F197" s="8"/>
      <c r="G197" s="216"/>
      <c r="H197" s="216"/>
      <c r="I197" s="216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6.5" customHeight="1">
      <c r="A198" s="8"/>
      <c r="B198" s="407"/>
      <c r="C198" s="8"/>
      <c r="D198" s="8"/>
      <c r="E198" s="8"/>
      <c r="F198" s="8"/>
      <c r="G198" s="216"/>
      <c r="H198" s="216"/>
      <c r="I198" s="216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6.5" customHeight="1">
      <c r="A199" s="8"/>
      <c r="B199" s="407"/>
      <c r="C199" s="8"/>
      <c r="D199" s="8"/>
      <c r="E199" s="8"/>
      <c r="F199" s="8"/>
      <c r="G199" s="216"/>
      <c r="H199" s="216"/>
      <c r="I199" s="216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6.5" customHeight="1">
      <c r="A200" s="8"/>
      <c r="B200" s="407"/>
      <c r="C200" s="8"/>
      <c r="D200" s="8"/>
      <c r="E200" s="8"/>
      <c r="F200" s="8"/>
      <c r="G200" s="216"/>
      <c r="H200" s="216"/>
      <c r="I200" s="216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6.5" customHeight="1">
      <c r="A201" s="8"/>
      <c r="B201" s="407"/>
      <c r="C201" s="8"/>
      <c r="D201" s="8"/>
      <c r="E201" s="8"/>
      <c r="F201" s="8"/>
      <c r="G201" s="216"/>
      <c r="H201" s="216"/>
      <c r="I201" s="216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6.5" customHeight="1">
      <c r="A202" s="8"/>
      <c r="B202" s="407"/>
      <c r="C202" s="8"/>
      <c r="D202" s="8"/>
      <c r="E202" s="8"/>
      <c r="F202" s="8"/>
      <c r="G202" s="216"/>
      <c r="H202" s="216"/>
      <c r="I202" s="216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6.5" customHeight="1">
      <c r="A203" s="8"/>
      <c r="B203" s="407"/>
      <c r="C203" s="8"/>
      <c r="D203" s="8"/>
      <c r="E203" s="8"/>
      <c r="F203" s="8"/>
      <c r="G203" s="216"/>
      <c r="H203" s="216"/>
      <c r="I203" s="216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6.5" customHeight="1">
      <c r="A204" s="8"/>
      <c r="B204" s="407"/>
      <c r="C204" s="8"/>
      <c r="D204" s="8"/>
      <c r="E204" s="8"/>
      <c r="F204" s="8"/>
      <c r="G204" s="216"/>
      <c r="H204" s="216"/>
      <c r="I204" s="216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6.5" customHeight="1">
      <c r="A205" s="8"/>
      <c r="B205" s="407"/>
      <c r="C205" s="8"/>
      <c r="D205" s="8"/>
      <c r="E205" s="8"/>
      <c r="F205" s="8"/>
      <c r="G205" s="216"/>
      <c r="H205" s="216"/>
      <c r="I205" s="216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6.5" customHeight="1">
      <c r="A206" s="8"/>
      <c r="B206" s="407"/>
      <c r="C206" s="8"/>
      <c r="D206" s="8"/>
      <c r="E206" s="8"/>
      <c r="F206" s="8"/>
      <c r="G206" s="216"/>
      <c r="H206" s="216"/>
      <c r="I206" s="216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6.5" customHeight="1">
      <c r="A207" s="8"/>
      <c r="B207" s="407"/>
      <c r="C207" s="8"/>
      <c r="D207" s="8"/>
      <c r="E207" s="8"/>
      <c r="F207" s="8"/>
      <c r="G207" s="216"/>
      <c r="H207" s="216"/>
      <c r="I207" s="216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6.5" customHeight="1">
      <c r="A208" s="8"/>
      <c r="B208" s="407"/>
      <c r="C208" s="8"/>
      <c r="D208" s="8"/>
      <c r="E208" s="8"/>
      <c r="F208" s="8"/>
      <c r="G208" s="216"/>
      <c r="H208" s="216"/>
      <c r="I208" s="216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6.5" customHeight="1">
      <c r="A209" s="8"/>
      <c r="B209" s="407"/>
      <c r="C209" s="8"/>
      <c r="D209" s="8"/>
      <c r="E209" s="8"/>
      <c r="F209" s="8"/>
      <c r="G209" s="216"/>
      <c r="H209" s="216"/>
      <c r="I209" s="216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6.5" customHeight="1">
      <c r="A210" s="8"/>
      <c r="B210" s="407"/>
      <c r="C210" s="8"/>
      <c r="D210" s="8"/>
      <c r="E210" s="8"/>
      <c r="F210" s="8"/>
      <c r="G210" s="216"/>
      <c r="H210" s="216"/>
      <c r="I210" s="216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6.5" customHeight="1">
      <c r="A211" s="8"/>
      <c r="B211" s="407"/>
      <c r="C211" s="8"/>
      <c r="D211" s="8"/>
      <c r="E211" s="8"/>
      <c r="F211" s="8"/>
      <c r="G211" s="216"/>
      <c r="H211" s="216"/>
      <c r="I211" s="216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6.5" customHeight="1">
      <c r="A212" s="8"/>
      <c r="B212" s="407"/>
      <c r="C212" s="8"/>
      <c r="D212" s="8"/>
      <c r="E212" s="8"/>
      <c r="F212" s="8"/>
      <c r="G212" s="216"/>
      <c r="H212" s="216"/>
      <c r="I212" s="216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6.5" customHeight="1">
      <c r="A213" s="8"/>
      <c r="B213" s="407"/>
      <c r="C213" s="8"/>
      <c r="D213" s="8"/>
      <c r="E213" s="8"/>
      <c r="F213" s="8"/>
      <c r="G213" s="216"/>
      <c r="H213" s="216"/>
      <c r="I213" s="216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6.5" customHeight="1">
      <c r="A214" s="8"/>
      <c r="B214" s="407"/>
      <c r="C214" s="8"/>
      <c r="D214" s="8"/>
      <c r="E214" s="8"/>
      <c r="F214" s="8"/>
      <c r="G214" s="216"/>
      <c r="H214" s="216"/>
      <c r="I214" s="216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6.5" customHeight="1">
      <c r="A215" s="8"/>
      <c r="B215" s="407"/>
      <c r="C215" s="8"/>
      <c r="D215" s="8"/>
      <c r="E215" s="8"/>
      <c r="F215" s="8"/>
      <c r="G215" s="216"/>
      <c r="H215" s="216"/>
      <c r="I215" s="216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6.5" customHeight="1">
      <c r="A216" s="8"/>
      <c r="B216" s="407"/>
      <c r="C216" s="8"/>
      <c r="D216" s="8"/>
      <c r="E216" s="8"/>
      <c r="F216" s="8"/>
      <c r="G216" s="216"/>
      <c r="H216" s="216"/>
      <c r="I216" s="216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6.5" customHeight="1">
      <c r="A217" s="8"/>
      <c r="B217" s="407"/>
      <c r="C217" s="8"/>
      <c r="D217" s="8"/>
      <c r="E217" s="8"/>
      <c r="F217" s="8"/>
      <c r="G217" s="216"/>
      <c r="H217" s="216"/>
      <c r="I217" s="216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6.5" customHeight="1">
      <c r="A218" s="8"/>
      <c r="B218" s="407"/>
      <c r="C218" s="8"/>
      <c r="D218" s="8"/>
      <c r="E218" s="8"/>
      <c r="F218" s="8"/>
      <c r="G218" s="216"/>
      <c r="H218" s="216"/>
      <c r="I218" s="216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6.5" customHeight="1">
      <c r="A219" s="8"/>
      <c r="B219" s="407"/>
      <c r="C219" s="8"/>
      <c r="D219" s="8"/>
      <c r="E219" s="8"/>
      <c r="F219" s="8"/>
      <c r="G219" s="216"/>
      <c r="H219" s="216"/>
      <c r="I219" s="216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6.5" customHeight="1">
      <c r="A220" s="8"/>
      <c r="B220" s="407"/>
      <c r="C220" s="8"/>
      <c r="D220" s="8"/>
      <c r="E220" s="8"/>
      <c r="F220" s="8"/>
      <c r="G220" s="216"/>
      <c r="H220" s="216"/>
      <c r="I220" s="216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6.5" customHeight="1">
      <c r="A221" s="8"/>
      <c r="B221" s="407"/>
      <c r="C221" s="8"/>
      <c r="D221" s="8"/>
      <c r="E221" s="8"/>
      <c r="F221" s="8"/>
      <c r="G221" s="216"/>
      <c r="H221" s="216"/>
      <c r="I221" s="216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6.5" customHeight="1">
      <c r="A222" s="8"/>
      <c r="B222" s="407"/>
      <c r="C222" s="8"/>
      <c r="D222" s="8"/>
      <c r="E222" s="8"/>
      <c r="F222" s="8"/>
      <c r="G222" s="216"/>
      <c r="H222" s="216"/>
      <c r="I222" s="216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5.75" customHeight="1">
      <c r="A223" s="8"/>
      <c r="B223" s="407"/>
      <c r="C223" s="8"/>
      <c r="D223" s="8"/>
      <c r="E223" s="8"/>
      <c r="F223" s="8"/>
      <c r="G223" s="216"/>
      <c r="H223" s="216"/>
      <c r="I223" s="216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5.75" customHeight="1">
      <c r="A224" s="8"/>
      <c r="B224" s="407"/>
      <c r="C224" s="8"/>
      <c r="D224" s="8"/>
      <c r="E224" s="8"/>
      <c r="F224" s="8"/>
      <c r="G224" s="216"/>
      <c r="H224" s="216"/>
      <c r="I224" s="216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5.75" customHeight="1">
      <c r="A225" s="8"/>
      <c r="B225" s="407"/>
      <c r="C225" s="8"/>
      <c r="D225" s="8"/>
      <c r="E225" s="8"/>
      <c r="F225" s="8"/>
      <c r="G225" s="216"/>
      <c r="H225" s="216"/>
      <c r="I225" s="216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5.75" customHeight="1">
      <c r="A226" s="8"/>
      <c r="B226" s="407"/>
      <c r="C226" s="8"/>
      <c r="D226" s="8"/>
      <c r="E226" s="8"/>
      <c r="F226" s="8"/>
      <c r="G226" s="216"/>
      <c r="H226" s="216"/>
      <c r="I226" s="216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5.75" customHeight="1">
      <c r="A227" s="8"/>
      <c r="B227" s="407"/>
      <c r="C227" s="8"/>
      <c r="D227" s="8"/>
      <c r="E227" s="8"/>
      <c r="F227" s="8"/>
      <c r="G227" s="216"/>
      <c r="H227" s="216"/>
      <c r="I227" s="216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5.75" customHeight="1">
      <c r="A228" s="8"/>
      <c r="B228" s="407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5.75" customHeight="1">
      <c r="A229" s="8"/>
      <c r="B229" s="40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5.75" customHeight="1">
      <c r="A230" s="8"/>
      <c r="B230" s="40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5.75" customHeight="1">
      <c r="A231" s="8"/>
      <c r="B231" s="40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5.75" customHeight="1">
      <c r="A232" s="8"/>
      <c r="B232" s="40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5.75" customHeight="1">
      <c r="A233" s="8"/>
      <c r="B233" s="40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5.75" customHeight="1">
      <c r="A234" s="8"/>
      <c r="B234" s="40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5.7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O235" s="92"/>
    </row>
    <row r="236" ht="15.7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O236" s="92"/>
    </row>
    <row r="237" ht="15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O237" s="92"/>
    </row>
    <row r="238" ht="15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O238" s="92"/>
    </row>
    <row r="239" ht="15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O239" s="92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O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O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O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O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O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O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O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O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O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O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O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O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O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O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O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O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O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O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O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O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O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O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O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O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O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O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O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O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O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O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O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O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O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O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O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O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O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O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O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O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O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O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O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O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O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O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O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O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O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O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O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O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O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O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O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O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O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O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O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O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O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O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O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O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O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O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O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O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O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O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O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O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O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O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O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O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O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O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O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O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O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O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O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O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O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O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O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O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O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O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O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O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O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O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O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O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O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O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O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O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O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O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O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O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O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O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O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O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O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O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O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O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O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O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O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O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O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O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O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O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O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O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O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O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O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O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O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O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O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O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O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O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O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O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O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O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O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O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O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O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O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O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O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O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O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O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O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O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O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O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O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O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O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O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O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O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O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O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O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O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O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O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O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O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O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O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O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O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O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O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O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O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O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O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O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O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O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O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O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O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O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O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O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O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O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O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O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O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O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O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O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O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O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O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O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O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O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O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O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O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O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O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O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O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O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O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O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O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O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O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O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O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O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O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O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O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O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O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O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O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O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O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O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O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O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O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O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O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O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O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O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O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O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O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O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O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O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O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O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O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O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O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O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O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O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O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O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O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O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O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O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O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O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O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O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O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O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O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O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O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O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O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O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O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O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O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O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O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O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O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O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O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O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O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O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O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O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O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O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O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O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O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O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O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O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O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O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O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O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O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O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O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O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O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O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O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O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O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O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O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O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O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O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O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O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O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O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O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O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O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O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O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O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O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O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O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O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O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O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O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O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O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O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O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O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O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O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O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O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O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O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O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O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O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O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O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O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O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O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O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O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O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O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O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O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O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O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O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O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O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O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O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O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O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O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O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O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O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O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O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O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O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O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O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O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O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O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O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O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O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O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O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O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O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O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O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O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O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O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O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O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O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O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O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O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O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O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O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O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O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O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O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O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O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O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O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O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O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O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O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O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O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O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O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O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O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O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O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O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O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O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O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O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O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O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O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O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O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O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O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O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O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O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O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O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O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O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O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O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O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O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O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O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O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O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O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O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O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O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O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O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O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O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O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O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O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O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O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O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O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O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O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O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O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O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O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O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O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O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O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O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O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O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O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O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O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O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O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O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O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O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O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O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O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O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O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O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O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O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O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O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O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O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O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O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O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O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O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O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O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O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O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O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O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O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O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O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O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O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O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O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O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O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O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O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O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O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O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O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O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O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O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O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O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O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O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O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O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O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O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O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O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O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O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O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O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O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O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O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O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O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O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O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O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O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O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O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O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O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O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O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O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O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O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O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O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O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O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O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O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O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O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O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O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O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O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O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O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O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O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O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O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O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O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O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O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O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O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O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O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O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O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O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O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O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O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O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O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O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O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O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O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O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O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O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O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O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O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O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O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O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O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O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O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O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O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O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O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O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O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O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O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O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O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O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O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O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O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O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O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O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O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O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O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O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O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O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O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O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O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O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O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O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O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O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O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O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O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O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O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O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O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O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O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O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O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O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O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O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O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O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O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O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O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O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O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O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O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O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O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O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O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O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O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O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O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O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O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O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O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O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O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O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O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O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O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O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O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O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O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O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O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O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O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O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O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O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O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O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O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O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O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O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O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O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O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O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O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O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O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O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O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O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O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O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O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O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O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O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O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O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O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O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O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O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O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O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O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O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O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O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O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O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O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O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O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O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O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O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O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O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O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O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O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O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O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O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O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O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O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O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O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O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O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O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O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O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O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O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O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O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O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O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O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O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O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O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O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O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O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O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O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O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O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O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O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O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O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O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O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O1000" s="92"/>
    </row>
  </sheetData>
  <mergeCells count="45">
    <mergeCell ref="I3:I4"/>
    <mergeCell ref="I5:I9"/>
    <mergeCell ref="A1:I2"/>
    <mergeCell ref="A3:B3"/>
    <mergeCell ref="C3:C4"/>
    <mergeCell ref="D3:D4"/>
    <mergeCell ref="E3:E4"/>
    <mergeCell ref="F3:F4"/>
    <mergeCell ref="A5:A9"/>
    <mergeCell ref="J3:K4"/>
    <mergeCell ref="L3:L4"/>
    <mergeCell ref="M3:M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23:K23"/>
    <mergeCell ref="J24:K24"/>
    <mergeCell ref="J25:K25"/>
    <mergeCell ref="J26:K26"/>
    <mergeCell ref="J27:K29"/>
    <mergeCell ref="J30:K33"/>
    <mergeCell ref="J16:K16"/>
    <mergeCell ref="J17:K17"/>
    <mergeCell ref="J18:K18"/>
    <mergeCell ref="J19:K19"/>
    <mergeCell ref="J20:K20"/>
    <mergeCell ref="J21:K21"/>
    <mergeCell ref="J22:K22"/>
    <mergeCell ref="I30:I33"/>
    <mergeCell ref="A34:K38"/>
    <mergeCell ref="A10:A14"/>
    <mergeCell ref="I10:I14"/>
    <mergeCell ref="A15:A19"/>
    <mergeCell ref="I15:I19"/>
    <mergeCell ref="A20:A26"/>
    <mergeCell ref="A27:A29"/>
    <mergeCell ref="A30:A33"/>
  </mergeCells>
  <printOptions/>
  <pageMargins bottom="0.75" footer="0.0" header="0.0" left="0.25" right="0.25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60.14"/>
    <col customWidth="1" min="3" max="3" width="11.86"/>
    <col customWidth="1" min="4" max="4" width="27.71"/>
    <col customWidth="1" min="5" max="5" width="18.29"/>
    <col customWidth="1" min="6" max="6" width="34.71"/>
    <col customWidth="1" min="7" max="7" width="12.43"/>
    <col customWidth="1" min="8" max="8" width="21.14"/>
    <col customWidth="1" min="9" max="9" width="8.86"/>
    <col customWidth="1" min="10" max="10" width="79.57"/>
    <col customWidth="1" min="14" max="14" width="35.57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8.0" customHeight="1">
      <c r="A2" s="58"/>
      <c r="B2" s="82"/>
      <c r="C2" s="82"/>
      <c r="D2" s="82"/>
      <c r="E2" s="82"/>
      <c r="F2" s="82"/>
      <c r="G2" s="82"/>
      <c r="H2" s="82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6.5" customHeight="1">
      <c r="A3" s="320" t="s">
        <v>490</v>
      </c>
      <c r="B3" s="409"/>
      <c r="C3" s="260" t="s">
        <v>438</v>
      </c>
      <c r="D3" s="261" t="s">
        <v>439</v>
      </c>
      <c r="E3" s="261" t="s">
        <v>204</v>
      </c>
      <c r="F3" s="260" t="s">
        <v>440</v>
      </c>
      <c r="G3" s="410" t="s">
        <v>521</v>
      </c>
      <c r="H3" s="259" t="s">
        <v>6</v>
      </c>
      <c r="I3" s="411" t="s">
        <v>7</v>
      </c>
      <c r="J3" s="7"/>
      <c r="K3" s="260" t="s">
        <v>491</v>
      </c>
      <c r="L3" s="261" t="s">
        <v>492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6.5" customHeight="1">
      <c r="A4" s="412" t="s">
        <v>8</v>
      </c>
      <c r="B4" s="531" t="s">
        <v>9</v>
      </c>
      <c r="C4" s="25"/>
      <c r="D4" s="26"/>
      <c r="E4" s="26"/>
      <c r="F4" s="25"/>
      <c r="G4" s="265" t="s">
        <v>10</v>
      </c>
      <c r="H4" s="28"/>
      <c r="I4" s="58"/>
      <c r="J4" s="83"/>
      <c r="K4" s="11"/>
      <c r="L4" s="1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6.5" customHeight="1">
      <c r="A5" s="178" t="s">
        <v>522</v>
      </c>
      <c r="B5" s="422" t="s">
        <v>523</v>
      </c>
      <c r="C5" s="414">
        <f t="shared" ref="C5:C34" si="1">E5*2-1000</f>
        <v>77000</v>
      </c>
      <c r="D5" s="415">
        <v>49000.0</v>
      </c>
      <c r="E5" s="416">
        <v>39000.0</v>
      </c>
      <c r="F5" s="417">
        <f t="shared" ref="F5:F27" si="2">1-E5/D5</f>
        <v>0.2040816327</v>
      </c>
      <c r="G5" s="515"/>
      <c r="H5" s="76"/>
      <c r="I5" s="243"/>
      <c r="J5" s="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6.5" customHeight="1">
      <c r="A6" s="28"/>
      <c r="B6" s="422" t="s">
        <v>524</v>
      </c>
      <c r="C6" s="423">
        <f t="shared" si="1"/>
        <v>277000</v>
      </c>
      <c r="D6" s="424">
        <v>179000.0</v>
      </c>
      <c r="E6" s="425">
        <v>139000.0</v>
      </c>
      <c r="F6" s="461">
        <f t="shared" si="2"/>
        <v>0.2234636872</v>
      </c>
      <c r="G6" s="532"/>
      <c r="H6" s="26"/>
      <c r="I6" s="533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6.5" customHeight="1">
      <c r="A7" s="28"/>
      <c r="B7" s="422" t="s">
        <v>84</v>
      </c>
      <c r="C7" s="423">
        <f t="shared" si="1"/>
        <v>1319000</v>
      </c>
      <c r="D7" s="424">
        <v>750000.0</v>
      </c>
      <c r="E7" s="425">
        <v>660000.0</v>
      </c>
      <c r="F7" s="461">
        <f t="shared" si="2"/>
        <v>0.12</v>
      </c>
      <c r="G7" s="534"/>
      <c r="H7" s="26"/>
      <c r="I7" s="53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6.5" customHeight="1">
      <c r="A8" s="28"/>
      <c r="B8" s="422" t="s">
        <v>525</v>
      </c>
      <c r="C8" s="423">
        <f t="shared" si="1"/>
        <v>1319000</v>
      </c>
      <c r="D8" s="424">
        <v>719000.0</v>
      </c>
      <c r="E8" s="425">
        <v>660000.0</v>
      </c>
      <c r="F8" s="461">
        <f t="shared" si="2"/>
        <v>0.08205841446</v>
      </c>
      <c r="G8" s="532"/>
      <c r="H8" s="26"/>
      <c r="I8" s="533"/>
      <c r="K8" s="216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6.5" customHeight="1">
      <c r="A9" s="149"/>
      <c r="B9" s="506" t="s">
        <v>526</v>
      </c>
      <c r="C9" s="430">
        <f t="shared" si="1"/>
        <v>397000</v>
      </c>
      <c r="D9" s="431">
        <v>239000.0</v>
      </c>
      <c r="E9" s="432">
        <v>199000.0</v>
      </c>
      <c r="F9" s="507">
        <f t="shared" si="2"/>
        <v>0.1673640167</v>
      </c>
      <c r="G9" s="535"/>
      <c r="H9" s="12"/>
      <c r="I9" s="533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6.5" customHeight="1">
      <c r="A10" s="536" t="s">
        <v>527</v>
      </c>
      <c r="B10" s="422" t="s">
        <v>528</v>
      </c>
      <c r="C10" s="423">
        <f t="shared" si="1"/>
        <v>717000</v>
      </c>
      <c r="D10" s="424">
        <v>439000.0</v>
      </c>
      <c r="E10" s="439">
        <v>359000.0</v>
      </c>
      <c r="F10" s="461">
        <f t="shared" si="2"/>
        <v>0.1822323462</v>
      </c>
      <c r="G10" s="532"/>
      <c r="H10" s="537"/>
      <c r="I10" s="533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6.5" customHeight="1">
      <c r="A11" s="25"/>
      <c r="B11" s="422" t="s">
        <v>529</v>
      </c>
      <c r="C11" s="423">
        <f t="shared" si="1"/>
        <v>737000</v>
      </c>
      <c r="D11" s="424">
        <f>329000+59000</f>
        <v>388000</v>
      </c>
      <c r="E11" s="439">
        <v>369000.0</v>
      </c>
      <c r="F11" s="461">
        <f t="shared" si="2"/>
        <v>0.04896907216</v>
      </c>
      <c r="G11" s="532"/>
      <c r="H11" s="26"/>
      <c r="I11" s="533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6.5" customHeight="1">
      <c r="A12" s="25"/>
      <c r="B12" s="422" t="s">
        <v>530</v>
      </c>
      <c r="C12" s="423">
        <f t="shared" si="1"/>
        <v>1697000</v>
      </c>
      <c r="D12" s="424">
        <v>890000.0</v>
      </c>
      <c r="E12" s="439">
        <v>849000.0</v>
      </c>
      <c r="F12" s="461">
        <f t="shared" si="2"/>
        <v>0.04606741573</v>
      </c>
      <c r="G12" s="532"/>
      <c r="H12" s="26"/>
      <c r="I12" s="53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6.5" customHeight="1">
      <c r="A13" s="538" t="s">
        <v>531</v>
      </c>
      <c r="B13" s="413" t="s">
        <v>532</v>
      </c>
      <c r="C13" s="414">
        <f t="shared" si="1"/>
        <v>117000</v>
      </c>
      <c r="D13" s="416">
        <v>71000.0</v>
      </c>
      <c r="E13" s="442">
        <v>59000.0</v>
      </c>
      <c r="F13" s="417">
        <f t="shared" si="2"/>
        <v>0.1690140845</v>
      </c>
      <c r="G13" s="539"/>
      <c r="H13" s="294"/>
      <c r="I13" s="21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6.5" customHeight="1">
      <c r="A14" s="10"/>
      <c r="B14" s="422" t="s">
        <v>533</v>
      </c>
      <c r="C14" s="423">
        <f t="shared" si="1"/>
        <v>197000</v>
      </c>
      <c r="D14" s="425">
        <v>132000.0</v>
      </c>
      <c r="E14" s="443">
        <v>99000.0</v>
      </c>
      <c r="F14" s="461">
        <f t="shared" si="2"/>
        <v>0.25</v>
      </c>
      <c r="G14" s="540"/>
      <c r="H14" s="14"/>
      <c r="I14" s="216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6.5" customHeight="1">
      <c r="A15" s="10"/>
      <c r="B15" s="422" t="s">
        <v>534</v>
      </c>
      <c r="C15" s="423">
        <f t="shared" si="1"/>
        <v>357000</v>
      </c>
      <c r="D15" s="425">
        <v>215000.0</v>
      </c>
      <c r="E15" s="443">
        <v>179000.0</v>
      </c>
      <c r="F15" s="461">
        <f t="shared" si="2"/>
        <v>0.1674418605</v>
      </c>
      <c r="G15" s="532"/>
      <c r="H15" s="14"/>
      <c r="I15" s="21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6.5" customHeight="1">
      <c r="A16" s="10"/>
      <c r="B16" s="422" t="s">
        <v>535</v>
      </c>
      <c r="C16" s="423">
        <f t="shared" si="1"/>
        <v>497000</v>
      </c>
      <c r="D16" s="425">
        <f>249000*1.2</f>
        <v>298800</v>
      </c>
      <c r="E16" s="443">
        <v>249000.0</v>
      </c>
      <c r="F16" s="461">
        <f t="shared" si="2"/>
        <v>0.1666666667</v>
      </c>
      <c r="G16" s="532"/>
      <c r="H16" s="14"/>
      <c r="I16" s="21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6.5" customHeight="1">
      <c r="A17" s="58"/>
      <c r="B17" s="506" t="s">
        <v>536</v>
      </c>
      <c r="C17" s="430">
        <f t="shared" si="1"/>
        <v>1057000</v>
      </c>
      <c r="D17" s="432">
        <f>529000*1.2</f>
        <v>634800</v>
      </c>
      <c r="E17" s="513">
        <v>529000.0</v>
      </c>
      <c r="F17" s="507">
        <f t="shared" si="2"/>
        <v>0.1666666667</v>
      </c>
      <c r="G17" s="535"/>
      <c r="H17" s="83"/>
      <c r="I17" s="21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6.5" customHeight="1">
      <c r="A18" s="541" t="s">
        <v>410</v>
      </c>
      <c r="B18" s="459" t="s">
        <v>511</v>
      </c>
      <c r="C18" s="423">
        <f t="shared" si="1"/>
        <v>197000</v>
      </c>
      <c r="D18" s="424">
        <v>119000.0</v>
      </c>
      <c r="E18" s="460">
        <v>99000.0</v>
      </c>
      <c r="F18" s="461">
        <f t="shared" si="2"/>
        <v>0.1680672269</v>
      </c>
      <c r="G18" s="542"/>
      <c r="H18" s="517"/>
      <c r="I18" s="533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6.5" customHeight="1">
      <c r="A19" s="28"/>
      <c r="B19" s="459" t="s">
        <v>512</v>
      </c>
      <c r="C19" s="423">
        <f t="shared" si="1"/>
        <v>197000</v>
      </c>
      <c r="D19" s="424">
        <v>129000.0</v>
      </c>
      <c r="E19" s="464">
        <v>99000.0</v>
      </c>
      <c r="F19" s="461">
        <f t="shared" si="2"/>
        <v>0.2325581395</v>
      </c>
      <c r="G19" s="543"/>
      <c r="H19" s="517"/>
      <c r="I19" s="53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6.5" customHeight="1">
      <c r="A20" s="28"/>
      <c r="B20" s="459" t="s">
        <v>513</v>
      </c>
      <c r="C20" s="423">
        <f t="shared" si="1"/>
        <v>197000</v>
      </c>
      <c r="D20" s="424">
        <v>129000.0</v>
      </c>
      <c r="E20" s="460">
        <v>99000.0</v>
      </c>
      <c r="F20" s="461">
        <f t="shared" si="2"/>
        <v>0.2325581395</v>
      </c>
      <c r="G20" s="543"/>
      <c r="H20" s="517"/>
      <c r="I20" s="533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6.5" customHeight="1">
      <c r="A21" s="28"/>
      <c r="B21" s="459" t="s">
        <v>514</v>
      </c>
      <c r="C21" s="423">
        <f t="shared" si="1"/>
        <v>317000</v>
      </c>
      <c r="D21" s="424">
        <v>179000.0</v>
      </c>
      <c r="E21" s="460">
        <v>159000.0</v>
      </c>
      <c r="F21" s="461">
        <f t="shared" si="2"/>
        <v>0.1117318436</v>
      </c>
      <c r="G21" s="543"/>
      <c r="H21" s="517"/>
      <c r="I21" s="533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6.5" customHeight="1">
      <c r="A22" s="28"/>
      <c r="B22" s="459" t="s">
        <v>515</v>
      </c>
      <c r="C22" s="423">
        <f t="shared" si="1"/>
        <v>357000</v>
      </c>
      <c r="D22" s="424">
        <v>220000.0</v>
      </c>
      <c r="E22" s="464">
        <v>179000.0</v>
      </c>
      <c r="F22" s="461">
        <f t="shared" si="2"/>
        <v>0.1863636364</v>
      </c>
      <c r="G22" s="543"/>
      <c r="H22" s="517"/>
      <c r="I22" s="533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6.5" customHeight="1">
      <c r="A23" s="28"/>
      <c r="B23" s="518" t="s">
        <v>516</v>
      </c>
      <c r="C23" s="423">
        <f t="shared" si="1"/>
        <v>857000</v>
      </c>
      <c r="D23" s="424">
        <v>480000.0</v>
      </c>
      <c r="E23" s="460">
        <v>429000.0</v>
      </c>
      <c r="F23" s="461">
        <f t="shared" si="2"/>
        <v>0.10625</v>
      </c>
      <c r="G23" s="543"/>
      <c r="H23" s="517"/>
      <c r="I23" s="53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6.5" customHeight="1">
      <c r="A24" s="28"/>
      <c r="B24" s="518" t="s">
        <v>517</v>
      </c>
      <c r="C24" s="430">
        <f t="shared" si="1"/>
        <v>1397000</v>
      </c>
      <c r="D24" s="424">
        <v>799000.0</v>
      </c>
      <c r="E24" s="460">
        <v>699000.0</v>
      </c>
      <c r="F24" s="507">
        <f t="shared" si="2"/>
        <v>0.1251564456</v>
      </c>
      <c r="G24" s="535"/>
      <c r="H24" s="517"/>
      <c r="I24" s="533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6.5" customHeight="1">
      <c r="A25" s="282" t="s">
        <v>537</v>
      </c>
      <c r="B25" s="544" t="s">
        <v>538</v>
      </c>
      <c r="C25" s="414">
        <f t="shared" si="1"/>
        <v>2779000</v>
      </c>
      <c r="D25" s="414">
        <f>560000+179000+420000+219000+100000</f>
        <v>1478000</v>
      </c>
      <c r="E25" s="545">
        <v>1390000.0</v>
      </c>
      <c r="F25" s="417">
        <f t="shared" si="2"/>
        <v>0.05953991881</v>
      </c>
      <c r="G25" s="530"/>
      <c r="H25" s="546"/>
      <c r="I25" s="243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6.5" customHeight="1">
      <c r="A26" s="25"/>
      <c r="B26" s="547" t="s">
        <v>434</v>
      </c>
      <c r="C26" s="423">
        <f t="shared" si="1"/>
        <v>4799000</v>
      </c>
      <c r="D26" s="423">
        <f>1800000+600000+100000</f>
        <v>2500000</v>
      </c>
      <c r="E26" s="548">
        <v>2400000.0</v>
      </c>
      <c r="F26" s="549">
        <f t="shared" si="2"/>
        <v>0.04</v>
      </c>
      <c r="G26" s="550"/>
      <c r="H26" s="517"/>
      <c r="I26" s="243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6.5" customHeight="1">
      <c r="A27" s="11"/>
      <c r="B27" s="551" t="s">
        <v>435</v>
      </c>
      <c r="C27" s="430">
        <f t="shared" si="1"/>
        <v>7979000</v>
      </c>
      <c r="D27" s="430">
        <v>4119000.0</v>
      </c>
      <c r="E27" s="552">
        <v>3990000.0</v>
      </c>
      <c r="F27" s="507">
        <f t="shared" si="2"/>
        <v>0.03131828114</v>
      </c>
      <c r="G27" s="530"/>
      <c r="H27" s="553"/>
      <c r="I27" s="554" t="s">
        <v>539</v>
      </c>
      <c r="J27" s="1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6.5" customHeight="1">
      <c r="A28" s="215" t="s">
        <v>479</v>
      </c>
      <c r="B28" s="523" t="s">
        <v>142</v>
      </c>
      <c r="C28" s="423">
        <f t="shared" si="1"/>
        <v>117000</v>
      </c>
      <c r="D28" s="424">
        <v>70000.0</v>
      </c>
      <c r="E28" s="425">
        <v>59000.0</v>
      </c>
      <c r="F28" s="461"/>
      <c r="G28" s="555"/>
      <c r="H28" s="517"/>
      <c r="I28" s="473"/>
      <c r="J28" s="1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6.5" customHeight="1">
      <c r="A29" s="10"/>
      <c r="B29" s="523" t="s">
        <v>143</v>
      </c>
      <c r="C29" s="423">
        <f t="shared" si="1"/>
        <v>177000</v>
      </c>
      <c r="D29" s="424">
        <v>99000.0</v>
      </c>
      <c r="E29" s="425">
        <v>89000.0</v>
      </c>
      <c r="F29" s="461"/>
      <c r="G29" s="543"/>
      <c r="H29" s="517"/>
      <c r="J29" s="14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6.5" customHeight="1">
      <c r="A30" s="10"/>
      <c r="B30" s="523" t="s">
        <v>518</v>
      </c>
      <c r="C30" s="423">
        <f t="shared" si="1"/>
        <v>197000</v>
      </c>
      <c r="D30" s="424">
        <v>157000.0</v>
      </c>
      <c r="E30" s="489">
        <v>99000.0</v>
      </c>
      <c r="F30" s="507"/>
      <c r="G30" s="556"/>
      <c r="H30" s="517"/>
      <c r="J30" s="1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165" t="s">
        <v>540</v>
      </c>
      <c r="B31" s="521" t="s">
        <v>483</v>
      </c>
      <c r="C31" s="414">
        <f t="shared" si="1"/>
        <v>1999000</v>
      </c>
      <c r="D31" s="414"/>
      <c r="E31" s="442">
        <v>1000000.0</v>
      </c>
      <c r="F31" s="417"/>
      <c r="G31" s="557"/>
      <c r="H31" s="558"/>
      <c r="I31" s="525"/>
      <c r="J31" s="7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6.5" customHeight="1">
      <c r="A32" s="25"/>
      <c r="B32" s="523" t="s">
        <v>484</v>
      </c>
      <c r="C32" s="423">
        <f t="shared" si="1"/>
        <v>3599000</v>
      </c>
      <c r="D32" s="423"/>
      <c r="E32" s="443">
        <v>1800000.0</v>
      </c>
      <c r="F32" s="461"/>
      <c r="G32" s="543"/>
      <c r="H32" s="26"/>
      <c r="J32" s="14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6.5" customHeight="1">
      <c r="A33" s="25"/>
      <c r="B33" s="523" t="s">
        <v>485</v>
      </c>
      <c r="C33" s="423">
        <f t="shared" si="1"/>
        <v>4399000</v>
      </c>
      <c r="D33" s="423"/>
      <c r="E33" s="443">
        <v>2200000.0</v>
      </c>
      <c r="F33" s="461"/>
      <c r="G33" s="534"/>
      <c r="H33" s="26"/>
      <c r="J33" s="14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6.5" customHeight="1">
      <c r="A34" s="25"/>
      <c r="B34" s="518" t="s">
        <v>486</v>
      </c>
      <c r="C34" s="430">
        <f t="shared" si="1"/>
        <v>4799000</v>
      </c>
      <c r="D34" s="423"/>
      <c r="E34" s="443">
        <v>2400000.0</v>
      </c>
      <c r="F34" s="507"/>
      <c r="G34" s="559"/>
      <c r="H34" s="26"/>
      <c r="J34" s="14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6.5" customHeight="1">
      <c r="A35" s="142" t="s">
        <v>541</v>
      </c>
      <c r="B35" s="2"/>
      <c r="C35" s="2"/>
      <c r="D35" s="2"/>
      <c r="E35" s="2"/>
      <c r="F35" s="2"/>
      <c r="G35" s="2"/>
      <c r="H35" s="2"/>
      <c r="I35" s="2"/>
      <c r="J35" s="7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6.5" customHeight="1">
      <c r="A36" s="10"/>
      <c r="J36" s="1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6.5" customHeight="1">
      <c r="A37" s="10"/>
      <c r="J37" s="1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6.5" customHeight="1">
      <c r="A38" s="10"/>
      <c r="J38" s="1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6.5" customHeight="1">
      <c r="A39" s="58"/>
      <c r="B39" s="82"/>
      <c r="C39" s="82"/>
      <c r="D39" s="82"/>
      <c r="E39" s="82"/>
      <c r="F39" s="82"/>
      <c r="G39" s="82"/>
      <c r="H39" s="82"/>
      <c r="I39" s="82"/>
      <c r="J39" s="83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6.5" customHeight="1">
      <c r="A40" s="8"/>
      <c r="B40" s="40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6.5" customHeight="1">
      <c r="A41" s="8"/>
      <c r="B41" s="40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6.5" customHeight="1">
      <c r="A42" s="8"/>
      <c r="B42" s="40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6.5" customHeight="1">
      <c r="A43" s="8"/>
      <c r="B43" s="40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6.5" customHeight="1">
      <c r="A44" s="8"/>
      <c r="B44" s="527"/>
      <c r="C44" s="425"/>
      <c r="D44" s="425"/>
      <c r="E44" s="489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6.5" customHeight="1">
      <c r="A45" s="8"/>
      <c r="B45" s="407"/>
      <c r="C45" s="8"/>
      <c r="D45" s="8"/>
      <c r="E45" s="8"/>
      <c r="F45" s="8"/>
      <c r="G45" s="216"/>
      <c r="H45" s="21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6.5" customHeight="1">
      <c r="A46" s="8"/>
      <c r="B46" s="407"/>
      <c r="C46" s="8"/>
      <c r="D46" s="8"/>
      <c r="E46" s="8"/>
      <c r="F46" s="8"/>
      <c r="G46" s="216"/>
      <c r="H46" s="21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6.5" customHeight="1">
      <c r="A47" s="8"/>
      <c r="B47" s="528"/>
      <c r="C47" s="425"/>
      <c r="D47" s="425"/>
      <c r="E47" s="425"/>
      <c r="F47" s="529"/>
      <c r="G47" s="530"/>
      <c r="H47" s="21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6.5" customHeight="1">
      <c r="A48" s="8"/>
      <c r="B48" s="528"/>
      <c r="C48" s="425"/>
      <c r="D48" s="425"/>
      <c r="E48" s="425"/>
      <c r="F48" s="529"/>
      <c r="G48" s="216"/>
      <c r="H48" s="21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6.5" customHeight="1">
      <c r="A49" s="8"/>
      <c r="B49" s="528"/>
      <c r="C49" s="425"/>
      <c r="D49" s="425"/>
      <c r="E49" s="425"/>
      <c r="F49" s="529"/>
      <c r="G49" s="216"/>
      <c r="H49" s="21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6.5" customHeight="1">
      <c r="A50" s="8"/>
      <c r="B50" s="185"/>
      <c r="C50" s="425"/>
      <c r="D50" s="425"/>
      <c r="E50" s="489"/>
      <c r="F50" s="8"/>
      <c r="G50" s="216"/>
      <c r="H50" s="21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6.5" customHeight="1">
      <c r="A51" s="8"/>
      <c r="B51" s="407"/>
      <c r="C51" s="8"/>
      <c r="D51" s="8"/>
      <c r="E51" s="8"/>
      <c r="F51" s="8"/>
      <c r="G51" s="216"/>
      <c r="H51" s="21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6.5" customHeight="1">
      <c r="A52" s="8"/>
      <c r="B52" s="407"/>
      <c r="C52" s="8"/>
      <c r="D52" s="8"/>
      <c r="E52" s="8"/>
      <c r="F52" s="8"/>
      <c r="G52" s="216"/>
      <c r="H52" s="21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6.5" customHeight="1">
      <c r="A53" s="8"/>
      <c r="B53" s="407"/>
      <c r="C53" s="8"/>
      <c r="D53" s="8"/>
      <c r="E53" s="8"/>
      <c r="F53" s="8"/>
      <c r="G53" s="216"/>
      <c r="H53" s="21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6.5" customHeight="1">
      <c r="A54" s="8"/>
      <c r="B54" s="407"/>
      <c r="C54" s="8"/>
      <c r="D54" s="8"/>
      <c r="E54" s="8"/>
      <c r="F54" s="8"/>
      <c r="G54" s="216"/>
      <c r="H54" s="21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6.5" customHeight="1">
      <c r="A55" s="8"/>
      <c r="B55" s="407"/>
      <c r="C55" s="8"/>
      <c r="D55" s="8"/>
      <c r="E55" s="8"/>
      <c r="F55" s="8"/>
      <c r="G55" s="216"/>
      <c r="H55" s="21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6.5" customHeight="1">
      <c r="A56" s="8"/>
      <c r="B56" s="407"/>
      <c r="C56" s="8"/>
      <c r="D56" s="8"/>
      <c r="E56" s="8"/>
      <c r="F56" s="8"/>
      <c r="G56" s="216"/>
      <c r="H56" s="21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6.5" customHeight="1">
      <c r="A57" s="8"/>
      <c r="B57" s="407"/>
      <c r="C57" s="8"/>
      <c r="D57" s="8"/>
      <c r="E57" s="8"/>
      <c r="F57" s="8"/>
      <c r="G57" s="216"/>
      <c r="H57" s="21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6.5" customHeight="1">
      <c r="A58" s="8"/>
      <c r="B58" s="407"/>
      <c r="C58" s="8"/>
      <c r="D58" s="8"/>
      <c r="E58" s="8"/>
      <c r="F58" s="8"/>
      <c r="G58" s="216"/>
      <c r="H58" s="21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6.5" customHeight="1">
      <c r="A59" s="8"/>
      <c r="B59" s="407"/>
      <c r="C59" s="8"/>
      <c r="D59" s="8"/>
      <c r="E59" s="8"/>
      <c r="F59" s="8"/>
      <c r="G59" s="216"/>
      <c r="H59" s="21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6.5" customHeight="1">
      <c r="A60" s="8"/>
      <c r="B60" s="407"/>
      <c r="C60" s="8"/>
      <c r="D60" s="8"/>
      <c r="E60" s="8"/>
      <c r="F60" s="8"/>
      <c r="G60" s="216"/>
      <c r="H60" s="21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6.5" customHeight="1">
      <c r="A61" s="8"/>
      <c r="B61" s="407"/>
      <c r="C61" s="8"/>
      <c r="D61" s="8"/>
      <c r="E61" s="8"/>
      <c r="F61" s="8"/>
      <c r="G61" s="216"/>
      <c r="H61" s="21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6.5" customHeight="1">
      <c r="A62" s="8"/>
      <c r="B62" s="407"/>
      <c r="C62" s="8"/>
      <c r="D62" s="8"/>
      <c r="E62" s="8"/>
      <c r="F62" s="8"/>
      <c r="G62" s="216"/>
      <c r="H62" s="21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6.5" customHeight="1">
      <c r="A63" s="8"/>
      <c r="B63" s="407"/>
      <c r="C63" s="8"/>
      <c r="D63" s="8"/>
      <c r="E63" s="8"/>
      <c r="F63" s="8"/>
      <c r="G63" s="216"/>
      <c r="H63" s="21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6.5" customHeight="1">
      <c r="A64" s="8"/>
      <c r="B64" s="407"/>
      <c r="C64" s="8"/>
      <c r="D64" s="8"/>
      <c r="E64" s="8"/>
      <c r="F64" s="8"/>
      <c r="G64" s="216"/>
      <c r="H64" s="21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6.5" customHeight="1">
      <c r="A65" s="8"/>
      <c r="B65" s="407"/>
      <c r="C65" s="8"/>
      <c r="D65" s="8"/>
      <c r="E65" s="8"/>
      <c r="F65" s="8"/>
      <c r="G65" s="216"/>
      <c r="H65" s="21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6.5" customHeight="1">
      <c r="A66" s="8"/>
      <c r="B66" s="407"/>
      <c r="C66" s="8"/>
      <c r="D66" s="8"/>
      <c r="E66" s="8"/>
      <c r="F66" s="8"/>
      <c r="G66" s="216"/>
      <c r="H66" s="21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6.5" customHeight="1">
      <c r="A67" s="8"/>
      <c r="B67" s="407"/>
      <c r="C67" s="8"/>
      <c r="D67" s="8"/>
      <c r="E67" s="8"/>
      <c r="F67" s="8"/>
      <c r="G67" s="216"/>
      <c r="H67" s="21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6.5" customHeight="1">
      <c r="A68" s="8"/>
      <c r="B68" s="407"/>
      <c r="C68" s="8"/>
      <c r="D68" s="8"/>
      <c r="E68" s="8"/>
      <c r="F68" s="8"/>
      <c r="G68" s="216"/>
      <c r="H68" s="21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6.5" customHeight="1">
      <c r="A69" s="8"/>
      <c r="B69" s="407"/>
      <c r="C69" s="8"/>
      <c r="D69" s="8"/>
      <c r="E69" s="8"/>
      <c r="F69" s="8"/>
      <c r="G69" s="216"/>
      <c r="H69" s="21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6.5" customHeight="1">
      <c r="A70" s="8"/>
      <c r="B70" s="407"/>
      <c r="C70" s="8"/>
      <c r="D70" s="8"/>
      <c r="E70" s="8"/>
      <c r="F70" s="8"/>
      <c r="G70" s="216"/>
      <c r="H70" s="21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6.5" customHeight="1">
      <c r="A71" s="8"/>
      <c r="B71" s="407"/>
      <c r="C71" s="8"/>
      <c r="D71" s="8"/>
      <c r="E71" s="8"/>
      <c r="F71" s="8"/>
      <c r="G71" s="216"/>
      <c r="H71" s="21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6.5" customHeight="1">
      <c r="A72" s="8"/>
      <c r="B72" s="407"/>
      <c r="C72" s="8"/>
      <c r="D72" s="8"/>
      <c r="E72" s="8"/>
      <c r="F72" s="8"/>
      <c r="G72" s="216"/>
      <c r="H72" s="21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6.5" customHeight="1">
      <c r="A73" s="8"/>
      <c r="B73" s="407"/>
      <c r="C73" s="8"/>
      <c r="D73" s="8"/>
      <c r="E73" s="8"/>
      <c r="F73" s="8"/>
      <c r="G73" s="216"/>
      <c r="H73" s="21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6.5" customHeight="1">
      <c r="A74" s="8"/>
      <c r="B74" s="407"/>
      <c r="C74" s="8"/>
      <c r="D74" s="8"/>
      <c r="E74" s="8"/>
      <c r="F74" s="8"/>
      <c r="G74" s="216"/>
      <c r="H74" s="21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6.5" customHeight="1">
      <c r="A75" s="8"/>
      <c r="B75" s="407"/>
      <c r="C75" s="8"/>
      <c r="D75" s="8"/>
      <c r="E75" s="8"/>
      <c r="F75" s="8"/>
      <c r="G75" s="216"/>
      <c r="H75" s="21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6.5" customHeight="1">
      <c r="A76" s="8"/>
      <c r="B76" s="407"/>
      <c r="C76" s="8"/>
      <c r="D76" s="8"/>
      <c r="E76" s="8"/>
      <c r="F76" s="8"/>
      <c r="G76" s="216"/>
      <c r="H76" s="21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6.5" customHeight="1">
      <c r="A77" s="8"/>
      <c r="B77" s="407"/>
      <c r="C77" s="8"/>
      <c r="D77" s="8"/>
      <c r="E77" s="8"/>
      <c r="F77" s="8"/>
      <c r="G77" s="216"/>
      <c r="H77" s="21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6.5" customHeight="1">
      <c r="A78" s="8"/>
      <c r="B78" s="407"/>
      <c r="C78" s="8"/>
      <c r="D78" s="8"/>
      <c r="E78" s="8"/>
      <c r="F78" s="8"/>
      <c r="G78" s="216"/>
      <c r="H78" s="21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6.5" customHeight="1">
      <c r="A79" s="8"/>
      <c r="B79" s="407"/>
      <c r="C79" s="8"/>
      <c r="D79" s="8"/>
      <c r="E79" s="8"/>
      <c r="F79" s="8"/>
      <c r="G79" s="216"/>
      <c r="H79" s="21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6.5" customHeight="1">
      <c r="A80" s="8"/>
      <c r="B80" s="407"/>
      <c r="C80" s="8"/>
      <c r="D80" s="8"/>
      <c r="E80" s="8"/>
      <c r="F80" s="8"/>
      <c r="G80" s="216"/>
      <c r="H80" s="21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6.5" customHeight="1">
      <c r="A81" s="8"/>
      <c r="B81" s="407"/>
      <c r="C81" s="8"/>
      <c r="D81" s="8"/>
      <c r="E81" s="8"/>
      <c r="F81" s="8"/>
      <c r="G81" s="216"/>
      <c r="H81" s="21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6.5" customHeight="1">
      <c r="A82" s="8"/>
      <c r="B82" s="407"/>
      <c r="C82" s="8"/>
      <c r="D82" s="8"/>
      <c r="E82" s="8"/>
      <c r="F82" s="8"/>
      <c r="G82" s="216"/>
      <c r="H82" s="21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6.5" customHeight="1">
      <c r="A83" s="8"/>
      <c r="B83" s="407"/>
      <c r="C83" s="8"/>
      <c r="D83" s="8"/>
      <c r="E83" s="8"/>
      <c r="F83" s="8"/>
      <c r="G83" s="216"/>
      <c r="H83" s="21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6.5" customHeight="1">
      <c r="A84" s="8"/>
      <c r="B84" s="407"/>
      <c r="C84" s="8"/>
      <c r="D84" s="8"/>
      <c r="E84" s="8"/>
      <c r="F84" s="8"/>
      <c r="G84" s="216"/>
      <c r="H84" s="21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6.5" customHeight="1">
      <c r="A85" s="8"/>
      <c r="B85" s="407"/>
      <c r="C85" s="8"/>
      <c r="D85" s="8"/>
      <c r="E85" s="8"/>
      <c r="F85" s="8"/>
      <c r="G85" s="216"/>
      <c r="H85" s="21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6.5" customHeight="1">
      <c r="A86" s="8"/>
      <c r="B86" s="407"/>
      <c r="C86" s="8"/>
      <c r="D86" s="8"/>
      <c r="E86" s="8"/>
      <c r="F86" s="8"/>
      <c r="G86" s="216"/>
      <c r="H86" s="21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6.5" customHeight="1">
      <c r="A87" s="8"/>
      <c r="B87" s="407"/>
      <c r="C87" s="8"/>
      <c r="D87" s="8"/>
      <c r="E87" s="8"/>
      <c r="F87" s="8"/>
      <c r="G87" s="216"/>
      <c r="H87" s="21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6.5" customHeight="1">
      <c r="A88" s="8"/>
      <c r="B88" s="407"/>
      <c r="C88" s="8"/>
      <c r="D88" s="8"/>
      <c r="E88" s="8"/>
      <c r="F88" s="8"/>
      <c r="G88" s="216"/>
      <c r="H88" s="21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6.5" customHeight="1">
      <c r="A89" s="8"/>
      <c r="B89" s="407"/>
      <c r="C89" s="8"/>
      <c r="D89" s="8"/>
      <c r="E89" s="8"/>
      <c r="F89" s="8"/>
      <c r="G89" s="216"/>
      <c r="H89" s="21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6.5" customHeight="1">
      <c r="A90" s="8"/>
      <c r="B90" s="407"/>
      <c r="C90" s="8"/>
      <c r="D90" s="8"/>
      <c r="E90" s="8"/>
      <c r="F90" s="8"/>
      <c r="G90" s="216"/>
      <c r="H90" s="21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6.5" customHeight="1">
      <c r="A91" s="8"/>
      <c r="B91" s="407"/>
      <c r="C91" s="8"/>
      <c r="D91" s="8"/>
      <c r="E91" s="8"/>
      <c r="F91" s="8"/>
      <c r="G91" s="216"/>
      <c r="H91" s="21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6.5" customHeight="1">
      <c r="A92" s="8"/>
      <c r="B92" s="407"/>
      <c r="C92" s="8"/>
      <c r="D92" s="8"/>
      <c r="E92" s="8"/>
      <c r="F92" s="8"/>
      <c r="G92" s="216"/>
      <c r="H92" s="21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6.5" customHeight="1">
      <c r="A93" s="8"/>
      <c r="B93" s="407"/>
      <c r="C93" s="8"/>
      <c r="D93" s="8"/>
      <c r="E93" s="8"/>
      <c r="F93" s="8"/>
      <c r="G93" s="216"/>
      <c r="H93" s="21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6.5" customHeight="1">
      <c r="A94" s="8"/>
      <c r="B94" s="407"/>
      <c r="C94" s="8"/>
      <c r="D94" s="8"/>
      <c r="E94" s="8"/>
      <c r="F94" s="8"/>
      <c r="G94" s="216"/>
      <c r="H94" s="21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6.5" customHeight="1">
      <c r="A95" s="8"/>
      <c r="B95" s="407"/>
      <c r="C95" s="8"/>
      <c r="D95" s="8"/>
      <c r="E95" s="8"/>
      <c r="F95" s="8"/>
      <c r="G95" s="216"/>
      <c r="H95" s="21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6.5" customHeight="1">
      <c r="A96" s="8"/>
      <c r="B96" s="407"/>
      <c r="C96" s="8"/>
      <c r="D96" s="8"/>
      <c r="E96" s="8"/>
      <c r="F96" s="8"/>
      <c r="G96" s="216"/>
      <c r="H96" s="21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6.5" customHeight="1">
      <c r="A97" s="8"/>
      <c r="B97" s="407"/>
      <c r="C97" s="8"/>
      <c r="D97" s="8"/>
      <c r="E97" s="8"/>
      <c r="F97" s="8"/>
      <c r="G97" s="216"/>
      <c r="H97" s="21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6.5" customHeight="1">
      <c r="A98" s="8"/>
      <c r="B98" s="407"/>
      <c r="C98" s="8"/>
      <c r="D98" s="8"/>
      <c r="E98" s="8"/>
      <c r="F98" s="8"/>
      <c r="G98" s="216"/>
      <c r="H98" s="21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6.5" customHeight="1">
      <c r="A99" s="8"/>
      <c r="B99" s="407"/>
      <c r="C99" s="8"/>
      <c r="D99" s="8"/>
      <c r="E99" s="8"/>
      <c r="F99" s="8"/>
      <c r="G99" s="216"/>
      <c r="H99" s="21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6.5" customHeight="1">
      <c r="A100" s="8"/>
      <c r="B100" s="407"/>
      <c r="C100" s="8"/>
      <c r="D100" s="8"/>
      <c r="E100" s="8"/>
      <c r="F100" s="8"/>
      <c r="G100" s="216"/>
      <c r="H100" s="21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6.5" customHeight="1">
      <c r="A101" s="8"/>
      <c r="B101" s="407"/>
      <c r="C101" s="8"/>
      <c r="D101" s="8"/>
      <c r="E101" s="8"/>
      <c r="F101" s="8"/>
      <c r="G101" s="216"/>
      <c r="H101" s="21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6.5" customHeight="1">
      <c r="A102" s="8"/>
      <c r="B102" s="407"/>
      <c r="C102" s="8"/>
      <c r="D102" s="8"/>
      <c r="E102" s="8"/>
      <c r="F102" s="8"/>
      <c r="G102" s="216"/>
      <c r="H102" s="21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6.5" customHeight="1">
      <c r="A103" s="8"/>
      <c r="B103" s="407"/>
      <c r="C103" s="8"/>
      <c r="D103" s="8"/>
      <c r="E103" s="8"/>
      <c r="F103" s="8"/>
      <c r="G103" s="216"/>
      <c r="H103" s="21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6.5" customHeight="1">
      <c r="A104" s="8"/>
      <c r="B104" s="407"/>
      <c r="C104" s="8"/>
      <c r="D104" s="8"/>
      <c r="E104" s="8"/>
      <c r="F104" s="8"/>
      <c r="G104" s="216"/>
      <c r="H104" s="21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6.5" customHeight="1">
      <c r="A105" s="8"/>
      <c r="B105" s="407"/>
      <c r="C105" s="8"/>
      <c r="D105" s="8"/>
      <c r="E105" s="8"/>
      <c r="F105" s="8"/>
      <c r="G105" s="216"/>
      <c r="H105" s="21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6.5" customHeight="1">
      <c r="A106" s="8"/>
      <c r="B106" s="407"/>
      <c r="C106" s="8"/>
      <c r="D106" s="8"/>
      <c r="E106" s="8"/>
      <c r="F106" s="8"/>
      <c r="G106" s="216"/>
      <c r="H106" s="21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6.5" customHeight="1">
      <c r="A107" s="8"/>
      <c r="B107" s="407"/>
      <c r="C107" s="8"/>
      <c r="D107" s="8"/>
      <c r="E107" s="8"/>
      <c r="F107" s="8"/>
      <c r="G107" s="216"/>
      <c r="H107" s="21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6.5" customHeight="1">
      <c r="A108" s="8"/>
      <c r="B108" s="407"/>
      <c r="C108" s="8"/>
      <c r="D108" s="8"/>
      <c r="E108" s="8"/>
      <c r="F108" s="8"/>
      <c r="G108" s="216"/>
      <c r="H108" s="21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6.5" customHeight="1">
      <c r="A109" s="8"/>
      <c r="B109" s="407"/>
      <c r="C109" s="8"/>
      <c r="D109" s="8"/>
      <c r="E109" s="8"/>
      <c r="F109" s="8"/>
      <c r="G109" s="216"/>
      <c r="H109" s="21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6.5" customHeight="1">
      <c r="A110" s="8"/>
      <c r="B110" s="407"/>
      <c r="C110" s="8"/>
      <c r="D110" s="8"/>
      <c r="E110" s="8"/>
      <c r="F110" s="8"/>
      <c r="G110" s="216"/>
      <c r="H110" s="21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6.5" customHeight="1">
      <c r="A111" s="8"/>
      <c r="B111" s="407"/>
      <c r="C111" s="8"/>
      <c r="D111" s="8"/>
      <c r="E111" s="8"/>
      <c r="F111" s="8"/>
      <c r="G111" s="216"/>
      <c r="H111" s="21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6.5" customHeight="1">
      <c r="A112" s="8"/>
      <c r="B112" s="407"/>
      <c r="C112" s="8"/>
      <c r="D112" s="8"/>
      <c r="E112" s="8"/>
      <c r="F112" s="8"/>
      <c r="G112" s="216"/>
      <c r="H112" s="21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6.5" customHeight="1">
      <c r="A113" s="8"/>
      <c r="B113" s="407"/>
      <c r="C113" s="8"/>
      <c r="D113" s="8"/>
      <c r="E113" s="8"/>
      <c r="F113" s="8"/>
      <c r="G113" s="216"/>
      <c r="H113" s="21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6.5" customHeight="1">
      <c r="A114" s="8"/>
      <c r="B114" s="407"/>
      <c r="C114" s="8"/>
      <c r="D114" s="8"/>
      <c r="E114" s="8"/>
      <c r="F114" s="8"/>
      <c r="G114" s="216"/>
      <c r="H114" s="216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6.5" customHeight="1">
      <c r="A115" s="8"/>
      <c r="B115" s="407"/>
      <c r="C115" s="8"/>
      <c r="D115" s="8"/>
      <c r="E115" s="8"/>
      <c r="F115" s="8"/>
      <c r="G115" s="216"/>
      <c r="H115" s="21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6.5" customHeight="1">
      <c r="A116" s="8"/>
      <c r="B116" s="407"/>
      <c r="C116" s="8"/>
      <c r="D116" s="8"/>
      <c r="E116" s="8"/>
      <c r="F116" s="8"/>
      <c r="G116" s="216"/>
      <c r="H116" s="21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6.5" customHeight="1">
      <c r="A117" s="8"/>
      <c r="B117" s="407"/>
      <c r="C117" s="8"/>
      <c r="D117" s="8"/>
      <c r="E117" s="8"/>
      <c r="F117" s="8"/>
      <c r="G117" s="216"/>
      <c r="H117" s="21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6.5" customHeight="1">
      <c r="A118" s="8"/>
      <c r="B118" s="407"/>
      <c r="C118" s="8"/>
      <c r="D118" s="8"/>
      <c r="E118" s="8"/>
      <c r="F118" s="8"/>
      <c r="G118" s="216"/>
      <c r="H118" s="21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6.5" customHeight="1">
      <c r="A119" s="8"/>
      <c r="B119" s="407"/>
      <c r="C119" s="8"/>
      <c r="D119" s="8"/>
      <c r="E119" s="8"/>
      <c r="F119" s="8"/>
      <c r="G119" s="216"/>
      <c r="H119" s="21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6.5" customHeight="1">
      <c r="A120" s="8"/>
      <c r="B120" s="407"/>
      <c r="C120" s="8"/>
      <c r="D120" s="8"/>
      <c r="E120" s="8"/>
      <c r="F120" s="8"/>
      <c r="G120" s="216"/>
      <c r="H120" s="21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6.5" customHeight="1">
      <c r="A121" s="8"/>
      <c r="B121" s="407"/>
      <c r="C121" s="8"/>
      <c r="D121" s="8"/>
      <c r="E121" s="8"/>
      <c r="F121" s="8"/>
      <c r="G121" s="216"/>
      <c r="H121" s="21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6.5" customHeight="1">
      <c r="A122" s="8"/>
      <c r="B122" s="407"/>
      <c r="C122" s="8"/>
      <c r="D122" s="8"/>
      <c r="E122" s="8"/>
      <c r="F122" s="8"/>
      <c r="G122" s="216"/>
      <c r="H122" s="21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6.5" customHeight="1">
      <c r="A123" s="8"/>
      <c r="B123" s="407"/>
      <c r="C123" s="8"/>
      <c r="D123" s="8"/>
      <c r="E123" s="8"/>
      <c r="F123" s="8"/>
      <c r="G123" s="216"/>
      <c r="H123" s="21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6.5" customHeight="1">
      <c r="A124" s="8"/>
      <c r="B124" s="407"/>
      <c r="C124" s="8"/>
      <c r="D124" s="8"/>
      <c r="E124" s="8"/>
      <c r="F124" s="8"/>
      <c r="G124" s="216"/>
      <c r="H124" s="21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6.5" customHeight="1">
      <c r="A125" s="8"/>
      <c r="B125" s="407"/>
      <c r="C125" s="8"/>
      <c r="D125" s="8"/>
      <c r="E125" s="8"/>
      <c r="F125" s="8"/>
      <c r="G125" s="216"/>
      <c r="H125" s="21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6.5" customHeight="1">
      <c r="A126" s="8"/>
      <c r="B126" s="407"/>
      <c r="C126" s="8"/>
      <c r="D126" s="8"/>
      <c r="E126" s="8"/>
      <c r="F126" s="8"/>
      <c r="G126" s="216"/>
      <c r="H126" s="21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6.5" customHeight="1">
      <c r="A127" s="8"/>
      <c r="B127" s="407"/>
      <c r="C127" s="8"/>
      <c r="D127" s="8"/>
      <c r="E127" s="8"/>
      <c r="F127" s="8"/>
      <c r="G127" s="216"/>
      <c r="H127" s="21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6.5" customHeight="1">
      <c r="A128" s="8"/>
      <c r="B128" s="407"/>
      <c r="C128" s="8"/>
      <c r="D128" s="8"/>
      <c r="E128" s="8"/>
      <c r="F128" s="8"/>
      <c r="G128" s="216"/>
      <c r="H128" s="21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6.5" customHeight="1">
      <c r="A129" s="8"/>
      <c r="B129" s="407"/>
      <c r="C129" s="8"/>
      <c r="D129" s="8"/>
      <c r="E129" s="8"/>
      <c r="F129" s="8"/>
      <c r="G129" s="216"/>
      <c r="H129" s="21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6.5" customHeight="1">
      <c r="A130" s="8"/>
      <c r="B130" s="407"/>
      <c r="C130" s="8"/>
      <c r="D130" s="8"/>
      <c r="E130" s="8"/>
      <c r="F130" s="8"/>
      <c r="G130" s="216"/>
      <c r="H130" s="21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6.5" customHeight="1">
      <c r="A131" s="8"/>
      <c r="B131" s="407"/>
      <c r="C131" s="8"/>
      <c r="D131" s="8"/>
      <c r="E131" s="8"/>
      <c r="F131" s="8"/>
      <c r="G131" s="216"/>
      <c r="H131" s="21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6.5" customHeight="1">
      <c r="A132" s="8"/>
      <c r="B132" s="407"/>
      <c r="C132" s="8"/>
      <c r="D132" s="8"/>
      <c r="E132" s="8"/>
      <c r="F132" s="8"/>
      <c r="G132" s="216"/>
      <c r="H132" s="21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6.5" customHeight="1">
      <c r="A133" s="8"/>
      <c r="B133" s="407"/>
      <c r="C133" s="8"/>
      <c r="D133" s="8"/>
      <c r="E133" s="8"/>
      <c r="F133" s="8"/>
      <c r="G133" s="216"/>
      <c r="H133" s="21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6.5" customHeight="1">
      <c r="A134" s="8"/>
      <c r="B134" s="407"/>
      <c r="C134" s="8"/>
      <c r="D134" s="8"/>
      <c r="E134" s="8"/>
      <c r="F134" s="8"/>
      <c r="G134" s="216"/>
      <c r="H134" s="21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6.5" customHeight="1">
      <c r="A135" s="8"/>
      <c r="B135" s="407"/>
      <c r="C135" s="8"/>
      <c r="D135" s="8"/>
      <c r="E135" s="8"/>
      <c r="F135" s="8"/>
      <c r="G135" s="216"/>
      <c r="H135" s="21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6.5" customHeight="1">
      <c r="A136" s="8"/>
      <c r="B136" s="407"/>
      <c r="C136" s="8"/>
      <c r="D136" s="8"/>
      <c r="E136" s="8"/>
      <c r="F136" s="8"/>
      <c r="G136" s="216"/>
      <c r="H136" s="21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6.5" customHeight="1">
      <c r="A137" s="8"/>
      <c r="B137" s="407"/>
      <c r="C137" s="8"/>
      <c r="D137" s="8"/>
      <c r="E137" s="8"/>
      <c r="F137" s="8"/>
      <c r="G137" s="216"/>
      <c r="H137" s="21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6.5" customHeight="1">
      <c r="A138" s="8"/>
      <c r="B138" s="407"/>
      <c r="C138" s="8"/>
      <c r="D138" s="8"/>
      <c r="E138" s="8"/>
      <c r="F138" s="8"/>
      <c r="G138" s="216"/>
      <c r="H138" s="21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6.5" customHeight="1">
      <c r="A139" s="8"/>
      <c r="B139" s="407"/>
      <c r="C139" s="8"/>
      <c r="D139" s="8"/>
      <c r="E139" s="8"/>
      <c r="F139" s="8"/>
      <c r="G139" s="216"/>
      <c r="H139" s="21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6.5" customHeight="1">
      <c r="A140" s="8"/>
      <c r="B140" s="407"/>
      <c r="C140" s="8"/>
      <c r="D140" s="8"/>
      <c r="E140" s="8"/>
      <c r="F140" s="8"/>
      <c r="G140" s="216"/>
      <c r="H140" s="21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6.5" customHeight="1">
      <c r="A141" s="8"/>
      <c r="B141" s="407"/>
      <c r="C141" s="8"/>
      <c r="D141" s="8"/>
      <c r="E141" s="8"/>
      <c r="F141" s="8"/>
      <c r="G141" s="216"/>
      <c r="H141" s="21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6.5" customHeight="1">
      <c r="A142" s="8"/>
      <c r="B142" s="407"/>
      <c r="C142" s="8"/>
      <c r="D142" s="8"/>
      <c r="E142" s="8"/>
      <c r="F142" s="8"/>
      <c r="G142" s="216"/>
      <c r="H142" s="21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6.5" customHeight="1">
      <c r="A143" s="8"/>
      <c r="B143" s="407"/>
      <c r="C143" s="8"/>
      <c r="D143" s="8"/>
      <c r="E143" s="8"/>
      <c r="F143" s="8"/>
      <c r="G143" s="216"/>
      <c r="H143" s="21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6.5" customHeight="1">
      <c r="A144" s="8"/>
      <c r="B144" s="407"/>
      <c r="C144" s="8"/>
      <c r="D144" s="8"/>
      <c r="E144" s="8"/>
      <c r="F144" s="8"/>
      <c r="G144" s="216"/>
      <c r="H144" s="21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6.5" customHeight="1">
      <c r="A145" s="8"/>
      <c r="B145" s="407"/>
      <c r="C145" s="8"/>
      <c r="D145" s="8"/>
      <c r="E145" s="8"/>
      <c r="F145" s="8"/>
      <c r="G145" s="216"/>
      <c r="H145" s="21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6.5" customHeight="1">
      <c r="A146" s="8"/>
      <c r="B146" s="407"/>
      <c r="C146" s="8"/>
      <c r="D146" s="8"/>
      <c r="E146" s="8"/>
      <c r="F146" s="8"/>
      <c r="G146" s="216"/>
      <c r="H146" s="21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6.5" customHeight="1">
      <c r="A147" s="8"/>
      <c r="B147" s="407"/>
      <c r="C147" s="8"/>
      <c r="D147" s="8"/>
      <c r="E147" s="8"/>
      <c r="F147" s="8"/>
      <c r="G147" s="216"/>
      <c r="H147" s="21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6.5" customHeight="1">
      <c r="A148" s="8"/>
      <c r="B148" s="407"/>
      <c r="C148" s="8"/>
      <c r="D148" s="8"/>
      <c r="E148" s="8"/>
      <c r="F148" s="8"/>
      <c r="G148" s="216"/>
      <c r="H148" s="21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6.5" customHeight="1">
      <c r="A149" s="8"/>
      <c r="B149" s="407"/>
      <c r="C149" s="8"/>
      <c r="D149" s="8"/>
      <c r="E149" s="8"/>
      <c r="F149" s="8"/>
      <c r="G149" s="216"/>
      <c r="H149" s="21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6.5" customHeight="1">
      <c r="A150" s="8"/>
      <c r="B150" s="407"/>
      <c r="C150" s="8"/>
      <c r="D150" s="8"/>
      <c r="E150" s="8"/>
      <c r="F150" s="8"/>
      <c r="G150" s="216"/>
      <c r="H150" s="21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6.5" customHeight="1">
      <c r="A151" s="8"/>
      <c r="B151" s="407"/>
      <c r="C151" s="8"/>
      <c r="D151" s="8"/>
      <c r="E151" s="8"/>
      <c r="F151" s="8"/>
      <c r="G151" s="216"/>
      <c r="H151" s="21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6.5" customHeight="1">
      <c r="A152" s="8"/>
      <c r="B152" s="407"/>
      <c r="C152" s="8"/>
      <c r="D152" s="8"/>
      <c r="E152" s="8"/>
      <c r="F152" s="8"/>
      <c r="G152" s="216"/>
      <c r="H152" s="21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6.5" customHeight="1">
      <c r="A153" s="8"/>
      <c r="B153" s="407"/>
      <c r="C153" s="8"/>
      <c r="D153" s="8"/>
      <c r="E153" s="8"/>
      <c r="F153" s="8"/>
      <c r="G153" s="216"/>
      <c r="H153" s="21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6.5" customHeight="1">
      <c r="A154" s="8"/>
      <c r="B154" s="407"/>
      <c r="C154" s="8"/>
      <c r="D154" s="8"/>
      <c r="E154" s="8"/>
      <c r="F154" s="8"/>
      <c r="G154" s="216"/>
      <c r="H154" s="21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6.5" customHeight="1">
      <c r="A155" s="8"/>
      <c r="B155" s="407"/>
      <c r="C155" s="8"/>
      <c r="D155" s="8"/>
      <c r="E155" s="8"/>
      <c r="F155" s="8"/>
      <c r="G155" s="216"/>
      <c r="H155" s="21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6.5" customHeight="1">
      <c r="A156" s="8"/>
      <c r="B156" s="407"/>
      <c r="C156" s="8"/>
      <c r="D156" s="8"/>
      <c r="E156" s="8"/>
      <c r="F156" s="8"/>
      <c r="G156" s="216"/>
      <c r="H156" s="21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6.5" customHeight="1">
      <c r="A157" s="8"/>
      <c r="B157" s="407"/>
      <c r="C157" s="8"/>
      <c r="D157" s="8"/>
      <c r="E157" s="8"/>
      <c r="F157" s="8"/>
      <c r="G157" s="216"/>
      <c r="H157" s="21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6.5" customHeight="1">
      <c r="A158" s="8"/>
      <c r="B158" s="407"/>
      <c r="C158" s="8"/>
      <c r="D158" s="8"/>
      <c r="E158" s="8"/>
      <c r="F158" s="8"/>
      <c r="G158" s="216"/>
      <c r="H158" s="21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6.5" customHeight="1">
      <c r="A159" s="8"/>
      <c r="B159" s="407"/>
      <c r="C159" s="8"/>
      <c r="D159" s="8"/>
      <c r="E159" s="8"/>
      <c r="F159" s="8"/>
      <c r="G159" s="216"/>
      <c r="H159" s="21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6.5" customHeight="1">
      <c r="A160" s="8"/>
      <c r="B160" s="407"/>
      <c r="C160" s="8"/>
      <c r="D160" s="8"/>
      <c r="E160" s="8"/>
      <c r="F160" s="8"/>
      <c r="G160" s="216"/>
      <c r="H160" s="21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6.5" customHeight="1">
      <c r="A161" s="8"/>
      <c r="B161" s="407"/>
      <c r="C161" s="8"/>
      <c r="D161" s="8"/>
      <c r="E161" s="8"/>
      <c r="F161" s="8"/>
      <c r="G161" s="216"/>
      <c r="H161" s="21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6.5" customHeight="1">
      <c r="A162" s="8"/>
      <c r="B162" s="407"/>
      <c r="C162" s="8"/>
      <c r="D162" s="8"/>
      <c r="E162" s="8"/>
      <c r="F162" s="8"/>
      <c r="G162" s="216"/>
      <c r="H162" s="21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6.5" customHeight="1">
      <c r="A163" s="8"/>
      <c r="B163" s="407"/>
      <c r="C163" s="8"/>
      <c r="D163" s="8"/>
      <c r="E163" s="8"/>
      <c r="F163" s="8"/>
      <c r="G163" s="216"/>
      <c r="H163" s="21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6.5" customHeight="1">
      <c r="A164" s="8"/>
      <c r="B164" s="407"/>
      <c r="C164" s="8"/>
      <c r="D164" s="8"/>
      <c r="E164" s="8"/>
      <c r="F164" s="8"/>
      <c r="G164" s="216"/>
      <c r="H164" s="21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6.5" customHeight="1">
      <c r="A165" s="8"/>
      <c r="B165" s="407"/>
      <c r="C165" s="8"/>
      <c r="D165" s="8"/>
      <c r="E165" s="8"/>
      <c r="F165" s="8"/>
      <c r="G165" s="216"/>
      <c r="H165" s="21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6.5" customHeight="1">
      <c r="A166" s="8"/>
      <c r="B166" s="407"/>
      <c r="C166" s="8"/>
      <c r="D166" s="8"/>
      <c r="E166" s="8"/>
      <c r="F166" s="8"/>
      <c r="G166" s="216"/>
      <c r="H166" s="21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6.5" customHeight="1">
      <c r="A167" s="8"/>
      <c r="B167" s="407"/>
      <c r="C167" s="8"/>
      <c r="D167" s="8"/>
      <c r="E167" s="8"/>
      <c r="F167" s="8"/>
      <c r="G167" s="216"/>
      <c r="H167" s="21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6.5" customHeight="1">
      <c r="A168" s="8"/>
      <c r="B168" s="407"/>
      <c r="C168" s="8"/>
      <c r="D168" s="8"/>
      <c r="E168" s="8"/>
      <c r="F168" s="8"/>
      <c r="G168" s="216"/>
      <c r="H168" s="21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6.5" customHeight="1">
      <c r="A169" s="8"/>
      <c r="B169" s="407"/>
      <c r="C169" s="8"/>
      <c r="D169" s="8"/>
      <c r="E169" s="8"/>
      <c r="F169" s="8"/>
      <c r="G169" s="216"/>
      <c r="H169" s="21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6.5" customHeight="1">
      <c r="A170" s="8"/>
      <c r="B170" s="407"/>
      <c r="C170" s="8"/>
      <c r="D170" s="8"/>
      <c r="E170" s="8"/>
      <c r="F170" s="8"/>
      <c r="G170" s="216"/>
      <c r="H170" s="21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6.5" customHeight="1">
      <c r="A171" s="8"/>
      <c r="B171" s="407"/>
      <c r="C171" s="8"/>
      <c r="D171" s="8"/>
      <c r="E171" s="8"/>
      <c r="F171" s="8"/>
      <c r="G171" s="216"/>
      <c r="H171" s="21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6.5" customHeight="1">
      <c r="A172" s="8"/>
      <c r="B172" s="407"/>
      <c r="C172" s="8"/>
      <c r="D172" s="8"/>
      <c r="E172" s="8"/>
      <c r="F172" s="8"/>
      <c r="G172" s="216"/>
      <c r="H172" s="21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6.5" customHeight="1">
      <c r="A173" s="8"/>
      <c r="B173" s="407"/>
      <c r="C173" s="8"/>
      <c r="D173" s="8"/>
      <c r="E173" s="8"/>
      <c r="F173" s="8"/>
      <c r="G173" s="216"/>
      <c r="H173" s="21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6.5" customHeight="1">
      <c r="A174" s="8"/>
      <c r="B174" s="407"/>
      <c r="C174" s="8"/>
      <c r="D174" s="8"/>
      <c r="E174" s="8"/>
      <c r="F174" s="8"/>
      <c r="G174" s="216"/>
      <c r="H174" s="21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6.5" customHeight="1">
      <c r="A175" s="8"/>
      <c r="B175" s="407"/>
      <c r="C175" s="8"/>
      <c r="D175" s="8"/>
      <c r="E175" s="8"/>
      <c r="F175" s="8"/>
      <c r="G175" s="216"/>
      <c r="H175" s="21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6.5" customHeight="1">
      <c r="A176" s="8"/>
      <c r="B176" s="407"/>
      <c r="C176" s="8"/>
      <c r="D176" s="8"/>
      <c r="E176" s="8"/>
      <c r="F176" s="8"/>
      <c r="G176" s="216"/>
      <c r="H176" s="21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6.5" customHeight="1">
      <c r="A177" s="8"/>
      <c r="B177" s="407"/>
      <c r="C177" s="8"/>
      <c r="D177" s="8"/>
      <c r="E177" s="8"/>
      <c r="F177" s="8"/>
      <c r="G177" s="216"/>
      <c r="H177" s="21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6.5" customHeight="1">
      <c r="A178" s="8"/>
      <c r="B178" s="407"/>
      <c r="C178" s="8"/>
      <c r="D178" s="8"/>
      <c r="E178" s="8"/>
      <c r="F178" s="8"/>
      <c r="G178" s="216"/>
      <c r="H178" s="21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6.5" customHeight="1">
      <c r="A179" s="8"/>
      <c r="B179" s="407"/>
      <c r="C179" s="8"/>
      <c r="D179" s="8"/>
      <c r="E179" s="8"/>
      <c r="F179" s="8"/>
      <c r="G179" s="216"/>
      <c r="H179" s="21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6.5" customHeight="1">
      <c r="A180" s="8"/>
      <c r="B180" s="407"/>
      <c r="C180" s="8"/>
      <c r="D180" s="8"/>
      <c r="E180" s="8"/>
      <c r="F180" s="8"/>
      <c r="G180" s="216"/>
      <c r="H180" s="21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6.5" customHeight="1">
      <c r="A181" s="8"/>
      <c r="B181" s="407"/>
      <c r="C181" s="8"/>
      <c r="D181" s="8"/>
      <c r="E181" s="8"/>
      <c r="F181" s="8"/>
      <c r="G181" s="216"/>
      <c r="H181" s="21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6.5" customHeight="1">
      <c r="A182" s="8"/>
      <c r="B182" s="407"/>
      <c r="C182" s="8"/>
      <c r="D182" s="8"/>
      <c r="E182" s="8"/>
      <c r="F182" s="8"/>
      <c r="G182" s="216"/>
      <c r="H182" s="21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6.5" customHeight="1">
      <c r="A183" s="8"/>
      <c r="B183" s="407"/>
      <c r="C183" s="8"/>
      <c r="D183" s="8"/>
      <c r="E183" s="8"/>
      <c r="F183" s="8"/>
      <c r="G183" s="216"/>
      <c r="H183" s="21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6.5" customHeight="1">
      <c r="A184" s="8"/>
      <c r="B184" s="407"/>
      <c r="C184" s="8"/>
      <c r="D184" s="8"/>
      <c r="E184" s="8"/>
      <c r="F184" s="8"/>
      <c r="G184" s="216"/>
      <c r="H184" s="21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6.5" customHeight="1">
      <c r="A185" s="8"/>
      <c r="B185" s="407"/>
      <c r="C185" s="8"/>
      <c r="D185" s="8"/>
      <c r="E185" s="8"/>
      <c r="F185" s="8"/>
      <c r="G185" s="216"/>
      <c r="H185" s="21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6.5" customHeight="1">
      <c r="A186" s="8"/>
      <c r="B186" s="407"/>
      <c r="C186" s="8"/>
      <c r="D186" s="8"/>
      <c r="E186" s="8"/>
      <c r="F186" s="8"/>
      <c r="G186" s="216"/>
      <c r="H186" s="21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6.5" customHeight="1">
      <c r="A187" s="8"/>
      <c r="B187" s="407"/>
      <c r="C187" s="8"/>
      <c r="D187" s="8"/>
      <c r="E187" s="8"/>
      <c r="F187" s="8"/>
      <c r="G187" s="216"/>
      <c r="H187" s="21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6.5" customHeight="1">
      <c r="A188" s="8"/>
      <c r="B188" s="407"/>
      <c r="C188" s="8"/>
      <c r="D188" s="8"/>
      <c r="E188" s="8"/>
      <c r="F188" s="8"/>
      <c r="G188" s="216"/>
      <c r="H188" s="21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6.5" customHeight="1">
      <c r="A189" s="8"/>
      <c r="B189" s="407"/>
      <c r="C189" s="8"/>
      <c r="D189" s="8"/>
      <c r="E189" s="8"/>
      <c r="F189" s="8"/>
      <c r="G189" s="216"/>
      <c r="H189" s="21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6.5" customHeight="1">
      <c r="A190" s="8"/>
      <c r="B190" s="407"/>
      <c r="C190" s="8"/>
      <c r="D190" s="8"/>
      <c r="E190" s="8"/>
      <c r="F190" s="8"/>
      <c r="G190" s="216"/>
      <c r="H190" s="21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6.5" customHeight="1">
      <c r="A191" s="8"/>
      <c r="B191" s="407"/>
      <c r="C191" s="8"/>
      <c r="D191" s="8"/>
      <c r="E191" s="8"/>
      <c r="F191" s="8"/>
      <c r="G191" s="216"/>
      <c r="H191" s="21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6.5" customHeight="1">
      <c r="A192" s="8"/>
      <c r="B192" s="407"/>
      <c r="C192" s="8"/>
      <c r="D192" s="8"/>
      <c r="E192" s="8"/>
      <c r="F192" s="8"/>
      <c r="G192" s="216"/>
      <c r="H192" s="21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6.5" customHeight="1">
      <c r="A193" s="8"/>
      <c r="B193" s="407"/>
      <c r="C193" s="8"/>
      <c r="D193" s="8"/>
      <c r="E193" s="8"/>
      <c r="F193" s="8"/>
      <c r="G193" s="216"/>
      <c r="H193" s="21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6.5" customHeight="1">
      <c r="A194" s="8"/>
      <c r="B194" s="407"/>
      <c r="C194" s="8"/>
      <c r="D194" s="8"/>
      <c r="E194" s="8"/>
      <c r="F194" s="8"/>
      <c r="G194" s="216"/>
      <c r="H194" s="21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6.5" customHeight="1">
      <c r="A195" s="8"/>
      <c r="B195" s="407"/>
      <c r="C195" s="8"/>
      <c r="D195" s="8"/>
      <c r="E195" s="8"/>
      <c r="F195" s="8"/>
      <c r="G195" s="216"/>
      <c r="H195" s="21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6.5" customHeight="1">
      <c r="A196" s="8"/>
      <c r="B196" s="407"/>
      <c r="C196" s="8"/>
      <c r="D196" s="8"/>
      <c r="E196" s="8"/>
      <c r="F196" s="8"/>
      <c r="G196" s="216"/>
      <c r="H196" s="21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6.5" customHeight="1">
      <c r="A197" s="8"/>
      <c r="B197" s="407"/>
      <c r="C197" s="8"/>
      <c r="D197" s="8"/>
      <c r="E197" s="8"/>
      <c r="F197" s="8"/>
      <c r="G197" s="216"/>
      <c r="H197" s="21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6.5" customHeight="1">
      <c r="A198" s="8"/>
      <c r="B198" s="407"/>
      <c r="C198" s="8"/>
      <c r="D198" s="8"/>
      <c r="E198" s="8"/>
      <c r="F198" s="8"/>
      <c r="G198" s="216"/>
      <c r="H198" s="21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6.5" customHeight="1">
      <c r="A199" s="8"/>
      <c r="B199" s="407"/>
      <c r="C199" s="8"/>
      <c r="D199" s="8"/>
      <c r="E199" s="8"/>
      <c r="F199" s="8"/>
      <c r="G199" s="216"/>
      <c r="H199" s="21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6.5" customHeight="1">
      <c r="A200" s="8"/>
      <c r="B200" s="407"/>
      <c r="C200" s="8"/>
      <c r="D200" s="8"/>
      <c r="E200" s="8"/>
      <c r="F200" s="8"/>
      <c r="G200" s="216"/>
      <c r="H200" s="21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6.5" customHeight="1">
      <c r="A201" s="8"/>
      <c r="B201" s="407"/>
      <c r="C201" s="8"/>
      <c r="D201" s="8"/>
      <c r="E201" s="8"/>
      <c r="F201" s="8"/>
      <c r="G201" s="216"/>
      <c r="H201" s="21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6.5" customHeight="1">
      <c r="A202" s="8"/>
      <c r="B202" s="407"/>
      <c r="C202" s="8"/>
      <c r="D202" s="8"/>
      <c r="E202" s="8"/>
      <c r="F202" s="8"/>
      <c r="G202" s="216"/>
      <c r="H202" s="21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6.5" customHeight="1">
      <c r="A203" s="8"/>
      <c r="B203" s="407"/>
      <c r="C203" s="8"/>
      <c r="D203" s="8"/>
      <c r="E203" s="8"/>
      <c r="F203" s="8"/>
      <c r="G203" s="216"/>
      <c r="H203" s="21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6.5" customHeight="1">
      <c r="A204" s="8"/>
      <c r="B204" s="407"/>
      <c r="C204" s="8"/>
      <c r="D204" s="8"/>
      <c r="E204" s="8"/>
      <c r="F204" s="8"/>
      <c r="G204" s="216"/>
      <c r="H204" s="21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6.5" customHeight="1">
      <c r="A205" s="8"/>
      <c r="B205" s="407"/>
      <c r="C205" s="8"/>
      <c r="D205" s="8"/>
      <c r="E205" s="8"/>
      <c r="F205" s="8"/>
      <c r="G205" s="216"/>
      <c r="H205" s="21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6.5" customHeight="1">
      <c r="A206" s="8"/>
      <c r="B206" s="407"/>
      <c r="C206" s="8"/>
      <c r="D206" s="8"/>
      <c r="E206" s="8"/>
      <c r="F206" s="8"/>
      <c r="G206" s="216"/>
      <c r="H206" s="21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6.5" customHeight="1">
      <c r="A207" s="8"/>
      <c r="B207" s="407"/>
      <c r="C207" s="8"/>
      <c r="D207" s="8"/>
      <c r="E207" s="8"/>
      <c r="F207" s="8"/>
      <c r="G207" s="216"/>
      <c r="H207" s="21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6.5" customHeight="1">
      <c r="A208" s="8"/>
      <c r="B208" s="407"/>
      <c r="C208" s="8"/>
      <c r="D208" s="8"/>
      <c r="E208" s="8"/>
      <c r="F208" s="8"/>
      <c r="G208" s="216"/>
      <c r="H208" s="21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6.5" customHeight="1">
      <c r="A209" s="8"/>
      <c r="B209" s="407"/>
      <c r="C209" s="8"/>
      <c r="D209" s="8"/>
      <c r="E209" s="8"/>
      <c r="F209" s="8"/>
      <c r="G209" s="216"/>
      <c r="H209" s="21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6.5" customHeight="1">
      <c r="A210" s="8"/>
      <c r="B210" s="407"/>
      <c r="C210" s="8"/>
      <c r="D210" s="8"/>
      <c r="E210" s="8"/>
      <c r="F210" s="8"/>
      <c r="G210" s="216"/>
      <c r="H210" s="21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6.5" customHeight="1">
      <c r="A211" s="8"/>
      <c r="B211" s="407"/>
      <c r="C211" s="8"/>
      <c r="D211" s="8"/>
      <c r="E211" s="8"/>
      <c r="F211" s="8"/>
      <c r="G211" s="216"/>
      <c r="H211" s="21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6.5" customHeight="1">
      <c r="A212" s="8"/>
      <c r="B212" s="407"/>
      <c r="C212" s="8"/>
      <c r="D212" s="8"/>
      <c r="E212" s="8"/>
      <c r="F212" s="8"/>
      <c r="G212" s="216"/>
      <c r="H212" s="21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6.5" customHeight="1">
      <c r="A213" s="8"/>
      <c r="B213" s="407"/>
      <c r="C213" s="8"/>
      <c r="D213" s="8"/>
      <c r="E213" s="8"/>
      <c r="F213" s="8"/>
      <c r="G213" s="216"/>
      <c r="H213" s="21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6.5" customHeight="1">
      <c r="A214" s="8"/>
      <c r="B214" s="407"/>
      <c r="C214" s="8"/>
      <c r="D214" s="8"/>
      <c r="E214" s="8"/>
      <c r="F214" s="8"/>
      <c r="G214" s="216"/>
      <c r="H214" s="21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6.5" customHeight="1">
      <c r="A215" s="8"/>
      <c r="B215" s="407"/>
      <c r="C215" s="8"/>
      <c r="D215" s="8"/>
      <c r="E215" s="8"/>
      <c r="F215" s="8"/>
      <c r="G215" s="216"/>
      <c r="H215" s="21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6.5" customHeight="1">
      <c r="A216" s="8"/>
      <c r="B216" s="407"/>
      <c r="C216" s="8"/>
      <c r="D216" s="8"/>
      <c r="E216" s="8"/>
      <c r="F216" s="8"/>
      <c r="G216" s="216"/>
      <c r="H216" s="21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6.5" customHeight="1">
      <c r="A217" s="8"/>
      <c r="B217" s="407"/>
      <c r="C217" s="8"/>
      <c r="D217" s="8"/>
      <c r="E217" s="8"/>
      <c r="F217" s="8"/>
      <c r="G217" s="216"/>
      <c r="H217" s="21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6.5" customHeight="1">
      <c r="A218" s="8"/>
      <c r="B218" s="407"/>
      <c r="C218" s="8"/>
      <c r="D218" s="8"/>
      <c r="E218" s="8"/>
      <c r="F218" s="8"/>
      <c r="G218" s="216"/>
      <c r="H218" s="21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6.5" customHeight="1">
      <c r="A219" s="8"/>
      <c r="B219" s="407"/>
      <c r="C219" s="8"/>
      <c r="D219" s="8"/>
      <c r="E219" s="8"/>
      <c r="F219" s="8"/>
      <c r="G219" s="216"/>
      <c r="H219" s="21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6.5" customHeight="1">
      <c r="A220" s="8"/>
      <c r="B220" s="407"/>
      <c r="C220" s="8"/>
      <c r="D220" s="8"/>
      <c r="E220" s="8"/>
      <c r="F220" s="8"/>
      <c r="G220" s="216"/>
      <c r="H220" s="21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6.5" customHeight="1">
      <c r="A221" s="8"/>
      <c r="B221" s="407"/>
      <c r="C221" s="8"/>
      <c r="D221" s="8"/>
      <c r="E221" s="8"/>
      <c r="F221" s="8"/>
      <c r="G221" s="216"/>
      <c r="H221" s="21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6.5" customHeight="1">
      <c r="A222" s="8"/>
      <c r="B222" s="407"/>
      <c r="C222" s="8"/>
      <c r="D222" s="8"/>
      <c r="E222" s="8"/>
      <c r="F222" s="8"/>
      <c r="G222" s="216"/>
      <c r="H222" s="21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6.5" customHeight="1">
      <c r="A223" s="8"/>
      <c r="B223" s="407"/>
      <c r="C223" s="8"/>
      <c r="D223" s="8"/>
      <c r="E223" s="8"/>
      <c r="F223" s="8"/>
      <c r="G223" s="216"/>
      <c r="H223" s="21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407"/>
      <c r="C224" s="8"/>
      <c r="D224" s="8"/>
      <c r="E224" s="8"/>
      <c r="F224" s="8"/>
      <c r="G224" s="216"/>
      <c r="H224" s="21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407"/>
      <c r="C225" s="8"/>
      <c r="D225" s="8"/>
      <c r="E225" s="8"/>
      <c r="F225" s="8"/>
      <c r="G225" s="216"/>
      <c r="H225" s="21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407"/>
      <c r="C226" s="8"/>
      <c r="D226" s="8"/>
      <c r="E226" s="8"/>
      <c r="F226" s="8"/>
      <c r="G226" s="216"/>
      <c r="H226" s="21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407"/>
      <c r="C227" s="8"/>
      <c r="D227" s="8"/>
      <c r="E227" s="8"/>
      <c r="F227" s="8"/>
      <c r="G227" s="216"/>
      <c r="H227" s="21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407"/>
      <c r="C228" s="8"/>
      <c r="D228" s="8"/>
      <c r="E228" s="8"/>
      <c r="F228" s="8"/>
      <c r="G228" s="216"/>
      <c r="H228" s="21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40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40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40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40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40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40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40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N236" s="92"/>
    </row>
    <row r="237" ht="15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N237" s="92"/>
    </row>
    <row r="238" ht="15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N238" s="92"/>
    </row>
    <row r="239" ht="15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N239" s="92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N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N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N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N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N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N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N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N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N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N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N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N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N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N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N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N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N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N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N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N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N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N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N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N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N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N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N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N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N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N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N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N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N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N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N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N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N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N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N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N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N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N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N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N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N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N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N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N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N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N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N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N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N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N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N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N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N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N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N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N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N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N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N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N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N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N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N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N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N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N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N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N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N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N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N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N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N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N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N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N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N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N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N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N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N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N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N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N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N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N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N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N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N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N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N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N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N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N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N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N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N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N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N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N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N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N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N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N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N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N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N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N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N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N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N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N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N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N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N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N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N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N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N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N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N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N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N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N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N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N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N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N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N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N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N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N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N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N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N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N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N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N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N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N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N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N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N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N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N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N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N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N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N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N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N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N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N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N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N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N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N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N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N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N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N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N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N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N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N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N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N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N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N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N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N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N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N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N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N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N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N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N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N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N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N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N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N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N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N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N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N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N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N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N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N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N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N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N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N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N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N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N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N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N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N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N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N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N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N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N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N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N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N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N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N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N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N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N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N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N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N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N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N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N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N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N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N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N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N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N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N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N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N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N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N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N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N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N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N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N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N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N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N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N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N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N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N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N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N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N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N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N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N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N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N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N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N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N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N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N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N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N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N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N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N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N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N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N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N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N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N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N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N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N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N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N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N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N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N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N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N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N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N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N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N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N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N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N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N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N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N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N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N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N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N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N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N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N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N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N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N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N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N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N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N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N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N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N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N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N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N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N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N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N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N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N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N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N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N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N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N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N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N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N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N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N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N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N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N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N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N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N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N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N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N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N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N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N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N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N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N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N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N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N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N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N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N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N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N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N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N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N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N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N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N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N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N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N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N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N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N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N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N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N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N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N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N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N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N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N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N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N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N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N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N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N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N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N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N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N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N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N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N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N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N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N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N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N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N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N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N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N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N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N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N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N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N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N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N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N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N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N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N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N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N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N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N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N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N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N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N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N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N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N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N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N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N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N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N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N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N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N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N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N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N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N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N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N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N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N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N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N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N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N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N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N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N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N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N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N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N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N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N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N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N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N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N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N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N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N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N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N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N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N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N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N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N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N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N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N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N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N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N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N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N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N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N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N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N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N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N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N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N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N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N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N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N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N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N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N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N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N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N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N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N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N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N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N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N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N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N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N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N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N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N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N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N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N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N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N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N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N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N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N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N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N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N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N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N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N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N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N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N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N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N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N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N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N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N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N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N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N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N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N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N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N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N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N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N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N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N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N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N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N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N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N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N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N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N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N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N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N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N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N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N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N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N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N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N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N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N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N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N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N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N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N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N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N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N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N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N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N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N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N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N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N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N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N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N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N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N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N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N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N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N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N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N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N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N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N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N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N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N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N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N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N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N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N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N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N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N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N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N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N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N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N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N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N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N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N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N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N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N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N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N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N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N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N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N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N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N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N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N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N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N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N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N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N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N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N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N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N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N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N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N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N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N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N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N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N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N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N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N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N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N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N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N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N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N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N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N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N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N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N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N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N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N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N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N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N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N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N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N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N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N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N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N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N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N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N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N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N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N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N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N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N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N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N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N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N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N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N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N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N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N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N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N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N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N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N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N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N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N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N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N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N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N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N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N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N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N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N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N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N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N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N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N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N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N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N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N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N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N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N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N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N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N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N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N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N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N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N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N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N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N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N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N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N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N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N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N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N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N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N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N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N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N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N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N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N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N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N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N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N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N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N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N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N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N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N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N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N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N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N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N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N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N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N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N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N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N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N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N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N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N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N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N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N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N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N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N1000" s="92"/>
    </row>
  </sheetData>
  <mergeCells count="47">
    <mergeCell ref="H3:H4"/>
    <mergeCell ref="H5:H9"/>
    <mergeCell ref="A1:H2"/>
    <mergeCell ref="A3:B3"/>
    <mergeCell ref="C3:C4"/>
    <mergeCell ref="D3:D4"/>
    <mergeCell ref="E3:E4"/>
    <mergeCell ref="F3:F4"/>
    <mergeCell ref="A5:A9"/>
    <mergeCell ref="I3:J4"/>
    <mergeCell ref="K3:K4"/>
    <mergeCell ref="L3:L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23:J23"/>
    <mergeCell ref="I24:J24"/>
    <mergeCell ref="I25:J25"/>
    <mergeCell ref="I26:J26"/>
    <mergeCell ref="I27:J27"/>
    <mergeCell ref="I28:J30"/>
    <mergeCell ref="I31:J34"/>
    <mergeCell ref="I16:J16"/>
    <mergeCell ref="I17:J17"/>
    <mergeCell ref="I18:J18"/>
    <mergeCell ref="I19:J19"/>
    <mergeCell ref="I20:J20"/>
    <mergeCell ref="I21:J21"/>
    <mergeCell ref="I22:J22"/>
    <mergeCell ref="H13:H17"/>
    <mergeCell ref="H31:H34"/>
    <mergeCell ref="A10:A12"/>
    <mergeCell ref="H10:H12"/>
    <mergeCell ref="A13:A17"/>
    <mergeCell ref="A18:A24"/>
    <mergeCell ref="A25:A27"/>
    <mergeCell ref="A28:A30"/>
    <mergeCell ref="A31:A34"/>
    <mergeCell ref="A35:J39"/>
  </mergeCells>
  <printOptions/>
  <pageMargins bottom="0.75" footer="0.0" header="0.0" left="0.25" right="0.25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99.86"/>
    <col customWidth="1" min="3" max="3" width="11.86"/>
    <col customWidth="1" hidden="1" min="4" max="4" width="27.71"/>
    <col customWidth="1" min="5" max="5" width="18.29"/>
    <col customWidth="1" min="6" max="6" width="34.71"/>
    <col customWidth="1" min="7" max="7" width="12.43"/>
    <col customWidth="1" min="8" max="8" width="21.14"/>
    <col customWidth="1" min="9" max="10" width="8.86"/>
    <col customWidth="1" min="14" max="14" width="35.57"/>
  </cols>
  <sheetData>
    <row r="1" ht="16.5" customHeight="1">
      <c r="A1" s="1" t="s">
        <v>40</v>
      </c>
      <c r="B1" s="2"/>
      <c r="C1" s="2"/>
      <c r="D1" s="2"/>
      <c r="E1" s="2"/>
      <c r="F1" s="2"/>
      <c r="G1" s="2"/>
      <c r="H1" s="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8.0" customHeight="1">
      <c r="A2" s="58"/>
      <c r="B2" s="82"/>
      <c r="C2" s="82"/>
      <c r="D2" s="82"/>
      <c r="E2" s="82"/>
      <c r="F2" s="82"/>
      <c r="G2" s="82"/>
      <c r="H2" s="82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6.5" customHeight="1">
      <c r="A3" s="320" t="s">
        <v>490</v>
      </c>
      <c r="B3" s="409"/>
      <c r="C3" s="260" t="s">
        <v>438</v>
      </c>
      <c r="D3" s="261" t="s">
        <v>439</v>
      </c>
      <c r="E3" s="261" t="s">
        <v>204</v>
      </c>
      <c r="F3" s="260" t="s">
        <v>440</v>
      </c>
      <c r="G3" s="410" t="s">
        <v>521</v>
      </c>
      <c r="H3" s="259" t="s">
        <v>6</v>
      </c>
      <c r="I3" s="411" t="s">
        <v>7</v>
      </c>
      <c r="J3" s="7"/>
      <c r="K3" s="260" t="s">
        <v>491</v>
      </c>
      <c r="L3" s="261" t="s">
        <v>492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6.5" customHeight="1">
      <c r="A4" s="412" t="s">
        <v>8</v>
      </c>
      <c r="B4" s="24" t="s">
        <v>9</v>
      </c>
      <c r="C4" s="25"/>
      <c r="D4" s="26"/>
      <c r="E4" s="26"/>
      <c r="F4" s="25"/>
      <c r="G4" s="265" t="s">
        <v>10</v>
      </c>
      <c r="H4" s="28"/>
      <c r="I4" s="58"/>
      <c r="J4" s="83"/>
      <c r="K4" s="11"/>
      <c r="L4" s="1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6.5" customHeight="1">
      <c r="A5" s="178" t="s">
        <v>542</v>
      </c>
      <c r="B5" s="510" t="s">
        <v>543</v>
      </c>
      <c r="C5" s="416">
        <f t="shared" ref="C5:C35" si="1">E5*2-1000</f>
        <v>297000</v>
      </c>
      <c r="D5" s="416">
        <v>177000.0</v>
      </c>
      <c r="E5" s="414">
        <v>149000.0</v>
      </c>
      <c r="F5" s="448">
        <f t="shared" ref="F5:F31" si="2">(1-E5/D5)</f>
        <v>0.1581920904</v>
      </c>
      <c r="G5" s="515"/>
      <c r="H5" s="76"/>
      <c r="I5" s="243"/>
      <c r="J5" s="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6.5" customHeight="1">
      <c r="A6" s="28"/>
      <c r="B6" s="511" t="s">
        <v>544</v>
      </c>
      <c r="C6" s="425">
        <f t="shared" si="1"/>
        <v>357000</v>
      </c>
      <c r="D6" s="425">
        <f>79000*3</f>
        <v>237000</v>
      </c>
      <c r="E6" s="423">
        <v>179000.0</v>
      </c>
      <c r="F6" s="560">
        <f t="shared" si="2"/>
        <v>0.2447257384</v>
      </c>
      <c r="G6" s="532"/>
      <c r="H6" s="26"/>
      <c r="I6" s="533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6.5" customHeight="1">
      <c r="A7" s="28"/>
      <c r="B7" s="511" t="s">
        <v>16</v>
      </c>
      <c r="C7" s="425">
        <f t="shared" si="1"/>
        <v>397000</v>
      </c>
      <c r="D7" s="425">
        <v>239000.0</v>
      </c>
      <c r="E7" s="423">
        <v>199000.0</v>
      </c>
      <c r="F7" s="560">
        <f t="shared" si="2"/>
        <v>0.1673640167</v>
      </c>
      <c r="G7" s="534"/>
      <c r="H7" s="26"/>
      <c r="I7" s="53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6.5" customHeight="1">
      <c r="A8" s="28"/>
      <c r="B8" s="511" t="s">
        <v>15</v>
      </c>
      <c r="C8" s="425">
        <f t="shared" si="1"/>
        <v>397000</v>
      </c>
      <c r="D8" s="425">
        <v>249000.0</v>
      </c>
      <c r="E8" s="423">
        <v>199000.0</v>
      </c>
      <c r="F8" s="560">
        <f t="shared" si="2"/>
        <v>0.2008032129</v>
      </c>
      <c r="G8" s="532"/>
      <c r="H8" s="26"/>
      <c r="I8" s="533"/>
      <c r="J8" s="21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6.5" customHeight="1">
      <c r="A9" s="149"/>
      <c r="B9" s="512" t="s">
        <v>545</v>
      </c>
      <c r="C9" s="432">
        <f t="shared" si="1"/>
        <v>477000</v>
      </c>
      <c r="D9" s="432">
        <f>99000*3</f>
        <v>297000</v>
      </c>
      <c r="E9" s="430">
        <v>239000.0</v>
      </c>
      <c r="F9" s="561">
        <f t="shared" si="2"/>
        <v>0.1952861953</v>
      </c>
      <c r="G9" s="535"/>
      <c r="H9" s="12"/>
      <c r="I9" s="533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6.5" customHeight="1">
      <c r="A10" s="474"/>
      <c r="B10" s="422" t="s">
        <v>51</v>
      </c>
      <c r="C10" s="423">
        <f t="shared" si="1"/>
        <v>197000</v>
      </c>
      <c r="D10" s="424">
        <v>129000.0</v>
      </c>
      <c r="E10" s="439">
        <v>99000.0</v>
      </c>
      <c r="F10" s="461">
        <f t="shared" si="2"/>
        <v>0.2325581395</v>
      </c>
      <c r="G10" s="532"/>
      <c r="H10" s="76"/>
      <c r="I10" s="533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6.5" customHeight="1">
      <c r="A11" s="296" t="s">
        <v>546</v>
      </c>
      <c r="B11" s="422" t="s">
        <v>547</v>
      </c>
      <c r="C11" s="423">
        <f t="shared" si="1"/>
        <v>457000</v>
      </c>
      <c r="D11" s="424">
        <v>249000.0</v>
      </c>
      <c r="E11" s="439">
        <v>229000.0</v>
      </c>
      <c r="F11" s="461">
        <f t="shared" si="2"/>
        <v>0.08032128514</v>
      </c>
      <c r="G11" s="532"/>
      <c r="H11" s="26"/>
      <c r="I11" s="533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6.5" customHeight="1">
      <c r="A12" s="28"/>
      <c r="B12" s="422" t="s">
        <v>548</v>
      </c>
      <c r="C12" s="423">
        <f t="shared" si="1"/>
        <v>537000</v>
      </c>
      <c r="D12" s="424">
        <v>289000.0</v>
      </c>
      <c r="E12" s="439">
        <v>269000.0</v>
      </c>
      <c r="F12" s="461">
        <f t="shared" si="2"/>
        <v>0.06920415225</v>
      </c>
      <c r="G12" s="532"/>
      <c r="H12" s="26"/>
      <c r="I12" s="53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6.5" customHeight="1">
      <c r="A13" s="28"/>
      <c r="B13" s="422" t="s">
        <v>53</v>
      </c>
      <c r="C13" s="423">
        <f t="shared" si="1"/>
        <v>597000</v>
      </c>
      <c r="D13" s="424">
        <v>350000.0</v>
      </c>
      <c r="E13" s="439">
        <v>299000.0</v>
      </c>
      <c r="F13" s="461">
        <f t="shared" si="2"/>
        <v>0.1457142857</v>
      </c>
      <c r="G13" s="532"/>
      <c r="H13" s="26"/>
      <c r="I13" s="533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6.5" customHeight="1">
      <c r="A14" s="28"/>
      <c r="B14" s="422" t="s">
        <v>549</v>
      </c>
      <c r="C14" s="423">
        <f t="shared" si="1"/>
        <v>1579000</v>
      </c>
      <c r="D14" s="424">
        <v>850000.0</v>
      </c>
      <c r="E14" s="439">
        <v>790000.0</v>
      </c>
      <c r="F14" s="461">
        <f t="shared" si="2"/>
        <v>0.07058823529</v>
      </c>
      <c r="G14" s="532"/>
      <c r="H14" s="26"/>
      <c r="I14" s="533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6.5" customHeight="1">
      <c r="A15" s="28"/>
      <c r="B15" s="422" t="s">
        <v>550</v>
      </c>
      <c r="C15" s="423">
        <f t="shared" si="1"/>
        <v>1579000</v>
      </c>
      <c r="D15" s="424">
        <v>850000.0</v>
      </c>
      <c r="E15" s="509">
        <v>790000.0</v>
      </c>
      <c r="F15" s="507">
        <f t="shared" si="2"/>
        <v>0.07058823529</v>
      </c>
      <c r="G15" s="534"/>
      <c r="H15" s="12"/>
      <c r="I15" s="533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6.5" customHeight="1">
      <c r="A16" s="178" t="s">
        <v>551</v>
      </c>
      <c r="B16" s="413" t="s">
        <v>45</v>
      </c>
      <c r="C16" s="414">
        <f t="shared" si="1"/>
        <v>197000</v>
      </c>
      <c r="D16" s="416">
        <v>139000.0</v>
      </c>
      <c r="E16" s="443">
        <v>99000.0</v>
      </c>
      <c r="F16" s="417">
        <f t="shared" si="2"/>
        <v>0.2877697842</v>
      </c>
      <c r="G16" s="539"/>
      <c r="H16" s="420"/>
      <c r="I16" s="533"/>
      <c r="K16" s="8"/>
      <c r="L16" s="8"/>
      <c r="M16" s="8"/>
      <c r="N16" s="185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6.5" customHeight="1">
      <c r="A17" s="28"/>
      <c r="B17" s="422" t="s">
        <v>44</v>
      </c>
      <c r="C17" s="423">
        <f t="shared" si="1"/>
        <v>217000</v>
      </c>
      <c r="D17" s="425">
        <v>129000.0</v>
      </c>
      <c r="E17" s="443">
        <v>109000.0</v>
      </c>
      <c r="F17" s="461">
        <f t="shared" si="2"/>
        <v>0.1550387597</v>
      </c>
      <c r="G17" s="540"/>
      <c r="H17" s="26"/>
      <c r="I17" s="533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6.5" customHeight="1">
      <c r="A18" s="28"/>
      <c r="B18" s="422" t="s">
        <v>46</v>
      </c>
      <c r="C18" s="423">
        <f t="shared" si="1"/>
        <v>357000</v>
      </c>
      <c r="D18" s="425">
        <v>199000.0</v>
      </c>
      <c r="E18" s="443">
        <v>179000.0</v>
      </c>
      <c r="F18" s="461">
        <f t="shared" si="2"/>
        <v>0.1005025126</v>
      </c>
      <c r="G18" s="540"/>
      <c r="H18" s="26"/>
      <c r="I18" s="533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6.5" customHeight="1">
      <c r="A19" s="28"/>
      <c r="B19" s="422" t="s">
        <v>552</v>
      </c>
      <c r="C19" s="423">
        <f t="shared" si="1"/>
        <v>397000</v>
      </c>
      <c r="D19" s="425">
        <v>249000.0</v>
      </c>
      <c r="E19" s="443">
        <v>199000.0</v>
      </c>
      <c r="F19" s="461">
        <f t="shared" si="2"/>
        <v>0.2008032129</v>
      </c>
      <c r="G19" s="534"/>
      <c r="H19" s="26"/>
      <c r="I19" s="53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6.5" customHeight="1">
      <c r="A20" s="28"/>
      <c r="B20" s="422" t="s">
        <v>553</v>
      </c>
      <c r="C20" s="423">
        <f t="shared" si="1"/>
        <v>797000</v>
      </c>
      <c r="D20" s="425">
        <v>447000.0</v>
      </c>
      <c r="E20" s="443">
        <v>399000.0</v>
      </c>
      <c r="F20" s="461">
        <f t="shared" si="2"/>
        <v>0.1073825503</v>
      </c>
      <c r="G20" s="532"/>
      <c r="H20" s="26"/>
      <c r="I20" s="533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6.5" customHeight="1">
      <c r="A21" s="149"/>
      <c r="B21" s="506" t="s">
        <v>554</v>
      </c>
      <c r="C21" s="423">
        <f t="shared" si="1"/>
        <v>797000</v>
      </c>
      <c r="D21" s="432">
        <v>447000.0</v>
      </c>
      <c r="E21" s="513">
        <v>399000.0</v>
      </c>
      <c r="F21" s="507">
        <f t="shared" si="2"/>
        <v>0.1073825503</v>
      </c>
      <c r="G21" s="535"/>
      <c r="H21" s="12"/>
      <c r="I21" s="533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6.5" customHeight="1">
      <c r="A22" s="562" t="s">
        <v>410</v>
      </c>
      <c r="B22" s="459" t="s">
        <v>555</v>
      </c>
      <c r="C22" s="414">
        <f t="shared" si="1"/>
        <v>197000</v>
      </c>
      <c r="D22" s="415">
        <v>119000.0</v>
      </c>
      <c r="E22" s="496">
        <v>99000.0</v>
      </c>
      <c r="F22" s="417">
        <f t="shared" si="2"/>
        <v>0.1680672269</v>
      </c>
      <c r="G22" s="557"/>
      <c r="H22" s="515"/>
      <c r="I22" s="533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6.5" customHeight="1">
      <c r="A23" s="28"/>
      <c r="B23" s="459" t="s">
        <v>556</v>
      </c>
      <c r="C23" s="423">
        <f t="shared" si="1"/>
        <v>197000</v>
      </c>
      <c r="D23" s="424">
        <v>120000.0</v>
      </c>
      <c r="E23" s="464">
        <v>99000.0</v>
      </c>
      <c r="F23" s="461">
        <f t="shared" si="2"/>
        <v>0.175</v>
      </c>
      <c r="G23" s="543"/>
      <c r="H23" s="517"/>
      <c r="I23" s="53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6.5" customHeight="1">
      <c r="A24" s="28"/>
      <c r="B24" s="459" t="s">
        <v>557</v>
      </c>
      <c r="C24" s="423">
        <f t="shared" si="1"/>
        <v>197000</v>
      </c>
      <c r="D24" s="424">
        <v>129000.0</v>
      </c>
      <c r="E24" s="460">
        <v>99000.0</v>
      </c>
      <c r="F24" s="461">
        <f t="shared" si="2"/>
        <v>0.2325581395</v>
      </c>
      <c r="G24" s="543"/>
      <c r="H24" s="517"/>
      <c r="I24" s="533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6.5" customHeight="1">
      <c r="A25" s="28"/>
      <c r="B25" s="459" t="s">
        <v>558</v>
      </c>
      <c r="C25" s="423">
        <f t="shared" si="1"/>
        <v>597000</v>
      </c>
      <c r="D25" s="424">
        <v>329000.0</v>
      </c>
      <c r="E25" s="460">
        <v>299000.0</v>
      </c>
      <c r="F25" s="461">
        <f t="shared" si="2"/>
        <v>0.09118541033</v>
      </c>
      <c r="G25" s="543"/>
      <c r="H25" s="517"/>
      <c r="I25" s="53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6.5" customHeight="1">
      <c r="A26" s="28"/>
      <c r="B26" s="459" t="s">
        <v>559</v>
      </c>
      <c r="C26" s="423">
        <f t="shared" si="1"/>
        <v>657000</v>
      </c>
      <c r="D26" s="424">
        <v>399000.0</v>
      </c>
      <c r="E26" s="464">
        <v>329000.0</v>
      </c>
      <c r="F26" s="461">
        <f t="shared" si="2"/>
        <v>0.1754385965</v>
      </c>
      <c r="G26" s="543"/>
      <c r="H26" s="517"/>
      <c r="I26" s="533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6.5" customHeight="1">
      <c r="A27" s="28"/>
      <c r="B27" s="518" t="s">
        <v>560</v>
      </c>
      <c r="C27" s="423">
        <f t="shared" si="1"/>
        <v>897000</v>
      </c>
      <c r="D27" s="424">
        <v>537000.0</v>
      </c>
      <c r="E27" s="460">
        <v>449000.0</v>
      </c>
      <c r="F27" s="461">
        <f t="shared" si="2"/>
        <v>0.1638733706</v>
      </c>
      <c r="G27" s="543"/>
      <c r="H27" s="517"/>
      <c r="I27" s="533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6.5" customHeight="1">
      <c r="A28" s="28"/>
      <c r="B28" s="518" t="s">
        <v>517</v>
      </c>
      <c r="C28" s="423">
        <f t="shared" si="1"/>
        <v>1397000</v>
      </c>
      <c r="D28" s="424">
        <v>799000.0</v>
      </c>
      <c r="E28" s="460">
        <v>699000.0</v>
      </c>
      <c r="F28" s="507">
        <f t="shared" si="2"/>
        <v>0.1251564456</v>
      </c>
      <c r="G28" s="534"/>
      <c r="H28" s="517"/>
      <c r="I28" s="563"/>
      <c r="J28" s="82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6.5" customHeight="1">
      <c r="A29" s="142" t="s">
        <v>417</v>
      </c>
      <c r="B29" s="521" t="s">
        <v>142</v>
      </c>
      <c r="C29" s="414">
        <f t="shared" si="1"/>
        <v>117000</v>
      </c>
      <c r="D29" s="415">
        <v>70000.0</v>
      </c>
      <c r="E29" s="416">
        <v>59000.0</v>
      </c>
      <c r="F29" s="417">
        <f t="shared" si="2"/>
        <v>0.1571428571</v>
      </c>
      <c r="G29" s="555"/>
      <c r="H29" s="515"/>
      <c r="I29" s="525"/>
      <c r="J29" s="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6.5" customHeight="1">
      <c r="A30" s="10"/>
      <c r="B30" s="523" t="s">
        <v>143</v>
      </c>
      <c r="C30" s="423">
        <f t="shared" si="1"/>
        <v>177000</v>
      </c>
      <c r="D30" s="424">
        <v>99000.0</v>
      </c>
      <c r="E30" s="425">
        <v>89000.0</v>
      </c>
      <c r="F30" s="461">
        <f t="shared" si="2"/>
        <v>0.101010101</v>
      </c>
      <c r="G30" s="543"/>
      <c r="H30" s="517"/>
      <c r="J30" s="14"/>
      <c r="K30" s="8"/>
      <c r="L30" s="8"/>
      <c r="M30" s="564"/>
      <c r="N30" s="564"/>
      <c r="O30" s="564"/>
      <c r="P30" s="564"/>
      <c r="Q30" s="564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24.0" customHeight="1">
      <c r="A31" s="10"/>
      <c r="B31" s="523" t="s">
        <v>518</v>
      </c>
      <c r="C31" s="423">
        <f t="shared" si="1"/>
        <v>197000</v>
      </c>
      <c r="D31" s="424">
        <v>157000.0</v>
      </c>
      <c r="E31" s="489">
        <v>99000.0</v>
      </c>
      <c r="F31" s="507">
        <f t="shared" si="2"/>
        <v>0.3694267516</v>
      </c>
      <c r="G31" s="556"/>
      <c r="H31" s="517"/>
      <c r="J31" s="14"/>
      <c r="K31" s="8"/>
      <c r="L31" s="8"/>
      <c r="M31" s="564"/>
      <c r="N31" s="564"/>
      <c r="O31" s="564"/>
      <c r="P31" s="564"/>
      <c r="Q31" s="564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165" t="s">
        <v>540</v>
      </c>
      <c r="B32" s="521" t="s">
        <v>483</v>
      </c>
      <c r="C32" s="414">
        <f t="shared" si="1"/>
        <v>1999000</v>
      </c>
      <c r="D32" s="414"/>
      <c r="E32" s="442">
        <v>1000000.0</v>
      </c>
      <c r="F32" s="417"/>
      <c r="G32" s="557"/>
      <c r="H32" s="558"/>
      <c r="I32" s="525"/>
      <c r="J32" s="7"/>
      <c r="K32" s="8"/>
      <c r="L32" s="8"/>
      <c r="M32" s="565"/>
      <c r="N32" s="566"/>
      <c r="O32" s="566"/>
      <c r="P32" s="564"/>
      <c r="Q32" s="564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6.5" customHeight="1">
      <c r="A33" s="25"/>
      <c r="B33" s="523" t="s">
        <v>484</v>
      </c>
      <c r="C33" s="423">
        <f t="shared" si="1"/>
        <v>3599000</v>
      </c>
      <c r="D33" s="423"/>
      <c r="E33" s="443">
        <v>1800000.0</v>
      </c>
      <c r="F33" s="461"/>
      <c r="G33" s="543"/>
      <c r="H33" s="26"/>
      <c r="J33" s="14"/>
      <c r="K33" s="8"/>
      <c r="L33" s="8"/>
      <c r="M33" s="565"/>
      <c r="N33" s="566"/>
      <c r="O33" s="566"/>
      <c r="P33" s="564"/>
      <c r="Q33" s="564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6.5" customHeight="1">
      <c r="A34" s="25"/>
      <c r="B34" s="523" t="s">
        <v>485</v>
      </c>
      <c r="C34" s="423">
        <f t="shared" si="1"/>
        <v>4399000</v>
      </c>
      <c r="D34" s="423"/>
      <c r="E34" s="443">
        <v>2200000.0</v>
      </c>
      <c r="F34" s="461"/>
      <c r="G34" s="534"/>
      <c r="H34" s="26"/>
      <c r="J34" s="14"/>
      <c r="K34" s="8"/>
      <c r="L34" s="8"/>
      <c r="M34" s="565"/>
      <c r="N34" s="566"/>
      <c r="O34" s="566"/>
      <c r="P34" s="564"/>
      <c r="Q34" s="564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6.5" customHeight="1">
      <c r="A35" s="25"/>
      <c r="B35" s="518" t="s">
        <v>486</v>
      </c>
      <c r="C35" s="430">
        <f t="shared" si="1"/>
        <v>4799000</v>
      </c>
      <c r="D35" s="423"/>
      <c r="E35" s="443">
        <v>2400000.0</v>
      </c>
      <c r="F35" s="507"/>
      <c r="G35" s="559"/>
      <c r="H35" s="26"/>
      <c r="J35" s="14"/>
      <c r="K35" s="8"/>
      <c r="L35" s="8"/>
      <c r="M35" s="564"/>
      <c r="N35" s="564"/>
      <c r="O35" s="564"/>
      <c r="P35" s="564"/>
      <c r="Q35" s="564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6.5" customHeight="1">
      <c r="A36" s="142" t="s">
        <v>561</v>
      </c>
      <c r="B36" s="2"/>
      <c r="C36" s="2"/>
      <c r="D36" s="2"/>
      <c r="E36" s="2"/>
      <c r="F36" s="2"/>
      <c r="G36" s="2"/>
      <c r="H36" s="2"/>
      <c r="I36" s="2"/>
      <c r="J36" s="7"/>
      <c r="K36" s="8"/>
      <c r="L36" s="8"/>
      <c r="M36" s="564"/>
      <c r="N36" s="564"/>
      <c r="O36" s="564"/>
      <c r="P36" s="564"/>
      <c r="Q36" s="564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6.5" customHeight="1">
      <c r="A37" s="10"/>
      <c r="J37" s="14"/>
      <c r="K37" s="8"/>
      <c r="L37" s="8"/>
      <c r="M37" s="564"/>
      <c r="N37" s="564"/>
      <c r="O37" s="564"/>
      <c r="P37" s="564"/>
      <c r="Q37" s="564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6.5" customHeight="1">
      <c r="A38" s="10"/>
      <c r="J38" s="14"/>
      <c r="K38" s="8"/>
      <c r="L38" s="8"/>
      <c r="M38" s="564"/>
      <c r="N38" s="564"/>
      <c r="O38" s="564"/>
      <c r="P38" s="564"/>
      <c r="Q38" s="564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6.5" customHeight="1">
      <c r="A39" s="10"/>
      <c r="J39" s="1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6.5" customHeight="1">
      <c r="A40" s="58"/>
      <c r="B40" s="82"/>
      <c r="C40" s="82"/>
      <c r="D40" s="82"/>
      <c r="E40" s="82"/>
      <c r="F40" s="82"/>
      <c r="G40" s="82"/>
      <c r="H40" s="82"/>
      <c r="I40" s="82"/>
      <c r="J40" s="83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6.5" customHeight="1">
      <c r="A41" s="8"/>
      <c r="B41" s="40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6.5" customHeight="1">
      <c r="A42" s="8"/>
      <c r="B42" s="40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6.5" customHeight="1">
      <c r="A43" s="8"/>
      <c r="B43" s="40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6.5" customHeight="1">
      <c r="A44" s="8"/>
      <c r="B44" s="40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6.5" customHeight="1">
      <c r="A45" s="8"/>
      <c r="B45" s="527"/>
      <c r="C45" s="425"/>
      <c r="D45" s="425"/>
      <c r="E45" s="48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6.5" customHeight="1">
      <c r="A46" s="8"/>
      <c r="B46" s="407"/>
      <c r="C46" s="8"/>
      <c r="D46" s="8"/>
      <c r="E46" s="8"/>
      <c r="F46" s="8"/>
      <c r="G46" s="216"/>
      <c r="H46" s="21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6.5" customHeight="1">
      <c r="A47" s="8"/>
      <c r="B47" s="407"/>
      <c r="C47" s="8"/>
      <c r="D47" s="8"/>
      <c r="E47" s="8"/>
      <c r="F47" s="8"/>
      <c r="G47" s="216"/>
      <c r="H47" s="21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6.5" customHeight="1">
      <c r="A48" s="8"/>
      <c r="B48" s="528"/>
      <c r="C48" s="425"/>
      <c r="D48" s="425"/>
      <c r="E48" s="425"/>
      <c r="F48" s="529"/>
      <c r="G48" s="530"/>
      <c r="H48" s="21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6.5" customHeight="1">
      <c r="A49" s="8"/>
      <c r="B49" s="528"/>
      <c r="C49" s="425"/>
      <c r="D49" s="425"/>
      <c r="E49" s="425"/>
      <c r="F49" s="529"/>
      <c r="G49" s="216"/>
      <c r="H49" s="21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6.5" customHeight="1">
      <c r="A50" s="8"/>
      <c r="B50" s="528"/>
      <c r="C50" s="425"/>
      <c r="D50" s="425"/>
      <c r="E50" s="425"/>
      <c r="F50" s="529"/>
      <c r="G50" s="216"/>
      <c r="H50" s="21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6.5" customHeight="1">
      <c r="A51" s="8"/>
      <c r="B51" s="185"/>
      <c r="C51" s="425"/>
      <c r="D51" s="425"/>
      <c r="E51" s="489"/>
      <c r="F51" s="8"/>
      <c r="G51" s="216"/>
      <c r="H51" s="21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6.5" customHeight="1">
      <c r="A52" s="8"/>
      <c r="B52" s="407"/>
      <c r="C52" s="8"/>
      <c r="D52" s="8"/>
      <c r="E52" s="8"/>
      <c r="F52" s="8"/>
      <c r="G52" s="216"/>
      <c r="H52" s="21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6.5" customHeight="1">
      <c r="A53" s="8"/>
      <c r="B53" s="407"/>
      <c r="C53" s="8"/>
      <c r="D53" s="8"/>
      <c r="E53" s="8"/>
      <c r="F53" s="8"/>
      <c r="G53" s="216"/>
      <c r="H53" s="21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6.5" customHeight="1">
      <c r="A54" s="8"/>
      <c r="B54" s="407"/>
      <c r="C54" s="8"/>
      <c r="D54" s="8"/>
      <c r="E54" s="8"/>
      <c r="F54" s="8"/>
      <c r="G54" s="216"/>
      <c r="H54" s="21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6.5" customHeight="1">
      <c r="A55" s="8"/>
      <c r="B55" s="407"/>
      <c r="C55" s="8"/>
      <c r="D55" s="8"/>
      <c r="E55" s="8"/>
      <c r="F55" s="8"/>
      <c r="G55" s="216"/>
      <c r="H55" s="21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6.5" customHeight="1">
      <c r="A56" s="8"/>
      <c r="B56" s="407"/>
      <c r="C56" s="8"/>
      <c r="D56" s="8"/>
      <c r="E56" s="8"/>
      <c r="F56" s="8"/>
      <c r="G56" s="216"/>
      <c r="H56" s="21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6.5" customHeight="1">
      <c r="A57" s="8"/>
      <c r="B57" s="407"/>
      <c r="C57" s="8"/>
      <c r="D57" s="8"/>
      <c r="E57" s="8"/>
      <c r="F57" s="8"/>
      <c r="G57" s="216"/>
      <c r="H57" s="21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6.5" customHeight="1">
      <c r="A58" s="8"/>
      <c r="B58" s="407"/>
      <c r="C58" s="8"/>
      <c r="D58" s="8"/>
      <c r="E58" s="8"/>
      <c r="F58" s="8"/>
      <c r="G58" s="216"/>
      <c r="H58" s="21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6.5" customHeight="1">
      <c r="A59" s="8"/>
      <c r="B59" s="407"/>
      <c r="C59" s="8"/>
      <c r="D59" s="8"/>
      <c r="E59" s="8"/>
      <c r="F59" s="8"/>
      <c r="G59" s="216"/>
      <c r="H59" s="21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6.5" customHeight="1">
      <c r="A60" s="8"/>
      <c r="B60" s="407"/>
      <c r="C60" s="8"/>
      <c r="D60" s="8"/>
      <c r="E60" s="8"/>
      <c r="F60" s="8"/>
      <c r="G60" s="216"/>
      <c r="H60" s="21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6.5" customHeight="1">
      <c r="A61" s="8"/>
      <c r="B61" s="407"/>
      <c r="C61" s="8"/>
      <c r="D61" s="8"/>
      <c r="E61" s="8"/>
      <c r="F61" s="8"/>
      <c r="G61" s="216"/>
      <c r="H61" s="21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6.5" customHeight="1">
      <c r="A62" s="8"/>
      <c r="B62" s="407"/>
      <c r="C62" s="8"/>
      <c r="D62" s="8"/>
      <c r="E62" s="8"/>
      <c r="F62" s="8"/>
      <c r="G62" s="216"/>
      <c r="H62" s="21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6.5" customHeight="1">
      <c r="A63" s="8"/>
      <c r="B63" s="407"/>
      <c r="C63" s="8"/>
      <c r="D63" s="8"/>
      <c r="E63" s="8"/>
      <c r="F63" s="8"/>
      <c r="G63" s="216"/>
      <c r="H63" s="21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6.5" customHeight="1">
      <c r="A64" s="8"/>
      <c r="B64" s="407"/>
      <c r="C64" s="8"/>
      <c r="D64" s="8"/>
      <c r="E64" s="8"/>
      <c r="F64" s="8"/>
      <c r="G64" s="216"/>
      <c r="H64" s="21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6.5" customHeight="1">
      <c r="A65" s="8"/>
      <c r="B65" s="407"/>
      <c r="C65" s="8"/>
      <c r="D65" s="8"/>
      <c r="E65" s="8"/>
      <c r="F65" s="8"/>
      <c r="G65" s="216"/>
      <c r="H65" s="21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6.5" customHeight="1">
      <c r="A66" s="8"/>
      <c r="B66" s="407"/>
      <c r="C66" s="8"/>
      <c r="D66" s="8"/>
      <c r="E66" s="8"/>
      <c r="F66" s="8"/>
      <c r="G66" s="216"/>
      <c r="H66" s="21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6.5" customHeight="1">
      <c r="A67" s="8"/>
      <c r="B67" s="407"/>
      <c r="C67" s="8"/>
      <c r="D67" s="8"/>
      <c r="E67" s="8"/>
      <c r="F67" s="8"/>
      <c r="G67" s="216"/>
      <c r="H67" s="21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6.5" customHeight="1">
      <c r="A68" s="8"/>
      <c r="B68" s="407"/>
      <c r="C68" s="8"/>
      <c r="D68" s="8"/>
      <c r="E68" s="8"/>
      <c r="F68" s="8"/>
      <c r="G68" s="216"/>
      <c r="H68" s="21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6.5" customHeight="1">
      <c r="A69" s="8"/>
      <c r="B69" s="407"/>
      <c r="C69" s="8"/>
      <c r="D69" s="8"/>
      <c r="E69" s="8"/>
      <c r="F69" s="8"/>
      <c r="G69" s="216"/>
      <c r="H69" s="21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6.5" customHeight="1">
      <c r="A70" s="8"/>
      <c r="B70" s="407"/>
      <c r="C70" s="8"/>
      <c r="D70" s="8"/>
      <c r="E70" s="8"/>
      <c r="F70" s="8"/>
      <c r="G70" s="216"/>
      <c r="H70" s="21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6.5" customHeight="1">
      <c r="A71" s="8"/>
      <c r="B71" s="407"/>
      <c r="C71" s="8"/>
      <c r="D71" s="8"/>
      <c r="E71" s="8"/>
      <c r="F71" s="8"/>
      <c r="G71" s="216"/>
      <c r="H71" s="21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6.5" customHeight="1">
      <c r="A72" s="8"/>
      <c r="B72" s="407"/>
      <c r="C72" s="8"/>
      <c r="D72" s="8"/>
      <c r="E72" s="8"/>
      <c r="F72" s="8"/>
      <c r="G72" s="216"/>
      <c r="H72" s="21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6.5" customHeight="1">
      <c r="A73" s="8"/>
      <c r="B73" s="407"/>
      <c r="C73" s="8"/>
      <c r="D73" s="8"/>
      <c r="E73" s="8"/>
      <c r="F73" s="8"/>
      <c r="G73" s="216"/>
      <c r="H73" s="21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6.5" customHeight="1">
      <c r="A74" s="8"/>
      <c r="B74" s="407"/>
      <c r="C74" s="8"/>
      <c r="D74" s="8"/>
      <c r="E74" s="8"/>
      <c r="F74" s="8"/>
      <c r="G74" s="216"/>
      <c r="H74" s="21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6.5" customHeight="1">
      <c r="A75" s="8"/>
      <c r="B75" s="407"/>
      <c r="C75" s="8"/>
      <c r="D75" s="8"/>
      <c r="E75" s="8"/>
      <c r="F75" s="8"/>
      <c r="G75" s="216"/>
      <c r="H75" s="21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6.5" customHeight="1">
      <c r="A76" s="8"/>
      <c r="B76" s="407"/>
      <c r="C76" s="8"/>
      <c r="D76" s="8"/>
      <c r="E76" s="8"/>
      <c r="F76" s="8"/>
      <c r="G76" s="216"/>
      <c r="H76" s="21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6.5" customHeight="1">
      <c r="A77" s="8"/>
      <c r="B77" s="407"/>
      <c r="C77" s="8"/>
      <c r="D77" s="8"/>
      <c r="E77" s="8"/>
      <c r="F77" s="8"/>
      <c r="G77" s="216"/>
      <c r="H77" s="21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6.5" customHeight="1">
      <c r="A78" s="8"/>
      <c r="B78" s="407"/>
      <c r="C78" s="8"/>
      <c r="D78" s="8"/>
      <c r="E78" s="8"/>
      <c r="F78" s="8"/>
      <c r="G78" s="216"/>
      <c r="H78" s="21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6.5" customHeight="1">
      <c r="A79" s="8"/>
      <c r="B79" s="407"/>
      <c r="C79" s="8"/>
      <c r="D79" s="8"/>
      <c r="E79" s="8"/>
      <c r="F79" s="8"/>
      <c r="G79" s="216"/>
      <c r="H79" s="21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6.5" customHeight="1">
      <c r="A80" s="8"/>
      <c r="B80" s="407"/>
      <c r="C80" s="8"/>
      <c r="D80" s="8"/>
      <c r="E80" s="8"/>
      <c r="F80" s="8"/>
      <c r="G80" s="216"/>
      <c r="H80" s="21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6.5" customHeight="1">
      <c r="A81" s="8"/>
      <c r="B81" s="407"/>
      <c r="C81" s="8"/>
      <c r="D81" s="8"/>
      <c r="E81" s="8"/>
      <c r="F81" s="8"/>
      <c r="G81" s="216"/>
      <c r="H81" s="21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6.5" customHeight="1">
      <c r="A82" s="8"/>
      <c r="B82" s="407"/>
      <c r="C82" s="8"/>
      <c r="D82" s="8"/>
      <c r="E82" s="8"/>
      <c r="F82" s="8"/>
      <c r="G82" s="216"/>
      <c r="H82" s="21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6.5" customHeight="1">
      <c r="A83" s="8"/>
      <c r="B83" s="407"/>
      <c r="C83" s="8"/>
      <c r="D83" s="8"/>
      <c r="E83" s="8"/>
      <c r="F83" s="8"/>
      <c r="G83" s="216"/>
      <c r="H83" s="21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6.5" customHeight="1">
      <c r="A84" s="8"/>
      <c r="B84" s="407"/>
      <c r="C84" s="8"/>
      <c r="D84" s="8"/>
      <c r="E84" s="8"/>
      <c r="F84" s="8"/>
      <c r="G84" s="216"/>
      <c r="H84" s="21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6.5" customHeight="1">
      <c r="A85" s="8"/>
      <c r="B85" s="407"/>
      <c r="C85" s="8"/>
      <c r="D85" s="8"/>
      <c r="E85" s="8"/>
      <c r="F85" s="8"/>
      <c r="G85" s="216"/>
      <c r="H85" s="21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6.5" customHeight="1">
      <c r="A86" s="8"/>
      <c r="B86" s="407"/>
      <c r="C86" s="8"/>
      <c r="D86" s="8"/>
      <c r="E86" s="8"/>
      <c r="F86" s="8"/>
      <c r="G86" s="216"/>
      <c r="H86" s="21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6.5" customHeight="1">
      <c r="A87" s="8"/>
      <c r="B87" s="407"/>
      <c r="C87" s="8"/>
      <c r="D87" s="8"/>
      <c r="E87" s="8"/>
      <c r="F87" s="8"/>
      <c r="G87" s="216"/>
      <c r="H87" s="21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6.5" customHeight="1">
      <c r="A88" s="8"/>
      <c r="B88" s="407"/>
      <c r="C88" s="8"/>
      <c r="D88" s="8"/>
      <c r="E88" s="8"/>
      <c r="F88" s="8"/>
      <c r="G88" s="216"/>
      <c r="H88" s="21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6.5" customHeight="1">
      <c r="A89" s="8"/>
      <c r="B89" s="407"/>
      <c r="C89" s="8"/>
      <c r="D89" s="8"/>
      <c r="E89" s="8"/>
      <c r="F89" s="8"/>
      <c r="G89" s="216"/>
      <c r="H89" s="21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6.5" customHeight="1">
      <c r="A90" s="8"/>
      <c r="B90" s="407"/>
      <c r="C90" s="8"/>
      <c r="D90" s="8"/>
      <c r="E90" s="8"/>
      <c r="F90" s="8"/>
      <c r="G90" s="216"/>
      <c r="H90" s="21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6.5" customHeight="1">
      <c r="A91" s="8"/>
      <c r="B91" s="407"/>
      <c r="C91" s="8"/>
      <c r="D91" s="8"/>
      <c r="E91" s="8"/>
      <c r="F91" s="8"/>
      <c r="G91" s="216"/>
      <c r="H91" s="21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6.5" customHeight="1">
      <c r="A92" s="8"/>
      <c r="B92" s="407"/>
      <c r="C92" s="8"/>
      <c r="D92" s="8"/>
      <c r="E92" s="8"/>
      <c r="F92" s="8"/>
      <c r="G92" s="216"/>
      <c r="H92" s="21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6.5" customHeight="1">
      <c r="A93" s="8"/>
      <c r="B93" s="407"/>
      <c r="C93" s="8"/>
      <c r="D93" s="8"/>
      <c r="E93" s="8"/>
      <c r="F93" s="8"/>
      <c r="G93" s="216"/>
      <c r="H93" s="21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6.5" customHeight="1">
      <c r="A94" s="8"/>
      <c r="B94" s="407"/>
      <c r="C94" s="8"/>
      <c r="D94" s="8"/>
      <c r="E94" s="8"/>
      <c r="F94" s="8"/>
      <c r="G94" s="216"/>
      <c r="H94" s="21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6.5" customHeight="1">
      <c r="A95" s="8"/>
      <c r="B95" s="407"/>
      <c r="C95" s="8"/>
      <c r="D95" s="8"/>
      <c r="E95" s="8"/>
      <c r="F95" s="8"/>
      <c r="G95" s="216"/>
      <c r="H95" s="21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6.5" customHeight="1">
      <c r="A96" s="8"/>
      <c r="B96" s="407"/>
      <c r="C96" s="8"/>
      <c r="D96" s="8"/>
      <c r="E96" s="8"/>
      <c r="F96" s="8"/>
      <c r="G96" s="216"/>
      <c r="H96" s="21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6.5" customHeight="1">
      <c r="A97" s="8"/>
      <c r="B97" s="407"/>
      <c r="C97" s="8"/>
      <c r="D97" s="8"/>
      <c r="E97" s="8"/>
      <c r="F97" s="8"/>
      <c r="G97" s="216"/>
      <c r="H97" s="21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6.5" customHeight="1">
      <c r="A98" s="8"/>
      <c r="B98" s="407"/>
      <c r="C98" s="8"/>
      <c r="D98" s="8"/>
      <c r="E98" s="8"/>
      <c r="F98" s="8"/>
      <c r="G98" s="216"/>
      <c r="H98" s="21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6.5" customHeight="1">
      <c r="A99" s="8"/>
      <c r="B99" s="407"/>
      <c r="C99" s="8"/>
      <c r="D99" s="8"/>
      <c r="E99" s="8"/>
      <c r="F99" s="8"/>
      <c r="G99" s="216"/>
      <c r="H99" s="21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6.5" customHeight="1">
      <c r="A100" s="8"/>
      <c r="B100" s="407"/>
      <c r="C100" s="8"/>
      <c r="D100" s="8"/>
      <c r="E100" s="8"/>
      <c r="F100" s="8"/>
      <c r="G100" s="216"/>
      <c r="H100" s="21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6.5" customHeight="1">
      <c r="A101" s="8"/>
      <c r="B101" s="407"/>
      <c r="C101" s="8"/>
      <c r="D101" s="8"/>
      <c r="E101" s="8"/>
      <c r="F101" s="8"/>
      <c r="G101" s="216"/>
      <c r="H101" s="21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6.5" customHeight="1">
      <c r="A102" s="8"/>
      <c r="B102" s="407"/>
      <c r="C102" s="8"/>
      <c r="D102" s="8"/>
      <c r="E102" s="8"/>
      <c r="F102" s="8"/>
      <c r="G102" s="216"/>
      <c r="H102" s="21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6.5" customHeight="1">
      <c r="A103" s="8"/>
      <c r="B103" s="407"/>
      <c r="C103" s="8"/>
      <c r="D103" s="8"/>
      <c r="E103" s="8"/>
      <c r="F103" s="8"/>
      <c r="G103" s="216"/>
      <c r="H103" s="21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6.5" customHeight="1">
      <c r="A104" s="8"/>
      <c r="B104" s="407"/>
      <c r="C104" s="8"/>
      <c r="D104" s="8"/>
      <c r="E104" s="8"/>
      <c r="F104" s="8"/>
      <c r="G104" s="216"/>
      <c r="H104" s="21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6.5" customHeight="1">
      <c r="A105" s="8"/>
      <c r="B105" s="407"/>
      <c r="C105" s="8"/>
      <c r="D105" s="8"/>
      <c r="E105" s="8"/>
      <c r="F105" s="8"/>
      <c r="G105" s="216"/>
      <c r="H105" s="21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6.5" customHeight="1">
      <c r="A106" s="8"/>
      <c r="B106" s="407"/>
      <c r="C106" s="8"/>
      <c r="D106" s="8"/>
      <c r="E106" s="8"/>
      <c r="F106" s="8"/>
      <c r="G106" s="216"/>
      <c r="H106" s="21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6.5" customHeight="1">
      <c r="A107" s="8"/>
      <c r="B107" s="407"/>
      <c r="C107" s="8"/>
      <c r="D107" s="8"/>
      <c r="E107" s="8"/>
      <c r="F107" s="8"/>
      <c r="G107" s="216"/>
      <c r="H107" s="21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6.5" customHeight="1">
      <c r="A108" s="8"/>
      <c r="B108" s="407"/>
      <c r="C108" s="8"/>
      <c r="D108" s="8"/>
      <c r="E108" s="8"/>
      <c r="F108" s="8"/>
      <c r="G108" s="216"/>
      <c r="H108" s="21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6.5" customHeight="1">
      <c r="A109" s="8"/>
      <c r="B109" s="407"/>
      <c r="C109" s="8"/>
      <c r="D109" s="8"/>
      <c r="E109" s="8"/>
      <c r="F109" s="8"/>
      <c r="G109" s="216"/>
      <c r="H109" s="21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6.5" customHeight="1">
      <c r="A110" s="8"/>
      <c r="B110" s="407"/>
      <c r="C110" s="8"/>
      <c r="D110" s="8"/>
      <c r="E110" s="8"/>
      <c r="F110" s="8"/>
      <c r="G110" s="216"/>
      <c r="H110" s="21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6.5" customHeight="1">
      <c r="A111" s="8"/>
      <c r="B111" s="407"/>
      <c r="C111" s="8"/>
      <c r="D111" s="8"/>
      <c r="E111" s="8"/>
      <c r="F111" s="8"/>
      <c r="G111" s="216"/>
      <c r="H111" s="21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6.5" customHeight="1">
      <c r="A112" s="8"/>
      <c r="B112" s="407"/>
      <c r="C112" s="8"/>
      <c r="D112" s="8"/>
      <c r="E112" s="8"/>
      <c r="F112" s="8"/>
      <c r="G112" s="216"/>
      <c r="H112" s="21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6.5" customHeight="1">
      <c r="A113" s="8"/>
      <c r="B113" s="407"/>
      <c r="C113" s="8"/>
      <c r="D113" s="8"/>
      <c r="E113" s="8"/>
      <c r="F113" s="8"/>
      <c r="G113" s="216"/>
      <c r="H113" s="21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6.5" customHeight="1">
      <c r="A114" s="8"/>
      <c r="B114" s="407"/>
      <c r="C114" s="8"/>
      <c r="D114" s="8"/>
      <c r="E114" s="8"/>
      <c r="F114" s="8"/>
      <c r="G114" s="216"/>
      <c r="H114" s="216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6.5" customHeight="1">
      <c r="A115" s="8"/>
      <c r="B115" s="407"/>
      <c r="C115" s="8"/>
      <c r="D115" s="8"/>
      <c r="E115" s="8"/>
      <c r="F115" s="8"/>
      <c r="G115" s="216"/>
      <c r="H115" s="21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6.5" customHeight="1">
      <c r="A116" s="8"/>
      <c r="B116" s="407"/>
      <c r="C116" s="8"/>
      <c r="D116" s="8"/>
      <c r="E116" s="8"/>
      <c r="F116" s="8"/>
      <c r="G116" s="216"/>
      <c r="H116" s="21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6.5" customHeight="1">
      <c r="A117" s="8"/>
      <c r="B117" s="407"/>
      <c r="C117" s="8"/>
      <c r="D117" s="8"/>
      <c r="E117" s="8"/>
      <c r="F117" s="8"/>
      <c r="G117" s="216"/>
      <c r="H117" s="21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6.5" customHeight="1">
      <c r="A118" s="8"/>
      <c r="B118" s="407"/>
      <c r="C118" s="8"/>
      <c r="D118" s="8"/>
      <c r="E118" s="8"/>
      <c r="F118" s="8"/>
      <c r="G118" s="216"/>
      <c r="H118" s="21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6.5" customHeight="1">
      <c r="A119" s="8"/>
      <c r="B119" s="407"/>
      <c r="C119" s="8"/>
      <c r="D119" s="8"/>
      <c r="E119" s="8"/>
      <c r="F119" s="8"/>
      <c r="G119" s="216"/>
      <c r="H119" s="21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6.5" customHeight="1">
      <c r="A120" s="8"/>
      <c r="B120" s="407"/>
      <c r="C120" s="8"/>
      <c r="D120" s="8"/>
      <c r="E120" s="8"/>
      <c r="F120" s="8"/>
      <c r="G120" s="216"/>
      <c r="H120" s="21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6.5" customHeight="1">
      <c r="A121" s="8"/>
      <c r="B121" s="407"/>
      <c r="C121" s="8"/>
      <c r="D121" s="8"/>
      <c r="E121" s="8"/>
      <c r="F121" s="8"/>
      <c r="G121" s="216"/>
      <c r="H121" s="21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6.5" customHeight="1">
      <c r="A122" s="8"/>
      <c r="B122" s="407"/>
      <c r="C122" s="8"/>
      <c r="D122" s="8"/>
      <c r="E122" s="8"/>
      <c r="F122" s="8"/>
      <c r="G122" s="216"/>
      <c r="H122" s="21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6.5" customHeight="1">
      <c r="A123" s="8"/>
      <c r="B123" s="407"/>
      <c r="C123" s="8"/>
      <c r="D123" s="8"/>
      <c r="E123" s="8"/>
      <c r="F123" s="8"/>
      <c r="G123" s="216"/>
      <c r="H123" s="21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6.5" customHeight="1">
      <c r="A124" s="8"/>
      <c r="B124" s="407"/>
      <c r="C124" s="8"/>
      <c r="D124" s="8"/>
      <c r="E124" s="8"/>
      <c r="F124" s="8"/>
      <c r="G124" s="216"/>
      <c r="H124" s="21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6.5" customHeight="1">
      <c r="A125" s="8"/>
      <c r="B125" s="407"/>
      <c r="C125" s="8"/>
      <c r="D125" s="8"/>
      <c r="E125" s="8"/>
      <c r="F125" s="8"/>
      <c r="G125" s="216"/>
      <c r="H125" s="21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6.5" customHeight="1">
      <c r="A126" s="8"/>
      <c r="B126" s="407"/>
      <c r="C126" s="8"/>
      <c r="D126" s="8"/>
      <c r="E126" s="8"/>
      <c r="F126" s="8"/>
      <c r="G126" s="216"/>
      <c r="H126" s="21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6.5" customHeight="1">
      <c r="A127" s="8"/>
      <c r="B127" s="407"/>
      <c r="C127" s="8"/>
      <c r="D127" s="8"/>
      <c r="E127" s="8"/>
      <c r="F127" s="8"/>
      <c r="G127" s="216"/>
      <c r="H127" s="21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6.5" customHeight="1">
      <c r="A128" s="8"/>
      <c r="B128" s="407"/>
      <c r="C128" s="8"/>
      <c r="D128" s="8"/>
      <c r="E128" s="8"/>
      <c r="F128" s="8"/>
      <c r="G128" s="216"/>
      <c r="H128" s="21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6.5" customHeight="1">
      <c r="A129" s="8"/>
      <c r="B129" s="407"/>
      <c r="C129" s="8"/>
      <c r="D129" s="8"/>
      <c r="E129" s="8"/>
      <c r="F129" s="8"/>
      <c r="G129" s="216"/>
      <c r="H129" s="21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6.5" customHeight="1">
      <c r="A130" s="8"/>
      <c r="B130" s="407"/>
      <c r="C130" s="8"/>
      <c r="D130" s="8"/>
      <c r="E130" s="8"/>
      <c r="F130" s="8"/>
      <c r="G130" s="216"/>
      <c r="H130" s="21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6.5" customHeight="1">
      <c r="A131" s="8"/>
      <c r="B131" s="407"/>
      <c r="C131" s="8"/>
      <c r="D131" s="8"/>
      <c r="E131" s="8"/>
      <c r="F131" s="8"/>
      <c r="G131" s="216"/>
      <c r="H131" s="21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6.5" customHeight="1">
      <c r="A132" s="8"/>
      <c r="B132" s="407"/>
      <c r="C132" s="8"/>
      <c r="D132" s="8"/>
      <c r="E132" s="8"/>
      <c r="F132" s="8"/>
      <c r="G132" s="216"/>
      <c r="H132" s="21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6.5" customHeight="1">
      <c r="A133" s="8"/>
      <c r="B133" s="407"/>
      <c r="C133" s="8"/>
      <c r="D133" s="8"/>
      <c r="E133" s="8"/>
      <c r="F133" s="8"/>
      <c r="G133" s="216"/>
      <c r="H133" s="21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6.5" customHeight="1">
      <c r="A134" s="8"/>
      <c r="B134" s="407"/>
      <c r="C134" s="8"/>
      <c r="D134" s="8"/>
      <c r="E134" s="8"/>
      <c r="F134" s="8"/>
      <c r="G134" s="216"/>
      <c r="H134" s="21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6.5" customHeight="1">
      <c r="A135" s="8"/>
      <c r="B135" s="407"/>
      <c r="C135" s="8"/>
      <c r="D135" s="8"/>
      <c r="E135" s="8"/>
      <c r="F135" s="8"/>
      <c r="G135" s="216"/>
      <c r="H135" s="21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6.5" customHeight="1">
      <c r="A136" s="8"/>
      <c r="B136" s="407"/>
      <c r="C136" s="8"/>
      <c r="D136" s="8"/>
      <c r="E136" s="8"/>
      <c r="F136" s="8"/>
      <c r="G136" s="216"/>
      <c r="H136" s="21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6.5" customHeight="1">
      <c r="A137" s="8"/>
      <c r="B137" s="407"/>
      <c r="C137" s="8"/>
      <c r="D137" s="8"/>
      <c r="E137" s="8"/>
      <c r="F137" s="8"/>
      <c r="G137" s="216"/>
      <c r="H137" s="21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6.5" customHeight="1">
      <c r="A138" s="8"/>
      <c r="B138" s="407"/>
      <c r="C138" s="8"/>
      <c r="D138" s="8"/>
      <c r="E138" s="8"/>
      <c r="F138" s="8"/>
      <c r="G138" s="216"/>
      <c r="H138" s="21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6.5" customHeight="1">
      <c r="A139" s="8"/>
      <c r="B139" s="407"/>
      <c r="C139" s="8"/>
      <c r="D139" s="8"/>
      <c r="E139" s="8"/>
      <c r="F139" s="8"/>
      <c r="G139" s="216"/>
      <c r="H139" s="21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6.5" customHeight="1">
      <c r="A140" s="8"/>
      <c r="B140" s="407"/>
      <c r="C140" s="8"/>
      <c r="D140" s="8"/>
      <c r="E140" s="8"/>
      <c r="F140" s="8"/>
      <c r="G140" s="216"/>
      <c r="H140" s="21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6.5" customHeight="1">
      <c r="A141" s="8"/>
      <c r="B141" s="407"/>
      <c r="C141" s="8"/>
      <c r="D141" s="8"/>
      <c r="E141" s="8"/>
      <c r="F141" s="8"/>
      <c r="G141" s="216"/>
      <c r="H141" s="21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6.5" customHeight="1">
      <c r="A142" s="8"/>
      <c r="B142" s="407"/>
      <c r="C142" s="8"/>
      <c r="D142" s="8"/>
      <c r="E142" s="8"/>
      <c r="F142" s="8"/>
      <c r="G142" s="216"/>
      <c r="H142" s="21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6.5" customHeight="1">
      <c r="A143" s="8"/>
      <c r="B143" s="407"/>
      <c r="C143" s="8"/>
      <c r="D143" s="8"/>
      <c r="E143" s="8"/>
      <c r="F143" s="8"/>
      <c r="G143" s="216"/>
      <c r="H143" s="21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6.5" customHeight="1">
      <c r="A144" s="8"/>
      <c r="B144" s="407"/>
      <c r="C144" s="8"/>
      <c r="D144" s="8"/>
      <c r="E144" s="8"/>
      <c r="F144" s="8"/>
      <c r="G144" s="216"/>
      <c r="H144" s="21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6.5" customHeight="1">
      <c r="A145" s="8"/>
      <c r="B145" s="407"/>
      <c r="C145" s="8"/>
      <c r="D145" s="8"/>
      <c r="E145" s="8"/>
      <c r="F145" s="8"/>
      <c r="G145" s="216"/>
      <c r="H145" s="21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6.5" customHeight="1">
      <c r="A146" s="8"/>
      <c r="B146" s="407"/>
      <c r="C146" s="8"/>
      <c r="D146" s="8"/>
      <c r="E146" s="8"/>
      <c r="F146" s="8"/>
      <c r="G146" s="216"/>
      <c r="H146" s="21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6.5" customHeight="1">
      <c r="A147" s="8"/>
      <c r="B147" s="407"/>
      <c r="C147" s="8"/>
      <c r="D147" s="8"/>
      <c r="E147" s="8"/>
      <c r="F147" s="8"/>
      <c r="G147" s="216"/>
      <c r="H147" s="21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6.5" customHeight="1">
      <c r="A148" s="8"/>
      <c r="B148" s="407"/>
      <c r="C148" s="8"/>
      <c r="D148" s="8"/>
      <c r="E148" s="8"/>
      <c r="F148" s="8"/>
      <c r="G148" s="216"/>
      <c r="H148" s="21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6.5" customHeight="1">
      <c r="A149" s="8"/>
      <c r="B149" s="407"/>
      <c r="C149" s="8"/>
      <c r="D149" s="8"/>
      <c r="E149" s="8"/>
      <c r="F149" s="8"/>
      <c r="G149" s="216"/>
      <c r="H149" s="21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6.5" customHeight="1">
      <c r="A150" s="8"/>
      <c r="B150" s="407"/>
      <c r="C150" s="8"/>
      <c r="D150" s="8"/>
      <c r="E150" s="8"/>
      <c r="F150" s="8"/>
      <c r="G150" s="216"/>
      <c r="H150" s="21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6.5" customHeight="1">
      <c r="A151" s="8"/>
      <c r="B151" s="407"/>
      <c r="C151" s="8"/>
      <c r="D151" s="8"/>
      <c r="E151" s="8"/>
      <c r="F151" s="8"/>
      <c r="G151" s="216"/>
      <c r="H151" s="21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6.5" customHeight="1">
      <c r="A152" s="8"/>
      <c r="B152" s="407"/>
      <c r="C152" s="8"/>
      <c r="D152" s="8"/>
      <c r="E152" s="8"/>
      <c r="F152" s="8"/>
      <c r="G152" s="216"/>
      <c r="H152" s="21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6.5" customHeight="1">
      <c r="A153" s="8"/>
      <c r="B153" s="407"/>
      <c r="C153" s="8"/>
      <c r="D153" s="8"/>
      <c r="E153" s="8"/>
      <c r="F153" s="8"/>
      <c r="G153" s="216"/>
      <c r="H153" s="21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6.5" customHeight="1">
      <c r="A154" s="8"/>
      <c r="B154" s="407"/>
      <c r="C154" s="8"/>
      <c r="D154" s="8"/>
      <c r="E154" s="8"/>
      <c r="F154" s="8"/>
      <c r="G154" s="216"/>
      <c r="H154" s="21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6.5" customHeight="1">
      <c r="A155" s="8"/>
      <c r="B155" s="407"/>
      <c r="C155" s="8"/>
      <c r="D155" s="8"/>
      <c r="E155" s="8"/>
      <c r="F155" s="8"/>
      <c r="G155" s="216"/>
      <c r="H155" s="21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6.5" customHeight="1">
      <c r="A156" s="8"/>
      <c r="B156" s="407"/>
      <c r="C156" s="8"/>
      <c r="D156" s="8"/>
      <c r="E156" s="8"/>
      <c r="F156" s="8"/>
      <c r="G156" s="216"/>
      <c r="H156" s="21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6.5" customHeight="1">
      <c r="A157" s="8"/>
      <c r="B157" s="407"/>
      <c r="C157" s="8"/>
      <c r="D157" s="8"/>
      <c r="E157" s="8"/>
      <c r="F157" s="8"/>
      <c r="G157" s="216"/>
      <c r="H157" s="21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6.5" customHeight="1">
      <c r="A158" s="8"/>
      <c r="B158" s="407"/>
      <c r="C158" s="8"/>
      <c r="D158" s="8"/>
      <c r="E158" s="8"/>
      <c r="F158" s="8"/>
      <c r="G158" s="216"/>
      <c r="H158" s="21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6.5" customHeight="1">
      <c r="A159" s="8"/>
      <c r="B159" s="407"/>
      <c r="C159" s="8"/>
      <c r="D159" s="8"/>
      <c r="E159" s="8"/>
      <c r="F159" s="8"/>
      <c r="G159" s="216"/>
      <c r="H159" s="21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6.5" customHeight="1">
      <c r="A160" s="8"/>
      <c r="B160" s="407"/>
      <c r="C160" s="8"/>
      <c r="D160" s="8"/>
      <c r="E160" s="8"/>
      <c r="F160" s="8"/>
      <c r="G160" s="216"/>
      <c r="H160" s="21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6.5" customHeight="1">
      <c r="A161" s="8"/>
      <c r="B161" s="407"/>
      <c r="C161" s="8"/>
      <c r="D161" s="8"/>
      <c r="E161" s="8"/>
      <c r="F161" s="8"/>
      <c r="G161" s="216"/>
      <c r="H161" s="21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6.5" customHeight="1">
      <c r="A162" s="8"/>
      <c r="B162" s="407"/>
      <c r="C162" s="8"/>
      <c r="D162" s="8"/>
      <c r="E162" s="8"/>
      <c r="F162" s="8"/>
      <c r="G162" s="216"/>
      <c r="H162" s="21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6.5" customHeight="1">
      <c r="A163" s="8"/>
      <c r="B163" s="407"/>
      <c r="C163" s="8"/>
      <c r="D163" s="8"/>
      <c r="E163" s="8"/>
      <c r="F163" s="8"/>
      <c r="G163" s="216"/>
      <c r="H163" s="21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6.5" customHeight="1">
      <c r="A164" s="8"/>
      <c r="B164" s="407"/>
      <c r="C164" s="8"/>
      <c r="D164" s="8"/>
      <c r="E164" s="8"/>
      <c r="F164" s="8"/>
      <c r="G164" s="216"/>
      <c r="H164" s="21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6.5" customHeight="1">
      <c r="A165" s="8"/>
      <c r="B165" s="407"/>
      <c r="C165" s="8"/>
      <c r="D165" s="8"/>
      <c r="E165" s="8"/>
      <c r="F165" s="8"/>
      <c r="G165" s="216"/>
      <c r="H165" s="21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6.5" customHeight="1">
      <c r="A166" s="8"/>
      <c r="B166" s="407"/>
      <c r="C166" s="8"/>
      <c r="D166" s="8"/>
      <c r="E166" s="8"/>
      <c r="F166" s="8"/>
      <c r="G166" s="216"/>
      <c r="H166" s="21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6.5" customHeight="1">
      <c r="A167" s="8"/>
      <c r="B167" s="407"/>
      <c r="C167" s="8"/>
      <c r="D167" s="8"/>
      <c r="E167" s="8"/>
      <c r="F167" s="8"/>
      <c r="G167" s="216"/>
      <c r="H167" s="21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6.5" customHeight="1">
      <c r="A168" s="8"/>
      <c r="B168" s="407"/>
      <c r="C168" s="8"/>
      <c r="D168" s="8"/>
      <c r="E168" s="8"/>
      <c r="F168" s="8"/>
      <c r="G168" s="216"/>
      <c r="H168" s="21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6.5" customHeight="1">
      <c r="A169" s="8"/>
      <c r="B169" s="407"/>
      <c r="C169" s="8"/>
      <c r="D169" s="8"/>
      <c r="E169" s="8"/>
      <c r="F169" s="8"/>
      <c r="G169" s="216"/>
      <c r="H169" s="21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6.5" customHeight="1">
      <c r="A170" s="8"/>
      <c r="B170" s="407"/>
      <c r="C170" s="8"/>
      <c r="D170" s="8"/>
      <c r="E170" s="8"/>
      <c r="F170" s="8"/>
      <c r="G170" s="216"/>
      <c r="H170" s="21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6.5" customHeight="1">
      <c r="A171" s="8"/>
      <c r="B171" s="407"/>
      <c r="C171" s="8"/>
      <c r="D171" s="8"/>
      <c r="E171" s="8"/>
      <c r="F171" s="8"/>
      <c r="G171" s="216"/>
      <c r="H171" s="21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6.5" customHeight="1">
      <c r="A172" s="8"/>
      <c r="B172" s="407"/>
      <c r="C172" s="8"/>
      <c r="D172" s="8"/>
      <c r="E172" s="8"/>
      <c r="F172" s="8"/>
      <c r="G172" s="216"/>
      <c r="H172" s="21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6.5" customHeight="1">
      <c r="A173" s="8"/>
      <c r="B173" s="407"/>
      <c r="C173" s="8"/>
      <c r="D173" s="8"/>
      <c r="E173" s="8"/>
      <c r="F173" s="8"/>
      <c r="G173" s="216"/>
      <c r="H173" s="21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6.5" customHeight="1">
      <c r="A174" s="8"/>
      <c r="B174" s="407"/>
      <c r="C174" s="8"/>
      <c r="D174" s="8"/>
      <c r="E174" s="8"/>
      <c r="F174" s="8"/>
      <c r="G174" s="216"/>
      <c r="H174" s="21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6.5" customHeight="1">
      <c r="A175" s="8"/>
      <c r="B175" s="407"/>
      <c r="C175" s="8"/>
      <c r="D175" s="8"/>
      <c r="E175" s="8"/>
      <c r="F175" s="8"/>
      <c r="G175" s="216"/>
      <c r="H175" s="21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6.5" customHeight="1">
      <c r="A176" s="8"/>
      <c r="B176" s="407"/>
      <c r="C176" s="8"/>
      <c r="D176" s="8"/>
      <c r="E176" s="8"/>
      <c r="F176" s="8"/>
      <c r="G176" s="216"/>
      <c r="H176" s="21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6.5" customHeight="1">
      <c r="A177" s="8"/>
      <c r="B177" s="407"/>
      <c r="C177" s="8"/>
      <c r="D177" s="8"/>
      <c r="E177" s="8"/>
      <c r="F177" s="8"/>
      <c r="G177" s="216"/>
      <c r="H177" s="21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6.5" customHeight="1">
      <c r="A178" s="8"/>
      <c r="B178" s="407"/>
      <c r="C178" s="8"/>
      <c r="D178" s="8"/>
      <c r="E178" s="8"/>
      <c r="F178" s="8"/>
      <c r="G178" s="216"/>
      <c r="H178" s="21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6.5" customHeight="1">
      <c r="A179" s="8"/>
      <c r="B179" s="407"/>
      <c r="C179" s="8"/>
      <c r="D179" s="8"/>
      <c r="E179" s="8"/>
      <c r="F179" s="8"/>
      <c r="G179" s="216"/>
      <c r="H179" s="21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6.5" customHeight="1">
      <c r="A180" s="8"/>
      <c r="B180" s="407"/>
      <c r="C180" s="8"/>
      <c r="D180" s="8"/>
      <c r="E180" s="8"/>
      <c r="F180" s="8"/>
      <c r="G180" s="216"/>
      <c r="H180" s="21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6.5" customHeight="1">
      <c r="A181" s="8"/>
      <c r="B181" s="407"/>
      <c r="C181" s="8"/>
      <c r="D181" s="8"/>
      <c r="E181" s="8"/>
      <c r="F181" s="8"/>
      <c r="G181" s="216"/>
      <c r="H181" s="21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6.5" customHeight="1">
      <c r="A182" s="8"/>
      <c r="B182" s="407"/>
      <c r="C182" s="8"/>
      <c r="D182" s="8"/>
      <c r="E182" s="8"/>
      <c r="F182" s="8"/>
      <c r="G182" s="216"/>
      <c r="H182" s="21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6.5" customHeight="1">
      <c r="A183" s="8"/>
      <c r="B183" s="407"/>
      <c r="C183" s="8"/>
      <c r="D183" s="8"/>
      <c r="E183" s="8"/>
      <c r="F183" s="8"/>
      <c r="G183" s="216"/>
      <c r="H183" s="21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6.5" customHeight="1">
      <c r="A184" s="8"/>
      <c r="B184" s="407"/>
      <c r="C184" s="8"/>
      <c r="D184" s="8"/>
      <c r="E184" s="8"/>
      <c r="F184" s="8"/>
      <c r="G184" s="216"/>
      <c r="H184" s="21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6.5" customHeight="1">
      <c r="A185" s="8"/>
      <c r="B185" s="407"/>
      <c r="C185" s="8"/>
      <c r="D185" s="8"/>
      <c r="E185" s="8"/>
      <c r="F185" s="8"/>
      <c r="G185" s="216"/>
      <c r="H185" s="21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6.5" customHeight="1">
      <c r="A186" s="8"/>
      <c r="B186" s="407"/>
      <c r="C186" s="8"/>
      <c r="D186" s="8"/>
      <c r="E186" s="8"/>
      <c r="F186" s="8"/>
      <c r="G186" s="216"/>
      <c r="H186" s="21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6.5" customHeight="1">
      <c r="A187" s="8"/>
      <c r="B187" s="407"/>
      <c r="C187" s="8"/>
      <c r="D187" s="8"/>
      <c r="E187" s="8"/>
      <c r="F187" s="8"/>
      <c r="G187" s="216"/>
      <c r="H187" s="21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6.5" customHeight="1">
      <c r="A188" s="8"/>
      <c r="B188" s="407"/>
      <c r="C188" s="8"/>
      <c r="D188" s="8"/>
      <c r="E188" s="8"/>
      <c r="F188" s="8"/>
      <c r="G188" s="216"/>
      <c r="H188" s="21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6.5" customHeight="1">
      <c r="A189" s="8"/>
      <c r="B189" s="407"/>
      <c r="C189" s="8"/>
      <c r="D189" s="8"/>
      <c r="E189" s="8"/>
      <c r="F189" s="8"/>
      <c r="G189" s="216"/>
      <c r="H189" s="21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6.5" customHeight="1">
      <c r="A190" s="8"/>
      <c r="B190" s="407"/>
      <c r="C190" s="8"/>
      <c r="D190" s="8"/>
      <c r="E190" s="8"/>
      <c r="F190" s="8"/>
      <c r="G190" s="216"/>
      <c r="H190" s="21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6.5" customHeight="1">
      <c r="A191" s="8"/>
      <c r="B191" s="407"/>
      <c r="C191" s="8"/>
      <c r="D191" s="8"/>
      <c r="E191" s="8"/>
      <c r="F191" s="8"/>
      <c r="G191" s="216"/>
      <c r="H191" s="21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6.5" customHeight="1">
      <c r="A192" s="8"/>
      <c r="B192" s="407"/>
      <c r="C192" s="8"/>
      <c r="D192" s="8"/>
      <c r="E192" s="8"/>
      <c r="F192" s="8"/>
      <c r="G192" s="216"/>
      <c r="H192" s="21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6.5" customHeight="1">
      <c r="A193" s="8"/>
      <c r="B193" s="407"/>
      <c r="C193" s="8"/>
      <c r="D193" s="8"/>
      <c r="E193" s="8"/>
      <c r="F193" s="8"/>
      <c r="G193" s="216"/>
      <c r="H193" s="21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6.5" customHeight="1">
      <c r="A194" s="8"/>
      <c r="B194" s="407"/>
      <c r="C194" s="8"/>
      <c r="D194" s="8"/>
      <c r="E194" s="8"/>
      <c r="F194" s="8"/>
      <c r="G194" s="216"/>
      <c r="H194" s="21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6.5" customHeight="1">
      <c r="A195" s="8"/>
      <c r="B195" s="407"/>
      <c r="C195" s="8"/>
      <c r="D195" s="8"/>
      <c r="E195" s="8"/>
      <c r="F195" s="8"/>
      <c r="G195" s="216"/>
      <c r="H195" s="21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6.5" customHeight="1">
      <c r="A196" s="8"/>
      <c r="B196" s="407"/>
      <c r="C196" s="8"/>
      <c r="D196" s="8"/>
      <c r="E196" s="8"/>
      <c r="F196" s="8"/>
      <c r="G196" s="216"/>
      <c r="H196" s="21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6.5" customHeight="1">
      <c r="A197" s="8"/>
      <c r="B197" s="407"/>
      <c r="C197" s="8"/>
      <c r="D197" s="8"/>
      <c r="E197" s="8"/>
      <c r="F197" s="8"/>
      <c r="G197" s="216"/>
      <c r="H197" s="21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6.5" customHeight="1">
      <c r="A198" s="8"/>
      <c r="B198" s="407"/>
      <c r="C198" s="8"/>
      <c r="D198" s="8"/>
      <c r="E198" s="8"/>
      <c r="F198" s="8"/>
      <c r="G198" s="216"/>
      <c r="H198" s="21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6.5" customHeight="1">
      <c r="A199" s="8"/>
      <c r="B199" s="407"/>
      <c r="C199" s="8"/>
      <c r="D199" s="8"/>
      <c r="E199" s="8"/>
      <c r="F199" s="8"/>
      <c r="G199" s="216"/>
      <c r="H199" s="21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6.5" customHeight="1">
      <c r="A200" s="8"/>
      <c r="B200" s="407"/>
      <c r="C200" s="8"/>
      <c r="D200" s="8"/>
      <c r="E200" s="8"/>
      <c r="F200" s="8"/>
      <c r="G200" s="216"/>
      <c r="H200" s="21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6.5" customHeight="1">
      <c r="A201" s="8"/>
      <c r="B201" s="407"/>
      <c r="C201" s="8"/>
      <c r="D201" s="8"/>
      <c r="E201" s="8"/>
      <c r="F201" s="8"/>
      <c r="G201" s="216"/>
      <c r="H201" s="21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6.5" customHeight="1">
      <c r="A202" s="8"/>
      <c r="B202" s="407"/>
      <c r="C202" s="8"/>
      <c r="D202" s="8"/>
      <c r="E202" s="8"/>
      <c r="F202" s="8"/>
      <c r="G202" s="216"/>
      <c r="H202" s="21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6.5" customHeight="1">
      <c r="A203" s="8"/>
      <c r="B203" s="407"/>
      <c r="C203" s="8"/>
      <c r="D203" s="8"/>
      <c r="E203" s="8"/>
      <c r="F203" s="8"/>
      <c r="G203" s="216"/>
      <c r="H203" s="21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6.5" customHeight="1">
      <c r="A204" s="8"/>
      <c r="B204" s="407"/>
      <c r="C204" s="8"/>
      <c r="D204" s="8"/>
      <c r="E204" s="8"/>
      <c r="F204" s="8"/>
      <c r="G204" s="216"/>
      <c r="H204" s="21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6.5" customHeight="1">
      <c r="A205" s="8"/>
      <c r="B205" s="407"/>
      <c r="C205" s="8"/>
      <c r="D205" s="8"/>
      <c r="E205" s="8"/>
      <c r="F205" s="8"/>
      <c r="G205" s="216"/>
      <c r="H205" s="21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6.5" customHeight="1">
      <c r="A206" s="8"/>
      <c r="B206" s="407"/>
      <c r="C206" s="8"/>
      <c r="D206" s="8"/>
      <c r="E206" s="8"/>
      <c r="F206" s="8"/>
      <c r="G206" s="216"/>
      <c r="H206" s="21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6.5" customHeight="1">
      <c r="A207" s="8"/>
      <c r="B207" s="407"/>
      <c r="C207" s="8"/>
      <c r="D207" s="8"/>
      <c r="E207" s="8"/>
      <c r="F207" s="8"/>
      <c r="G207" s="216"/>
      <c r="H207" s="21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6.5" customHeight="1">
      <c r="A208" s="8"/>
      <c r="B208" s="407"/>
      <c r="C208" s="8"/>
      <c r="D208" s="8"/>
      <c r="E208" s="8"/>
      <c r="F208" s="8"/>
      <c r="G208" s="216"/>
      <c r="H208" s="21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6.5" customHeight="1">
      <c r="A209" s="8"/>
      <c r="B209" s="407"/>
      <c r="C209" s="8"/>
      <c r="D209" s="8"/>
      <c r="E209" s="8"/>
      <c r="F209" s="8"/>
      <c r="G209" s="216"/>
      <c r="H209" s="21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6.5" customHeight="1">
      <c r="A210" s="8"/>
      <c r="B210" s="407"/>
      <c r="C210" s="8"/>
      <c r="D210" s="8"/>
      <c r="E210" s="8"/>
      <c r="F210" s="8"/>
      <c r="G210" s="216"/>
      <c r="H210" s="21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6.5" customHeight="1">
      <c r="A211" s="8"/>
      <c r="B211" s="407"/>
      <c r="C211" s="8"/>
      <c r="D211" s="8"/>
      <c r="E211" s="8"/>
      <c r="F211" s="8"/>
      <c r="G211" s="216"/>
      <c r="H211" s="21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6.5" customHeight="1">
      <c r="A212" s="8"/>
      <c r="B212" s="407"/>
      <c r="C212" s="8"/>
      <c r="D212" s="8"/>
      <c r="E212" s="8"/>
      <c r="F212" s="8"/>
      <c r="G212" s="216"/>
      <c r="H212" s="21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6.5" customHeight="1">
      <c r="A213" s="8"/>
      <c r="B213" s="407"/>
      <c r="C213" s="8"/>
      <c r="D213" s="8"/>
      <c r="E213" s="8"/>
      <c r="F213" s="8"/>
      <c r="G213" s="216"/>
      <c r="H213" s="21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6.5" customHeight="1">
      <c r="A214" s="8"/>
      <c r="B214" s="407"/>
      <c r="C214" s="8"/>
      <c r="D214" s="8"/>
      <c r="E214" s="8"/>
      <c r="F214" s="8"/>
      <c r="G214" s="216"/>
      <c r="H214" s="21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6.5" customHeight="1">
      <c r="A215" s="8"/>
      <c r="B215" s="407"/>
      <c r="C215" s="8"/>
      <c r="D215" s="8"/>
      <c r="E215" s="8"/>
      <c r="F215" s="8"/>
      <c r="G215" s="216"/>
      <c r="H215" s="21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6.5" customHeight="1">
      <c r="A216" s="8"/>
      <c r="B216" s="407"/>
      <c r="C216" s="8"/>
      <c r="D216" s="8"/>
      <c r="E216" s="8"/>
      <c r="F216" s="8"/>
      <c r="G216" s="216"/>
      <c r="H216" s="21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6.5" customHeight="1">
      <c r="A217" s="8"/>
      <c r="B217" s="407"/>
      <c r="C217" s="8"/>
      <c r="D217" s="8"/>
      <c r="E217" s="8"/>
      <c r="F217" s="8"/>
      <c r="G217" s="216"/>
      <c r="H217" s="21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6.5" customHeight="1">
      <c r="A218" s="8"/>
      <c r="B218" s="407"/>
      <c r="C218" s="8"/>
      <c r="D218" s="8"/>
      <c r="E218" s="8"/>
      <c r="F218" s="8"/>
      <c r="G218" s="216"/>
      <c r="H218" s="21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6.5" customHeight="1">
      <c r="A219" s="8"/>
      <c r="B219" s="407"/>
      <c r="C219" s="8"/>
      <c r="D219" s="8"/>
      <c r="E219" s="8"/>
      <c r="F219" s="8"/>
      <c r="G219" s="216"/>
      <c r="H219" s="21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6.5" customHeight="1">
      <c r="A220" s="8"/>
      <c r="B220" s="407"/>
      <c r="C220" s="8"/>
      <c r="D220" s="8"/>
      <c r="E220" s="8"/>
      <c r="F220" s="8"/>
      <c r="G220" s="216"/>
      <c r="H220" s="21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6.5" customHeight="1">
      <c r="A221" s="8"/>
      <c r="B221" s="407"/>
      <c r="C221" s="8"/>
      <c r="D221" s="8"/>
      <c r="E221" s="8"/>
      <c r="F221" s="8"/>
      <c r="G221" s="216"/>
      <c r="H221" s="21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6.5" customHeight="1">
      <c r="A222" s="8"/>
      <c r="B222" s="407"/>
      <c r="C222" s="8"/>
      <c r="D222" s="8"/>
      <c r="E222" s="8"/>
      <c r="F222" s="8"/>
      <c r="G222" s="216"/>
      <c r="H222" s="21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6.5" customHeight="1">
      <c r="A223" s="8"/>
      <c r="B223" s="407"/>
      <c r="C223" s="8"/>
      <c r="D223" s="8"/>
      <c r="E223" s="8"/>
      <c r="F223" s="8"/>
      <c r="G223" s="216"/>
      <c r="H223" s="21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6.5" customHeight="1">
      <c r="A224" s="8"/>
      <c r="B224" s="407"/>
      <c r="C224" s="8"/>
      <c r="D224" s="8"/>
      <c r="E224" s="8"/>
      <c r="F224" s="8"/>
      <c r="G224" s="216"/>
      <c r="H224" s="21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407"/>
      <c r="C225" s="8"/>
      <c r="D225" s="8"/>
      <c r="E225" s="8"/>
      <c r="F225" s="8"/>
      <c r="G225" s="216"/>
      <c r="H225" s="21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407"/>
      <c r="C226" s="8"/>
      <c r="D226" s="8"/>
      <c r="E226" s="8"/>
      <c r="F226" s="8"/>
      <c r="G226" s="216"/>
      <c r="H226" s="21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407"/>
      <c r="C227" s="8"/>
      <c r="D227" s="8"/>
      <c r="E227" s="8"/>
      <c r="F227" s="8"/>
      <c r="G227" s="216"/>
      <c r="H227" s="21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407"/>
      <c r="C228" s="8"/>
      <c r="D228" s="8"/>
      <c r="E228" s="8"/>
      <c r="F228" s="8"/>
      <c r="G228" s="216"/>
      <c r="H228" s="21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407"/>
      <c r="C229" s="8"/>
      <c r="D229" s="8"/>
      <c r="E229" s="8"/>
      <c r="F229" s="8"/>
      <c r="G229" s="216"/>
      <c r="H229" s="216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40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40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40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40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40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40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407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N237" s="92"/>
    </row>
    <row r="238" ht="15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N238" s="92"/>
    </row>
    <row r="239" ht="15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N239" s="92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N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N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N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N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N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N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N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N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N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N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N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N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N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N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N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N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N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N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N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N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N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N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N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N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N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N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N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N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N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N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N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N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N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N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N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N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N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N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N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N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N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N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N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N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N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N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N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N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N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N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N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N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N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N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N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N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N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N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N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N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N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N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N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N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N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N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N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N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N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N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N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N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N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N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N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N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N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N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N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N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N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N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N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N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N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N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N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N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N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N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N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N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N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N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N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N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N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N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N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N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N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N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N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N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N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N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N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N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N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N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N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N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N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N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N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N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N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N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N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N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N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N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N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N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N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N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N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N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N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N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N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N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N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N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N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N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N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N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N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N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N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N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N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N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N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N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N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N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N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N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N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N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N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N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N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N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N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N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N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N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N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N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N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N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N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N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N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N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N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N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N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N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N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N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N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N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N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N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N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N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N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N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N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N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N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N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N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N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N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N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N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N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N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N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N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N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N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N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N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N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N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N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N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N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N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N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N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N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N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N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N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N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N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N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N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N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N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N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N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N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N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N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N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N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N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N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N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N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N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N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N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N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N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N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N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N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N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N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N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N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N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N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N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N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N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N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N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N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N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N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N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N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N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N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N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N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N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N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N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N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N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N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N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N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N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N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N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N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N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N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N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N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N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N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N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N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N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N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N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N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N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N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N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N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N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N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N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N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N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N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N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N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N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N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N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N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N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N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N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N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N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N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N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N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N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N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N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N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N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N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N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N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N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N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N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N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N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N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N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N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N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N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N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N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N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N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N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N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N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N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N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N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N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N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N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N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N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N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N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N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N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N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N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N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N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N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N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N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N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N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N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N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N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N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N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N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N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N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N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N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N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N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N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N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N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N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N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N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N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N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N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N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N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N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N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N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N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N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N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N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N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N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N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N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N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N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N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N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N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N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N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N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N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N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N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N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N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N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N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N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N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N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N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N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N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N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N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N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N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N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N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N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N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N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N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N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N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N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N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N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N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N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N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N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N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N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N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N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N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N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N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N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N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N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N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N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N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N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N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N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N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N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N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N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N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N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N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N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N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N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N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N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N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N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N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N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N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N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N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N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N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N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N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N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N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N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N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N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N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N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N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N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N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N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N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N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N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N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N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N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N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N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N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N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N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N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N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N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N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N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N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N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N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N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N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N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N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N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N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N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N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N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N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N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N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N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N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N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N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N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N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N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N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N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N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N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N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N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N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N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N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N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N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N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N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N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N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N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N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N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N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N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N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N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N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N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N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N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N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N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N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N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N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N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N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N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N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N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N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N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N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N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N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N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N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N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N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N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N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N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N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N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N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N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N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N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N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N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N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N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N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N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N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N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N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N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N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N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N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N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N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N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N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N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N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N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N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N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N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N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N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N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N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N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N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N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N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N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N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N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N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N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N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N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N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N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N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N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N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N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N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N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N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N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N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N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N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N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N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N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N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N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N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N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N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N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N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N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N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N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N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N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N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N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N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N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N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N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N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N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N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N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N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N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N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N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N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N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N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N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N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N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N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N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N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N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N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N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N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N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N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N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N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N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N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N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N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N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N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N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N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N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N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N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N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N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N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N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N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N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N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N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N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N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N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N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N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N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N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N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N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N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N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N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N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N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N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N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N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N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N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N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N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N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N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N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N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N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N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N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N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N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N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N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N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N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N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N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N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N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N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N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N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N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N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N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N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N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N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N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N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N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N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N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N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N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N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N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N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N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N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N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N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N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N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N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N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N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N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N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N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N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N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N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N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N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N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N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N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N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N1000" s="92"/>
    </row>
  </sheetData>
  <mergeCells count="46">
    <mergeCell ref="H3:H4"/>
    <mergeCell ref="H5:H9"/>
    <mergeCell ref="H10:H15"/>
    <mergeCell ref="H16:H21"/>
    <mergeCell ref="H32:H35"/>
    <mergeCell ref="I3:J4"/>
    <mergeCell ref="K3:K4"/>
    <mergeCell ref="L3:L4"/>
    <mergeCell ref="I5:J5"/>
    <mergeCell ref="I6:J6"/>
    <mergeCell ref="I7:J7"/>
    <mergeCell ref="I9:J9"/>
    <mergeCell ref="A11:A15"/>
    <mergeCell ref="A16:A21"/>
    <mergeCell ref="A22:A28"/>
    <mergeCell ref="A29:A31"/>
    <mergeCell ref="A32:A35"/>
    <mergeCell ref="A1:H2"/>
    <mergeCell ref="A3:B3"/>
    <mergeCell ref="C3:C4"/>
    <mergeCell ref="D3:D4"/>
    <mergeCell ref="E3:E4"/>
    <mergeCell ref="F3:F4"/>
    <mergeCell ref="A5:A9"/>
    <mergeCell ref="I10:J10"/>
    <mergeCell ref="I11:J11"/>
    <mergeCell ref="I12:J12"/>
    <mergeCell ref="I13:J13"/>
    <mergeCell ref="I14:J14"/>
    <mergeCell ref="I15:J15"/>
    <mergeCell ref="I16:J16"/>
    <mergeCell ref="I24:J24"/>
    <mergeCell ref="I25:J25"/>
    <mergeCell ref="I26:J26"/>
    <mergeCell ref="I27:J27"/>
    <mergeCell ref="I28:J28"/>
    <mergeCell ref="I29:J31"/>
    <mergeCell ref="I32:J35"/>
    <mergeCell ref="A36:J40"/>
    <mergeCell ref="I17:J17"/>
    <mergeCell ref="I18:J18"/>
    <mergeCell ref="I19:J19"/>
    <mergeCell ref="I20:J20"/>
    <mergeCell ref="I21:J21"/>
    <mergeCell ref="I22:J22"/>
    <mergeCell ref="I23:J23"/>
  </mergeCells>
  <printOptions/>
  <pageMargins bottom="0.75" footer="0.0" header="0.0" left="0.25" right="0.25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99.86"/>
    <col customWidth="1" min="3" max="3" width="11.86"/>
    <col customWidth="1" hidden="1" min="4" max="4" width="13.57"/>
    <col customWidth="1" min="5" max="5" width="18.29"/>
    <col customWidth="1" min="6" max="6" width="12.86"/>
    <col customWidth="1" min="7" max="7" width="12.43"/>
    <col customWidth="1" min="8" max="8" width="21.14"/>
    <col customWidth="1" min="9" max="10" width="8.86"/>
    <col customWidth="1" min="14" max="14" width="35.57"/>
  </cols>
  <sheetData>
    <row r="1" ht="16.5" customHeight="1">
      <c r="A1" s="1" t="s">
        <v>65</v>
      </c>
      <c r="B1" s="2"/>
      <c r="C1" s="2"/>
      <c r="D1" s="2"/>
      <c r="E1" s="2"/>
      <c r="F1" s="2"/>
      <c r="G1" s="2"/>
      <c r="H1" s="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8.0" customHeight="1">
      <c r="A2" s="58"/>
      <c r="B2" s="82"/>
      <c r="C2" s="82"/>
      <c r="D2" s="82"/>
      <c r="E2" s="82"/>
      <c r="F2" s="82"/>
      <c r="G2" s="82"/>
      <c r="H2" s="82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6.5" customHeight="1">
      <c r="A3" s="320" t="s">
        <v>490</v>
      </c>
      <c r="B3" s="409"/>
      <c r="C3" s="260" t="s">
        <v>438</v>
      </c>
      <c r="D3" s="261" t="s">
        <v>439</v>
      </c>
      <c r="E3" s="261" t="s">
        <v>562</v>
      </c>
      <c r="F3" s="260" t="s">
        <v>563</v>
      </c>
      <c r="G3" s="410" t="s">
        <v>521</v>
      </c>
      <c r="H3" s="259" t="s">
        <v>6</v>
      </c>
      <c r="I3" s="411" t="s">
        <v>7</v>
      </c>
      <c r="J3" s="7"/>
      <c r="K3" s="260" t="s">
        <v>491</v>
      </c>
      <c r="L3" s="261" t="s">
        <v>492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6.5" customHeight="1">
      <c r="A4" s="412" t="s">
        <v>8</v>
      </c>
      <c r="B4" s="24" t="s">
        <v>9</v>
      </c>
      <c r="C4" s="25"/>
      <c r="D4" s="26"/>
      <c r="E4" s="26"/>
      <c r="F4" s="25"/>
      <c r="G4" s="265" t="s">
        <v>10</v>
      </c>
      <c r="H4" s="28"/>
      <c r="I4" s="58"/>
      <c r="J4" s="83"/>
      <c r="K4" s="11"/>
      <c r="L4" s="1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6.5" customHeight="1">
      <c r="A5" s="178" t="s">
        <v>564</v>
      </c>
      <c r="B5" s="567" t="s">
        <v>565</v>
      </c>
      <c r="C5" s="414">
        <v>97000.0</v>
      </c>
      <c r="D5" s="416">
        <v>69000.0</v>
      </c>
      <c r="E5" s="414">
        <v>49000.0</v>
      </c>
      <c r="F5" s="568">
        <f t="shared" ref="F5:F33" si="1">1-E5/C5</f>
        <v>0.4948453608</v>
      </c>
      <c r="G5" s="546"/>
      <c r="H5" s="42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6.5" customHeight="1">
      <c r="A6" s="28"/>
      <c r="B6" s="569" t="s">
        <v>566</v>
      </c>
      <c r="C6" s="423">
        <v>117000.0</v>
      </c>
      <c r="D6" s="425">
        <v>89000.0</v>
      </c>
      <c r="E6" s="423">
        <v>59000.0</v>
      </c>
      <c r="F6" s="568">
        <f t="shared" si="1"/>
        <v>0.4957264957</v>
      </c>
      <c r="G6" s="570"/>
      <c r="H6" s="2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6.5" customHeight="1">
      <c r="A7" s="28"/>
      <c r="B7" s="569" t="s">
        <v>567</v>
      </c>
      <c r="C7" s="423">
        <v>219000.0</v>
      </c>
      <c r="D7" s="425">
        <f>59000+69000</f>
        <v>128000</v>
      </c>
      <c r="E7" s="423">
        <v>110000.0</v>
      </c>
      <c r="F7" s="568">
        <f t="shared" si="1"/>
        <v>0.497716895</v>
      </c>
      <c r="G7" s="550"/>
      <c r="H7" s="2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6.5" customHeight="1">
      <c r="A8" s="149"/>
      <c r="B8" s="571" t="s">
        <v>568</v>
      </c>
      <c r="C8" s="430">
        <v>317000.0</v>
      </c>
      <c r="D8" s="432">
        <f>69000*3</f>
        <v>207000</v>
      </c>
      <c r="E8" s="430">
        <v>159000.0</v>
      </c>
      <c r="F8" s="568">
        <f t="shared" si="1"/>
        <v>0.4984227129</v>
      </c>
      <c r="G8" s="572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6.5" customHeight="1">
      <c r="A9" s="296" t="s">
        <v>569</v>
      </c>
      <c r="B9" s="573" t="s">
        <v>570</v>
      </c>
      <c r="C9" s="424">
        <v>177000.0</v>
      </c>
      <c r="D9" s="414">
        <v>129000.0</v>
      </c>
      <c r="E9" s="414">
        <v>89000.0</v>
      </c>
      <c r="F9" s="568">
        <f t="shared" si="1"/>
        <v>0.4971751412</v>
      </c>
      <c r="G9" s="574"/>
      <c r="H9" s="51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6.5" customHeight="1">
      <c r="A10" s="28"/>
      <c r="B10" s="575" t="s">
        <v>71</v>
      </c>
      <c r="C10" s="424">
        <v>217000.0</v>
      </c>
      <c r="D10" s="423">
        <f>129000+59000</f>
        <v>188000</v>
      </c>
      <c r="E10" s="423">
        <v>119000.0</v>
      </c>
      <c r="F10" s="568">
        <f t="shared" si="1"/>
        <v>0.4516129032</v>
      </c>
      <c r="G10" s="570"/>
      <c r="H10" s="51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43.5" customHeight="1">
      <c r="A11" s="28"/>
      <c r="B11" s="576" t="s">
        <v>571</v>
      </c>
      <c r="C11" s="424">
        <v>357000.0</v>
      </c>
      <c r="D11" s="423">
        <v>249000.0</v>
      </c>
      <c r="E11" s="423">
        <v>199000.0</v>
      </c>
      <c r="F11" s="568">
        <f t="shared" si="1"/>
        <v>0.4425770308</v>
      </c>
      <c r="G11" s="570"/>
      <c r="H11" s="51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6.5" customHeight="1">
      <c r="A12" s="28"/>
      <c r="B12" s="212" t="s">
        <v>572</v>
      </c>
      <c r="C12" s="424">
        <v>517000.0</v>
      </c>
      <c r="D12" s="430">
        <v>329000.0</v>
      </c>
      <c r="E12" s="577">
        <v>259000.0</v>
      </c>
      <c r="F12" s="568">
        <f t="shared" si="1"/>
        <v>0.499032882</v>
      </c>
      <c r="G12" s="570"/>
      <c r="H12" s="51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6.5" customHeight="1">
      <c r="A13" s="178" t="s">
        <v>573</v>
      </c>
      <c r="B13" s="573" t="s">
        <v>574</v>
      </c>
      <c r="C13" s="414">
        <v>177000.0</v>
      </c>
      <c r="D13" s="416">
        <v>128000.0</v>
      </c>
      <c r="E13" s="414">
        <v>99000.0</v>
      </c>
      <c r="F13" s="568">
        <f t="shared" si="1"/>
        <v>0.4406779661</v>
      </c>
      <c r="G13" s="578"/>
      <c r="H13" s="420"/>
      <c r="I13" s="8"/>
      <c r="J13" s="8"/>
      <c r="K13" s="8"/>
      <c r="L13" s="8"/>
      <c r="M13" s="8"/>
      <c r="N13" s="579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28"/>
      <c r="B14" s="575" t="s">
        <v>52</v>
      </c>
      <c r="C14" s="423">
        <v>337000.0</v>
      </c>
      <c r="D14" s="425">
        <f>129000+89000</f>
        <v>218000</v>
      </c>
      <c r="E14" s="423">
        <v>179000.0</v>
      </c>
      <c r="F14" s="568">
        <f t="shared" si="1"/>
        <v>0.46884273</v>
      </c>
      <c r="G14" s="580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6.5" customHeight="1">
      <c r="A15" s="28"/>
      <c r="B15" s="575" t="s">
        <v>575</v>
      </c>
      <c r="C15" s="423">
        <v>537000.0</v>
      </c>
      <c r="D15" s="425">
        <f>280000+59000</f>
        <v>339000</v>
      </c>
      <c r="E15" s="423">
        <v>269000.0</v>
      </c>
      <c r="F15" s="568">
        <f t="shared" si="1"/>
        <v>0.4990689013</v>
      </c>
      <c r="G15" s="580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6.5" customHeight="1">
      <c r="A16" s="28"/>
      <c r="B16" s="575" t="s">
        <v>576</v>
      </c>
      <c r="C16" s="423">
        <v>917000.0</v>
      </c>
      <c r="D16" s="425">
        <v>549000.0</v>
      </c>
      <c r="E16" s="423">
        <v>459000.0</v>
      </c>
      <c r="F16" s="568">
        <f t="shared" si="1"/>
        <v>0.4994547437</v>
      </c>
      <c r="G16" s="580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6.5" customHeight="1">
      <c r="A17" s="28"/>
      <c r="B17" s="575" t="s">
        <v>577</v>
      </c>
      <c r="C17" s="423">
        <v>1099000.0</v>
      </c>
      <c r="D17" s="425">
        <v>600000.0</v>
      </c>
      <c r="E17" s="423">
        <v>550000.0</v>
      </c>
      <c r="F17" s="568">
        <f t="shared" si="1"/>
        <v>0.4995450409</v>
      </c>
      <c r="G17" s="570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6.5" customHeight="1">
      <c r="A18" s="149"/>
      <c r="B18" s="581" t="s">
        <v>578</v>
      </c>
      <c r="C18" s="430">
        <v>1299000.0</v>
      </c>
      <c r="D18" s="432">
        <v>750000.0</v>
      </c>
      <c r="E18" s="430">
        <v>650000.0</v>
      </c>
      <c r="F18" s="568">
        <f t="shared" si="1"/>
        <v>0.4996150885</v>
      </c>
      <c r="G18" s="57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6.5" customHeight="1">
      <c r="A19" s="562" t="s">
        <v>410</v>
      </c>
      <c r="B19" s="582" t="s">
        <v>579</v>
      </c>
      <c r="C19" s="415">
        <v>97000.0</v>
      </c>
      <c r="D19" s="414">
        <v>73000.0</v>
      </c>
      <c r="E19" s="545">
        <v>59000.0</v>
      </c>
      <c r="F19" s="568">
        <f t="shared" si="1"/>
        <v>0.3917525773</v>
      </c>
      <c r="G19" s="583"/>
      <c r="H19" s="515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6.5" customHeight="1">
      <c r="A20" s="28"/>
      <c r="B20" s="576" t="s">
        <v>580</v>
      </c>
      <c r="C20" s="424">
        <v>117000.0</v>
      </c>
      <c r="D20" s="423">
        <f>59000+29000</f>
        <v>88000</v>
      </c>
      <c r="E20" s="271">
        <v>69000.0</v>
      </c>
      <c r="F20" s="568">
        <f t="shared" si="1"/>
        <v>0.4102564103</v>
      </c>
      <c r="G20" s="584"/>
      <c r="H20" s="51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6.5" customHeight="1">
      <c r="A21" s="28"/>
      <c r="B21" s="576" t="s">
        <v>581</v>
      </c>
      <c r="C21" s="424">
        <v>197000.0</v>
      </c>
      <c r="D21" s="423">
        <v>149000.0</v>
      </c>
      <c r="E21" s="548">
        <v>99000.0</v>
      </c>
      <c r="F21" s="568">
        <f t="shared" si="1"/>
        <v>0.4974619289</v>
      </c>
      <c r="G21" s="584"/>
      <c r="H21" s="51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6.5" customHeight="1">
      <c r="A22" s="28"/>
      <c r="B22" s="576" t="s">
        <v>582</v>
      </c>
      <c r="C22" s="424">
        <v>357000.0</v>
      </c>
      <c r="D22" s="423">
        <v>229000.0</v>
      </c>
      <c r="E22" s="548">
        <v>179000.0</v>
      </c>
      <c r="F22" s="568">
        <f t="shared" si="1"/>
        <v>0.4985994398</v>
      </c>
      <c r="G22" s="584"/>
      <c r="H22" s="51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6.5" customHeight="1">
      <c r="A23" s="28"/>
      <c r="B23" s="576" t="s">
        <v>583</v>
      </c>
      <c r="C23" s="424">
        <v>557000.0</v>
      </c>
      <c r="D23" s="423">
        <v>349000.0</v>
      </c>
      <c r="E23" s="271">
        <v>279000.0</v>
      </c>
      <c r="F23" s="568">
        <f t="shared" si="1"/>
        <v>0.4991023339</v>
      </c>
      <c r="G23" s="584"/>
      <c r="H23" s="51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6.5" customHeight="1">
      <c r="A24" s="28"/>
      <c r="B24" s="576" t="s">
        <v>584</v>
      </c>
      <c r="C24" s="424">
        <v>579000.0</v>
      </c>
      <c r="D24" s="423">
        <v>360000.0</v>
      </c>
      <c r="E24" s="548">
        <v>299000.0</v>
      </c>
      <c r="F24" s="568">
        <f t="shared" si="1"/>
        <v>0.4835924007</v>
      </c>
      <c r="G24" s="584"/>
      <c r="H24" s="51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6.5" customHeight="1">
      <c r="A25" s="28"/>
      <c r="B25" s="576" t="s">
        <v>585</v>
      </c>
      <c r="C25" s="424">
        <v>1397000.0</v>
      </c>
      <c r="D25" s="423">
        <f>549000+289000</f>
        <v>838000</v>
      </c>
      <c r="E25" s="548">
        <v>699000.0</v>
      </c>
      <c r="F25" s="568">
        <f t="shared" si="1"/>
        <v>0.4996420902</v>
      </c>
      <c r="G25" s="585"/>
      <c r="H25" s="5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36.0" customHeight="1">
      <c r="A26" s="165" t="s">
        <v>586</v>
      </c>
      <c r="B26" s="586" t="s">
        <v>587</v>
      </c>
      <c r="C26" s="587">
        <f t="shared" ref="C26:C37" si="2">E26*2-1000</f>
        <v>237000</v>
      </c>
      <c r="D26" s="588">
        <v>149000.0</v>
      </c>
      <c r="E26" s="589">
        <v>119000.0</v>
      </c>
      <c r="F26" s="568">
        <f t="shared" si="1"/>
        <v>0.4978902954</v>
      </c>
      <c r="G26" s="104"/>
      <c r="H26" s="590"/>
      <c r="I26" s="142" t="s">
        <v>588</v>
      </c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36.75" customHeight="1">
      <c r="A27" s="25"/>
      <c r="B27" s="591" t="s">
        <v>589</v>
      </c>
      <c r="C27" s="592">
        <f t="shared" si="2"/>
        <v>257000</v>
      </c>
      <c r="D27" s="593">
        <v>200000.0</v>
      </c>
      <c r="E27" s="131">
        <v>129000.0</v>
      </c>
      <c r="F27" s="568">
        <f t="shared" si="1"/>
        <v>0.4980544747</v>
      </c>
      <c r="G27" s="440"/>
      <c r="H27" s="169"/>
      <c r="I27" s="10"/>
      <c r="J27" s="1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60.0" customHeight="1">
      <c r="A28" s="25"/>
      <c r="B28" s="591" t="s">
        <v>590</v>
      </c>
      <c r="C28" s="592">
        <f t="shared" si="2"/>
        <v>297000</v>
      </c>
      <c r="D28" s="592"/>
      <c r="E28" s="592">
        <v>149000.0</v>
      </c>
      <c r="F28" s="568">
        <f t="shared" si="1"/>
        <v>0.4983164983</v>
      </c>
      <c r="G28" s="440"/>
      <c r="H28" s="169"/>
      <c r="I28" s="10"/>
      <c r="J28" s="14"/>
      <c r="K28" s="8"/>
      <c r="L28" s="8"/>
      <c r="M28" s="528"/>
      <c r="N28" s="425"/>
      <c r="O28" s="425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6.5" customHeight="1">
      <c r="A29" s="25"/>
      <c r="B29" s="591" t="s">
        <v>591</v>
      </c>
      <c r="C29" s="592">
        <f t="shared" si="2"/>
        <v>367000</v>
      </c>
      <c r="D29" s="593">
        <v>209000.0</v>
      </c>
      <c r="E29" s="594">
        <v>184000.0</v>
      </c>
      <c r="F29" s="568">
        <f t="shared" si="1"/>
        <v>0.4986376022</v>
      </c>
      <c r="G29" s="440"/>
      <c r="H29" s="169"/>
      <c r="I29" s="10"/>
      <c r="J29" s="14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6.5" customHeight="1">
      <c r="A30" s="25"/>
      <c r="B30" s="591" t="s">
        <v>592</v>
      </c>
      <c r="C30" s="592">
        <f t="shared" si="2"/>
        <v>599000</v>
      </c>
      <c r="D30" s="593">
        <v>390000.0</v>
      </c>
      <c r="E30" s="594">
        <v>300000.0</v>
      </c>
      <c r="F30" s="568">
        <f t="shared" si="1"/>
        <v>0.4991652755</v>
      </c>
      <c r="G30" s="440"/>
      <c r="H30" s="169"/>
      <c r="I30" s="58"/>
      <c r="J30" s="83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6.5" customHeight="1">
      <c r="A31" s="142" t="s">
        <v>417</v>
      </c>
      <c r="B31" s="521" t="s">
        <v>142</v>
      </c>
      <c r="C31" s="414">
        <f t="shared" si="2"/>
        <v>117000</v>
      </c>
      <c r="D31" s="415">
        <v>70000.0</v>
      </c>
      <c r="E31" s="415">
        <v>59000.0</v>
      </c>
      <c r="F31" s="568">
        <f t="shared" si="1"/>
        <v>0.4957264957</v>
      </c>
      <c r="G31" s="595"/>
      <c r="H31" s="515"/>
      <c r="I31" s="525"/>
      <c r="J31" s="7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6.5" customHeight="1">
      <c r="A32" s="10"/>
      <c r="B32" s="523" t="s">
        <v>143</v>
      </c>
      <c r="C32" s="423">
        <f t="shared" si="2"/>
        <v>177000</v>
      </c>
      <c r="D32" s="424">
        <v>99000.0</v>
      </c>
      <c r="E32" s="424">
        <v>89000.0</v>
      </c>
      <c r="F32" s="568">
        <f t="shared" si="1"/>
        <v>0.4971751412</v>
      </c>
      <c r="G32" s="596"/>
      <c r="H32" s="517"/>
      <c r="J32" s="14"/>
      <c r="K32" s="8"/>
      <c r="L32" s="8"/>
      <c r="M32" s="564"/>
      <c r="N32" s="564"/>
      <c r="O32" s="564"/>
      <c r="P32" s="564"/>
      <c r="Q32" s="564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6.5" customHeight="1">
      <c r="A33" s="10"/>
      <c r="B33" s="523" t="s">
        <v>518</v>
      </c>
      <c r="C33" s="423">
        <f t="shared" si="2"/>
        <v>197000</v>
      </c>
      <c r="D33" s="424">
        <v>157000.0</v>
      </c>
      <c r="E33" s="597">
        <v>99000.0</v>
      </c>
      <c r="F33" s="568">
        <f t="shared" si="1"/>
        <v>0.4974619289</v>
      </c>
      <c r="G33" s="596"/>
      <c r="H33" s="517"/>
      <c r="J33" s="14"/>
      <c r="K33" s="8"/>
      <c r="L33" s="8"/>
      <c r="M33" s="564"/>
      <c r="N33" s="564"/>
      <c r="O33" s="564"/>
      <c r="P33" s="564"/>
      <c r="Q33" s="564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165" t="s">
        <v>593</v>
      </c>
      <c r="B34" s="586" t="s">
        <v>594</v>
      </c>
      <c r="C34" s="414">
        <f t="shared" si="2"/>
        <v>1999000</v>
      </c>
      <c r="D34" s="414"/>
      <c r="E34" s="414">
        <v>1000000.0</v>
      </c>
      <c r="F34" s="568"/>
      <c r="G34" s="595"/>
      <c r="H34" s="515"/>
      <c r="I34" s="525"/>
      <c r="J34" s="7"/>
      <c r="K34" s="8"/>
      <c r="L34" s="8"/>
      <c r="M34" s="565"/>
      <c r="N34" s="566"/>
      <c r="O34" s="566"/>
      <c r="P34" s="564"/>
      <c r="Q34" s="564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6.5" customHeight="1">
      <c r="A35" s="25"/>
      <c r="B35" s="591" t="s">
        <v>247</v>
      </c>
      <c r="C35" s="423">
        <f t="shared" si="2"/>
        <v>3599000</v>
      </c>
      <c r="D35" s="423"/>
      <c r="E35" s="423">
        <v>1800000.0</v>
      </c>
      <c r="G35" s="596"/>
      <c r="H35" s="517"/>
      <c r="J35" s="14"/>
      <c r="K35" s="8"/>
      <c r="L35" s="8"/>
      <c r="M35" s="565"/>
      <c r="N35" s="566"/>
      <c r="O35" s="566"/>
      <c r="P35" s="564"/>
      <c r="Q35" s="564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6.5" customHeight="1">
      <c r="A36" s="25"/>
      <c r="B36" s="591" t="s">
        <v>595</v>
      </c>
      <c r="C36" s="423">
        <f t="shared" si="2"/>
        <v>3799000</v>
      </c>
      <c r="D36" s="423"/>
      <c r="E36" s="423">
        <v>1900000.0</v>
      </c>
      <c r="G36" s="596"/>
      <c r="H36" s="517"/>
      <c r="J36" s="14"/>
      <c r="K36" s="8"/>
      <c r="L36" s="8"/>
      <c r="M36" s="565"/>
      <c r="N36" s="566"/>
      <c r="O36" s="566"/>
      <c r="P36" s="564"/>
      <c r="Q36" s="564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6.5" customHeight="1">
      <c r="A37" s="25"/>
      <c r="B37" s="551" t="s">
        <v>596</v>
      </c>
      <c r="C37" s="430">
        <f t="shared" si="2"/>
        <v>5399000</v>
      </c>
      <c r="D37" s="430"/>
      <c r="E37" s="430">
        <v>2700000.0</v>
      </c>
      <c r="G37" s="596"/>
      <c r="H37" s="517"/>
      <c r="J37" s="14"/>
      <c r="K37" s="8"/>
      <c r="L37" s="8"/>
      <c r="M37" s="564"/>
      <c r="N37" s="564"/>
      <c r="O37" s="564"/>
      <c r="P37" s="564"/>
      <c r="Q37" s="564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6.5" customHeight="1">
      <c r="A38" s="11"/>
      <c r="B38" s="598" t="s">
        <v>597</v>
      </c>
      <c r="C38" s="599"/>
      <c r="D38" s="599"/>
      <c r="E38" s="16"/>
      <c r="F38" s="82"/>
      <c r="G38" s="600"/>
      <c r="H38" s="520"/>
      <c r="I38" s="82"/>
      <c r="J38" s="83"/>
      <c r="K38" s="8"/>
      <c r="L38" s="8"/>
      <c r="M38" s="564"/>
      <c r="N38" s="564"/>
      <c r="O38" s="564"/>
      <c r="P38" s="564"/>
      <c r="Q38" s="564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6.5" customHeight="1">
      <c r="A39" s="215" t="s">
        <v>598</v>
      </c>
      <c r="J39" s="14"/>
      <c r="K39" s="8"/>
      <c r="L39" s="8"/>
      <c r="M39" s="564"/>
      <c r="N39" s="564"/>
      <c r="O39" s="564"/>
      <c r="P39" s="564"/>
      <c r="Q39" s="564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6.5" customHeight="1">
      <c r="A40" s="10"/>
      <c r="J40" s="14"/>
      <c r="K40" s="8"/>
      <c r="L40" s="8"/>
      <c r="M40" s="564"/>
      <c r="N40" s="564"/>
      <c r="O40" s="564"/>
      <c r="P40" s="564"/>
      <c r="Q40" s="564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6.5" customHeight="1">
      <c r="A41" s="10"/>
      <c r="J41" s="14"/>
      <c r="K41" s="8"/>
      <c r="L41" s="8"/>
      <c r="M41" s="564"/>
      <c r="N41" s="564"/>
      <c r="O41" s="564"/>
      <c r="P41" s="564"/>
      <c r="Q41" s="564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6.5" customHeight="1">
      <c r="A42" s="10"/>
      <c r="J42" s="1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6.5" customHeight="1">
      <c r="A43" s="58"/>
      <c r="B43" s="82"/>
      <c r="C43" s="82"/>
      <c r="D43" s="82"/>
      <c r="E43" s="82"/>
      <c r="F43" s="82"/>
      <c r="G43" s="82"/>
      <c r="H43" s="82"/>
      <c r="I43" s="82"/>
      <c r="J43" s="83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6.5" customHeight="1">
      <c r="A44" s="8"/>
      <c r="B44" s="40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6.5" customHeight="1">
      <c r="A45" s="8"/>
      <c r="B45" s="40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6.5" customHeight="1">
      <c r="A46" s="8"/>
      <c r="B46" s="40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6.5" customHeight="1">
      <c r="A47" s="8"/>
      <c r="B47" s="40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6.5" customHeight="1">
      <c r="A48" s="8"/>
      <c r="B48" s="40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6.5" customHeight="1">
      <c r="A49" s="8"/>
      <c r="B49" s="407"/>
      <c r="C49" s="8"/>
      <c r="D49" s="8"/>
      <c r="E49" s="8"/>
      <c r="F49" s="8"/>
      <c r="G49" s="216"/>
      <c r="H49" s="21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6.5" customHeight="1">
      <c r="A50" s="8"/>
      <c r="B50" s="407"/>
      <c r="C50" s="8"/>
      <c r="D50" s="8"/>
      <c r="E50" s="8"/>
      <c r="F50" s="8"/>
      <c r="G50" s="216"/>
      <c r="H50" s="21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6.5" customHeight="1">
      <c r="A51" s="8"/>
      <c r="B51" s="407"/>
      <c r="C51" s="8"/>
      <c r="D51" s="8"/>
      <c r="E51" s="8"/>
      <c r="F51" s="8"/>
      <c r="G51" s="216"/>
      <c r="H51" s="21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6.5" customHeight="1">
      <c r="A52" s="8"/>
      <c r="B52" s="407"/>
      <c r="C52" s="8"/>
      <c r="D52" s="8"/>
      <c r="E52" s="8"/>
      <c r="F52" s="8"/>
      <c r="G52" s="216"/>
      <c r="H52" s="21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6.5" customHeight="1">
      <c r="A53" s="8"/>
      <c r="B53" s="407"/>
      <c r="C53" s="8"/>
      <c r="D53" s="8"/>
      <c r="E53" s="8"/>
      <c r="F53" s="8"/>
      <c r="G53" s="216"/>
      <c r="H53" s="21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6.5" customHeight="1">
      <c r="A54" s="8"/>
      <c r="B54" s="407"/>
      <c r="C54" s="8"/>
      <c r="D54" s="8"/>
      <c r="E54" s="8"/>
      <c r="F54" s="8"/>
      <c r="G54" s="216"/>
      <c r="H54" s="21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6.5" customHeight="1">
      <c r="A55" s="8"/>
      <c r="B55" s="407"/>
      <c r="C55" s="8"/>
      <c r="D55" s="8"/>
      <c r="E55" s="8"/>
      <c r="F55" s="8"/>
      <c r="G55" s="216"/>
      <c r="H55" s="21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6.5" customHeight="1">
      <c r="A56" s="8"/>
      <c r="B56" s="407"/>
      <c r="C56" s="8"/>
      <c r="D56" s="8"/>
      <c r="E56" s="8"/>
      <c r="F56" s="8"/>
      <c r="G56" s="216"/>
      <c r="H56" s="21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6.5" customHeight="1">
      <c r="A57" s="8"/>
      <c r="B57" s="407"/>
      <c r="C57" s="8"/>
      <c r="D57" s="8"/>
      <c r="E57" s="8"/>
      <c r="F57" s="8"/>
      <c r="G57" s="216"/>
      <c r="H57" s="21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6.5" customHeight="1">
      <c r="A58" s="8"/>
      <c r="B58" s="407"/>
      <c r="C58" s="8"/>
      <c r="D58" s="8"/>
      <c r="E58" s="8"/>
      <c r="F58" s="8"/>
      <c r="G58" s="216"/>
      <c r="H58" s="21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6.5" customHeight="1">
      <c r="A59" s="8"/>
      <c r="B59" s="407"/>
      <c r="C59" s="8"/>
      <c r="D59" s="8"/>
      <c r="E59" s="8"/>
      <c r="F59" s="8"/>
      <c r="G59" s="216"/>
      <c r="H59" s="21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6.5" customHeight="1">
      <c r="A60" s="8"/>
      <c r="B60" s="407"/>
      <c r="C60" s="8"/>
      <c r="D60" s="8"/>
      <c r="E60" s="8"/>
      <c r="F60" s="8"/>
      <c r="G60" s="216"/>
      <c r="H60" s="21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6.5" customHeight="1">
      <c r="A61" s="8"/>
      <c r="B61" s="407"/>
      <c r="C61" s="8"/>
      <c r="D61" s="8"/>
      <c r="E61" s="8"/>
      <c r="F61" s="8"/>
      <c r="G61" s="216"/>
      <c r="H61" s="21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6.5" customHeight="1">
      <c r="A62" s="8"/>
      <c r="B62" s="407"/>
      <c r="C62" s="8"/>
      <c r="D62" s="8"/>
      <c r="E62" s="8"/>
      <c r="F62" s="8"/>
      <c r="G62" s="216"/>
      <c r="H62" s="21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6.5" customHeight="1">
      <c r="A63" s="8"/>
      <c r="B63" s="407"/>
      <c r="C63" s="8"/>
      <c r="D63" s="8"/>
      <c r="E63" s="8"/>
      <c r="F63" s="8"/>
      <c r="G63" s="216"/>
      <c r="H63" s="21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6.5" customHeight="1">
      <c r="A64" s="8"/>
      <c r="B64" s="407"/>
      <c r="C64" s="8"/>
      <c r="D64" s="8"/>
      <c r="E64" s="8"/>
      <c r="F64" s="8"/>
      <c r="G64" s="216"/>
      <c r="H64" s="21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6.5" customHeight="1">
      <c r="A65" s="8"/>
      <c r="B65" s="407"/>
      <c r="C65" s="8"/>
      <c r="D65" s="8"/>
      <c r="E65" s="8"/>
      <c r="F65" s="8"/>
      <c r="G65" s="216"/>
      <c r="H65" s="21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6.5" customHeight="1">
      <c r="A66" s="8"/>
      <c r="B66" s="407"/>
      <c r="C66" s="8"/>
      <c r="D66" s="8"/>
      <c r="E66" s="8"/>
      <c r="F66" s="8"/>
      <c r="G66" s="216"/>
      <c r="H66" s="21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6.5" customHeight="1">
      <c r="A67" s="8"/>
      <c r="B67" s="407"/>
      <c r="C67" s="8"/>
      <c r="D67" s="8"/>
      <c r="E67" s="8"/>
      <c r="F67" s="8"/>
      <c r="G67" s="216"/>
      <c r="H67" s="21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6.5" customHeight="1">
      <c r="A68" s="8"/>
      <c r="B68" s="407"/>
      <c r="C68" s="8"/>
      <c r="D68" s="8"/>
      <c r="E68" s="8"/>
      <c r="F68" s="8"/>
      <c r="G68" s="216"/>
      <c r="H68" s="21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6.5" customHeight="1">
      <c r="A69" s="8"/>
      <c r="B69" s="407"/>
      <c r="C69" s="8"/>
      <c r="D69" s="8"/>
      <c r="E69" s="8"/>
      <c r="F69" s="8"/>
      <c r="G69" s="216"/>
      <c r="H69" s="21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6.5" customHeight="1">
      <c r="A70" s="8"/>
      <c r="B70" s="407"/>
      <c r="C70" s="8"/>
      <c r="D70" s="8"/>
      <c r="E70" s="8"/>
      <c r="F70" s="8"/>
      <c r="G70" s="216"/>
      <c r="H70" s="21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6.5" customHeight="1">
      <c r="A71" s="8"/>
      <c r="B71" s="407"/>
      <c r="C71" s="8"/>
      <c r="D71" s="8"/>
      <c r="E71" s="8"/>
      <c r="F71" s="8"/>
      <c r="G71" s="216"/>
      <c r="H71" s="21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6.5" customHeight="1">
      <c r="A72" s="8"/>
      <c r="B72" s="407"/>
      <c r="C72" s="8"/>
      <c r="D72" s="8"/>
      <c r="E72" s="8"/>
      <c r="F72" s="8"/>
      <c r="G72" s="216"/>
      <c r="H72" s="21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6.5" customHeight="1">
      <c r="A73" s="8"/>
      <c r="B73" s="407"/>
      <c r="C73" s="8"/>
      <c r="D73" s="8"/>
      <c r="E73" s="8"/>
      <c r="F73" s="8"/>
      <c r="G73" s="216"/>
      <c r="H73" s="21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6.5" customHeight="1">
      <c r="A74" s="8"/>
      <c r="B74" s="407"/>
      <c r="C74" s="8"/>
      <c r="D74" s="8"/>
      <c r="E74" s="8"/>
      <c r="F74" s="8"/>
      <c r="G74" s="216"/>
      <c r="H74" s="21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6.5" customHeight="1">
      <c r="A75" s="8"/>
      <c r="B75" s="407"/>
      <c r="C75" s="8"/>
      <c r="D75" s="8"/>
      <c r="E75" s="8"/>
      <c r="F75" s="8"/>
      <c r="G75" s="216"/>
      <c r="H75" s="21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6.5" customHeight="1">
      <c r="A76" s="8"/>
      <c r="B76" s="407"/>
      <c r="C76" s="8"/>
      <c r="D76" s="8"/>
      <c r="E76" s="8"/>
      <c r="F76" s="8"/>
      <c r="G76" s="216"/>
      <c r="H76" s="21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6.5" customHeight="1">
      <c r="A77" s="8"/>
      <c r="B77" s="407"/>
      <c r="C77" s="8"/>
      <c r="D77" s="8"/>
      <c r="E77" s="8"/>
      <c r="F77" s="8"/>
      <c r="G77" s="216"/>
      <c r="H77" s="21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6.5" customHeight="1">
      <c r="A78" s="8"/>
      <c r="B78" s="407"/>
      <c r="C78" s="8"/>
      <c r="D78" s="8"/>
      <c r="E78" s="8"/>
      <c r="F78" s="8"/>
      <c r="G78" s="216"/>
      <c r="H78" s="21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6.5" customHeight="1">
      <c r="A79" s="8"/>
      <c r="B79" s="407"/>
      <c r="C79" s="8"/>
      <c r="D79" s="8"/>
      <c r="E79" s="8"/>
      <c r="F79" s="8"/>
      <c r="G79" s="216"/>
      <c r="H79" s="21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6.5" customHeight="1">
      <c r="A80" s="8"/>
      <c r="B80" s="407"/>
      <c r="C80" s="8"/>
      <c r="D80" s="8"/>
      <c r="E80" s="8"/>
      <c r="F80" s="8"/>
      <c r="G80" s="216"/>
      <c r="H80" s="21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6.5" customHeight="1">
      <c r="A81" s="8"/>
      <c r="B81" s="407"/>
      <c r="C81" s="8"/>
      <c r="D81" s="8"/>
      <c r="E81" s="8"/>
      <c r="F81" s="8"/>
      <c r="G81" s="216"/>
      <c r="H81" s="21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6.5" customHeight="1">
      <c r="A82" s="8"/>
      <c r="B82" s="407"/>
      <c r="C82" s="8"/>
      <c r="D82" s="8"/>
      <c r="E82" s="8"/>
      <c r="F82" s="8"/>
      <c r="G82" s="216"/>
      <c r="H82" s="21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6.5" customHeight="1">
      <c r="A83" s="8"/>
      <c r="B83" s="407"/>
      <c r="C83" s="8"/>
      <c r="D83" s="8"/>
      <c r="E83" s="8"/>
      <c r="F83" s="8"/>
      <c r="G83" s="216"/>
      <c r="H83" s="21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6.5" customHeight="1">
      <c r="A84" s="8"/>
      <c r="B84" s="407"/>
      <c r="C84" s="8"/>
      <c r="D84" s="8"/>
      <c r="E84" s="8"/>
      <c r="F84" s="8"/>
      <c r="G84" s="216"/>
      <c r="H84" s="21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6.5" customHeight="1">
      <c r="A85" s="8"/>
      <c r="B85" s="407"/>
      <c r="C85" s="8"/>
      <c r="D85" s="8"/>
      <c r="E85" s="8"/>
      <c r="F85" s="8"/>
      <c r="G85" s="216"/>
      <c r="H85" s="21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6.5" customHeight="1">
      <c r="A86" s="8"/>
      <c r="B86" s="407"/>
      <c r="C86" s="8"/>
      <c r="D86" s="8"/>
      <c r="E86" s="8"/>
      <c r="F86" s="8"/>
      <c r="G86" s="216"/>
      <c r="H86" s="21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6.5" customHeight="1">
      <c r="A87" s="8"/>
      <c r="B87" s="407"/>
      <c r="C87" s="8"/>
      <c r="D87" s="8"/>
      <c r="E87" s="8"/>
      <c r="F87" s="8"/>
      <c r="G87" s="216"/>
      <c r="H87" s="21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6.5" customHeight="1">
      <c r="A88" s="8"/>
      <c r="B88" s="407"/>
      <c r="C88" s="8"/>
      <c r="D88" s="8"/>
      <c r="E88" s="8"/>
      <c r="F88" s="8"/>
      <c r="G88" s="216"/>
      <c r="H88" s="21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6.5" customHeight="1">
      <c r="A89" s="8"/>
      <c r="B89" s="407"/>
      <c r="C89" s="8"/>
      <c r="D89" s="8"/>
      <c r="E89" s="8"/>
      <c r="F89" s="8"/>
      <c r="G89" s="216"/>
      <c r="H89" s="21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6.5" customHeight="1">
      <c r="A90" s="8"/>
      <c r="B90" s="407"/>
      <c r="C90" s="8"/>
      <c r="D90" s="8"/>
      <c r="E90" s="8"/>
      <c r="F90" s="8"/>
      <c r="G90" s="216"/>
      <c r="H90" s="21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6.5" customHeight="1">
      <c r="A91" s="8"/>
      <c r="B91" s="407"/>
      <c r="C91" s="8"/>
      <c r="D91" s="8"/>
      <c r="E91" s="8"/>
      <c r="F91" s="8"/>
      <c r="G91" s="216"/>
      <c r="H91" s="21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6.5" customHeight="1">
      <c r="A92" s="8"/>
      <c r="B92" s="407"/>
      <c r="C92" s="8"/>
      <c r="D92" s="8"/>
      <c r="E92" s="8"/>
      <c r="F92" s="8"/>
      <c r="G92" s="216"/>
      <c r="H92" s="21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6.5" customHeight="1">
      <c r="A93" s="8"/>
      <c r="B93" s="407"/>
      <c r="C93" s="8"/>
      <c r="D93" s="8"/>
      <c r="E93" s="8"/>
      <c r="F93" s="8"/>
      <c r="G93" s="216"/>
      <c r="H93" s="21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6.5" customHeight="1">
      <c r="A94" s="8"/>
      <c r="B94" s="407"/>
      <c r="C94" s="8"/>
      <c r="D94" s="8"/>
      <c r="E94" s="8"/>
      <c r="F94" s="8"/>
      <c r="G94" s="216"/>
      <c r="H94" s="21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6.5" customHeight="1">
      <c r="A95" s="8"/>
      <c r="B95" s="407"/>
      <c r="C95" s="8"/>
      <c r="D95" s="8"/>
      <c r="E95" s="8"/>
      <c r="F95" s="8"/>
      <c r="G95" s="216"/>
      <c r="H95" s="21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6.5" customHeight="1">
      <c r="A96" s="8"/>
      <c r="B96" s="407"/>
      <c r="C96" s="8"/>
      <c r="D96" s="8"/>
      <c r="E96" s="8"/>
      <c r="F96" s="8"/>
      <c r="G96" s="216"/>
      <c r="H96" s="21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6.5" customHeight="1">
      <c r="A97" s="8"/>
      <c r="B97" s="407"/>
      <c r="C97" s="8"/>
      <c r="D97" s="8"/>
      <c r="E97" s="8"/>
      <c r="F97" s="8"/>
      <c r="G97" s="216"/>
      <c r="H97" s="21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6.5" customHeight="1">
      <c r="A98" s="8"/>
      <c r="B98" s="407"/>
      <c r="C98" s="8"/>
      <c r="D98" s="8"/>
      <c r="E98" s="8"/>
      <c r="F98" s="8"/>
      <c r="G98" s="216"/>
      <c r="H98" s="21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6.5" customHeight="1">
      <c r="A99" s="8"/>
      <c r="B99" s="407"/>
      <c r="C99" s="8"/>
      <c r="D99" s="8"/>
      <c r="E99" s="8"/>
      <c r="F99" s="8"/>
      <c r="G99" s="216"/>
      <c r="H99" s="21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6.5" customHeight="1">
      <c r="A100" s="8"/>
      <c r="B100" s="407"/>
      <c r="C100" s="8"/>
      <c r="D100" s="8"/>
      <c r="E100" s="8"/>
      <c r="F100" s="8"/>
      <c r="G100" s="216"/>
      <c r="H100" s="21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6.5" customHeight="1">
      <c r="A101" s="8"/>
      <c r="B101" s="407"/>
      <c r="C101" s="8"/>
      <c r="D101" s="8"/>
      <c r="E101" s="8"/>
      <c r="F101" s="8"/>
      <c r="G101" s="216"/>
      <c r="H101" s="21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6.5" customHeight="1">
      <c r="A102" s="8"/>
      <c r="B102" s="407"/>
      <c r="C102" s="8"/>
      <c r="D102" s="8"/>
      <c r="E102" s="8"/>
      <c r="F102" s="8"/>
      <c r="G102" s="216"/>
      <c r="H102" s="21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6.5" customHeight="1">
      <c r="A103" s="8"/>
      <c r="B103" s="407"/>
      <c r="C103" s="8"/>
      <c r="D103" s="8"/>
      <c r="E103" s="8"/>
      <c r="F103" s="8"/>
      <c r="G103" s="216"/>
      <c r="H103" s="21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6.5" customHeight="1">
      <c r="A104" s="8"/>
      <c r="B104" s="407"/>
      <c r="C104" s="8"/>
      <c r="D104" s="8"/>
      <c r="E104" s="8"/>
      <c r="F104" s="8"/>
      <c r="G104" s="216"/>
      <c r="H104" s="21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6.5" customHeight="1">
      <c r="A105" s="8"/>
      <c r="B105" s="407"/>
      <c r="C105" s="8"/>
      <c r="D105" s="8"/>
      <c r="E105" s="8"/>
      <c r="F105" s="8"/>
      <c r="G105" s="216"/>
      <c r="H105" s="21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6.5" customHeight="1">
      <c r="A106" s="8"/>
      <c r="B106" s="407"/>
      <c r="C106" s="8"/>
      <c r="D106" s="8"/>
      <c r="E106" s="8"/>
      <c r="F106" s="8"/>
      <c r="G106" s="216"/>
      <c r="H106" s="21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6.5" customHeight="1">
      <c r="A107" s="8"/>
      <c r="B107" s="407"/>
      <c r="C107" s="8"/>
      <c r="D107" s="8"/>
      <c r="E107" s="8"/>
      <c r="F107" s="8"/>
      <c r="G107" s="216"/>
      <c r="H107" s="21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6.5" customHeight="1">
      <c r="A108" s="8"/>
      <c r="B108" s="407"/>
      <c r="C108" s="8"/>
      <c r="D108" s="8"/>
      <c r="E108" s="8"/>
      <c r="F108" s="8"/>
      <c r="G108" s="216"/>
      <c r="H108" s="21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6.5" customHeight="1">
      <c r="A109" s="8"/>
      <c r="B109" s="407"/>
      <c r="C109" s="8"/>
      <c r="D109" s="8"/>
      <c r="E109" s="8"/>
      <c r="F109" s="8"/>
      <c r="G109" s="216"/>
      <c r="H109" s="21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6.5" customHeight="1">
      <c r="A110" s="8"/>
      <c r="B110" s="407"/>
      <c r="C110" s="8"/>
      <c r="D110" s="8"/>
      <c r="E110" s="8"/>
      <c r="F110" s="8"/>
      <c r="G110" s="216"/>
      <c r="H110" s="21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6.5" customHeight="1">
      <c r="A111" s="8"/>
      <c r="B111" s="407"/>
      <c r="C111" s="8"/>
      <c r="D111" s="8"/>
      <c r="E111" s="8"/>
      <c r="F111" s="8"/>
      <c r="G111" s="216"/>
      <c r="H111" s="21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6.5" customHeight="1">
      <c r="A112" s="8"/>
      <c r="B112" s="407"/>
      <c r="C112" s="8"/>
      <c r="D112" s="8"/>
      <c r="E112" s="8"/>
      <c r="F112" s="8"/>
      <c r="G112" s="216"/>
      <c r="H112" s="21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6.5" customHeight="1">
      <c r="A113" s="8"/>
      <c r="B113" s="407"/>
      <c r="C113" s="8"/>
      <c r="D113" s="8"/>
      <c r="E113" s="8"/>
      <c r="F113" s="8"/>
      <c r="G113" s="216"/>
      <c r="H113" s="21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6.5" customHeight="1">
      <c r="A114" s="8"/>
      <c r="B114" s="407"/>
      <c r="C114" s="8"/>
      <c r="D114" s="8"/>
      <c r="E114" s="8"/>
      <c r="F114" s="8"/>
      <c r="G114" s="216"/>
      <c r="H114" s="216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6.5" customHeight="1">
      <c r="A115" s="8"/>
      <c r="B115" s="407"/>
      <c r="C115" s="8"/>
      <c r="D115" s="8"/>
      <c r="E115" s="8"/>
      <c r="F115" s="8"/>
      <c r="G115" s="216"/>
      <c r="H115" s="21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6.5" customHeight="1">
      <c r="A116" s="8"/>
      <c r="B116" s="407"/>
      <c r="C116" s="8"/>
      <c r="D116" s="8"/>
      <c r="E116" s="8"/>
      <c r="F116" s="8"/>
      <c r="G116" s="216"/>
      <c r="H116" s="21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6.5" customHeight="1">
      <c r="A117" s="8"/>
      <c r="B117" s="407"/>
      <c r="C117" s="8"/>
      <c r="D117" s="8"/>
      <c r="E117" s="8"/>
      <c r="F117" s="8"/>
      <c r="G117" s="216"/>
      <c r="H117" s="21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6.5" customHeight="1">
      <c r="A118" s="8"/>
      <c r="B118" s="407"/>
      <c r="C118" s="8"/>
      <c r="D118" s="8"/>
      <c r="E118" s="8"/>
      <c r="F118" s="8"/>
      <c r="G118" s="216"/>
      <c r="H118" s="21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6.5" customHeight="1">
      <c r="A119" s="8"/>
      <c r="B119" s="407"/>
      <c r="C119" s="8"/>
      <c r="D119" s="8"/>
      <c r="E119" s="8"/>
      <c r="F119" s="8"/>
      <c r="G119" s="216"/>
      <c r="H119" s="21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6.5" customHeight="1">
      <c r="A120" s="8"/>
      <c r="B120" s="407"/>
      <c r="C120" s="8"/>
      <c r="D120" s="8"/>
      <c r="E120" s="8"/>
      <c r="F120" s="8"/>
      <c r="G120" s="216"/>
      <c r="H120" s="21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6.5" customHeight="1">
      <c r="A121" s="8"/>
      <c r="B121" s="407"/>
      <c r="C121" s="8"/>
      <c r="D121" s="8"/>
      <c r="E121" s="8"/>
      <c r="F121" s="8"/>
      <c r="G121" s="216"/>
      <c r="H121" s="21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6.5" customHeight="1">
      <c r="A122" s="8"/>
      <c r="B122" s="407"/>
      <c r="C122" s="8"/>
      <c r="D122" s="8"/>
      <c r="E122" s="8"/>
      <c r="F122" s="8"/>
      <c r="G122" s="216"/>
      <c r="H122" s="21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6.5" customHeight="1">
      <c r="A123" s="8"/>
      <c r="B123" s="407"/>
      <c r="C123" s="8"/>
      <c r="D123" s="8"/>
      <c r="E123" s="8"/>
      <c r="F123" s="8"/>
      <c r="G123" s="216"/>
      <c r="H123" s="21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6.5" customHeight="1">
      <c r="A124" s="8"/>
      <c r="B124" s="407"/>
      <c r="C124" s="8"/>
      <c r="D124" s="8"/>
      <c r="E124" s="8"/>
      <c r="F124" s="8"/>
      <c r="G124" s="216"/>
      <c r="H124" s="21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6.5" customHeight="1">
      <c r="A125" s="8"/>
      <c r="B125" s="407"/>
      <c r="C125" s="8"/>
      <c r="D125" s="8"/>
      <c r="E125" s="8"/>
      <c r="F125" s="8"/>
      <c r="G125" s="216"/>
      <c r="H125" s="21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6.5" customHeight="1">
      <c r="A126" s="8"/>
      <c r="B126" s="407"/>
      <c r="C126" s="8"/>
      <c r="D126" s="8"/>
      <c r="E126" s="8"/>
      <c r="F126" s="8"/>
      <c r="G126" s="216"/>
      <c r="H126" s="21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6.5" customHeight="1">
      <c r="A127" s="8"/>
      <c r="B127" s="407"/>
      <c r="C127" s="8"/>
      <c r="D127" s="8"/>
      <c r="E127" s="8"/>
      <c r="F127" s="8"/>
      <c r="G127" s="216"/>
      <c r="H127" s="21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6.5" customHeight="1">
      <c r="A128" s="8"/>
      <c r="B128" s="407"/>
      <c r="C128" s="8"/>
      <c r="D128" s="8"/>
      <c r="E128" s="8"/>
      <c r="F128" s="8"/>
      <c r="G128" s="216"/>
      <c r="H128" s="21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6.5" customHeight="1">
      <c r="A129" s="8"/>
      <c r="B129" s="407"/>
      <c r="C129" s="8"/>
      <c r="D129" s="8"/>
      <c r="E129" s="8"/>
      <c r="F129" s="8"/>
      <c r="G129" s="216"/>
      <c r="H129" s="21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6.5" customHeight="1">
      <c r="A130" s="8"/>
      <c r="B130" s="407"/>
      <c r="C130" s="8"/>
      <c r="D130" s="8"/>
      <c r="E130" s="8"/>
      <c r="F130" s="8"/>
      <c r="G130" s="216"/>
      <c r="H130" s="21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6.5" customHeight="1">
      <c r="A131" s="8"/>
      <c r="B131" s="407"/>
      <c r="C131" s="8"/>
      <c r="D131" s="8"/>
      <c r="E131" s="8"/>
      <c r="F131" s="8"/>
      <c r="G131" s="216"/>
      <c r="H131" s="21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6.5" customHeight="1">
      <c r="A132" s="8"/>
      <c r="B132" s="407"/>
      <c r="C132" s="8"/>
      <c r="D132" s="8"/>
      <c r="E132" s="8"/>
      <c r="F132" s="8"/>
      <c r="G132" s="216"/>
      <c r="H132" s="21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6.5" customHeight="1">
      <c r="A133" s="8"/>
      <c r="B133" s="407"/>
      <c r="C133" s="8"/>
      <c r="D133" s="8"/>
      <c r="E133" s="8"/>
      <c r="F133" s="8"/>
      <c r="G133" s="216"/>
      <c r="H133" s="21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6.5" customHeight="1">
      <c r="A134" s="8"/>
      <c r="B134" s="407"/>
      <c r="C134" s="8"/>
      <c r="D134" s="8"/>
      <c r="E134" s="8"/>
      <c r="F134" s="8"/>
      <c r="G134" s="216"/>
      <c r="H134" s="21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6.5" customHeight="1">
      <c r="A135" s="8"/>
      <c r="B135" s="407"/>
      <c r="C135" s="8"/>
      <c r="D135" s="8"/>
      <c r="E135" s="8"/>
      <c r="F135" s="8"/>
      <c r="G135" s="216"/>
      <c r="H135" s="21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6.5" customHeight="1">
      <c r="A136" s="8"/>
      <c r="B136" s="407"/>
      <c r="C136" s="8"/>
      <c r="D136" s="8"/>
      <c r="E136" s="8"/>
      <c r="F136" s="8"/>
      <c r="G136" s="216"/>
      <c r="H136" s="21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6.5" customHeight="1">
      <c r="A137" s="8"/>
      <c r="B137" s="407"/>
      <c r="C137" s="8"/>
      <c r="D137" s="8"/>
      <c r="E137" s="8"/>
      <c r="F137" s="8"/>
      <c r="G137" s="216"/>
      <c r="H137" s="21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6.5" customHeight="1">
      <c r="A138" s="8"/>
      <c r="B138" s="407"/>
      <c r="C138" s="8"/>
      <c r="D138" s="8"/>
      <c r="E138" s="8"/>
      <c r="F138" s="8"/>
      <c r="G138" s="216"/>
      <c r="H138" s="21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6.5" customHeight="1">
      <c r="A139" s="8"/>
      <c r="B139" s="407"/>
      <c r="C139" s="8"/>
      <c r="D139" s="8"/>
      <c r="E139" s="8"/>
      <c r="F139" s="8"/>
      <c r="G139" s="216"/>
      <c r="H139" s="21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6.5" customHeight="1">
      <c r="A140" s="8"/>
      <c r="B140" s="407"/>
      <c r="C140" s="8"/>
      <c r="D140" s="8"/>
      <c r="E140" s="8"/>
      <c r="F140" s="8"/>
      <c r="G140" s="216"/>
      <c r="H140" s="21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6.5" customHeight="1">
      <c r="A141" s="8"/>
      <c r="B141" s="407"/>
      <c r="C141" s="8"/>
      <c r="D141" s="8"/>
      <c r="E141" s="8"/>
      <c r="F141" s="8"/>
      <c r="G141" s="216"/>
      <c r="H141" s="21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6.5" customHeight="1">
      <c r="A142" s="8"/>
      <c r="B142" s="407"/>
      <c r="C142" s="8"/>
      <c r="D142" s="8"/>
      <c r="E142" s="8"/>
      <c r="F142" s="8"/>
      <c r="G142" s="216"/>
      <c r="H142" s="21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6.5" customHeight="1">
      <c r="A143" s="8"/>
      <c r="B143" s="407"/>
      <c r="C143" s="8"/>
      <c r="D143" s="8"/>
      <c r="E143" s="8"/>
      <c r="F143" s="8"/>
      <c r="G143" s="216"/>
      <c r="H143" s="21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6.5" customHeight="1">
      <c r="A144" s="8"/>
      <c r="B144" s="407"/>
      <c r="C144" s="8"/>
      <c r="D144" s="8"/>
      <c r="E144" s="8"/>
      <c r="F144" s="8"/>
      <c r="G144" s="216"/>
      <c r="H144" s="21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6.5" customHeight="1">
      <c r="A145" s="8"/>
      <c r="B145" s="407"/>
      <c r="C145" s="8"/>
      <c r="D145" s="8"/>
      <c r="E145" s="8"/>
      <c r="F145" s="8"/>
      <c r="G145" s="216"/>
      <c r="H145" s="21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6.5" customHeight="1">
      <c r="A146" s="8"/>
      <c r="B146" s="407"/>
      <c r="C146" s="8"/>
      <c r="D146" s="8"/>
      <c r="E146" s="8"/>
      <c r="F146" s="8"/>
      <c r="G146" s="216"/>
      <c r="H146" s="21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6.5" customHeight="1">
      <c r="A147" s="8"/>
      <c r="B147" s="407"/>
      <c r="C147" s="8"/>
      <c r="D147" s="8"/>
      <c r="E147" s="8"/>
      <c r="F147" s="8"/>
      <c r="G147" s="216"/>
      <c r="H147" s="21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6.5" customHeight="1">
      <c r="A148" s="8"/>
      <c r="B148" s="407"/>
      <c r="C148" s="8"/>
      <c r="D148" s="8"/>
      <c r="E148" s="8"/>
      <c r="F148" s="8"/>
      <c r="G148" s="216"/>
      <c r="H148" s="21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6.5" customHeight="1">
      <c r="A149" s="8"/>
      <c r="B149" s="407"/>
      <c r="C149" s="8"/>
      <c r="D149" s="8"/>
      <c r="E149" s="8"/>
      <c r="F149" s="8"/>
      <c r="G149" s="216"/>
      <c r="H149" s="21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6.5" customHeight="1">
      <c r="A150" s="8"/>
      <c r="B150" s="407"/>
      <c r="C150" s="8"/>
      <c r="D150" s="8"/>
      <c r="E150" s="8"/>
      <c r="F150" s="8"/>
      <c r="G150" s="216"/>
      <c r="H150" s="21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6.5" customHeight="1">
      <c r="A151" s="8"/>
      <c r="B151" s="407"/>
      <c r="C151" s="8"/>
      <c r="D151" s="8"/>
      <c r="E151" s="8"/>
      <c r="F151" s="8"/>
      <c r="G151" s="216"/>
      <c r="H151" s="21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6.5" customHeight="1">
      <c r="A152" s="8"/>
      <c r="B152" s="407"/>
      <c r="C152" s="8"/>
      <c r="D152" s="8"/>
      <c r="E152" s="8"/>
      <c r="F152" s="8"/>
      <c r="G152" s="216"/>
      <c r="H152" s="21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6.5" customHeight="1">
      <c r="A153" s="8"/>
      <c r="B153" s="407"/>
      <c r="C153" s="8"/>
      <c r="D153" s="8"/>
      <c r="E153" s="8"/>
      <c r="F153" s="8"/>
      <c r="G153" s="216"/>
      <c r="H153" s="21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6.5" customHeight="1">
      <c r="A154" s="8"/>
      <c r="B154" s="407"/>
      <c r="C154" s="8"/>
      <c r="D154" s="8"/>
      <c r="E154" s="8"/>
      <c r="F154" s="8"/>
      <c r="G154" s="216"/>
      <c r="H154" s="21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6.5" customHeight="1">
      <c r="A155" s="8"/>
      <c r="B155" s="407"/>
      <c r="C155" s="8"/>
      <c r="D155" s="8"/>
      <c r="E155" s="8"/>
      <c r="F155" s="8"/>
      <c r="G155" s="216"/>
      <c r="H155" s="21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6.5" customHeight="1">
      <c r="A156" s="8"/>
      <c r="B156" s="407"/>
      <c r="C156" s="8"/>
      <c r="D156" s="8"/>
      <c r="E156" s="8"/>
      <c r="F156" s="8"/>
      <c r="G156" s="216"/>
      <c r="H156" s="21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6.5" customHeight="1">
      <c r="A157" s="8"/>
      <c r="B157" s="407"/>
      <c r="C157" s="8"/>
      <c r="D157" s="8"/>
      <c r="E157" s="8"/>
      <c r="F157" s="8"/>
      <c r="G157" s="216"/>
      <c r="H157" s="21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6.5" customHeight="1">
      <c r="A158" s="8"/>
      <c r="B158" s="407"/>
      <c r="C158" s="8"/>
      <c r="D158" s="8"/>
      <c r="E158" s="8"/>
      <c r="F158" s="8"/>
      <c r="G158" s="216"/>
      <c r="H158" s="21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6.5" customHeight="1">
      <c r="A159" s="8"/>
      <c r="B159" s="407"/>
      <c r="C159" s="8"/>
      <c r="D159" s="8"/>
      <c r="E159" s="8"/>
      <c r="F159" s="8"/>
      <c r="G159" s="216"/>
      <c r="H159" s="21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6.5" customHeight="1">
      <c r="A160" s="8"/>
      <c r="B160" s="407"/>
      <c r="C160" s="8"/>
      <c r="D160" s="8"/>
      <c r="E160" s="8"/>
      <c r="F160" s="8"/>
      <c r="G160" s="216"/>
      <c r="H160" s="21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6.5" customHeight="1">
      <c r="A161" s="8"/>
      <c r="B161" s="407"/>
      <c r="C161" s="8"/>
      <c r="D161" s="8"/>
      <c r="E161" s="8"/>
      <c r="F161" s="8"/>
      <c r="G161" s="216"/>
      <c r="H161" s="21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6.5" customHeight="1">
      <c r="A162" s="8"/>
      <c r="B162" s="407"/>
      <c r="C162" s="8"/>
      <c r="D162" s="8"/>
      <c r="E162" s="8"/>
      <c r="F162" s="8"/>
      <c r="G162" s="216"/>
      <c r="H162" s="21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6.5" customHeight="1">
      <c r="A163" s="8"/>
      <c r="B163" s="407"/>
      <c r="C163" s="8"/>
      <c r="D163" s="8"/>
      <c r="E163" s="8"/>
      <c r="F163" s="8"/>
      <c r="G163" s="216"/>
      <c r="H163" s="21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6.5" customHeight="1">
      <c r="A164" s="8"/>
      <c r="B164" s="407"/>
      <c r="C164" s="8"/>
      <c r="D164" s="8"/>
      <c r="E164" s="8"/>
      <c r="F164" s="8"/>
      <c r="G164" s="216"/>
      <c r="H164" s="21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6.5" customHeight="1">
      <c r="A165" s="8"/>
      <c r="B165" s="407"/>
      <c r="C165" s="8"/>
      <c r="D165" s="8"/>
      <c r="E165" s="8"/>
      <c r="F165" s="8"/>
      <c r="G165" s="216"/>
      <c r="H165" s="21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6.5" customHeight="1">
      <c r="A166" s="8"/>
      <c r="B166" s="407"/>
      <c r="C166" s="8"/>
      <c r="D166" s="8"/>
      <c r="E166" s="8"/>
      <c r="F166" s="8"/>
      <c r="G166" s="216"/>
      <c r="H166" s="21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6.5" customHeight="1">
      <c r="A167" s="8"/>
      <c r="B167" s="407"/>
      <c r="C167" s="8"/>
      <c r="D167" s="8"/>
      <c r="E167" s="8"/>
      <c r="F167" s="8"/>
      <c r="G167" s="216"/>
      <c r="H167" s="21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6.5" customHeight="1">
      <c r="A168" s="8"/>
      <c r="B168" s="407"/>
      <c r="C168" s="8"/>
      <c r="D168" s="8"/>
      <c r="E168" s="8"/>
      <c r="F168" s="8"/>
      <c r="G168" s="216"/>
      <c r="H168" s="21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6.5" customHeight="1">
      <c r="A169" s="8"/>
      <c r="B169" s="407"/>
      <c r="C169" s="8"/>
      <c r="D169" s="8"/>
      <c r="E169" s="8"/>
      <c r="F169" s="8"/>
      <c r="G169" s="216"/>
      <c r="H169" s="21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6.5" customHeight="1">
      <c r="A170" s="8"/>
      <c r="B170" s="407"/>
      <c r="C170" s="8"/>
      <c r="D170" s="8"/>
      <c r="E170" s="8"/>
      <c r="F170" s="8"/>
      <c r="G170" s="216"/>
      <c r="H170" s="21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6.5" customHeight="1">
      <c r="A171" s="8"/>
      <c r="B171" s="407"/>
      <c r="C171" s="8"/>
      <c r="D171" s="8"/>
      <c r="E171" s="8"/>
      <c r="F171" s="8"/>
      <c r="G171" s="216"/>
      <c r="H171" s="21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6.5" customHeight="1">
      <c r="A172" s="8"/>
      <c r="B172" s="407"/>
      <c r="C172" s="8"/>
      <c r="D172" s="8"/>
      <c r="E172" s="8"/>
      <c r="F172" s="8"/>
      <c r="G172" s="216"/>
      <c r="H172" s="21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6.5" customHeight="1">
      <c r="A173" s="8"/>
      <c r="B173" s="407"/>
      <c r="C173" s="8"/>
      <c r="D173" s="8"/>
      <c r="E173" s="8"/>
      <c r="F173" s="8"/>
      <c r="G173" s="216"/>
      <c r="H173" s="21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6.5" customHeight="1">
      <c r="A174" s="8"/>
      <c r="B174" s="407"/>
      <c r="C174" s="8"/>
      <c r="D174" s="8"/>
      <c r="E174" s="8"/>
      <c r="F174" s="8"/>
      <c r="G174" s="216"/>
      <c r="H174" s="21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6.5" customHeight="1">
      <c r="A175" s="8"/>
      <c r="B175" s="407"/>
      <c r="C175" s="8"/>
      <c r="D175" s="8"/>
      <c r="E175" s="8"/>
      <c r="F175" s="8"/>
      <c r="G175" s="216"/>
      <c r="H175" s="21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6.5" customHeight="1">
      <c r="A176" s="8"/>
      <c r="B176" s="407"/>
      <c r="C176" s="8"/>
      <c r="D176" s="8"/>
      <c r="E176" s="8"/>
      <c r="F176" s="8"/>
      <c r="G176" s="216"/>
      <c r="H176" s="21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6.5" customHeight="1">
      <c r="A177" s="8"/>
      <c r="B177" s="407"/>
      <c r="C177" s="8"/>
      <c r="D177" s="8"/>
      <c r="E177" s="8"/>
      <c r="F177" s="8"/>
      <c r="G177" s="216"/>
      <c r="H177" s="21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6.5" customHeight="1">
      <c r="A178" s="8"/>
      <c r="B178" s="407"/>
      <c r="C178" s="8"/>
      <c r="D178" s="8"/>
      <c r="E178" s="8"/>
      <c r="F178" s="8"/>
      <c r="G178" s="216"/>
      <c r="H178" s="21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6.5" customHeight="1">
      <c r="A179" s="8"/>
      <c r="B179" s="407"/>
      <c r="C179" s="8"/>
      <c r="D179" s="8"/>
      <c r="E179" s="8"/>
      <c r="F179" s="8"/>
      <c r="G179" s="216"/>
      <c r="H179" s="21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6.5" customHeight="1">
      <c r="A180" s="8"/>
      <c r="B180" s="407"/>
      <c r="C180" s="8"/>
      <c r="D180" s="8"/>
      <c r="E180" s="8"/>
      <c r="F180" s="8"/>
      <c r="G180" s="216"/>
      <c r="H180" s="21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6.5" customHeight="1">
      <c r="A181" s="8"/>
      <c r="B181" s="407"/>
      <c r="C181" s="8"/>
      <c r="D181" s="8"/>
      <c r="E181" s="8"/>
      <c r="F181" s="8"/>
      <c r="G181" s="216"/>
      <c r="H181" s="21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6.5" customHeight="1">
      <c r="A182" s="8"/>
      <c r="B182" s="407"/>
      <c r="C182" s="8"/>
      <c r="D182" s="8"/>
      <c r="E182" s="8"/>
      <c r="F182" s="8"/>
      <c r="G182" s="216"/>
      <c r="H182" s="21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6.5" customHeight="1">
      <c r="A183" s="8"/>
      <c r="B183" s="407"/>
      <c r="C183" s="8"/>
      <c r="D183" s="8"/>
      <c r="E183" s="8"/>
      <c r="F183" s="8"/>
      <c r="G183" s="216"/>
      <c r="H183" s="21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6.5" customHeight="1">
      <c r="A184" s="8"/>
      <c r="B184" s="407"/>
      <c r="C184" s="8"/>
      <c r="D184" s="8"/>
      <c r="E184" s="8"/>
      <c r="F184" s="8"/>
      <c r="G184" s="216"/>
      <c r="H184" s="21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6.5" customHeight="1">
      <c r="A185" s="8"/>
      <c r="B185" s="407"/>
      <c r="C185" s="8"/>
      <c r="D185" s="8"/>
      <c r="E185" s="8"/>
      <c r="F185" s="8"/>
      <c r="G185" s="216"/>
      <c r="H185" s="21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6.5" customHeight="1">
      <c r="A186" s="8"/>
      <c r="B186" s="407"/>
      <c r="C186" s="8"/>
      <c r="D186" s="8"/>
      <c r="E186" s="8"/>
      <c r="F186" s="8"/>
      <c r="G186" s="216"/>
      <c r="H186" s="21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6.5" customHeight="1">
      <c r="A187" s="8"/>
      <c r="B187" s="407"/>
      <c r="C187" s="8"/>
      <c r="D187" s="8"/>
      <c r="E187" s="8"/>
      <c r="F187" s="8"/>
      <c r="G187" s="216"/>
      <c r="H187" s="21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6.5" customHeight="1">
      <c r="A188" s="8"/>
      <c r="B188" s="407"/>
      <c r="C188" s="8"/>
      <c r="D188" s="8"/>
      <c r="E188" s="8"/>
      <c r="F188" s="8"/>
      <c r="G188" s="216"/>
      <c r="H188" s="21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6.5" customHeight="1">
      <c r="A189" s="8"/>
      <c r="B189" s="407"/>
      <c r="C189" s="8"/>
      <c r="D189" s="8"/>
      <c r="E189" s="8"/>
      <c r="F189" s="8"/>
      <c r="G189" s="216"/>
      <c r="H189" s="21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6.5" customHeight="1">
      <c r="A190" s="8"/>
      <c r="B190" s="407"/>
      <c r="C190" s="8"/>
      <c r="D190" s="8"/>
      <c r="E190" s="8"/>
      <c r="F190" s="8"/>
      <c r="G190" s="216"/>
      <c r="H190" s="21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6.5" customHeight="1">
      <c r="A191" s="8"/>
      <c r="B191" s="407"/>
      <c r="C191" s="8"/>
      <c r="D191" s="8"/>
      <c r="E191" s="8"/>
      <c r="F191" s="8"/>
      <c r="G191" s="216"/>
      <c r="H191" s="21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6.5" customHeight="1">
      <c r="A192" s="8"/>
      <c r="B192" s="407"/>
      <c r="C192" s="8"/>
      <c r="D192" s="8"/>
      <c r="E192" s="8"/>
      <c r="F192" s="8"/>
      <c r="G192" s="216"/>
      <c r="H192" s="21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6.5" customHeight="1">
      <c r="A193" s="8"/>
      <c r="B193" s="407"/>
      <c r="C193" s="8"/>
      <c r="D193" s="8"/>
      <c r="E193" s="8"/>
      <c r="F193" s="8"/>
      <c r="G193" s="216"/>
      <c r="H193" s="21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6.5" customHeight="1">
      <c r="A194" s="8"/>
      <c r="B194" s="407"/>
      <c r="C194" s="8"/>
      <c r="D194" s="8"/>
      <c r="E194" s="8"/>
      <c r="F194" s="8"/>
      <c r="G194" s="216"/>
      <c r="H194" s="21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6.5" customHeight="1">
      <c r="A195" s="8"/>
      <c r="B195" s="407"/>
      <c r="C195" s="8"/>
      <c r="D195" s="8"/>
      <c r="E195" s="8"/>
      <c r="F195" s="8"/>
      <c r="G195" s="216"/>
      <c r="H195" s="21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6.5" customHeight="1">
      <c r="A196" s="8"/>
      <c r="B196" s="407"/>
      <c r="C196" s="8"/>
      <c r="D196" s="8"/>
      <c r="E196" s="8"/>
      <c r="F196" s="8"/>
      <c r="G196" s="216"/>
      <c r="H196" s="21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6.5" customHeight="1">
      <c r="A197" s="8"/>
      <c r="B197" s="407"/>
      <c r="C197" s="8"/>
      <c r="D197" s="8"/>
      <c r="E197" s="8"/>
      <c r="F197" s="8"/>
      <c r="G197" s="216"/>
      <c r="H197" s="21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6.5" customHeight="1">
      <c r="A198" s="8"/>
      <c r="B198" s="407"/>
      <c r="C198" s="8"/>
      <c r="D198" s="8"/>
      <c r="E198" s="8"/>
      <c r="F198" s="8"/>
      <c r="G198" s="216"/>
      <c r="H198" s="21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6.5" customHeight="1">
      <c r="A199" s="8"/>
      <c r="B199" s="407"/>
      <c r="C199" s="8"/>
      <c r="D199" s="8"/>
      <c r="E199" s="8"/>
      <c r="F199" s="8"/>
      <c r="G199" s="216"/>
      <c r="H199" s="21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6.5" customHeight="1">
      <c r="A200" s="8"/>
      <c r="B200" s="407"/>
      <c r="C200" s="8"/>
      <c r="D200" s="8"/>
      <c r="E200" s="8"/>
      <c r="F200" s="8"/>
      <c r="G200" s="216"/>
      <c r="H200" s="21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6.5" customHeight="1">
      <c r="A201" s="8"/>
      <c r="B201" s="407"/>
      <c r="C201" s="8"/>
      <c r="D201" s="8"/>
      <c r="E201" s="8"/>
      <c r="F201" s="8"/>
      <c r="G201" s="216"/>
      <c r="H201" s="21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6.5" customHeight="1">
      <c r="A202" s="8"/>
      <c r="B202" s="407"/>
      <c r="C202" s="8"/>
      <c r="D202" s="8"/>
      <c r="E202" s="8"/>
      <c r="F202" s="8"/>
      <c r="G202" s="216"/>
      <c r="H202" s="21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6.5" customHeight="1">
      <c r="A203" s="8"/>
      <c r="B203" s="407"/>
      <c r="C203" s="8"/>
      <c r="D203" s="8"/>
      <c r="E203" s="8"/>
      <c r="F203" s="8"/>
      <c r="G203" s="216"/>
      <c r="H203" s="21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6.5" customHeight="1">
      <c r="A204" s="8"/>
      <c r="B204" s="407"/>
      <c r="C204" s="8"/>
      <c r="D204" s="8"/>
      <c r="E204" s="8"/>
      <c r="F204" s="8"/>
      <c r="G204" s="216"/>
      <c r="H204" s="21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6.5" customHeight="1">
      <c r="A205" s="8"/>
      <c r="B205" s="407"/>
      <c r="C205" s="8"/>
      <c r="D205" s="8"/>
      <c r="E205" s="8"/>
      <c r="F205" s="8"/>
      <c r="G205" s="216"/>
      <c r="H205" s="21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6.5" customHeight="1">
      <c r="A206" s="8"/>
      <c r="B206" s="407"/>
      <c r="C206" s="8"/>
      <c r="D206" s="8"/>
      <c r="E206" s="8"/>
      <c r="F206" s="8"/>
      <c r="G206" s="216"/>
      <c r="H206" s="21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6.5" customHeight="1">
      <c r="A207" s="8"/>
      <c r="B207" s="407"/>
      <c r="C207" s="8"/>
      <c r="D207" s="8"/>
      <c r="E207" s="8"/>
      <c r="F207" s="8"/>
      <c r="G207" s="216"/>
      <c r="H207" s="21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6.5" customHeight="1">
      <c r="A208" s="8"/>
      <c r="B208" s="407"/>
      <c r="C208" s="8"/>
      <c r="D208" s="8"/>
      <c r="E208" s="8"/>
      <c r="F208" s="8"/>
      <c r="G208" s="216"/>
      <c r="H208" s="21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6.5" customHeight="1">
      <c r="A209" s="8"/>
      <c r="B209" s="407"/>
      <c r="C209" s="8"/>
      <c r="D209" s="8"/>
      <c r="E209" s="8"/>
      <c r="F209" s="8"/>
      <c r="G209" s="216"/>
      <c r="H209" s="21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6.5" customHeight="1">
      <c r="A210" s="8"/>
      <c r="B210" s="407"/>
      <c r="C210" s="8"/>
      <c r="D210" s="8"/>
      <c r="E210" s="8"/>
      <c r="F210" s="8"/>
      <c r="G210" s="216"/>
      <c r="H210" s="21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6.5" customHeight="1">
      <c r="A211" s="8"/>
      <c r="B211" s="407"/>
      <c r="C211" s="8"/>
      <c r="D211" s="8"/>
      <c r="E211" s="8"/>
      <c r="F211" s="8"/>
      <c r="G211" s="216"/>
      <c r="H211" s="21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6.5" customHeight="1">
      <c r="A212" s="8"/>
      <c r="B212" s="407"/>
      <c r="C212" s="8"/>
      <c r="D212" s="8"/>
      <c r="E212" s="8"/>
      <c r="F212" s="8"/>
      <c r="G212" s="216"/>
      <c r="H212" s="21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6.5" customHeight="1">
      <c r="A213" s="8"/>
      <c r="B213" s="407"/>
      <c r="C213" s="8"/>
      <c r="D213" s="8"/>
      <c r="E213" s="8"/>
      <c r="F213" s="8"/>
      <c r="G213" s="216"/>
      <c r="H213" s="21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6.5" customHeight="1">
      <c r="A214" s="8"/>
      <c r="B214" s="407"/>
      <c r="C214" s="8"/>
      <c r="D214" s="8"/>
      <c r="E214" s="8"/>
      <c r="F214" s="8"/>
      <c r="G214" s="216"/>
      <c r="H214" s="21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6.5" customHeight="1">
      <c r="A215" s="8"/>
      <c r="B215" s="407"/>
      <c r="C215" s="8"/>
      <c r="D215" s="8"/>
      <c r="E215" s="8"/>
      <c r="F215" s="8"/>
      <c r="G215" s="216"/>
      <c r="H215" s="21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6.5" customHeight="1">
      <c r="A216" s="8"/>
      <c r="B216" s="407"/>
      <c r="C216" s="8"/>
      <c r="D216" s="8"/>
      <c r="E216" s="8"/>
      <c r="F216" s="8"/>
      <c r="G216" s="216"/>
      <c r="H216" s="21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6.5" customHeight="1">
      <c r="A217" s="8"/>
      <c r="B217" s="407"/>
      <c r="C217" s="8"/>
      <c r="D217" s="8"/>
      <c r="E217" s="8"/>
      <c r="F217" s="8"/>
      <c r="G217" s="216"/>
      <c r="H217" s="21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6.5" customHeight="1">
      <c r="A218" s="8"/>
      <c r="B218" s="407"/>
      <c r="C218" s="8"/>
      <c r="D218" s="8"/>
      <c r="E218" s="8"/>
      <c r="F218" s="8"/>
      <c r="G218" s="216"/>
      <c r="H218" s="21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6.5" customHeight="1">
      <c r="A219" s="8"/>
      <c r="B219" s="407"/>
      <c r="C219" s="8"/>
      <c r="D219" s="8"/>
      <c r="E219" s="8"/>
      <c r="F219" s="8"/>
      <c r="G219" s="216"/>
      <c r="H219" s="21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6.5" customHeight="1">
      <c r="A220" s="8"/>
      <c r="B220" s="407"/>
      <c r="C220" s="8"/>
      <c r="D220" s="8"/>
      <c r="E220" s="8"/>
      <c r="F220" s="8"/>
      <c r="G220" s="216"/>
      <c r="H220" s="21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6.5" customHeight="1">
      <c r="A221" s="8"/>
      <c r="B221" s="407"/>
      <c r="C221" s="8"/>
      <c r="D221" s="8"/>
      <c r="E221" s="8"/>
      <c r="F221" s="8"/>
      <c r="G221" s="216"/>
      <c r="H221" s="21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6.5" customHeight="1">
      <c r="A222" s="8"/>
      <c r="B222" s="407"/>
      <c r="C222" s="8"/>
      <c r="D222" s="8"/>
      <c r="E222" s="8"/>
      <c r="F222" s="8"/>
      <c r="G222" s="216"/>
      <c r="H222" s="21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6.5" customHeight="1">
      <c r="A223" s="8"/>
      <c r="B223" s="407"/>
      <c r="C223" s="8"/>
      <c r="D223" s="8"/>
      <c r="E223" s="8"/>
      <c r="F223" s="8"/>
      <c r="G223" s="216"/>
      <c r="H223" s="21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6.5" customHeight="1">
      <c r="A224" s="8"/>
      <c r="B224" s="407"/>
      <c r="C224" s="8"/>
      <c r="D224" s="8"/>
      <c r="E224" s="8"/>
      <c r="F224" s="8"/>
      <c r="G224" s="216"/>
      <c r="H224" s="21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6.5" customHeight="1">
      <c r="A225" s="8"/>
      <c r="B225" s="407"/>
      <c r="C225" s="8"/>
      <c r="D225" s="8"/>
      <c r="E225" s="8"/>
      <c r="F225" s="8"/>
      <c r="G225" s="216"/>
      <c r="H225" s="21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6.5" customHeight="1">
      <c r="A226" s="8"/>
      <c r="B226" s="407"/>
      <c r="C226" s="8"/>
      <c r="D226" s="8"/>
      <c r="E226" s="8"/>
      <c r="F226" s="8"/>
      <c r="G226" s="216"/>
      <c r="H226" s="21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6.5" customHeight="1">
      <c r="A227" s="8"/>
      <c r="B227" s="407"/>
      <c r="C227" s="8"/>
      <c r="D227" s="8"/>
      <c r="E227" s="8"/>
      <c r="F227" s="8"/>
      <c r="G227" s="216"/>
      <c r="H227" s="21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407"/>
      <c r="C228" s="8"/>
      <c r="D228" s="8"/>
      <c r="E228" s="8"/>
      <c r="F228" s="8"/>
      <c r="G228" s="216"/>
      <c r="H228" s="21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407"/>
      <c r="C229" s="8"/>
      <c r="D229" s="8"/>
      <c r="E229" s="8"/>
      <c r="F229" s="8"/>
      <c r="G229" s="216"/>
      <c r="H229" s="216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407"/>
      <c r="C230" s="8"/>
      <c r="D230" s="8"/>
      <c r="E230" s="8"/>
      <c r="F230" s="8"/>
      <c r="G230" s="216"/>
      <c r="H230" s="216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407"/>
      <c r="C231" s="8"/>
      <c r="D231" s="8"/>
      <c r="E231" s="8"/>
      <c r="F231" s="8"/>
      <c r="G231" s="216"/>
      <c r="H231" s="216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407"/>
      <c r="C232" s="8"/>
      <c r="D232" s="8"/>
      <c r="E232" s="8"/>
      <c r="F232" s="8"/>
      <c r="G232" s="216"/>
      <c r="H232" s="216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40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40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40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407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40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407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40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N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N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N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N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N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N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N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N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N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N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N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N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N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N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N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N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N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N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N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N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N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N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N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N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N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N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N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N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N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N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N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N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N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N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N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N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N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N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N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N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N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N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N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N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N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N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N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N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N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N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N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N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N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N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N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N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N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N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N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N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N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N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N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N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N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N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N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N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N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N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N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N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N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N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N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N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N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N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N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N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N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N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N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N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N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N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N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N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N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N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N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N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N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N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N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N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N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N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N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N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N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N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N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N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N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N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N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N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N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N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N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N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N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N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N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N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N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N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N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N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N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N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N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N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N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N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N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N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N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N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N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N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N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N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N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N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N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N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N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N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N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N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N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N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N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N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N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N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N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N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N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N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N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N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N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N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N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N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N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N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N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N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N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N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N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N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N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N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N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N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N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N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N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N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N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N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N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N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N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N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N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N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N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N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N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N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N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N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N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N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N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N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N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N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N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N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N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N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N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N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N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N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N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N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N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N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N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N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N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N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N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N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N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N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N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N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N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N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N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N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N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N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N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N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N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N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N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N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N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N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N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N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N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N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N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N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N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N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N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N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N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N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N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N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N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N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N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N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N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N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N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N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N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N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N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N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N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N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N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N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N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N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N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N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N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N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N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N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N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N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N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N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N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N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N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N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N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N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N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N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N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N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N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N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N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N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N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N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N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N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N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N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N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N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N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N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N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N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N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N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N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N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N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N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N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N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N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N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N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N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N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N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N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N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N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N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N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N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N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N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N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N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N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N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N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N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N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N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N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N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N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N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N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N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N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N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N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N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N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N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N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N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N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N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N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N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N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N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N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N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N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N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N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N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N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N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N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N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N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N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N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N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N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N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N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N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N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N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N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N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N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N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N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N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N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N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N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N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N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N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N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N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N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N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N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N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N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N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N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N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N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N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N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N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N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N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N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N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N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N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N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N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N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N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N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N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N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N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N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N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N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N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N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N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N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N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N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N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N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N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N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N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N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N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N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N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N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N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N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N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N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N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N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N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N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N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N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N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N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N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N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N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N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N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N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N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N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N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N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N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N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N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N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N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N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N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N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N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N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N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N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N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N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N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N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N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N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N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N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N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N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N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N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N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N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N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N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N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N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N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N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N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N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N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N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N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N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N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N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N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N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N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N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N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N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N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N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N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N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N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N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N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N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N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N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N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N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N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N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N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N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N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N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N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N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N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N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N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N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N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N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N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N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N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N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N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N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N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N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N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N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N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N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N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N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N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N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N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N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N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N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N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N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N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N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N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N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N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N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N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N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N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N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N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N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N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N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N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N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N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N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N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N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N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N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N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N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N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N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N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N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N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N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N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N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N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N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N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N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N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N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N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N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N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N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N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N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N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N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N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N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N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N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N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N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N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N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N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N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N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N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N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N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N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N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N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N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N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N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N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N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N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N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N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N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N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N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N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N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N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N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N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N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N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N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N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N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N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N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N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N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N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N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N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N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N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N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N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N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N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N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N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N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N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N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N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N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N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N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N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N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N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N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N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N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N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N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N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N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N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N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N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N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N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N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N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N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N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N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N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N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N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N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N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N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N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N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N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N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N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N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N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N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N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N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N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N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N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N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N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N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N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N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N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N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N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N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N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N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N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N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N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N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N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N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N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N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N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N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N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N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N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N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N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N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N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N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N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N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N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N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N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N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N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N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N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N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N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N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N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N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N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N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N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N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N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N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N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N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N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N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N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N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N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N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N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N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N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N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N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N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N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N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N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N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N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N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N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N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N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N1000" s="92"/>
    </row>
  </sheetData>
  <mergeCells count="25">
    <mergeCell ref="I3:J4"/>
    <mergeCell ref="K3:K4"/>
    <mergeCell ref="L3:L4"/>
    <mergeCell ref="H3:H4"/>
    <mergeCell ref="H5:H8"/>
    <mergeCell ref="H13:H18"/>
    <mergeCell ref="I26:J30"/>
    <mergeCell ref="I31:J33"/>
    <mergeCell ref="F34:F38"/>
    <mergeCell ref="I34:J38"/>
    <mergeCell ref="A9:A12"/>
    <mergeCell ref="A13:A18"/>
    <mergeCell ref="A19:A25"/>
    <mergeCell ref="A26:A30"/>
    <mergeCell ref="A31:A33"/>
    <mergeCell ref="A34:A38"/>
    <mergeCell ref="B38:E38"/>
    <mergeCell ref="A39:J43"/>
    <mergeCell ref="A1:H2"/>
    <mergeCell ref="A3:B3"/>
    <mergeCell ref="C3:C4"/>
    <mergeCell ref="D3:D4"/>
    <mergeCell ref="E3:E4"/>
    <mergeCell ref="F3:F4"/>
    <mergeCell ref="A5:A8"/>
  </mergeCells>
  <printOptions/>
  <pageMargins bottom="0.75" footer="0.0" header="0.0" left="0.25" right="0.25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82.57"/>
    <col customWidth="1" min="3" max="3" width="11.86"/>
    <col customWidth="1" min="4" max="4" width="18.29"/>
    <col customWidth="1" hidden="1" min="5" max="5" width="12.86"/>
    <col customWidth="1" min="6" max="6" width="12.43"/>
    <col customWidth="1" min="7" max="7" width="21.14"/>
    <col customWidth="1" min="8" max="9" width="8.86"/>
    <col customWidth="1" min="13" max="13" width="35.57"/>
  </cols>
  <sheetData>
    <row r="1" ht="16.5" customHeight="1">
      <c r="A1" s="1" t="s">
        <v>119</v>
      </c>
      <c r="B1" s="2"/>
      <c r="C1" s="2"/>
      <c r="D1" s="2"/>
      <c r="E1" s="2"/>
      <c r="F1" s="2"/>
      <c r="G1" s="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8.0" customHeight="1">
      <c r="A2" s="58"/>
      <c r="B2" s="82"/>
      <c r="C2" s="82"/>
      <c r="D2" s="82"/>
      <c r="E2" s="82"/>
      <c r="F2" s="82"/>
      <c r="G2" s="8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320" t="s">
        <v>490</v>
      </c>
      <c r="B3" s="409"/>
      <c r="C3" s="260" t="s">
        <v>438</v>
      </c>
      <c r="D3" s="261" t="s">
        <v>562</v>
      </c>
      <c r="E3" s="260" t="s">
        <v>599</v>
      </c>
      <c r="F3" s="410" t="s">
        <v>521</v>
      </c>
      <c r="G3" s="259" t="s">
        <v>600</v>
      </c>
      <c r="H3" s="411" t="s">
        <v>7</v>
      </c>
      <c r="I3" s="7"/>
      <c r="J3" s="260" t="s">
        <v>491</v>
      </c>
      <c r="K3" s="261" t="s">
        <v>492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412" t="s">
        <v>8</v>
      </c>
      <c r="B4" s="24" t="s">
        <v>9</v>
      </c>
      <c r="C4" s="25"/>
      <c r="D4" s="26"/>
      <c r="E4" s="25"/>
      <c r="F4" s="265" t="s">
        <v>10</v>
      </c>
      <c r="G4" s="28"/>
      <c r="H4" s="58"/>
      <c r="I4" s="83"/>
      <c r="J4" s="11"/>
      <c r="K4" s="1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78" t="s">
        <v>601</v>
      </c>
      <c r="B5" s="521" t="s">
        <v>602</v>
      </c>
      <c r="C5" s="442">
        <f t="shared" ref="C5:C15" si="1">D5*2-1000</f>
        <v>97000</v>
      </c>
      <c r="D5" s="414">
        <v>49000.0</v>
      </c>
      <c r="E5" s="568">
        <f t="shared" ref="E5:E6" si="2">1-(D5/C5)</f>
        <v>0.4948453608</v>
      </c>
      <c r="F5" s="546"/>
      <c r="G5" s="42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28"/>
      <c r="B6" s="523" t="s">
        <v>603</v>
      </c>
      <c r="C6" s="443">
        <f t="shared" si="1"/>
        <v>257000</v>
      </c>
      <c r="D6" s="423">
        <v>129000.0</v>
      </c>
      <c r="E6" s="529">
        <f t="shared" si="2"/>
        <v>0.4980544747</v>
      </c>
      <c r="F6" s="570"/>
      <c r="G6" s="26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28"/>
      <c r="B7" s="523" t="s">
        <v>604</v>
      </c>
      <c r="C7" s="443">
        <f t="shared" si="1"/>
        <v>357000</v>
      </c>
      <c r="D7" s="423">
        <v>179000.0</v>
      </c>
      <c r="E7" s="529"/>
      <c r="F7" s="570"/>
      <c r="G7" s="2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28"/>
      <c r="B8" s="523" t="s">
        <v>605</v>
      </c>
      <c r="C8" s="443">
        <f t="shared" si="1"/>
        <v>497000</v>
      </c>
      <c r="D8" s="423">
        <v>249000.0</v>
      </c>
      <c r="E8" s="529">
        <f t="shared" ref="E8:E10" si="3">1-(D8/C8)</f>
        <v>0.4989939638</v>
      </c>
      <c r="F8" s="601"/>
      <c r="G8" s="2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78" t="s">
        <v>606</v>
      </c>
      <c r="B9" s="602" t="s">
        <v>607</v>
      </c>
      <c r="C9" s="414">
        <f t="shared" si="1"/>
        <v>217000</v>
      </c>
      <c r="D9" s="415">
        <v>109000.0</v>
      </c>
      <c r="E9" s="568">
        <f t="shared" si="3"/>
        <v>0.4976958525</v>
      </c>
      <c r="F9" s="578"/>
      <c r="G9" s="51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28"/>
      <c r="B10" s="603" t="s">
        <v>608</v>
      </c>
      <c r="C10" s="423">
        <f t="shared" si="1"/>
        <v>337000</v>
      </c>
      <c r="D10" s="424">
        <v>169000.0</v>
      </c>
      <c r="E10" s="529">
        <f t="shared" si="3"/>
        <v>0.4985163205</v>
      </c>
      <c r="F10" s="570"/>
      <c r="G10" s="51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28"/>
      <c r="B11" s="604" t="s">
        <v>609</v>
      </c>
      <c r="C11" s="423">
        <f t="shared" si="1"/>
        <v>397000</v>
      </c>
      <c r="D11" s="424">
        <v>199000.0</v>
      </c>
      <c r="E11" s="529">
        <f>1-(D15/C15)</f>
        <v>0.4993026499</v>
      </c>
      <c r="F11" s="550"/>
      <c r="G11" s="51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28"/>
      <c r="B12" s="605" t="s">
        <v>610</v>
      </c>
      <c r="C12" s="423">
        <f t="shared" si="1"/>
        <v>717000</v>
      </c>
      <c r="D12" s="424">
        <v>359000.0</v>
      </c>
      <c r="E12" s="529" t="str">
        <f>1-(N38/M38)</f>
        <v>#DIV/0!</v>
      </c>
      <c r="F12" s="570"/>
      <c r="G12" s="51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28"/>
      <c r="B13" s="603" t="s">
        <v>611</v>
      </c>
      <c r="C13" s="423">
        <f t="shared" si="1"/>
        <v>1097000</v>
      </c>
      <c r="D13" s="424">
        <v>549000.0</v>
      </c>
      <c r="E13" s="529"/>
      <c r="F13" s="570"/>
      <c r="G13" s="51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28"/>
      <c r="B14" s="606" t="s">
        <v>612</v>
      </c>
      <c r="C14" s="432">
        <f t="shared" si="1"/>
        <v>2179000</v>
      </c>
      <c r="D14" s="430">
        <v>1090000.0</v>
      </c>
      <c r="E14" s="529"/>
      <c r="F14" s="570"/>
      <c r="G14" s="51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28"/>
      <c r="B15" s="544" t="s">
        <v>613</v>
      </c>
      <c r="C15" s="415">
        <f t="shared" si="1"/>
        <v>717000</v>
      </c>
      <c r="D15" s="415">
        <v>359000.0</v>
      </c>
      <c r="E15" s="529"/>
      <c r="F15" s="570"/>
      <c r="G15" s="517"/>
      <c r="H15" s="8"/>
      <c r="I15" s="8"/>
      <c r="J15" s="8"/>
      <c r="K15" s="8"/>
      <c r="L15" s="8"/>
      <c r="M15" s="57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28"/>
      <c r="B16" s="607" t="s">
        <v>614</v>
      </c>
      <c r="C16" s="608"/>
      <c r="D16" s="609">
        <v>24000.0</v>
      </c>
      <c r="E16" s="529"/>
      <c r="F16" s="570"/>
      <c r="G16" s="517"/>
      <c r="H16" s="8"/>
      <c r="I16" s="8"/>
      <c r="J16" s="8"/>
      <c r="K16" s="8"/>
      <c r="L16" s="8"/>
      <c r="M16" s="57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28"/>
      <c r="B17" s="610" t="s">
        <v>615</v>
      </c>
      <c r="C17" s="611"/>
      <c r="D17" s="612">
        <v>40000.0</v>
      </c>
      <c r="E17" s="529"/>
      <c r="F17" s="570"/>
      <c r="G17" s="517"/>
      <c r="H17" s="8"/>
      <c r="I17" s="8"/>
      <c r="J17" s="8"/>
      <c r="K17" s="8"/>
      <c r="L17" s="8"/>
      <c r="M17" s="57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49"/>
      <c r="B18" s="610" t="s">
        <v>616</v>
      </c>
      <c r="C18" s="613"/>
      <c r="D18" s="612">
        <v>60000.0</v>
      </c>
      <c r="E18" s="614">
        <f>1-(D13/C13)</f>
        <v>0.4995442115</v>
      </c>
      <c r="F18" s="572"/>
      <c r="G18" s="520"/>
      <c r="H18" s="8"/>
      <c r="I18" s="8"/>
      <c r="J18" s="8"/>
      <c r="K18" s="8"/>
      <c r="L18" s="8"/>
      <c r="M18" s="57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178" t="s">
        <v>617</v>
      </c>
      <c r="B19" s="615" t="s">
        <v>618</v>
      </c>
      <c r="C19" s="416">
        <f t="shared" ref="C19:C41" si="4">D19*2-1000</f>
        <v>177000</v>
      </c>
      <c r="D19" s="414">
        <v>89000.0</v>
      </c>
      <c r="E19" s="568">
        <f t="shared" ref="E19:E21" si="5">1-(D19/C19)</f>
        <v>0.4971751412</v>
      </c>
      <c r="F19" s="616"/>
      <c r="G19" s="420"/>
      <c r="H19" s="8"/>
      <c r="I19" s="8"/>
      <c r="J19" s="8"/>
      <c r="K19" s="8"/>
      <c r="L19" s="8"/>
      <c r="M19" s="57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28"/>
      <c r="B20" s="617" t="s">
        <v>619</v>
      </c>
      <c r="C20" s="425">
        <f t="shared" si="4"/>
        <v>237000</v>
      </c>
      <c r="D20" s="423">
        <v>119000.0</v>
      </c>
      <c r="E20" s="529">
        <f t="shared" si="5"/>
        <v>0.4978902954</v>
      </c>
      <c r="F20" s="580"/>
      <c r="G20" s="2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28"/>
      <c r="B21" s="617" t="s">
        <v>620</v>
      </c>
      <c r="C21" s="425">
        <f t="shared" si="4"/>
        <v>317000</v>
      </c>
      <c r="D21" s="423">
        <v>159000.0</v>
      </c>
      <c r="E21" s="529">
        <f t="shared" si="5"/>
        <v>0.4984227129</v>
      </c>
      <c r="F21" s="570"/>
      <c r="G21" s="2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149"/>
      <c r="B22" s="606" t="s">
        <v>621</v>
      </c>
      <c r="C22" s="432">
        <f t="shared" si="4"/>
        <v>1137000</v>
      </c>
      <c r="D22" s="430">
        <v>569000.0</v>
      </c>
      <c r="E22" s="614"/>
      <c r="F22" s="572"/>
      <c r="G22" s="12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201" t="s">
        <v>410</v>
      </c>
      <c r="B23" s="618" t="s">
        <v>622</v>
      </c>
      <c r="C23" s="414">
        <f t="shared" si="4"/>
        <v>57000</v>
      </c>
      <c r="D23" s="619">
        <v>29000.0</v>
      </c>
      <c r="E23" s="620">
        <f t="shared" ref="E23:E29" si="6">1-(D23/C23)</f>
        <v>0.4912280702</v>
      </c>
      <c r="F23" s="583"/>
      <c r="G23" s="515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25"/>
      <c r="B24" s="523" t="s">
        <v>623</v>
      </c>
      <c r="C24" s="423">
        <f t="shared" si="4"/>
        <v>137000</v>
      </c>
      <c r="D24" s="476">
        <v>69000.0</v>
      </c>
      <c r="E24" s="549">
        <f t="shared" si="6"/>
        <v>0.496350365</v>
      </c>
      <c r="F24" s="584"/>
      <c r="G24" s="51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25"/>
      <c r="B25" s="518" t="s">
        <v>624</v>
      </c>
      <c r="C25" s="423">
        <f t="shared" si="4"/>
        <v>177000</v>
      </c>
      <c r="D25" s="489">
        <v>89000.0</v>
      </c>
      <c r="E25" s="549">
        <f t="shared" si="6"/>
        <v>0.4971751412</v>
      </c>
      <c r="F25" s="584"/>
      <c r="G25" s="51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25"/>
      <c r="B26" s="518" t="s">
        <v>625</v>
      </c>
      <c r="C26" s="423">
        <f t="shared" si="4"/>
        <v>177000</v>
      </c>
      <c r="D26" s="489">
        <v>89000.0</v>
      </c>
      <c r="E26" s="549">
        <f t="shared" si="6"/>
        <v>0.4971751412</v>
      </c>
      <c r="F26" s="584"/>
      <c r="G26" s="51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25"/>
      <c r="B27" s="523" t="s">
        <v>626</v>
      </c>
      <c r="C27" s="423">
        <f t="shared" si="4"/>
        <v>277000</v>
      </c>
      <c r="D27" s="476">
        <v>139000.0</v>
      </c>
      <c r="E27" s="549">
        <f t="shared" si="6"/>
        <v>0.4981949458</v>
      </c>
      <c r="F27" s="584"/>
      <c r="G27" s="51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25"/>
      <c r="B28" s="518" t="s">
        <v>627</v>
      </c>
      <c r="C28" s="423">
        <f t="shared" si="4"/>
        <v>497000</v>
      </c>
      <c r="D28" s="489">
        <v>249000.0</v>
      </c>
      <c r="E28" s="549">
        <f t="shared" si="6"/>
        <v>0.4989939638</v>
      </c>
      <c r="F28" s="584"/>
      <c r="G28" s="51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11"/>
      <c r="B29" s="519" t="s">
        <v>628</v>
      </c>
      <c r="C29" s="430">
        <f t="shared" si="4"/>
        <v>597000</v>
      </c>
      <c r="D29" s="479">
        <v>299000.0</v>
      </c>
      <c r="E29" s="621">
        <f t="shared" si="6"/>
        <v>0.4991624791</v>
      </c>
      <c r="F29" s="622"/>
      <c r="G29" s="52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6.0" customHeight="1">
      <c r="A30" s="494" t="s">
        <v>629</v>
      </c>
      <c r="B30" s="591" t="s">
        <v>630</v>
      </c>
      <c r="C30" s="592">
        <f t="shared" si="4"/>
        <v>237000</v>
      </c>
      <c r="D30" s="594">
        <v>119000.0</v>
      </c>
      <c r="E30" s="8"/>
      <c r="F30" s="212"/>
      <c r="G30" s="132"/>
      <c r="H30" s="142" t="s">
        <v>588</v>
      </c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6.75" customHeight="1">
      <c r="A31" s="25"/>
      <c r="B31" s="591" t="s">
        <v>589</v>
      </c>
      <c r="C31" s="592">
        <f t="shared" si="4"/>
        <v>257000</v>
      </c>
      <c r="D31" s="131">
        <v>129000.0</v>
      </c>
      <c r="E31" s="8"/>
      <c r="F31" s="212"/>
      <c r="G31" s="132"/>
      <c r="H31" s="10"/>
      <c r="I31" s="14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60.0" customHeight="1">
      <c r="A32" s="25"/>
      <c r="B32" s="591" t="s">
        <v>590</v>
      </c>
      <c r="C32" s="592">
        <f t="shared" si="4"/>
        <v>297000</v>
      </c>
      <c r="D32" s="592">
        <v>149000.0</v>
      </c>
      <c r="E32" s="8"/>
      <c r="F32" s="212"/>
      <c r="G32" s="132"/>
      <c r="H32" s="10"/>
      <c r="I32" s="14"/>
      <c r="J32" s="8"/>
      <c r="K32" s="8"/>
      <c r="L32" s="528"/>
      <c r="M32" s="425"/>
      <c r="N32" s="425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5"/>
      <c r="B33" s="591" t="s">
        <v>591</v>
      </c>
      <c r="C33" s="592">
        <f t="shared" si="4"/>
        <v>367000</v>
      </c>
      <c r="D33" s="594">
        <v>184000.0</v>
      </c>
      <c r="E33" s="8"/>
      <c r="F33" s="212"/>
      <c r="G33" s="132"/>
      <c r="H33" s="10"/>
      <c r="I33" s="14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25"/>
      <c r="B34" s="591" t="s">
        <v>592</v>
      </c>
      <c r="C34" s="592">
        <f t="shared" si="4"/>
        <v>599000</v>
      </c>
      <c r="D34" s="594">
        <v>300000.0</v>
      </c>
      <c r="E34" s="8"/>
      <c r="F34" s="212"/>
      <c r="G34" s="132"/>
      <c r="H34" s="58"/>
      <c r="I34" s="8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142" t="s">
        <v>417</v>
      </c>
      <c r="B35" s="521" t="s">
        <v>142</v>
      </c>
      <c r="C35" s="414">
        <f t="shared" si="4"/>
        <v>117000</v>
      </c>
      <c r="D35" s="415">
        <v>59000.0</v>
      </c>
      <c r="E35" s="568">
        <f t="shared" ref="E35:E38" si="7">1-(D35/C35)</f>
        <v>0.4957264957</v>
      </c>
      <c r="F35" s="414"/>
      <c r="G35" s="623"/>
      <c r="H35" s="525" t="s">
        <v>631</v>
      </c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10"/>
      <c r="B36" s="523" t="s">
        <v>143</v>
      </c>
      <c r="C36" s="423">
        <f t="shared" si="4"/>
        <v>177000</v>
      </c>
      <c r="D36" s="424">
        <v>89000.0</v>
      </c>
      <c r="E36" s="529">
        <f t="shared" si="7"/>
        <v>0.4971751412</v>
      </c>
      <c r="F36" s="423"/>
      <c r="G36" s="624"/>
      <c r="I36" s="14"/>
      <c r="J36" s="8"/>
      <c r="K36" s="8"/>
      <c r="L36" s="564"/>
      <c r="M36" s="564"/>
      <c r="N36" s="564"/>
      <c r="O36" s="564"/>
      <c r="P36" s="564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10"/>
      <c r="B37" s="523" t="s">
        <v>518</v>
      </c>
      <c r="C37" s="423">
        <f t="shared" si="4"/>
        <v>197000</v>
      </c>
      <c r="D37" s="597">
        <v>99000.0</v>
      </c>
      <c r="E37" s="529">
        <f t="shared" si="7"/>
        <v>0.4974619289</v>
      </c>
      <c r="F37" s="423"/>
      <c r="G37" s="624"/>
      <c r="I37" s="14"/>
      <c r="J37" s="8"/>
      <c r="K37" s="8"/>
      <c r="L37" s="564"/>
      <c r="M37" s="564"/>
      <c r="N37" s="564"/>
      <c r="O37" s="564"/>
      <c r="P37" s="564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65" t="s">
        <v>593</v>
      </c>
      <c r="B38" s="586" t="s">
        <v>594</v>
      </c>
      <c r="C38" s="414">
        <f t="shared" si="4"/>
        <v>1999000</v>
      </c>
      <c r="D38" s="414">
        <v>1000000.0</v>
      </c>
      <c r="E38" s="625">
        <f t="shared" si="7"/>
        <v>0.4997498749</v>
      </c>
      <c r="F38" s="414"/>
      <c r="G38" s="623"/>
      <c r="H38" s="525" t="s">
        <v>631</v>
      </c>
      <c r="I38" s="7"/>
      <c r="J38" s="8"/>
      <c r="K38" s="8"/>
      <c r="L38" s="565"/>
      <c r="M38" s="566"/>
      <c r="N38" s="566"/>
      <c r="O38" s="564"/>
      <c r="P38" s="564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25"/>
      <c r="B39" s="591" t="s">
        <v>247</v>
      </c>
      <c r="C39" s="423">
        <f t="shared" si="4"/>
        <v>3599000</v>
      </c>
      <c r="D39" s="423">
        <v>1800000.0</v>
      </c>
      <c r="E39" s="8"/>
      <c r="F39" s="423"/>
      <c r="G39" s="624"/>
      <c r="I39" s="14"/>
      <c r="J39" s="8"/>
      <c r="K39" s="8"/>
      <c r="L39" s="565"/>
      <c r="M39" s="566"/>
      <c r="N39" s="566"/>
      <c r="O39" s="564"/>
      <c r="P39" s="564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25"/>
      <c r="B40" s="591" t="s">
        <v>595</v>
      </c>
      <c r="C40" s="423">
        <f t="shared" si="4"/>
        <v>3799000</v>
      </c>
      <c r="D40" s="423">
        <v>1900000.0</v>
      </c>
      <c r="E40" s="626"/>
      <c r="F40" s="423"/>
      <c r="G40" s="624"/>
      <c r="I40" s="14"/>
      <c r="J40" s="8"/>
      <c r="K40" s="8"/>
      <c r="L40" s="565"/>
      <c r="M40" s="566"/>
      <c r="N40" s="566"/>
      <c r="O40" s="564"/>
      <c r="P40" s="564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25"/>
      <c r="B41" s="551" t="s">
        <v>596</v>
      </c>
      <c r="C41" s="430">
        <f t="shared" si="4"/>
        <v>5399000</v>
      </c>
      <c r="D41" s="430">
        <v>2700000.0</v>
      </c>
      <c r="E41" s="626"/>
      <c r="F41" s="423"/>
      <c r="G41" s="624"/>
      <c r="I41" s="14"/>
      <c r="J41" s="8"/>
      <c r="K41" s="8"/>
      <c r="L41" s="564"/>
      <c r="M41" s="564"/>
      <c r="N41" s="564"/>
      <c r="O41" s="564"/>
      <c r="P41" s="564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11"/>
      <c r="B42" s="598" t="s">
        <v>597</v>
      </c>
      <c r="C42" s="599"/>
      <c r="D42" s="16"/>
      <c r="E42" s="213"/>
      <c r="F42" s="430"/>
      <c r="G42" s="627"/>
      <c r="H42" s="82"/>
      <c r="I42" s="83"/>
      <c r="J42" s="8"/>
      <c r="K42" s="8"/>
      <c r="L42" s="564"/>
      <c r="M42" s="564"/>
      <c r="N42" s="564"/>
      <c r="O42" s="564"/>
      <c r="P42" s="564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142" t="s">
        <v>632</v>
      </c>
      <c r="B43" s="2"/>
      <c r="C43" s="2"/>
      <c r="D43" s="2"/>
      <c r="E43" s="2"/>
      <c r="F43" s="2"/>
      <c r="G43" s="2"/>
      <c r="H43" s="2"/>
      <c r="I43" s="7"/>
      <c r="J43" s="8"/>
      <c r="K43" s="8"/>
      <c r="L43" s="564"/>
      <c r="M43" s="564"/>
      <c r="N43" s="564"/>
      <c r="O43" s="564"/>
      <c r="P43" s="564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10"/>
      <c r="I44" s="14"/>
      <c r="J44" s="8"/>
      <c r="K44" s="8"/>
      <c r="L44" s="564"/>
      <c r="M44" s="564"/>
      <c r="N44" s="564"/>
      <c r="O44" s="564"/>
      <c r="P44" s="564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10"/>
      <c r="I45" s="14"/>
      <c r="J45" s="8"/>
      <c r="K45" s="8"/>
      <c r="L45" s="564"/>
      <c r="M45" s="564"/>
      <c r="N45" s="564"/>
      <c r="O45" s="564"/>
      <c r="P45" s="564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10"/>
      <c r="I46" s="14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58"/>
      <c r="B47" s="82"/>
      <c r="C47" s="82"/>
      <c r="D47" s="82"/>
      <c r="E47" s="82"/>
      <c r="F47" s="82"/>
      <c r="G47" s="82"/>
      <c r="H47" s="82"/>
      <c r="I47" s="8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40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40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40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40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40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407"/>
      <c r="C53" s="8"/>
      <c r="D53" s="8"/>
      <c r="E53" s="8"/>
      <c r="F53" s="216"/>
      <c r="G53" s="21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407"/>
      <c r="C54" s="8"/>
      <c r="D54" s="8"/>
      <c r="E54" s="8"/>
      <c r="F54" s="216"/>
      <c r="G54" s="21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407"/>
      <c r="C55" s="8"/>
      <c r="D55" s="8"/>
      <c r="E55" s="8"/>
      <c r="F55" s="216"/>
      <c r="G55" s="21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407"/>
      <c r="C56" s="8"/>
      <c r="D56" s="8"/>
      <c r="E56" s="8"/>
      <c r="F56" s="216"/>
      <c r="G56" s="21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407"/>
      <c r="C57" s="8"/>
      <c r="D57" s="8"/>
      <c r="E57" s="8"/>
      <c r="F57" s="216"/>
      <c r="G57" s="21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407"/>
      <c r="C58" s="8"/>
      <c r="D58" s="8"/>
      <c r="E58" s="8"/>
      <c r="F58" s="216"/>
      <c r="G58" s="21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407"/>
      <c r="C59" s="8"/>
      <c r="D59" s="8"/>
      <c r="E59" s="8"/>
      <c r="F59" s="216"/>
      <c r="G59" s="21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407"/>
      <c r="C60" s="8"/>
      <c r="D60" s="8"/>
      <c r="E60" s="8"/>
      <c r="F60" s="216"/>
      <c r="G60" s="21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407"/>
      <c r="C61" s="8"/>
      <c r="D61" s="8"/>
      <c r="E61" s="8"/>
      <c r="F61" s="216"/>
      <c r="G61" s="21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407"/>
      <c r="C62" s="8"/>
      <c r="D62" s="8"/>
      <c r="E62" s="8"/>
      <c r="F62" s="216"/>
      <c r="G62" s="21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407"/>
      <c r="C63" s="8"/>
      <c r="D63" s="8"/>
      <c r="E63" s="8"/>
      <c r="F63" s="216"/>
      <c r="G63" s="21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407"/>
      <c r="C64" s="8"/>
      <c r="D64" s="8"/>
      <c r="E64" s="8"/>
      <c r="F64" s="216"/>
      <c r="G64" s="21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407"/>
      <c r="C65" s="8"/>
      <c r="D65" s="8"/>
      <c r="E65" s="8"/>
      <c r="F65" s="216"/>
      <c r="G65" s="21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407"/>
      <c r="C66" s="8"/>
      <c r="D66" s="8"/>
      <c r="E66" s="8"/>
      <c r="F66" s="216"/>
      <c r="G66" s="21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407"/>
      <c r="C67" s="8"/>
      <c r="D67" s="8"/>
      <c r="E67" s="8"/>
      <c r="F67" s="216"/>
      <c r="G67" s="21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407"/>
      <c r="C68" s="8"/>
      <c r="D68" s="8"/>
      <c r="E68" s="8"/>
      <c r="F68" s="216"/>
      <c r="G68" s="21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407"/>
      <c r="C69" s="8"/>
      <c r="D69" s="8"/>
      <c r="E69" s="8"/>
      <c r="F69" s="216"/>
      <c r="G69" s="21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407"/>
      <c r="C70" s="8"/>
      <c r="D70" s="8"/>
      <c r="E70" s="8"/>
      <c r="F70" s="216"/>
      <c r="G70" s="21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407"/>
      <c r="C71" s="8"/>
      <c r="D71" s="8"/>
      <c r="E71" s="8"/>
      <c r="F71" s="216"/>
      <c r="G71" s="21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407"/>
      <c r="C72" s="8"/>
      <c r="D72" s="8"/>
      <c r="E72" s="8"/>
      <c r="F72" s="216"/>
      <c r="G72" s="21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407"/>
      <c r="C73" s="8"/>
      <c r="D73" s="8"/>
      <c r="E73" s="8"/>
      <c r="F73" s="216"/>
      <c r="G73" s="21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407"/>
      <c r="C74" s="8"/>
      <c r="D74" s="8"/>
      <c r="E74" s="8"/>
      <c r="F74" s="216"/>
      <c r="G74" s="21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407"/>
      <c r="C75" s="8"/>
      <c r="D75" s="8"/>
      <c r="E75" s="8"/>
      <c r="F75" s="216"/>
      <c r="G75" s="21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407"/>
      <c r="C76" s="8"/>
      <c r="D76" s="8"/>
      <c r="E76" s="8"/>
      <c r="F76" s="216"/>
      <c r="G76" s="21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407"/>
      <c r="C77" s="8"/>
      <c r="D77" s="8"/>
      <c r="E77" s="8"/>
      <c r="F77" s="216"/>
      <c r="G77" s="21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407"/>
      <c r="C78" s="8"/>
      <c r="D78" s="8"/>
      <c r="E78" s="8"/>
      <c r="F78" s="216"/>
      <c r="G78" s="21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407"/>
      <c r="C79" s="8"/>
      <c r="D79" s="8"/>
      <c r="E79" s="8"/>
      <c r="F79" s="216"/>
      <c r="G79" s="21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407"/>
      <c r="C80" s="8"/>
      <c r="D80" s="8"/>
      <c r="E80" s="8"/>
      <c r="F80" s="216"/>
      <c r="G80" s="21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407"/>
      <c r="C81" s="8"/>
      <c r="D81" s="8"/>
      <c r="E81" s="8"/>
      <c r="F81" s="216"/>
      <c r="G81" s="21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407"/>
      <c r="C82" s="8"/>
      <c r="D82" s="8"/>
      <c r="E82" s="8"/>
      <c r="F82" s="216"/>
      <c r="G82" s="21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407"/>
      <c r="C83" s="8"/>
      <c r="D83" s="8"/>
      <c r="E83" s="8"/>
      <c r="F83" s="216"/>
      <c r="G83" s="21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407"/>
      <c r="C84" s="8"/>
      <c r="D84" s="8"/>
      <c r="E84" s="8"/>
      <c r="F84" s="216"/>
      <c r="G84" s="21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407"/>
      <c r="C85" s="8"/>
      <c r="D85" s="8"/>
      <c r="E85" s="8"/>
      <c r="F85" s="216"/>
      <c r="G85" s="21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407"/>
      <c r="C86" s="8"/>
      <c r="D86" s="8"/>
      <c r="E86" s="8"/>
      <c r="F86" s="216"/>
      <c r="G86" s="21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407"/>
      <c r="C87" s="8"/>
      <c r="D87" s="8"/>
      <c r="E87" s="8"/>
      <c r="F87" s="216"/>
      <c r="G87" s="21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407"/>
      <c r="C88" s="8"/>
      <c r="D88" s="8"/>
      <c r="E88" s="8"/>
      <c r="F88" s="216"/>
      <c r="G88" s="21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407"/>
      <c r="C89" s="8"/>
      <c r="D89" s="8"/>
      <c r="E89" s="8"/>
      <c r="F89" s="216"/>
      <c r="G89" s="21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407"/>
      <c r="C90" s="8"/>
      <c r="D90" s="8"/>
      <c r="E90" s="8"/>
      <c r="F90" s="216"/>
      <c r="G90" s="21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407"/>
      <c r="C91" s="8"/>
      <c r="D91" s="8"/>
      <c r="E91" s="8"/>
      <c r="F91" s="216"/>
      <c r="G91" s="21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407"/>
      <c r="C92" s="8"/>
      <c r="D92" s="8"/>
      <c r="E92" s="8"/>
      <c r="F92" s="216"/>
      <c r="G92" s="21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407"/>
      <c r="C93" s="8"/>
      <c r="D93" s="8"/>
      <c r="E93" s="8"/>
      <c r="F93" s="216"/>
      <c r="G93" s="21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407"/>
      <c r="C94" s="8"/>
      <c r="D94" s="8"/>
      <c r="E94" s="8"/>
      <c r="F94" s="216"/>
      <c r="G94" s="21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407"/>
      <c r="C95" s="8"/>
      <c r="D95" s="8"/>
      <c r="E95" s="8"/>
      <c r="F95" s="216"/>
      <c r="G95" s="21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407"/>
      <c r="C96" s="8"/>
      <c r="D96" s="8"/>
      <c r="E96" s="8"/>
      <c r="F96" s="216"/>
      <c r="G96" s="21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407"/>
      <c r="C97" s="8"/>
      <c r="D97" s="8"/>
      <c r="E97" s="8"/>
      <c r="F97" s="216"/>
      <c r="G97" s="21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407"/>
      <c r="C98" s="8"/>
      <c r="D98" s="8"/>
      <c r="E98" s="8"/>
      <c r="F98" s="216"/>
      <c r="G98" s="21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407"/>
      <c r="C99" s="8"/>
      <c r="D99" s="8"/>
      <c r="E99" s="8"/>
      <c r="F99" s="216"/>
      <c r="G99" s="21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407"/>
      <c r="C100" s="8"/>
      <c r="D100" s="8"/>
      <c r="E100" s="8"/>
      <c r="F100" s="216"/>
      <c r="G100" s="21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407"/>
      <c r="C101" s="8"/>
      <c r="D101" s="8"/>
      <c r="E101" s="8"/>
      <c r="F101" s="216"/>
      <c r="G101" s="21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407"/>
      <c r="C102" s="8"/>
      <c r="D102" s="8"/>
      <c r="E102" s="8"/>
      <c r="F102" s="216"/>
      <c r="G102" s="21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407"/>
      <c r="C103" s="8"/>
      <c r="D103" s="8"/>
      <c r="E103" s="8"/>
      <c r="F103" s="216"/>
      <c r="G103" s="21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407"/>
      <c r="C104" s="8"/>
      <c r="D104" s="8"/>
      <c r="E104" s="8"/>
      <c r="F104" s="216"/>
      <c r="G104" s="21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407"/>
      <c r="C105" s="8"/>
      <c r="D105" s="8"/>
      <c r="E105" s="8"/>
      <c r="F105" s="216"/>
      <c r="G105" s="21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407"/>
      <c r="C106" s="8"/>
      <c r="D106" s="8"/>
      <c r="E106" s="8"/>
      <c r="F106" s="216"/>
      <c r="G106" s="21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407"/>
      <c r="C107" s="8"/>
      <c r="D107" s="8"/>
      <c r="E107" s="8"/>
      <c r="F107" s="216"/>
      <c r="G107" s="21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407"/>
      <c r="C108" s="8"/>
      <c r="D108" s="8"/>
      <c r="E108" s="8"/>
      <c r="F108" s="216"/>
      <c r="G108" s="21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407"/>
      <c r="C109" s="8"/>
      <c r="D109" s="8"/>
      <c r="E109" s="8"/>
      <c r="F109" s="216"/>
      <c r="G109" s="21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407"/>
      <c r="C110" s="8"/>
      <c r="D110" s="8"/>
      <c r="E110" s="8"/>
      <c r="F110" s="216"/>
      <c r="G110" s="21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407"/>
      <c r="C111" s="8"/>
      <c r="D111" s="8"/>
      <c r="E111" s="8"/>
      <c r="F111" s="216"/>
      <c r="G111" s="21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407"/>
      <c r="C112" s="8"/>
      <c r="D112" s="8"/>
      <c r="E112" s="8"/>
      <c r="F112" s="216"/>
      <c r="G112" s="21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407"/>
      <c r="C113" s="8"/>
      <c r="D113" s="8"/>
      <c r="E113" s="8"/>
      <c r="F113" s="216"/>
      <c r="G113" s="21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407"/>
      <c r="C114" s="8"/>
      <c r="D114" s="8"/>
      <c r="E114" s="8"/>
      <c r="F114" s="216"/>
      <c r="G114" s="21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407"/>
      <c r="C115" s="8"/>
      <c r="D115" s="8"/>
      <c r="E115" s="8"/>
      <c r="F115" s="216"/>
      <c r="G115" s="21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407"/>
      <c r="C116" s="8"/>
      <c r="D116" s="8"/>
      <c r="E116" s="8"/>
      <c r="F116" s="216"/>
      <c r="G116" s="21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407"/>
      <c r="C117" s="8"/>
      <c r="D117" s="8"/>
      <c r="E117" s="8"/>
      <c r="F117" s="216"/>
      <c r="G117" s="21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407"/>
      <c r="C118" s="8"/>
      <c r="D118" s="8"/>
      <c r="E118" s="8"/>
      <c r="F118" s="216"/>
      <c r="G118" s="21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407"/>
      <c r="C119" s="8"/>
      <c r="D119" s="8"/>
      <c r="E119" s="8"/>
      <c r="F119" s="216"/>
      <c r="G119" s="21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407"/>
      <c r="C120" s="8"/>
      <c r="D120" s="8"/>
      <c r="E120" s="8"/>
      <c r="F120" s="216"/>
      <c r="G120" s="21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407"/>
      <c r="C121" s="8"/>
      <c r="D121" s="8"/>
      <c r="E121" s="8"/>
      <c r="F121" s="216"/>
      <c r="G121" s="21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407"/>
      <c r="C122" s="8"/>
      <c r="D122" s="8"/>
      <c r="E122" s="8"/>
      <c r="F122" s="216"/>
      <c r="G122" s="21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407"/>
      <c r="C123" s="8"/>
      <c r="D123" s="8"/>
      <c r="E123" s="8"/>
      <c r="F123" s="216"/>
      <c r="G123" s="21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407"/>
      <c r="C124" s="8"/>
      <c r="D124" s="8"/>
      <c r="E124" s="8"/>
      <c r="F124" s="216"/>
      <c r="G124" s="21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407"/>
      <c r="C125" s="8"/>
      <c r="D125" s="8"/>
      <c r="E125" s="8"/>
      <c r="F125" s="216"/>
      <c r="G125" s="21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407"/>
      <c r="C126" s="8"/>
      <c r="D126" s="8"/>
      <c r="E126" s="8"/>
      <c r="F126" s="216"/>
      <c r="G126" s="21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407"/>
      <c r="C127" s="8"/>
      <c r="D127" s="8"/>
      <c r="E127" s="8"/>
      <c r="F127" s="216"/>
      <c r="G127" s="21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407"/>
      <c r="C128" s="8"/>
      <c r="D128" s="8"/>
      <c r="E128" s="8"/>
      <c r="F128" s="216"/>
      <c r="G128" s="21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407"/>
      <c r="C129" s="8"/>
      <c r="D129" s="8"/>
      <c r="E129" s="8"/>
      <c r="F129" s="216"/>
      <c r="G129" s="21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407"/>
      <c r="C130" s="8"/>
      <c r="D130" s="8"/>
      <c r="E130" s="8"/>
      <c r="F130" s="216"/>
      <c r="G130" s="21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407"/>
      <c r="C131" s="8"/>
      <c r="D131" s="8"/>
      <c r="E131" s="8"/>
      <c r="F131" s="216"/>
      <c r="G131" s="21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407"/>
      <c r="C132" s="8"/>
      <c r="D132" s="8"/>
      <c r="E132" s="8"/>
      <c r="F132" s="216"/>
      <c r="G132" s="21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407"/>
      <c r="C133" s="8"/>
      <c r="D133" s="8"/>
      <c r="E133" s="8"/>
      <c r="F133" s="216"/>
      <c r="G133" s="21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407"/>
      <c r="C134" s="8"/>
      <c r="D134" s="8"/>
      <c r="E134" s="8"/>
      <c r="F134" s="216"/>
      <c r="G134" s="21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407"/>
      <c r="C135" s="8"/>
      <c r="D135" s="8"/>
      <c r="E135" s="8"/>
      <c r="F135" s="216"/>
      <c r="G135" s="21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407"/>
      <c r="C136" s="8"/>
      <c r="D136" s="8"/>
      <c r="E136" s="8"/>
      <c r="F136" s="216"/>
      <c r="G136" s="21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407"/>
      <c r="C137" s="8"/>
      <c r="D137" s="8"/>
      <c r="E137" s="8"/>
      <c r="F137" s="216"/>
      <c r="G137" s="21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407"/>
      <c r="C138" s="8"/>
      <c r="D138" s="8"/>
      <c r="E138" s="8"/>
      <c r="F138" s="216"/>
      <c r="G138" s="21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407"/>
      <c r="C139" s="8"/>
      <c r="D139" s="8"/>
      <c r="E139" s="8"/>
      <c r="F139" s="216"/>
      <c r="G139" s="21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407"/>
      <c r="C140" s="8"/>
      <c r="D140" s="8"/>
      <c r="E140" s="8"/>
      <c r="F140" s="216"/>
      <c r="G140" s="21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407"/>
      <c r="C141" s="8"/>
      <c r="D141" s="8"/>
      <c r="E141" s="8"/>
      <c r="F141" s="216"/>
      <c r="G141" s="21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407"/>
      <c r="C142" s="8"/>
      <c r="D142" s="8"/>
      <c r="E142" s="8"/>
      <c r="F142" s="216"/>
      <c r="G142" s="21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407"/>
      <c r="C143" s="8"/>
      <c r="D143" s="8"/>
      <c r="E143" s="8"/>
      <c r="F143" s="216"/>
      <c r="G143" s="21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407"/>
      <c r="C144" s="8"/>
      <c r="D144" s="8"/>
      <c r="E144" s="8"/>
      <c r="F144" s="216"/>
      <c r="G144" s="21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407"/>
      <c r="C145" s="8"/>
      <c r="D145" s="8"/>
      <c r="E145" s="8"/>
      <c r="F145" s="216"/>
      <c r="G145" s="21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407"/>
      <c r="C146" s="8"/>
      <c r="D146" s="8"/>
      <c r="E146" s="8"/>
      <c r="F146" s="216"/>
      <c r="G146" s="21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407"/>
      <c r="C147" s="8"/>
      <c r="D147" s="8"/>
      <c r="E147" s="8"/>
      <c r="F147" s="216"/>
      <c r="G147" s="21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407"/>
      <c r="C148" s="8"/>
      <c r="D148" s="8"/>
      <c r="E148" s="8"/>
      <c r="F148" s="216"/>
      <c r="G148" s="21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407"/>
      <c r="C149" s="8"/>
      <c r="D149" s="8"/>
      <c r="E149" s="8"/>
      <c r="F149" s="216"/>
      <c r="G149" s="21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407"/>
      <c r="C150" s="8"/>
      <c r="D150" s="8"/>
      <c r="E150" s="8"/>
      <c r="F150" s="216"/>
      <c r="G150" s="21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407"/>
      <c r="C151" s="8"/>
      <c r="D151" s="8"/>
      <c r="E151" s="8"/>
      <c r="F151" s="216"/>
      <c r="G151" s="21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407"/>
      <c r="C152" s="8"/>
      <c r="D152" s="8"/>
      <c r="E152" s="8"/>
      <c r="F152" s="216"/>
      <c r="G152" s="21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407"/>
      <c r="C153" s="8"/>
      <c r="D153" s="8"/>
      <c r="E153" s="8"/>
      <c r="F153" s="216"/>
      <c r="G153" s="21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407"/>
      <c r="C154" s="8"/>
      <c r="D154" s="8"/>
      <c r="E154" s="8"/>
      <c r="F154" s="216"/>
      <c r="G154" s="21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407"/>
      <c r="C155" s="8"/>
      <c r="D155" s="8"/>
      <c r="E155" s="8"/>
      <c r="F155" s="216"/>
      <c r="G155" s="21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407"/>
      <c r="C156" s="8"/>
      <c r="D156" s="8"/>
      <c r="E156" s="8"/>
      <c r="F156" s="216"/>
      <c r="G156" s="21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407"/>
      <c r="C157" s="8"/>
      <c r="D157" s="8"/>
      <c r="E157" s="8"/>
      <c r="F157" s="216"/>
      <c r="G157" s="21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407"/>
      <c r="C158" s="8"/>
      <c r="D158" s="8"/>
      <c r="E158" s="8"/>
      <c r="F158" s="216"/>
      <c r="G158" s="21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407"/>
      <c r="C159" s="8"/>
      <c r="D159" s="8"/>
      <c r="E159" s="8"/>
      <c r="F159" s="216"/>
      <c r="G159" s="21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407"/>
      <c r="C160" s="8"/>
      <c r="D160" s="8"/>
      <c r="E160" s="8"/>
      <c r="F160" s="216"/>
      <c r="G160" s="21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407"/>
      <c r="C161" s="8"/>
      <c r="D161" s="8"/>
      <c r="E161" s="8"/>
      <c r="F161" s="216"/>
      <c r="G161" s="21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407"/>
      <c r="C162" s="8"/>
      <c r="D162" s="8"/>
      <c r="E162" s="8"/>
      <c r="F162" s="216"/>
      <c r="G162" s="21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407"/>
      <c r="C163" s="8"/>
      <c r="D163" s="8"/>
      <c r="E163" s="8"/>
      <c r="F163" s="216"/>
      <c r="G163" s="21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407"/>
      <c r="C164" s="8"/>
      <c r="D164" s="8"/>
      <c r="E164" s="8"/>
      <c r="F164" s="216"/>
      <c r="G164" s="21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407"/>
      <c r="C165" s="8"/>
      <c r="D165" s="8"/>
      <c r="E165" s="8"/>
      <c r="F165" s="216"/>
      <c r="G165" s="21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407"/>
      <c r="C166" s="8"/>
      <c r="D166" s="8"/>
      <c r="E166" s="8"/>
      <c r="F166" s="216"/>
      <c r="G166" s="21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407"/>
      <c r="C167" s="8"/>
      <c r="D167" s="8"/>
      <c r="E167" s="8"/>
      <c r="F167" s="216"/>
      <c r="G167" s="21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407"/>
      <c r="C168" s="8"/>
      <c r="D168" s="8"/>
      <c r="E168" s="8"/>
      <c r="F168" s="216"/>
      <c r="G168" s="21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407"/>
      <c r="C169" s="8"/>
      <c r="D169" s="8"/>
      <c r="E169" s="8"/>
      <c r="F169" s="216"/>
      <c r="G169" s="21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407"/>
      <c r="C170" s="8"/>
      <c r="D170" s="8"/>
      <c r="E170" s="8"/>
      <c r="F170" s="216"/>
      <c r="G170" s="21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407"/>
      <c r="C171" s="8"/>
      <c r="D171" s="8"/>
      <c r="E171" s="8"/>
      <c r="F171" s="216"/>
      <c r="G171" s="21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407"/>
      <c r="C172" s="8"/>
      <c r="D172" s="8"/>
      <c r="E172" s="8"/>
      <c r="F172" s="216"/>
      <c r="G172" s="21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407"/>
      <c r="C173" s="8"/>
      <c r="D173" s="8"/>
      <c r="E173" s="8"/>
      <c r="F173" s="216"/>
      <c r="G173" s="21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407"/>
      <c r="C174" s="8"/>
      <c r="D174" s="8"/>
      <c r="E174" s="8"/>
      <c r="F174" s="216"/>
      <c r="G174" s="21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407"/>
      <c r="C175" s="8"/>
      <c r="D175" s="8"/>
      <c r="E175" s="8"/>
      <c r="F175" s="216"/>
      <c r="G175" s="21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407"/>
      <c r="C176" s="8"/>
      <c r="D176" s="8"/>
      <c r="E176" s="8"/>
      <c r="F176" s="216"/>
      <c r="G176" s="21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407"/>
      <c r="C177" s="8"/>
      <c r="D177" s="8"/>
      <c r="E177" s="8"/>
      <c r="F177" s="216"/>
      <c r="G177" s="21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407"/>
      <c r="C178" s="8"/>
      <c r="D178" s="8"/>
      <c r="E178" s="8"/>
      <c r="F178" s="216"/>
      <c r="G178" s="21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407"/>
      <c r="C179" s="8"/>
      <c r="D179" s="8"/>
      <c r="E179" s="8"/>
      <c r="F179" s="216"/>
      <c r="G179" s="21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407"/>
      <c r="C180" s="8"/>
      <c r="D180" s="8"/>
      <c r="E180" s="8"/>
      <c r="F180" s="216"/>
      <c r="G180" s="21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407"/>
      <c r="C181" s="8"/>
      <c r="D181" s="8"/>
      <c r="E181" s="8"/>
      <c r="F181" s="216"/>
      <c r="G181" s="21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407"/>
      <c r="C182" s="8"/>
      <c r="D182" s="8"/>
      <c r="E182" s="8"/>
      <c r="F182" s="216"/>
      <c r="G182" s="21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407"/>
      <c r="C183" s="8"/>
      <c r="D183" s="8"/>
      <c r="E183" s="8"/>
      <c r="F183" s="216"/>
      <c r="G183" s="21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407"/>
      <c r="C184" s="8"/>
      <c r="D184" s="8"/>
      <c r="E184" s="8"/>
      <c r="F184" s="216"/>
      <c r="G184" s="21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407"/>
      <c r="C185" s="8"/>
      <c r="D185" s="8"/>
      <c r="E185" s="8"/>
      <c r="F185" s="216"/>
      <c r="G185" s="21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407"/>
      <c r="C186" s="8"/>
      <c r="D186" s="8"/>
      <c r="E186" s="8"/>
      <c r="F186" s="216"/>
      <c r="G186" s="21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407"/>
      <c r="C187" s="8"/>
      <c r="D187" s="8"/>
      <c r="E187" s="8"/>
      <c r="F187" s="216"/>
      <c r="G187" s="21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407"/>
      <c r="C188" s="8"/>
      <c r="D188" s="8"/>
      <c r="E188" s="8"/>
      <c r="F188" s="216"/>
      <c r="G188" s="21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407"/>
      <c r="C189" s="8"/>
      <c r="D189" s="8"/>
      <c r="E189" s="8"/>
      <c r="F189" s="216"/>
      <c r="G189" s="21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407"/>
      <c r="C190" s="8"/>
      <c r="D190" s="8"/>
      <c r="E190" s="8"/>
      <c r="F190" s="216"/>
      <c r="G190" s="21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407"/>
      <c r="C191" s="8"/>
      <c r="D191" s="8"/>
      <c r="E191" s="8"/>
      <c r="F191" s="216"/>
      <c r="G191" s="21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407"/>
      <c r="C192" s="8"/>
      <c r="D192" s="8"/>
      <c r="E192" s="8"/>
      <c r="F192" s="216"/>
      <c r="G192" s="21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407"/>
      <c r="C193" s="8"/>
      <c r="D193" s="8"/>
      <c r="E193" s="8"/>
      <c r="F193" s="216"/>
      <c r="G193" s="21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407"/>
      <c r="C194" s="8"/>
      <c r="D194" s="8"/>
      <c r="E194" s="8"/>
      <c r="F194" s="216"/>
      <c r="G194" s="21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407"/>
      <c r="C195" s="8"/>
      <c r="D195" s="8"/>
      <c r="E195" s="8"/>
      <c r="F195" s="216"/>
      <c r="G195" s="21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407"/>
      <c r="C196" s="8"/>
      <c r="D196" s="8"/>
      <c r="E196" s="8"/>
      <c r="F196" s="216"/>
      <c r="G196" s="21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407"/>
      <c r="C197" s="8"/>
      <c r="D197" s="8"/>
      <c r="E197" s="8"/>
      <c r="F197" s="216"/>
      <c r="G197" s="21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407"/>
      <c r="C198" s="8"/>
      <c r="D198" s="8"/>
      <c r="E198" s="8"/>
      <c r="F198" s="216"/>
      <c r="G198" s="21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407"/>
      <c r="C199" s="8"/>
      <c r="D199" s="8"/>
      <c r="E199" s="8"/>
      <c r="F199" s="216"/>
      <c r="G199" s="21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407"/>
      <c r="C200" s="8"/>
      <c r="D200" s="8"/>
      <c r="E200" s="8"/>
      <c r="F200" s="216"/>
      <c r="G200" s="21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407"/>
      <c r="C201" s="8"/>
      <c r="D201" s="8"/>
      <c r="E201" s="8"/>
      <c r="F201" s="216"/>
      <c r="G201" s="21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407"/>
      <c r="C202" s="8"/>
      <c r="D202" s="8"/>
      <c r="E202" s="8"/>
      <c r="F202" s="216"/>
      <c r="G202" s="21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407"/>
      <c r="C203" s="8"/>
      <c r="D203" s="8"/>
      <c r="E203" s="8"/>
      <c r="F203" s="216"/>
      <c r="G203" s="21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407"/>
      <c r="C204" s="8"/>
      <c r="D204" s="8"/>
      <c r="E204" s="8"/>
      <c r="F204" s="216"/>
      <c r="G204" s="21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407"/>
      <c r="C205" s="8"/>
      <c r="D205" s="8"/>
      <c r="E205" s="8"/>
      <c r="F205" s="216"/>
      <c r="G205" s="21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407"/>
      <c r="C206" s="8"/>
      <c r="D206" s="8"/>
      <c r="E206" s="8"/>
      <c r="F206" s="216"/>
      <c r="G206" s="21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407"/>
      <c r="C207" s="8"/>
      <c r="D207" s="8"/>
      <c r="E207" s="8"/>
      <c r="F207" s="216"/>
      <c r="G207" s="21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407"/>
      <c r="C208" s="8"/>
      <c r="D208" s="8"/>
      <c r="E208" s="8"/>
      <c r="F208" s="216"/>
      <c r="G208" s="21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407"/>
      <c r="C209" s="8"/>
      <c r="D209" s="8"/>
      <c r="E209" s="8"/>
      <c r="F209" s="216"/>
      <c r="G209" s="21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407"/>
      <c r="C210" s="8"/>
      <c r="D210" s="8"/>
      <c r="E210" s="8"/>
      <c r="F210" s="216"/>
      <c r="G210" s="21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407"/>
      <c r="C211" s="8"/>
      <c r="D211" s="8"/>
      <c r="E211" s="8"/>
      <c r="F211" s="216"/>
      <c r="G211" s="21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407"/>
      <c r="C212" s="8"/>
      <c r="D212" s="8"/>
      <c r="E212" s="8"/>
      <c r="F212" s="216"/>
      <c r="G212" s="21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407"/>
      <c r="C213" s="8"/>
      <c r="D213" s="8"/>
      <c r="E213" s="8"/>
      <c r="F213" s="216"/>
      <c r="G213" s="21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407"/>
      <c r="C214" s="8"/>
      <c r="D214" s="8"/>
      <c r="E214" s="8"/>
      <c r="F214" s="216"/>
      <c r="G214" s="21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407"/>
      <c r="C215" s="8"/>
      <c r="D215" s="8"/>
      <c r="E215" s="8"/>
      <c r="F215" s="216"/>
      <c r="G215" s="21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407"/>
      <c r="C216" s="8"/>
      <c r="D216" s="8"/>
      <c r="E216" s="8"/>
      <c r="F216" s="216"/>
      <c r="G216" s="21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407"/>
      <c r="C217" s="8"/>
      <c r="D217" s="8"/>
      <c r="E217" s="8"/>
      <c r="F217" s="216"/>
      <c r="G217" s="21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407"/>
      <c r="C218" s="8"/>
      <c r="D218" s="8"/>
      <c r="E218" s="8"/>
      <c r="F218" s="216"/>
      <c r="G218" s="21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407"/>
      <c r="C219" s="8"/>
      <c r="D219" s="8"/>
      <c r="E219" s="8"/>
      <c r="F219" s="216"/>
      <c r="G219" s="21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407"/>
      <c r="C220" s="8"/>
      <c r="D220" s="8"/>
      <c r="E220" s="8"/>
      <c r="F220" s="216"/>
      <c r="G220" s="21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407"/>
      <c r="C221" s="8"/>
      <c r="D221" s="8"/>
      <c r="E221" s="8"/>
      <c r="F221" s="216"/>
      <c r="G221" s="21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407"/>
      <c r="C222" s="8"/>
      <c r="D222" s="8"/>
      <c r="E222" s="8"/>
      <c r="F222" s="216"/>
      <c r="G222" s="21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407"/>
      <c r="C223" s="8"/>
      <c r="D223" s="8"/>
      <c r="E223" s="8"/>
      <c r="F223" s="216"/>
      <c r="G223" s="21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407"/>
      <c r="C224" s="8"/>
      <c r="D224" s="8"/>
      <c r="E224" s="8"/>
      <c r="F224" s="216"/>
      <c r="G224" s="21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407"/>
      <c r="C225" s="8"/>
      <c r="D225" s="8"/>
      <c r="E225" s="8"/>
      <c r="F225" s="216"/>
      <c r="G225" s="21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407"/>
      <c r="C226" s="8"/>
      <c r="D226" s="8"/>
      <c r="E226" s="8"/>
      <c r="F226" s="216"/>
      <c r="G226" s="21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407"/>
      <c r="C227" s="8"/>
      <c r="D227" s="8"/>
      <c r="E227" s="8"/>
      <c r="F227" s="216"/>
      <c r="G227" s="21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407"/>
      <c r="C228" s="8"/>
      <c r="D228" s="8"/>
      <c r="E228" s="8"/>
      <c r="F228" s="216"/>
      <c r="G228" s="21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407"/>
      <c r="C229" s="8"/>
      <c r="D229" s="8"/>
      <c r="E229" s="8"/>
      <c r="F229" s="216"/>
      <c r="G229" s="21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407"/>
      <c r="C230" s="8"/>
      <c r="D230" s="8"/>
      <c r="E230" s="8"/>
      <c r="F230" s="216"/>
      <c r="G230" s="21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407"/>
      <c r="C231" s="8"/>
      <c r="D231" s="8"/>
      <c r="E231" s="8"/>
      <c r="F231" s="216"/>
      <c r="G231" s="21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407"/>
      <c r="C232" s="8"/>
      <c r="D232" s="8"/>
      <c r="E232" s="8"/>
      <c r="F232" s="216"/>
      <c r="G232" s="21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407"/>
      <c r="C233" s="8"/>
      <c r="D233" s="8"/>
      <c r="E233" s="8"/>
      <c r="F233" s="216"/>
      <c r="G233" s="21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407"/>
      <c r="C234" s="8"/>
      <c r="D234" s="8"/>
      <c r="E234" s="8"/>
      <c r="F234" s="216"/>
      <c r="G234" s="21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407"/>
      <c r="C235" s="8"/>
      <c r="D235" s="8"/>
      <c r="E235" s="8"/>
      <c r="F235" s="216"/>
      <c r="G235" s="21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407"/>
      <c r="C236" s="8"/>
      <c r="D236" s="8"/>
      <c r="E236" s="8"/>
      <c r="F236" s="216"/>
      <c r="G236" s="21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40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407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40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407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40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40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40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M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M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  <c r="M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  <c r="M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  <c r="M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  <c r="M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  <c r="M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  <c r="M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  <c r="M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  <c r="M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  <c r="M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  <c r="M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  <c r="M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  <c r="M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  <c r="M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  <c r="M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  <c r="M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  <c r="M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  <c r="M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  <c r="M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  <c r="M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  <c r="M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  <c r="M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  <c r="M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  <c r="M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  <c r="M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  <c r="M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M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M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M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M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M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M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M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M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M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M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M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M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M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M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M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M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M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M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M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M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M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M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M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M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M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M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M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M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M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M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M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M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M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M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M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M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M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M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M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M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M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M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M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M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M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M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M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M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M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M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M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M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M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M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M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M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M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M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M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M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M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M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M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M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M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M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M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M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M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M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M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M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M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M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M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M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M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M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M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M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M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M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M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M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M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M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M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M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M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M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M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M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M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M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M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M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M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M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M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M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M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M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M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M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M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M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M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M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M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M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M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M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M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M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M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M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M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M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M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M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M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M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M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M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M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M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M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M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M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M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M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M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M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M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M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M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M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M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M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M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M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M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M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M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M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M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M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M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M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M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M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M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M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M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M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M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M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M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M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M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M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M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M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M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M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M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M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M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M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M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M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M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M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M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M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M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M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M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M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M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M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M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M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M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M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M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M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M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M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M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M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M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M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M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M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M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M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M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M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M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M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M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M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M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M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M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M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M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M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M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M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M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M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M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M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M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M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M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M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M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M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M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M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M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M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M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M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M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M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M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M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M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M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M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M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M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M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M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M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M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M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M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M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M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M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M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M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M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M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M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M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M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M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M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M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M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M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M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M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M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M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M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M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M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M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M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M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M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M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M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M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M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M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M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M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M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M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M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M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M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M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M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M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M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M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M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M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M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M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M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M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M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M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M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M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M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M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M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M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M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M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M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M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M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M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M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M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M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M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M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M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M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M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M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M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M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M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M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M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M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M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M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M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M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M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M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M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M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M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M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M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M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M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M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M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M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M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M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M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M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M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M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M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M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M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M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M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M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M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M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M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M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M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M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M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M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M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M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M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M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M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M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M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M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M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M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M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M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M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M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M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M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M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M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M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M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M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M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M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M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M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M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M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M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M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M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M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M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M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M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M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M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M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M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M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M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M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M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M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M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M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M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M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M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M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M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M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M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M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M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M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M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M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M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M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M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M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M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M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M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M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M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M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M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M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M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M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M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M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M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M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M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M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M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M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M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M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M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M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M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M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M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M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M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M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M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M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M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M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M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M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M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M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M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M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M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M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M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M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M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M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M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M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M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M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M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M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M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M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M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M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M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M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M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M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M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M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M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M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M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M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M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M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M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M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M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M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M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M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M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M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M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M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M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M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M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M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M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M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M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M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M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M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M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M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M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M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M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M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M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M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M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M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M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M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M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M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M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M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M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M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M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M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M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M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M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M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M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M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M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M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M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M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M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M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M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M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M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M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M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M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M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M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M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M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M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M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M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M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M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M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M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M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M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M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M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M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M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M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M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M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M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M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M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M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M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M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M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M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M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M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M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M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M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M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M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M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M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M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M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M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M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M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M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M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M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M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M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M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M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M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M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M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M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M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M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M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M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M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M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M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M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M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M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M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M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M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M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M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M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M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M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M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M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M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M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M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M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M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M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M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M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M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M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M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M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M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M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M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M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M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M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M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M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M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M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M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M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M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M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M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M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M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M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M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M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M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M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M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M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M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M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M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M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M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M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M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M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M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M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M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M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M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M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M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M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M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M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M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M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M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M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M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M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M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M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M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M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M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M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M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M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M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M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M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M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M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M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M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M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M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M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M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M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M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M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M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M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M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M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M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M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M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M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M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M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M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M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M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M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M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M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M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M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M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M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M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M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M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M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M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M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M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M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M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M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M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M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M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M1000" s="92"/>
    </row>
  </sheetData>
  <mergeCells count="24">
    <mergeCell ref="J3:J4"/>
    <mergeCell ref="K3:K4"/>
    <mergeCell ref="G3:G4"/>
    <mergeCell ref="G5:G8"/>
    <mergeCell ref="C3:C4"/>
    <mergeCell ref="C16:C18"/>
    <mergeCell ref="A1:G2"/>
    <mergeCell ref="A3:B3"/>
    <mergeCell ref="D3:D4"/>
    <mergeCell ref="E3:E4"/>
    <mergeCell ref="H3:I4"/>
    <mergeCell ref="A5:A8"/>
    <mergeCell ref="A9:A18"/>
    <mergeCell ref="H35:I37"/>
    <mergeCell ref="H38:I42"/>
    <mergeCell ref="B42:D42"/>
    <mergeCell ref="A43:I47"/>
    <mergeCell ref="A19:A22"/>
    <mergeCell ref="G19:G22"/>
    <mergeCell ref="A23:A29"/>
    <mergeCell ref="A30:A34"/>
    <mergeCell ref="H30:I34"/>
    <mergeCell ref="A35:A37"/>
    <mergeCell ref="A38:A42"/>
  </mergeCells>
  <printOptions/>
  <pageMargins bottom="0.75" footer="0.0" header="0.0" left="0.25" right="0.25" top="0.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2.57"/>
    <col customWidth="1" min="3" max="3" width="11.86"/>
    <col customWidth="1" min="4" max="4" width="12.86"/>
    <col customWidth="1" hidden="1" min="5" max="5" width="12.86"/>
    <col customWidth="1" min="6" max="6" width="12.43"/>
    <col customWidth="1" min="7" max="7" width="21.14"/>
    <col customWidth="1" min="8" max="8" width="13.0"/>
  </cols>
  <sheetData>
    <row r="1" ht="16.5" customHeight="1">
      <c r="A1" s="1" t="s">
        <v>153</v>
      </c>
      <c r="B1" s="2"/>
      <c r="C1" s="2"/>
      <c r="D1" s="2"/>
      <c r="E1" s="2"/>
      <c r="F1" s="2"/>
      <c r="G1" s="2"/>
      <c r="H1" s="92"/>
    </row>
    <row r="2" ht="18.0" customHeight="1">
      <c r="A2" s="58"/>
      <c r="B2" s="82"/>
      <c r="C2" s="82"/>
      <c r="D2" s="82"/>
      <c r="E2" s="82"/>
      <c r="F2" s="82"/>
      <c r="G2" s="82"/>
      <c r="H2" s="92"/>
    </row>
    <row r="3" ht="16.5" customHeight="1">
      <c r="A3" s="320" t="s">
        <v>490</v>
      </c>
      <c r="B3" s="409"/>
      <c r="C3" s="260" t="s">
        <v>438</v>
      </c>
      <c r="D3" s="261" t="s">
        <v>562</v>
      </c>
      <c r="E3" s="260" t="s">
        <v>599</v>
      </c>
      <c r="F3" s="410" t="s">
        <v>521</v>
      </c>
      <c r="G3" s="260" t="s">
        <v>600</v>
      </c>
      <c r="H3" s="92"/>
    </row>
    <row r="4" ht="16.5" customHeight="1">
      <c r="A4" s="412" t="s">
        <v>8</v>
      </c>
      <c r="B4" s="412" t="s">
        <v>9</v>
      </c>
      <c r="C4" s="25"/>
      <c r="D4" s="26"/>
      <c r="E4" s="25"/>
      <c r="F4" s="265" t="s">
        <v>10</v>
      </c>
      <c r="G4" s="25"/>
      <c r="H4" s="92"/>
    </row>
    <row r="5" ht="16.5" customHeight="1">
      <c r="A5" s="189" t="s">
        <v>633</v>
      </c>
      <c r="B5" s="468" t="s">
        <v>634</v>
      </c>
      <c r="C5" s="414">
        <f t="shared" ref="C5:C15" si="1">D5*2-1000</f>
        <v>117000</v>
      </c>
      <c r="D5" s="416">
        <v>59000.0</v>
      </c>
      <c r="E5" s="417">
        <f t="shared" ref="E5:E32" si="2">1-(D5/C5)</f>
        <v>0.4957264957</v>
      </c>
      <c r="F5" s="628"/>
      <c r="G5" s="515"/>
      <c r="H5" s="92">
        <f t="shared" ref="H5:H35" si="3">D5*2</f>
        <v>118000</v>
      </c>
    </row>
    <row r="6" ht="16.5" customHeight="1">
      <c r="A6" s="25"/>
      <c r="B6" s="474" t="s">
        <v>635</v>
      </c>
      <c r="C6" s="423">
        <f t="shared" si="1"/>
        <v>497000</v>
      </c>
      <c r="D6" s="425">
        <v>249000.0</v>
      </c>
      <c r="E6" s="461">
        <f t="shared" si="2"/>
        <v>0.4989939638</v>
      </c>
      <c r="F6" s="629"/>
      <c r="G6" s="517"/>
      <c r="H6" s="92">
        <f t="shared" si="3"/>
        <v>498000</v>
      </c>
    </row>
    <row r="7" ht="16.5" customHeight="1">
      <c r="A7" s="25"/>
      <c r="B7" s="474" t="s">
        <v>636</v>
      </c>
      <c r="C7" s="423">
        <f t="shared" si="1"/>
        <v>397000</v>
      </c>
      <c r="D7" s="425">
        <v>199000.0</v>
      </c>
      <c r="E7" s="461">
        <f t="shared" si="2"/>
        <v>0.4987405542</v>
      </c>
      <c r="F7" s="629"/>
      <c r="G7" s="517"/>
      <c r="H7" s="92">
        <f t="shared" si="3"/>
        <v>398000</v>
      </c>
    </row>
    <row r="8" ht="16.5" customHeight="1">
      <c r="A8" s="25"/>
      <c r="B8" s="474" t="s">
        <v>637</v>
      </c>
      <c r="C8" s="423">
        <f t="shared" si="1"/>
        <v>577000</v>
      </c>
      <c r="D8" s="425">
        <v>289000.0</v>
      </c>
      <c r="E8" s="461">
        <f t="shared" si="2"/>
        <v>0.4991334489</v>
      </c>
      <c r="F8" s="629"/>
      <c r="G8" s="517"/>
      <c r="H8" s="92">
        <f t="shared" si="3"/>
        <v>578000</v>
      </c>
    </row>
    <row r="9" ht="15.75" customHeight="1">
      <c r="A9" s="25"/>
      <c r="B9" s="212" t="s">
        <v>638</v>
      </c>
      <c r="C9" s="423">
        <f t="shared" si="1"/>
        <v>777000</v>
      </c>
      <c r="D9" s="425">
        <v>389000.0</v>
      </c>
      <c r="E9" s="461">
        <f t="shared" si="2"/>
        <v>0.4993564994</v>
      </c>
      <c r="F9" s="629"/>
      <c r="G9" s="517"/>
      <c r="H9" s="92">
        <f t="shared" si="3"/>
        <v>778000</v>
      </c>
    </row>
    <row r="10" ht="16.5" customHeight="1">
      <c r="A10" s="11"/>
      <c r="B10" s="477" t="s">
        <v>639</v>
      </c>
      <c r="C10" s="430">
        <f t="shared" si="1"/>
        <v>1379000</v>
      </c>
      <c r="D10" s="432">
        <v>690000.0</v>
      </c>
      <c r="E10" s="461">
        <f t="shared" si="2"/>
        <v>0.4996374184</v>
      </c>
      <c r="F10" s="630"/>
      <c r="G10" s="520"/>
      <c r="H10" s="92">
        <f t="shared" si="3"/>
        <v>1380000</v>
      </c>
    </row>
    <row r="11" ht="16.5" customHeight="1">
      <c r="A11" s="189" t="s">
        <v>640</v>
      </c>
      <c r="B11" s="474" t="s">
        <v>641</v>
      </c>
      <c r="C11" s="423">
        <f t="shared" si="1"/>
        <v>177000</v>
      </c>
      <c r="D11" s="425">
        <v>89000.0</v>
      </c>
      <c r="E11" s="417">
        <f t="shared" si="2"/>
        <v>0.4971751412</v>
      </c>
      <c r="F11" s="546"/>
      <c r="G11" s="631"/>
      <c r="H11" s="92">
        <f t="shared" si="3"/>
        <v>178000</v>
      </c>
    </row>
    <row r="12" ht="16.5" customHeight="1">
      <c r="A12" s="25"/>
      <c r="B12" s="474" t="s">
        <v>642</v>
      </c>
      <c r="C12" s="423">
        <f t="shared" si="1"/>
        <v>197000</v>
      </c>
      <c r="D12" s="425">
        <v>99000.0</v>
      </c>
      <c r="E12" s="461">
        <f t="shared" si="2"/>
        <v>0.4974619289</v>
      </c>
      <c r="F12" s="632"/>
      <c r="G12" s="631"/>
      <c r="H12" s="92">
        <f t="shared" si="3"/>
        <v>198000</v>
      </c>
    </row>
    <row r="13" ht="16.5" customHeight="1">
      <c r="A13" s="25"/>
      <c r="B13" s="474" t="s">
        <v>643</v>
      </c>
      <c r="C13" s="423">
        <f t="shared" si="1"/>
        <v>357000</v>
      </c>
      <c r="D13" s="425">
        <v>179000.0</v>
      </c>
      <c r="E13" s="461">
        <f t="shared" si="2"/>
        <v>0.4985994398</v>
      </c>
      <c r="F13" s="632"/>
      <c r="G13" s="631"/>
      <c r="H13" s="92">
        <f t="shared" si="3"/>
        <v>358000</v>
      </c>
    </row>
    <row r="14" ht="16.5" customHeight="1">
      <c r="A14" s="25"/>
      <c r="B14" s="518" t="s">
        <v>644</v>
      </c>
      <c r="C14" s="423">
        <f t="shared" si="1"/>
        <v>637000</v>
      </c>
      <c r="D14" s="425">
        <v>319000.0</v>
      </c>
      <c r="E14" s="461">
        <f t="shared" si="2"/>
        <v>0.4992150706</v>
      </c>
      <c r="F14" s="632"/>
      <c r="G14" s="631"/>
      <c r="H14" s="92">
        <f t="shared" si="3"/>
        <v>638000</v>
      </c>
    </row>
    <row r="15" ht="16.5" customHeight="1">
      <c r="A15" s="25"/>
      <c r="B15" s="474" t="s">
        <v>645</v>
      </c>
      <c r="C15" s="423">
        <f t="shared" si="1"/>
        <v>797000</v>
      </c>
      <c r="D15" s="425">
        <v>399000.0</v>
      </c>
      <c r="E15" s="461">
        <f t="shared" si="2"/>
        <v>0.4993726474</v>
      </c>
      <c r="F15" s="632"/>
      <c r="G15" s="631"/>
      <c r="H15" s="92">
        <f t="shared" si="3"/>
        <v>798000</v>
      </c>
    </row>
    <row r="16" ht="16.5" customHeight="1">
      <c r="A16" s="25"/>
      <c r="B16" s="459" t="s">
        <v>646</v>
      </c>
      <c r="C16" s="423">
        <v>797000.0</v>
      </c>
      <c r="D16" s="425">
        <v>399000.0</v>
      </c>
      <c r="E16" s="461">
        <f t="shared" si="2"/>
        <v>0.4993726474</v>
      </c>
      <c r="F16" s="632"/>
      <c r="G16" s="631"/>
      <c r="H16" s="92">
        <f t="shared" si="3"/>
        <v>798000</v>
      </c>
    </row>
    <row r="17" ht="16.5" customHeight="1">
      <c r="A17" s="178" t="s">
        <v>647</v>
      </c>
      <c r="B17" s="304" t="s">
        <v>648</v>
      </c>
      <c r="C17" s="442">
        <f t="shared" ref="C17:C35" si="4">D17*2-1000</f>
        <v>397000</v>
      </c>
      <c r="D17" s="414">
        <v>199000.0</v>
      </c>
      <c r="E17" s="448">
        <f t="shared" si="2"/>
        <v>0.4987405542</v>
      </c>
      <c r="F17" s="628"/>
      <c r="G17" s="633"/>
      <c r="H17" s="92">
        <f t="shared" si="3"/>
        <v>398000</v>
      </c>
    </row>
    <row r="18" ht="16.5" customHeight="1">
      <c r="A18" s="28"/>
      <c r="B18" s="308" t="s">
        <v>649</v>
      </c>
      <c r="C18" s="443">
        <f t="shared" si="4"/>
        <v>499000</v>
      </c>
      <c r="D18" s="423">
        <v>250000.0</v>
      </c>
      <c r="E18" s="560">
        <f t="shared" si="2"/>
        <v>0.498997996</v>
      </c>
      <c r="F18" s="629"/>
      <c r="G18" s="631"/>
      <c r="H18" s="92">
        <f t="shared" si="3"/>
        <v>500000</v>
      </c>
    </row>
    <row r="19" ht="16.5" customHeight="1">
      <c r="A19" s="28"/>
      <c r="B19" s="308" t="s">
        <v>650</v>
      </c>
      <c r="C19" s="443">
        <f t="shared" si="4"/>
        <v>1499000</v>
      </c>
      <c r="D19" s="423">
        <v>750000.0</v>
      </c>
      <c r="E19" s="560">
        <f t="shared" si="2"/>
        <v>0.4996664443</v>
      </c>
      <c r="F19" s="629"/>
      <c r="G19" s="631"/>
      <c r="H19" s="92">
        <f t="shared" si="3"/>
        <v>1500000</v>
      </c>
    </row>
    <row r="20" ht="16.5" customHeight="1">
      <c r="A20" s="28"/>
      <c r="B20" s="308" t="s">
        <v>651</v>
      </c>
      <c r="C20" s="443">
        <f t="shared" si="4"/>
        <v>1499000</v>
      </c>
      <c r="D20" s="423">
        <v>750000.0</v>
      </c>
      <c r="E20" s="560">
        <f t="shared" si="2"/>
        <v>0.4996664443</v>
      </c>
      <c r="F20" s="629"/>
      <c r="G20" s="631"/>
      <c r="H20" s="92">
        <f t="shared" si="3"/>
        <v>1500000</v>
      </c>
    </row>
    <row r="21" ht="16.5" customHeight="1">
      <c r="A21" s="149"/>
      <c r="B21" s="312" t="s">
        <v>550</v>
      </c>
      <c r="C21" s="513">
        <f t="shared" si="4"/>
        <v>1699000</v>
      </c>
      <c r="D21" s="430">
        <v>850000.0</v>
      </c>
      <c r="E21" s="561">
        <f t="shared" si="2"/>
        <v>0.4997057092</v>
      </c>
      <c r="F21" s="630"/>
      <c r="G21" s="634"/>
      <c r="H21" s="92">
        <f t="shared" si="3"/>
        <v>1700000</v>
      </c>
    </row>
    <row r="22" ht="16.5" customHeight="1">
      <c r="A22" s="458" t="s">
        <v>652</v>
      </c>
      <c r="B22" s="459" t="s">
        <v>653</v>
      </c>
      <c r="C22" s="423">
        <f t="shared" si="4"/>
        <v>77000</v>
      </c>
      <c r="D22" s="489">
        <v>39000.0</v>
      </c>
      <c r="E22" s="461">
        <f t="shared" si="2"/>
        <v>0.4935064935</v>
      </c>
      <c r="F22" s="635"/>
      <c r="G22" s="517"/>
      <c r="H22" s="92">
        <f t="shared" si="3"/>
        <v>78000</v>
      </c>
    </row>
    <row r="23" ht="16.5" customHeight="1">
      <c r="A23" s="25"/>
      <c r="B23" s="523" t="s">
        <v>654</v>
      </c>
      <c r="C23" s="423">
        <f t="shared" si="4"/>
        <v>137000</v>
      </c>
      <c r="D23" s="476">
        <v>69000.0</v>
      </c>
      <c r="E23" s="461">
        <f t="shared" si="2"/>
        <v>0.496350365</v>
      </c>
      <c r="F23" s="25"/>
      <c r="G23" s="517"/>
      <c r="H23" s="92">
        <f t="shared" si="3"/>
        <v>138000</v>
      </c>
    </row>
    <row r="24" ht="16.5" customHeight="1">
      <c r="A24" s="25"/>
      <c r="B24" s="518" t="s">
        <v>655</v>
      </c>
      <c r="C24" s="423">
        <f t="shared" si="4"/>
        <v>499000</v>
      </c>
      <c r="D24" s="489">
        <v>250000.0</v>
      </c>
      <c r="E24" s="461">
        <f t="shared" si="2"/>
        <v>0.498997996</v>
      </c>
      <c r="F24" s="25"/>
      <c r="G24" s="517"/>
      <c r="H24" s="92">
        <f t="shared" si="3"/>
        <v>500000</v>
      </c>
    </row>
    <row r="25" ht="16.5" customHeight="1">
      <c r="A25" s="25"/>
      <c r="B25" s="518" t="s">
        <v>656</v>
      </c>
      <c r="C25" s="423">
        <f t="shared" si="4"/>
        <v>197000</v>
      </c>
      <c r="D25" s="489">
        <v>99000.0</v>
      </c>
      <c r="E25" s="461">
        <f t="shared" si="2"/>
        <v>0.4974619289</v>
      </c>
      <c r="F25" s="25"/>
      <c r="G25" s="517"/>
      <c r="H25" s="92">
        <f t="shared" si="3"/>
        <v>198000</v>
      </c>
    </row>
    <row r="26" ht="16.5" customHeight="1">
      <c r="A26" s="25"/>
      <c r="B26" s="523" t="s">
        <v>657</v>
      </c>
      <c r="C26" s="423">
        <f t="shared" si="4"/>
        <v>177000</v>
      </c>
      <c r="D26" s="476">
        <v>89000.0</v>
      </c>
      <c r="E26" s="461">
        <f t="shared" si="2"/>
        <v>0.4971751412</v>
      </c>
      <c r="F26" s="25"/>
      <c r="G26" s="517"/>
      <c r="H26" s="92">
        <f t="shared" si="3"/>
        <v>178000</v>
      </c>
    </row>
    <row r="27" ht="16.5" customHeight="1">
      <c r="A27" s="25"/>
      <c r="B27" s="518" t="s">
        <v>658</v>
      </c>
      <c r="C27" s="423">
        <f t="shared" si="4"/>
        <v>237000</v>
      </c>
      <c r="D27" s="489">
        <v>119000.0</v>
      </c>
      <c r="E27" s="461">
        <f t="shared" si="2"/>
        <v>0.4978902954</v>
      </c>
      <c r="F27" s="25"/>
      <c r="G27" s="517"/>
      <c r="H27" s="92">
        <f t="shared" si="3"/>
        <v>238000</v>
      </c>
    </row>
    <row r="28" ht="16.5" customHeight="1">
      <c r="A28" s="25"/>
      <c r="B28" s="518" t="s">
        <v>659</v>
      </c>
      <c r="C28" s="423">
        <f t="shared" si="4"/>
        <v>357000</v>
      </c>
      <c r="D28" s="489">
        <v>179000.0</v>
      </c>
      <c r="E28" s="461">
        <f t="shared" si="2"/>
        <v>0.4985994398</v>
      </c>
      <c r="F28" s="25"/>
      <c r="G28" s="517"/>
      <c r="H28" s="92">
        <f t="shared" si="3"/>
        <v>358000</v>
      </c>
    </row>
    <row r="29" ht="36.0" customHeight="1">
      <c r="A29" s="142" t="s">
        <v>660</v>
      </c>
      <c r="B29" s="468" t="s">
        <v>142</v>
      </c>
      <c r="C29" s="414">
        <f t="shared" si="4"/>
        <v>117000</v>
      </c>
      <c r="D29" s="415">
        <v>59000.0</v>
      </c>
      <c r="E29" s="448">
        <f t="shared" si="2"/>
        <v>0.4957264957</v>
      </c>
      <c r="F29" s="282"/>
      <c r="G29" s="623"/>
      <c r="H29" s="92">
        <f t="shared" si="3"/>
        <v>118000</v>
      </c>
    </row>
    <row r="30" ht="36.75" customHeight="1">
      <c r="A30" s="10"/>
      <c r="B30" s="474" t="s">
        <v>143</v>
      </c>
      <c r="C30" s="423">
        <f t="shared" si="4"/>
        <v>197000</v>
      </c>
      <c r="D30" s="424">
        <v>99000.0</v>
      </c>
      <c r="E30" s="560">
        <f t="shared" si="2"/>
        <v>0.4974619289</v>
      </c>
      <c r="F30" s="636"/>
      <c r="G30" s="624"/>
      <c r="H30" s="92">
        <f t="shared" si="3"/>
        <v>198000</v>
      </c>
    </row>
    <row r="31" ht="60.0" customHeight="1">
      <c r="A31" s="58"/>
      <c r="B31" s="477" t="s">
        <v>661</v>
      </c>
      <c r="C31" s="430">
        <f t="shared" si="4"/>
        <v>197000</v>
      </c>
      <c r="D31" s="637">
        <v>99000.0</v>
      </c>
      <c r="E31" s="561">
        <f t="shared" si="2"/>
        <v>0.4974619289</v>
      </c>
      <c r="F31" s="638"/>
      <c r="G31" s="627"/>
      <c r="H31" s="92">
        <f t="shared" si="3"/>
        <v>198000</v>
      </c>
    </row>
    <row r="32" ht="16.5" customHeight="1">
      <c r="A32" s="165" t="s">
        <v>593</v>
      </c>
      <c r="B32" s="208" t="s">
        <v>662</v>
      </c>
      <c r="C32" s="414">
        <f t="shared" si="4"/>
        <v>1999000</v>
      </c>
      <c r="D32" s="414">
        <v>1000000.0</v>
      </c>
      <c r="E32" s="626">
        <f t="shared" si="2"/>
        <v>0.4997498749</v>
      </c>
      <c r="F32" s="282"/>
      <c r="G32" s="282"/>
      <c r="H32" s="92">
        <f t="shared" si="3"/>
        <v>2000000</v>
      </c>
    </row>
    <row r="33" ht="16.5" customHeight="1">
      <c r="A33" s="25"/>
      <c r="B33" s="591" t="s">
        <v>247</v>
      </c>
      <c r="C33" s="423">
        <f t="shared" si="4"/>
        <v>3599000</v>
      </c>
      <c r="D33" s="423">
        <v>1800000.0</v>
      </c>
      <c r="E33" s="92"/>
      <c r="F33" s="639"/>
      <c r="G33" s="636"/>
      <c r="H33" s="92">
        <f t="shared" si="3"/>
        <v>3600000</v>
      </c>
    </row>
    <row r="34" ht="16.5" customHeight="1">
      <c r="A34" s="25"/>
      <c r="B34" s="591" t="s">
        <v>595</v>
      </c>
      <c r="C34" s="423">
        <f t="shared" si="4"/>
        <v>3799000</v>
      </c>
      <c r="D34" s="423">
        <v>1900000.0</v>
      </c>
      <c r="E34" s="626"/>
      <c r="F34" s="639"/>
      <c r="G34" s="636"/>
      <c r="H34" s="92">
        <f t="shared" si="3"/>
        <v>3800000</v>
      </c>
    </row>
    <row r="35" ht="16.5" customHeight="1">
      <c r="A35" s="11"/>
      <c r="B35" s="551" t="s">
        <v>596</v>
      </c>
      <c r="C35" s="430">
        <f t="shared" si="4"/>
        <v>5399000</v>
      </c>
      <c r="D35" s="430">
        <v>2700000.0</v>
      </c>
      <c r="E35" s="241"/>
      <c r="F35" s="640"/>
      <c r="G35" s="640"/>
      <c r="H35" s="92">
        <f t="shared" si="3"/>
        <v>5400000</v>
      </c>
    </row>
    <row r="36" ht="16.5" customHeight="1">
      <c r="A36" s="92"/>
      <c r="B36" s="92"/>
      <c r="C36" s="216"/>
      <c r="D36" s="216"/>
      <c r="E36" s="216"/>
      <c r="F36" s="216"/>
      <c r="G36" s="216"/>
      <c r="H36" s="92"/>
    </row>
    <row r="37" ht="16.5" customHeight="1">
      <c r="A37" s="92"/>
      <c r="B37" s="92"/>
      <c r="C37" s="92"/>
      <c r="D37" s="92"/>
      <c r="E37" s="92"/>
      <c r="F37" s="641"/>
      <c r="G37" s="216"/>
      <c r="H37" s="92"/>
    </row>
    <row r="38" ht="16.5" customHeight="1">
      <c r="A38" s="92"/>
      <c r="B38" s="92"/>
      <c r="C38" s="92"/>
      <c r="D38" s="92"/>
      <c r="E38" s="92"/>
      <c r="F38" s="92"/>
      <c r="G38" s="92"/>
      <c r="H38" s="92"/>
    </row>
    <row r="39" ht="16.5" customHeight="1">
      <c r="A39" s="92"/>
      <c r="B39" s="92"/>
      <c r="C39" s="92"/>
      <c r="D39" s="92"/>
      <c r="E39" s="92"/>
      <c r="F39" s="92"/>
      <c r="G39" s="92"/>
      <c r="H39" s="92"/>
    </row>
    <row r="40" ht="16.5" customHeight="1">
      <c r="A40" s="92"/>
      <c r="B40" s="92"/>
      <c r="C40" s="92"/>
      <c r="D40" s="92"/>
      <c r="E40" s="92"/>
      <c r="F40" s="92"/>
      <c r="G40" s="92"/>
      <c r="H40" s="92"/>
    </row>
    <row r="41" ht="16.5" customHeight="1">
      <c r="A41" s="92"/>
      <c r="B41" s="92"/>
      <c r="C41" s="92"/>
      <c r="D41" s="92"/>
      <c r="E41" s="92"/>
      <c r="F41" s="92"/>
      <c r="G41" s="92"/>
      <c r="H41" s="92"/>
    </row>
    <row r="42" ht="16.5" customHeight="1">
      <c r="A42" s="92"/>
      <c r="B42" s="92"/>
      <c r="C42" s="92"/>
      <c r="D42" s="92"/>
      <c r="E42" s="92"/>
      <c r="F42" s="92"/>
      <c r="G42" s="92"/>
      <c r="H42" s="92"/>
    </row>
    <row r="43" ht="16.5" customHeight="1">
      <c r="A43" s="92"/>
      <c r="B43" s="92"/>
      <c r="C43" s="92"/>
      <c r="D43" s="92"/>
      <c r="E43" s="92"/>
      <c r="F43" s="92"/>
      <c r="G43" s="92"/>
      <c r="H43" s="92"/>
    </row>
    <row r="44" ht="16.5" customHeight="1">
      <c r="A44" s="92"/>
      <c r="B44" s="92"/>
      <c r="C44" s="92"/>
      <c r="D44" s="92"/>
      <c r="E44" s="92"/>
      <c r="F44" s="92"/>
      <c r="G44" s="92"/>
      <c r="H44" s="92"/>
    </row>
    <row r="45" ht="16.5" customHeight="1">
      <c r="A45" s="92"/>
      <c r="B45" s="92"/>
      <c r="C45" s="92"/>
      <c r="D45" s="92"/>
      <c r="E45" s="92"/>
      <c r="F45" s="92"/>
      <c r="G45" s="92"/>
      <c r="H45" s="92"/>
    </row>
    <row r="46" ht="16.5" customHeight="1">
      <c r="A46" s="92"/>
      <c r="B46" s="92"/>
      <c r="C46" s="92"/>
      <c r="D46" s="92"/>
      <c r="E46" s="92"/>
      <c r="F46" s="92"/>
      <c r="G46" s="92"/>
      <c r="H46" s="92"/>
    </row>
    <row r="47" ht="16.5" customHeight="1">
      <c r="A47" s="92"/>
      <c r="B47" s="92"/>
      <c r="C47" s="92"/>
      <c r="D47" s="92"/>
      <c r="E47" s="92"/>
      <c r="F47" s="216"/>
      <c r="G47" s="216"/>
      <c r="H47" s="92"/>
    </row>
    <row r="48" ht="16.5" customHeight="1">
      <c r="A48" s="92"/>
      <c r="B48" s="92"/>
      <c r="C48" s="92"/>
      <c r="D48" s="92"/>
      <c r="E48" s="92"/>
      <c r="F48" s="216"/>
      <c r="G48" s="216"/>
      <c r="H48" s="92"/>
    </row>
    <row r="49" ht="16.5" customHeight="1">
      <c r="A49" s="92"/>
      <c r="B49" s="92"/>
      <c r="C49" s="92"/>
      <c r="D49" s="92"/>
      <c r="E49" s="92"/>
      <c r="F49" s="216"/>
      <c r="G49" s="216"/>
      <c r="H49" s="92"/>
    </row>
    <row r="50" ht="16.5" customHeight="1">
      <c r="A50" s="92"/>
      <c r="B50" s="92"/>
      <c r="C50" s="92"/>
      <c r="D50" s="92"/>
      <c r="E50" s="92"/>
      <c r="F50" s="216"/>
      <c r="G50" s="216"/>
      <c r="H50" s="92"/>
    </row>
    <row r="51" ht="16.5" customHeight="1">
      <c r="A51" s="92"/>
      <c r="B51" s="92"/>
      <c r="C51" s="92"/>
      <c r="D51" s="92"/>
      <c r="E51" s="92"/>
      <c r="F51" s="216"/>
      <c r="G51" s="216"/>
      <c r="H51" s="92"/>
    </row>
    <row r="52" ht="16.5" customHeight="1">
      <c r="A52" s="92"/>
      <c r="B52" s="92"/>
      <c r="C52" s="92"/>
      <c r="D52" s="92"/>
      <c r="E52" s="92"/>
      <c r="F52" s="216"/>
      <c r="G52" s="216"/>
      <c r="H52" s="92"/>
    </row>
    <row r="53" ht="16.5" customHeight="1">
      <c r="A53" s="92"/>
      <c r="B53" s="92"/>
      <c r="C53" s="92"/>
      <c r="D53" s="92"/>
      <c r="E53" s="92"/>
      <c r="F53" s="216"/>
      <c r="G53" s="216"/>
      <c r="H53" s="92"/>
    </row>
    <row r="54" ht="16.5" customHeight="1">
      <c r="A54" s="92"/>
      <c r="B54" s="92"/>
      <c r="C54" s="92"/>
      <c r="D54" s="92"/>
      <c r="E54" s="92"/>
      <c r="F54" s="216"/>
      <c r="G54" s="216"/>
      <c r="H54" s="92"/>
    </row>
    <row r="55" ht="16.5" customHeight="1">
      <c r="A55" s="92"/>
      <c r="B55" s="92"/>
      <c r="C55" s="92"/>
      <c r="D55" s="92"/>
      <c r="E55" s="92"/>
      <c r="F55" s="216"/>
      <c r="G55" s="216"/>
      <c r="H55" s="92"/>
    </row>
    <row r="56" ht="16.5" customHeight="1">
      <c r="A56" s="92"/>
      <c r="B56" s="92"/>
      <c r="C56" s="92"/>
      <c r="D56" s="92"/>
      <c r="E56" s="92"/>
      <c r="F56" s="216"/>
      <c r="G56" s="216"/>
      <c r="H56" s="92"/>
    </row>
    <row r="57" ht="16.5" customHeight="1">
      <c r="A57" s="92"/>
      <c r="B57" s="92"/>
      <c r="C57" s="92"/>
      <c r="D57" s="92"/>
      <c r="E57" s="92"/>
      <c r="F57" s="216"/>
      <c r="G57" s="216"/>
      <c r="H57" s="92"/>
    </row>
    <row r="58" ht="16.5" customHeight="1">
      <c r="A58" s="92"/>
      <c r="B58" s="92"/>
      <c r="C58" s="92"/>
      <c r="D58" s="92"/>
      <c r="E58" s="92"/>
      <c r="F58" s="216"/>
      <c r="G58" s="216"/>
      <c r="H58" s="92"/>
    </row>
    <row r="59" ht="16.5" customHeight="1">
      <c r="A59" s="92"/>
      <c r="B59" s="92"/>
      <c r="C59" s="92"/>
      <c r="D59" s="92"/>
      <c r="E59" s="92"/>
      <c r="F59" s="216"/>
      <c r="G59" s="216"/>
      <c r="H59" s="92"/>
    </row>
    <row r="60" ht="16.5" customHeight="1">
      <c r="A60" s="92"/>
      <c r="B60" s="92"/>
      <c r="C60" s="92"/>
      <c r="D60" s="92"/>
      <c r="E60" s="92"/>
      <c r="F60" s="216"/>
      <c r="G60" s="216"/>
      <c r="H60" s="92"/>
    </row>
    <row r="61" ht="16.5" customHeight="1">
      <c r="A61" s="92"/>
      <c r="B61" s="92"/>
      <c r="C61" s="92"/>
      <c r="D61" s="92"/>
      <c r="E61" s="92"/>
      <c r="F61" s="216"/>
      <c r="G61" s="216"/>
      <c r="H61" s="92"/>
    </row>
    <row r="62" ht="16.5" customHeight="1">
      <c r="A62" s="92"/>
      <c r="B62" s="92"/>
      <c r="C62" s="92"/>
      <c r="D62" s="92"/>
      <c r="E62" s="92"/>
      <c r="F62" s="216"/>
      <c r="G62" s="216"/>
      <c r="H62" s="92"/>
    </row>
    <row r="63" ht="16.5" customHeight="1">
      <c r="A63" s="92"/>
      <c r="B63" s="92"/>
      <c r="C63" s="92"/>
      <c r="D63" s="92"/>
      <c r="E63" s="92"/>
      <c r="F63" s="216"/>
      <c r="G63" s="216"/>
      <c r="H63" s="92"/>
    </row>
    <row r="64" ht="16.5" customHeight="1">
      <c r="A64" s="92"/>
      <c r="B64" s="92"/>
      <c r="C64" s="92"/>
      <c r="D64" s="92"/>
      <c r="E64" s="92"/>
      <c r="F64" s="216"/>
      <c r="G64" s="216"/>
      <c r="H64" s="92"/>
    </row>
    <row r="65" ht="16.5" customHeight="1">
      <c r="A65" s="92"/>
      <c r="B65" s="92"/>
      <c r="C65" s="92"/>
      <c r="D65" s="92"/>
      <c r="E65" s="92"/>
      <c r="F65" s="216"/>
      <c r="G65" s="216"/>
      <c r="H65" s="92"/>
    </row>
    <row r="66" ht="16.5" customHeight="1">
      <c r="A66" s="92"/>
      <c r="B66" s="92"/>
      <c r="C66" s="92"/>
      <c r="D66" s="92"/>
      <c r="E66" s="92"/>
      <c r="F66" s="216"/>
      <c r="G66" s="216"/>
      <c r="H66" s="92"/>
    </row>
    <row r="67" ht="16.5" customHeight="1">
      <c r="A67" s="92"/>
      <c r="B67" s="92"/>
      <c r="C67" s="92"/>
      <c r="D67" s="92"/>
      <c r="E67" s="92"/>
      <c r="F67" s="216"/>
      <c r="G67" s="216"/>
      <c r="H67" s="92"/>
    </row>
    <row r="68" ht="16.5" customHeight="1">
      <c r="A68" s="92"/>
      <c r="B68" s="92"/>
      <c r="C68" s="92"/>
      <c r="D68" s="92"/>
      <c r="E68" s="92"/>
      <c r="F68" s="216"/>
      <c r="G68" s="216"/>
      <c r="H68" s="92"/>
    </row>
    <row r="69" ht="16.5" customHeight="1">
      <c r="A69" s="92"/>
      <c r="B69" s="92"/>
      <c r="C69" s="92"/>
      <c r="D69" s="92"/>
      <c r="E69" s="92"/>
      <c r="F69" s="216"/>
      <c r="G69" s="216"/>
      <c r="H69" s="92"/>
    </row>
    <row r="70" ht="16.5" customHeight="1">
      <c r="A70" s="92"/>
      <c r="B70" s="92"/>
      <c r="C70" s="92"/>
      <c r="D70" s="92"/>
      <c r="E70" s="92"/>
      <c r="F70" s="216"/>
      <c r="G70" s="216"/>
      <c r="H70" s="92"/>
    </row>
    <row r="71" ht="16.5" customHeight="1">
      <c r="A71" s="92"/>
      <c r="B71" s="92"/>
      <c r="C71" s="92"/>
      <c r="D71" s="92"/>
      <c r="E71" s="92"/>
      <c r="F71" s="216"/>
      <c r="G71" s="216"/>
      <c r="H71" s="92"/>
    </row>
    <row r="72" ht="16.5" customHeight="1">
      <c r="A72" s="92"/>
      <c r="B72" s="92"/>
      <c r="C72" s="92"/>
      <c r="D72" s="92"/>
      <c r="E72" s="92"/>
      <c r="F72" s="216"/>
      <c r="G72" s="216"/>
      <c r="H72" s="92"/>
    </row>
    <row r="73" ht="16.5" customHeight="1">
      <c r="A73" s="92"/>
      <c r="B73" s="92"/>
      <c r="C73" s="92"/>
      <c r="D73" s="92"/>
      <c r="E73" s="92"/>
      <c r="F73" s="216"/>
      <c r="G73" s="216"/>
      <c r="H73" s="92"/>
    </row>
    <row r="74" ht="16.5" customHeight="1">
      <c r="A74" s="92"/>
      <c r="B74" s="92"/>
      <c r="C74" s="92"/>
      <c r="D74" s="92"/>
      <c r="E74" s="92"/>
      <c r="F74" s="216"/>
      <c r="G74" s="216"/>
      <c r="H74" s="92"/>
    </row>
    <row r="75" ht="16.5" customHeight="1">
      <c r="A75" s="92"/>
      <c r="B75" s="92"/>
      <c r="C75" s="92"/>
      <c r="D75" s="92"/>
      <c r="E75" s="92"/>
      <c r="F75" s="216"/>
      <c r="G75" s="216"/>
      <c r="H75" s="92"/>
    </row>
    <row r="76" ht="16.5" customHeight="1">
      <c r="A76" s="92"/>
      <c r="B76" s="92"/>
      <c r="C76" s="92"/>
      <c r="D76" s="92"/>
      <c r="E76" s="92"/>
      <c r="F76" s="216"/>
      <c r="G76" s="216"/>
      <c r="H76" s="92"/>
    </row>
    <row r="77" ht="16.5" customHeight="1">
      <c r="A77" s="92"/>
      <c r="B77" s="92"/>
      <c r="C77" s="92"/>
      <c r="D77" s="92"/>
      <c r="E77" s="92"/>
      <c r="F77" s="216"/>
      <c r="G77" s="216"/>
      <c r="H77" s="92"/>
    </row>
    <row r="78" ht="16.5" customHeight="1">
      <c r="A78" s="92"/>
      <c r="B78" s="92"/>
      <c r="C78" s="92"/>
      <c r="D78" s="92"/>
      <c r="E78" s="92"/>
      <c r="F78" s="216"/>
      <c r="G78" s="216"/>
      <c r="H78" s="92"/>
    </row>
    <row r="79" ht="16.5" customHeight="1">
      <c r="A79" s="92"/>
      <c r="B79" s="92"/>
      <c r="C79" s="92"/>
      <c r="D79" s="92"/>
      <c r="E79" s="92"/>
      <c r="F79" s="216"/>
      <c r="G79" s="216"/>
      <c r="H79" s="92"/>
    </row>
    <row r="80" ht="16.5" customHeight="1">
      <c r="A80" s="92"/>
      <c r="B80" s="92"/>
      <c r="C80" s="92"/>
      <c r="D80" s="92"/>
      <c r="E80" s="92"/>
      <c r="F80" s="216"/>
      <c r="G80" s="216"/>
      <c r="H80" s="92"/>
    </row>
    <row r="81" ht="16.5" customHeight="1">
      <c r="A81" s="92"/>
      <c r="B81" s="92"/>
      <c r="C81" s="92"/>
      <c r="D81" s="92"/>
      <c r="E81" s="92"/>
      <c r="F81" s="216"/>
      <c r="G81" s="216"/>
      <c r="H81" s="92"/>
    </row>
    <row r="82" ht="16.5" customHeight="1">
      <c r="A82" s="92"/>
      <c r="B82" s="92"/>
      <c r="C82" s="92"/>
      <c r="D82" s="92"/>
      <c r="E82" s="92"/>
      <c r="F82" s="216"/>
      <c r="G82" s="216"/>
      <c r="H82" s="92"/>
    </row>
    <row r="83" ht="16.5" customHeight="1">
      <c r="A83" s="92"/>
      <c r="B83" s="92"/>
      <c r="C83" s="92"/>
      <c r="D83" s="92"/>
      <c r="E83" s="92"/>
      <c r="F83" s="216"/>
      <c r="G83" s="216"/>
      <c r="H83" s="92"/>
    </row>
    <row r="84" ht="16.5" customHeight="1">
      <c r="A84" s="92"/>
      <c r="B84" s="92"/>
      <c r="C84" s="92"/>
      <c r="D84" s="92"/>
      <c r="E84" s="92"/>
      <c r="F84" s="216"/>
      <c r="G84" s="216"/>
      <c r="H84" s="92"/>
    </row>
    <row r="85" ht="16.5" customHeight="1">
      <c r="A85" s="92"/>
      <c r="B85" s="92"/>
      <c r="C85" s="92"/>
      <c r="D85" s="92"/>
      <c r="E85" s="92"/>
      <c r="F85" s="216"/>
      <c r="G85" s="216"/>
      <c r="H85" s="92"/>
    </row>
    <row r="86" ht="16.5" customHeight="1">
      <c r="A86" s="92"/>
      <c r="B86" s="92"/>
      <c r="C86" s="92"/>
      <c r="D86" s="92"/>
      <c r="E86" s="92"/>
      <c r="F86" s="216"/>
      <c r="G86" s="216"/>
      <c r="H86" s="92"/>
    </row>
    <row r="87" ht="16.5" customHeight="1">
      <c r="A87" s="92"/>
      <c r="B87" s="92"/>
      <c r="C87" s="92"/>
      <c r="D87" s="92"/>
      <c r="E87" s="92"/>
      <c r="F87" s="216"/>
      <c r="G87" s="216"/>
      <c r="H87" s="92"/>
    </row>
    <row r="88" ht="16.5" customHeight="1">
      <c r="A88" s="92"/>
      <c r="B88" s="92"/>
      <c r="C88" s="92"/>
      <c r="D88" s="92"/>
      <c r="E88" s="92"/>
      <c r="F88" s="216"/>
      <c r="G88" s="216"/>
      <c r="H88" s="92"/>
    </row>
    <row r="89" ht="16.5" customHeight="1">
      <c r="A89" s="92"/>
      <c r="B89" s="92"/>
      <c r="C89" s="92"/>
      <c r="D89" s="92"/>
      <c r="E89" s="92"/>
      <c r="F89" s="216"/>
      <c r="G89" s="216"/>
      <c r="H89" s="92"/>
    </row>
    <row r="90" ht="16.5" customHeight="1">
      <c r="A90" s="92"/>
      <c r="B90" s="92"/>
      <c r="C90" s="92"/>
      <c r="D90" s="92"/>
      <c r="E90" s="92"/>
      <c r="F90" s="216"/>
      <c r="G90" s="216"/>
      <c r="H90" s="92"/>
    </row>
    <row r="91" ht="16.5" customHeight="1">
      <c r="A91" s="92"/>
      <c r="B91" s="92"/>
      <c r="C91" s="92"/>
      <c r="D91" s="92"/>
      <c r="E91" s="92"/>
      <c r="F91" s="216"/>
      <c r="G91" s="216"/>
      <c r="H91" s="92"/>
    </row>
    <row r="92" ht="16.5" customHeight="1">
      <c r="A92" s="92"/>
      <c r="B92" s="92"/>
      <c r="C92" s="92"/>
      <c r="D92" s="92"/>
      <c r="E92" s="92"/>
      <c r="F92" s="216"/>
      <c r="G92" s="216"/>
      <c r="H92" s="92"/>
    </row>
    <row r="93" ht="16.5" customHeight="1">
      <c r="A93" s="92"/>
      <c r="B93" s="92"/>
      <c r="C93" s="92"/>
      <c r="D93" s="92"/>
      <c r="E93" s="92"/>
      <c r="F93" s="216"/>
      <c r="G93" s="216"/>
      <c r="H93" s="92"/>
    </row>
    <row r="94" ht="16.5" customHeight="1">
      <c r="A94" s="92"/>
      <c r="B94" s="92"/>
      <c r="C94" s="92"/>
      <c r="D94" s="92"/>
      <c r="E94" s="92"/>
      <c r="F94" s="216"/>
      <c r="G94" s="216"/>
      <c r="H94" s="92"/>
    </row>
    <row r="95" ht="16.5" customHeight="1">
      <c r="A95" s="92"/>
      <c r="B95" s="92"/>
      <c r="C95" s="92"/>
      <c r="D95" s="92"/>
      <c r="E95" s="92"/>
      <c r="F95" s="216"/>
      <c r="G95" s="216"/>
      <c r="H95" s="92"/>
    </row>
    <row r="96" ht="16.5" customHeight="1">
      <c r="A96" s="92"/>
      <c r="B96" s="92"/>
      <c r="C96" s="92"/>
      <c r="D96" s="92"/>
      <c r="E96" s="92"/>
      <c r="F96" s="216"/>
      <c r="G96" s="216"/>
      <c r="H96" s="92"/>
    </row>
    <row r="97" ht="16.5" customHeight="1">
      <c r="A97" s="92"/>
      <c r="B97" s="92"/>
      <c r="C97" s="92"/>
      <c r="D97" s="92"/>
      <c r="E97" s="92"/>
      <c r="F97" s="216"/>
      <c r="G97" s="216"/>
      <c r="H97" s="92"/>
    </row>
    <row r="98" ht="16.5" customHeight="1">
      <c r="A98" s="92"/>
      <c r="B98" s="92"/>
      <c r="C98" s="92"/>
      <c r="D98" s="92"/>
      <c r="E98" s="92"/>
      <c r="F98" s="216"/>
      <c r="G98" s="216"/>
      <c r="H98" s="92"/>
    </row>
    <row r="99" ht="16.5" customHeight="1">
      <c r="A99" s="92"/>
      <c r="B99" s="92"/>
      <c r="C99" s="92"/>
      <c r="D99" s="92"/>
      <c r="E99" s="92"/>
      <c r="F99" s="216"/>
      <c r="G99" s="216"/>
      <c r="H99" s="92"/>
    </row>
    <row r="100" ht="16.5" customHeight="1">
      <c r="A100" s="92"/>
      <c r="B100" s="92"/>
      <c r="C100" s="92"/>
      <c r="D100" s="92"/>
      <c r="E100" s="92"/>
      <c r="F100" s="216"/>
      <c r="G100" s="216"/>
      <c r="H100" s="92"/>
    </row>
    <row r="101" ht="16.5" customHeight="1">
      <c r="A101" s="92"/>
      <c r="B101" s="92"/>
      <c r="C101" s="92"/>
      <c r="D101" s="92"/>
      <c r="E101" s="92"/>
      <c r="F101" s="216"/>
      <c r="G101" s="216"/>
      <c r="H101" s="92"/>
    </row>
    <row r="102" ht="16.5" customHeight="1">
      <c r="A102" s="92"/>
      <c r="B102" s="92"/>
      <c r="C102" s="92"/>
      <c r="D102" s="92"/>
      <c r="E102" s="92"/>
      <c r="F102" s="216"/>
      <c r="G102" s="216"/>
      <c r="H102" s="92"/>
    </row>
    <row r="103" ht="16.5" customHeight="1">
      <c r="A103" s="92"/>
      <c r="B103" s="92"/>
      <c r="C103" s="92"/>
      <c r="D103" s="92"/>
      <c r="E103" s="92"/>
      <c r="F103" s="216"/>
      <c r="G103" s="216"/>
      <c r="H103" s="92"/>
    </row>
    <row r="104" ht="16.5" customHeight="1">
      <c r="A104" s="92"/>
      <c r="B104" s="92"/>
      <c r="C104" s="92"/>
      <c r="D104" s="92"/>
      <c r="E104" s="92"/>
      <c r="F104" s="216"/>
      <c r="G104" s="216"/>
      <c r="H104" s="92"/>
    </row>
    <row r="105" ht="16.5" customHeight="1">
      <c r="A105" s="92"/>
      <c r="B105" s="92"/>
      <c r="C105" s="92"/>
      <c r="D105" s="92"/>
      <c r="E105" s="92"/>
      <c r="F105" s="216"/>
      <c r="G105" s="216"/>
      <c r="H105" s="92"/>
    </row>
    <row r="106" ht="16.5" customHeight="1">
      <c r="A106" s="92"/>
      <c r="B106" s="92"/>
      <c r="C106" s="92"/>
      <c r="D106" s="92"/>
      <c r="E106" s="92"/>
      <c r="F106" s="216"/>
      <c r="G106" s="216"/>
      <c r="H106" s="92"/>
    </row>
    <row r="107" ht="16.5" customHeight="1">
      <c r="A107" s="92"/>
      <c r="B107" s="92"/>
      <c r="C107" s="92"/>
      <c r="D107" s="92"/>
      <c r="E107" s="92"/>
      <c r="F107" s="216"/>
      <c r="G107" s="216"/>
      <c r="H107" s="92"/>
    </row>
    <row r="108" ht="16.5" customHeight="1">
      <c r="A108" s="92"/>
      <c r="B108" s="92"/>
      <c r="C108" s="92"/>
      <c r="D108" s="92"/>
      <c r="E108" s="92"/>
      <c r="F108" s="216"/>
      <c r="G108" s="216"/>
      <c r="H108" s="92"/>
    </row>
    <row r="109" ht="16.5" customHeight="1">
      <c r="A109" s="92"/>
      <c r="B109" s="92"/>
      <c r="C109" s="92"/>
      <c r="D109" s="92"/>
      <c r="E109" s="92"/>
      <c r="F109" s="216"/>
      <c r="G109" s="216"/>
      <c r="H109" s="92"/>
    </row>
    <row r="110" ht="16.5" customHeight="1">
      <c r="A110" s="92"/>
      <c r="B110" s="92"/>
      <c r="C110" s="92"/>
      <c r="D110" s="92"/>
      <c r="E110" s="92"/>
      <c r="F110" s="216"/>
      <c r="G110" s="216"/>
      <c r="H110" s="92"/>
    </row>
    <row r="111" ht="16.5" customHeight="1">
      <c r="A111" s="92"/>
      <c r="B111" s="92"/>
      <c r="C111" s="92"/>
      <c r="D111" s="92"/>
      <c r="E111" s="92"/>
      <c r="F111" s="216"/>
      <c r="G111" s="216"/>
      <c r="H111" s="92"/>
    </row>
    <row r="112" ht="16.5" customHeight="1">
      <c r="A112" s="92"/>
      <c r="B112" s="92"/>
      <c r="C112" s="92"/>
      <c r="D112" s="92"/>
      <c r="E112" s="92"/>
      <c r="F112" s="216"/>
      <c r="G112" s="216"/>
      <c r="H112" s="92"/>
    </row>
    <row r="113" ht="16.5" customHeight="1">
      <c r="A113" s="92"/>
      <c r="B113" s="92"/>
      <c r="C113" s="92"/>
      <c r="D113" s="92"/>
      <c r="E113" s="92"/>
      <c r="F113" s="216"/>
      <c r="G113" s="216"/>
      <c r="H113" s="92"/>
    </row>
    <row r="114" ht="16.5" customHeight="1">
      <c r="A114" s="92"/>
      <c r="B114" s="92"/>
      <c r="C114" s="92"/>
      <c r="D114" s="92"/>
      <c r="E114" s="92"/>
      <c r="F114" s="216"/>
      <c r="G114" s="216"/>
      <c r="H114" s="92"/>
    </row>
    <row r="115" ht="16.5" customHeight="1">
      <c r="A115" s="92"/>
      <c r="B115" s="92"/>
      <c r="C115" s="92"/>
      <c r="D115" s="92"/>
      <c r="E115" s="92"/>
      <c r="F115" s="216"/>
      <c r="G115" s="216"/>
      <c r="H115" s="92"/>
    </row>
    <row r="116" ht="16.5" customHeight="1">
      <c r="A116" s="92"/>
      <c r="B116" s="92"/>
      <c r="C116" s="92"/>
      <c r="D116" s="92"/>
      <c r="E116" s="92"/>
      <c r="F116" s="216"/>
      <c r="G116" s="216"/>
      <c r="H116" s="92"/>
    </row>
    <row r="117" ht="16.5" customHeight="1">
      <c r="A117" s="92"/>
      <c r="B117" s="92"/>
      <c r="C117" s="92"/>
      <c r="D117" s="92"/>
      <c r="E117" s="92"/>
      <c r="F117" s="216"/>
      <c r="G117" s="216"/>
      <c r="H117" s="92"/>
    </row>
    <row r="118" ht="16.5" customHeight="1">
      <c r="A118" s="92"/>
      <c r="B118" s="92"/>
      <c r="C118" s="92"/>
      <c r="D118" s="92"/>
      <c r="E118" s="92"/>
      <c r="F118" s="216"/>
      <c r="G118" s="216"/>
      <c r="H118" s="92"/>
    </row>
    <row r="119" ht="16.5" customHeight="1">
      <c r="A119" s="92"/>
      <c r="B119" s="92"/>
      <c r="C119" s="92"/>
      <c r="D119" s="92"/>
      <c r="E119" s="92"/>
      <c r="F119" s="216"/>
      <c r="G119" s="216"/>
      <c r="H119" s="92"/>
    </row>
    <row r="120" ht="16.5" customHeight="1">
      <c r="A120" s="92"/>
      <c r="B120" s="92"/>
      <c r="C120" s="92"/>
      <c r="D120" s="92"/>
      <c r="E120" s="92"/>
      <c r="F120" s="216"/>
      <c r="G120" s="216"/>
      <c r="H120" s="92"/>
    </row>
    <row r="121" ht="16.5" customHeight="1">
      <c r="A121" s="92"/>
      <c r="B121" s="92"/>
      <c r="C121" s="92"/>
      <c r="D121" s="92"/>
      <c r="E121" s="92"/>
      <c r="F121" s="216"/>
      <c r="G121" s="216"/>
      <c r="H121" s="92"/>
    </row>
    <row r="122" ht="16.5" customHeight="1">
      <c r="A122" s="92"/>
      <c r="B122" s="92"/>
      <c r="C122" s="92"/>
      <c r="D122" s="92"/>
      <c r="E122" s="92"/>
      <c r="F122" s="216"/>
      <c r="G122" s="216"/>
      <c r="H122" s="92"/>
    </row>
    <row r="123" ht="16.5" customHeight="1">
      <c r="A123" s="92"/>
      <c r="B123" s="92"/>
      <c r="C123" s="92"/>
      <c r="D123" s="92"/>
      <c r="E123" s="92"/>
      <c r="F123" s="216"/>
      <c r="G123" s="216"/>
      <c r="H123" s="92"/>
    </row>
    <row r="124" ht="16.5" customHeight="1">
      <c r="A124" s="92"/>
      <c r="B124" s="92"/>
      <c r="C124" s="92"/>
      <c r="D124" s="92"/>
      <c r="E124" s="92"/>
      <c r="F124" s="216"/>
      <c r="G124" s="216"/>
      <c r="H124" s="92"/>
    </row>
    <row r="125" ht="16.5" customHeight="1">
      <c r="A125" s="92"/>
      <c r="B125" s="92"/>
      <c r="C125" s="92"/>
      <c r="D125" s="92"/>
      <c r="E125" s="92"/>
      <c r="F125" s="216"/>
      <c r="G125" s="216"/>
      <c r="H125" s="92"/>
    </row>
    <row r="126" ht="16.5" customHeight="1">
      <c r="A126" s="92"/>
      <c r="B126" s="92"/>
      <c r="C126" s="92"/>
      <c r="D126" s="92"/>
      <c r="E126" s="92"/>
      <c r="F126" s="216"/>
      <c r="G126" s="216"/>
      <c r="H126" s="92"/>
    </row>
    <row r="127" ht="16.5" customHeight="1">
      <c r="A127" s="92"/>
      <c r="B127" s="92"/>
      <c r="C127" s="92"/>
      <c r="D127" s="92"/>
      <c r="E127" s="92"/>
      <c r="F127" s="216"/>
      <c r="G127" s="216"/>
      <c r="H127" s="92"/>
    </row>
    <row r="128" ht="16.5" customHeight="1">
      <c r="A128" s="92"/>
      <c r="B128" s="92"/>
      <c r="C128" s="92"/>
      <c r="D128" s="92"/>
      <c r="E128" s="92"/>
      <c r="F128" s="216"/>
      <c r="G128" s="216"/>
      <c r="H128" s="92"/>
    </row>
    <row r="129" ht="16.5" customHeight="1">
      <c r="A129" s="92"/>
      <c r="B129" s="92"/>
      <c r="C129" s="92"/>
      <c r="D129" s="92"/>
      <c r="E129" s="92"/>
      <c r="F129" s="216"/>
      <c r="G129" s="216"/>
      <c r="H129" s="92"/>
    </row>
    <row r="130" ht="16.5" customHeight="1">
      <c r="A130" s="92"/>
      <c r="B130" s="92"/>
      <c r="C130" s="92"/>
      <c r="D130" s="92"/>
      <c r="E130" s="92"/>
      <c r="F130" s="216"/>
      <c r="G130" s="216"/>
      <c r="H130" s="92"/>
    </row>
    <row r="131" ht="16.5" customHeight="1">
      <c r="A131" s="92"/>
      <c r="B131" s="92"/>
      <c r="C131" s="92"/>
      <c r="D131" s="92"/>
      <c r="E131" s="92"/>
      <c r="F131" s="216"/>
      <c r="G131" s="216"/>
      <c r="H131" s="92"/>
    </row>
    <row r="132" ht="16.5" customHeight="1">
      <c r="A132" s="92"/>
      <c r="B132" s="92"/>
      <c r="C132" s="92"/>
      <c r="D132" s="92"/>
      <c r="E132" s="92"/>
      <c r="F132" s="216"/>
      <c r="G132" s="216"/>
      <c r="H132" s="92"/>
    </row>
    <row r="133" ht="16.5" customHeight="1">
      <c r="A133" s="92"/>
      <c r="B133" s="92"/>
      <c r="C133" s="92"/>
      <c r="D133" s="92"/>
      <c r="E133" s="92"/>
      <c r="F133" s="216"/>
      <c r="G133" s="216"/>
      <c r="H133" s="92"/>
    </row>
    <row r="134" ht="16.5" customHeight="1">
      <c r="A134" s="92"/>
      <c r="B134" s="92"/>
      <c r="C134" s="92"/>
      <c r="D134" s="92"/>
      <c r="E134" s="92"/>
      <c r="F134" s="216"/>
      <c r="G134" s="216"/>
      <c r="H134" s="92"/>
    </row>
    <row r="135" ht="16.5" customHeight="1">
      <c r="A135" s="92"/>
      <c r="B135" s="92"/>
      <c r="C135" s="92"/>
      <c r="D135" s="92"/>
      <c r="E135" s="92"/>
      <c r="F135" s="216"/>
      <c r="G135" s="216"/>
      <c r="H135" s="92"/>
    </row>
    <row r="136" ht="16.5" customHeight="1">
      <c r="A136" s="92"/>
      <c r="B136" s="92"/>
      <c r="C136" s="92"/>
      <c r="D136" s="92"/>
      <c r="E136" s="92"/>
      <c r="F136" s="216"/>
      <c r="G136" s="216"/>
      <c r="H136" s="92"/>
    </row>
    <row r="137" ht="16.5" customHeight="1">
      <c r="A137" s="92"/>
      <c r="B137" s="92"/>
      <c r="C137" s="92"/>
      <c r="D137" s="92"/>
      <c r="E137" s="92"/>
      <c r="F137" s="216"/>
      <c r="G137" s="216"/>
      <c r="H137" s="92"/>
    </row>
    <row r="138" ht="16.5" customHeight="1">
      <c r="A138" s="92"/>
      <c r="B138" s="92"/>
      <c r="C138" s="92"/>
      <c r="D138" s="92"/>
      <c r="E138" s="92"/>
      <c r="F138" s="216"/>
      <c r="G138" s="216"/>
      <c r="H138" s="92"/>
    </row>
    <row r="139" ht="16.5" customHeight="1">
      <c r="A139" s="92"/>
      <c r="B139" s="92"/>
      <c r="C139" s="92"/>
      <c r="D139" s="92"/>
      <c r="E139" s="92"/>
      <c r="F139" s="216"/>
      <c r="G139" s="216"/>
      <c r="H139" s="92"/>
    </row>
    <row r="140" ht="16.5" customHeight="1">
      <c r="A140" s="92"/>
      <c r="B140" s="92"/>
      <c r="C140" s="92"/>
      <c r="D140" s="92"/>
      <c r="E140" s="92"/>
      <c r="F140" s="216"/>
      <c r="G140" s="216"/>
      <c r="H140" s="92"/>
    </row>
    <row r="141" ht="16.5" customHeight="1">
      <c r="A141" s="92"/>
      <c r="B141" s="92"/>
      <c r="C141" s="92"/>
      <c r="D141" s="92"/>
      <c r="E141" s="92"/>
      <c r="F141" s="216"/>
      <c r="G141" s="216"/>
      <c r="H141" s="92"/>
    </row>
    <row r="142" ht="16.5" customHeight="1">
      <c r="A142" s="92"/>
      <c r="B142" s="92"/>
      <c r="C142" s="92"/>
      <c r="D142" s="92"/>
      <c r="E142" s="92"/>
      <c r="F142" s="216"/>
      <c r="G142" s="216"/>
      <c r="H142" s="92"/>
    </row>
    <row r="143" ht="16.5" customHeight="1">
      <c r="A143" s="92"/>
      <c r="B143" s="92"/>
      <c r="C143" s="92"/>
      <c r="D143" s="92"/>
      <c r="E143" s="92"/>
      <c r="F143" s="216"/>
      <c r="G143" s="216"/>
      <c r="H143" s="92"/>
    </row>
    <row r="144" ht="16.5" customHeight="1">
      <c r="A144" s="92"/>
      <c r="B144" s="92"/>
      <c r="C144" s="92"/>
      <c r="D144" s="92"/>
      <c r="E144" s="92"/>
      <c r="F144" s="216"/>
      <c r="G144" s="216"/>
      <c r="H144" s="92"/>
    </row>
    <row r="145" ht="16.5" customHeight="1">
      <c r="A145" s="92"/>
      <c r="B145" s="92"/>
      <c r="C145" s="92"/>
      <c r="D145" s="92"/>
      <c r="E145" s="92"/>
      <c r="F145" s="216"/>
      <c r="G145" s="216"/>
      <c r="H145" s="92"/>
    </row>
    <row r="146" ht="16.5" customHeight="1">
      <c r="A146" s="92"/>
      <c r="B146" s="92"/>
      <c r="C146" s="92"/>
      <c r="D146" s="92"/>
      <c r="E146" s="92"/>
      <c r="F146" s="216"/>
      <c r="G146" s="216"/>
      <c r="H146" s="92"/>
    </row>
    <row r="147" ht="16.5" customHeight="1">
      <c r="A147" s="92"/>
      <c r="B147" s="92"/>
      <c r="C147" s="92"/>
      <c r="D147" s="92"/>
      <c r="E147" s="92"/>
      <c r="F147" s="216"/>
      <c r="G147" s="216"/>
      <c r="H147" s="92"/>
    </row>
    <row r="148" ht="16.5" customHeight="1">
      <c r="A148" s="92"/>
      <c r="B148" s="92"/>
      <c r="C148" s="92"/>
      <c r="D148" s="92"/>
      <c r="E148" s="92"/>
      <c r="F148" s="216"/>
      <c r="G148" s="216"/>
      <c r="H148" s="92"/>
    </row>
    <row r="149" ht="16.5" customHeight="1">
      <c r="A149" s="92"/>
      <c r="B149" s="92"/>
      <c r="C149" s="92"/>
      <c r="D149" s="92"/>
      <c r="E149" s="92"/>
      <c r="F149" s="216"/>
      <c r="G149" s="216"/>
      <c r="H149" s="92"/>
    </row>
    <row r="150" ht="16.5" customHeight="1">
      <c r="A150" s="92"/>
      <c r="B150" s="92"/>
      <c r="C150" s="92"/>
      <c r="D150" s="92"/>
      <c r="E150" s="92"/>
      <c r="F150" s="216"/>
      <c r="G150" s="216"/>
      <c r="H150" s="92"/>
    </row>
    <row r="151" ht="16.5" customHeight="1">
      <c r="A151" s="92"/>
      <c r="B151" s="92"/>
      <c r="C151" s="92"/>
      <c r="D151" s="92"/>
      <c r="E151" s="92"/>
      <c r="F151" s="216"/>
      <c r="G151" s="216"/>
      <c r="H151" s="92"/>
    </row>
    <row r="152" ht="16.5" customHeight="1">
      <c r="A152" s="92"/>
      <c r="B152" s="92"/>
      <c r="C152" s="92"/>
      <c r="D152" s="92"/>
      <c r="E152" s="92"/>
      <c r="F152" s="216"/>
      <c r="G152" s="216"/>
      <c r="H152" s="92"/>
    </row>
    <row r="153" ht="16.5" customHeight="1">
      <c r="A153" s="92"/>
      <c r="B153" s="92"/>
      <c r="C153" s="92"/>
      <c r="D153" s="92"/>
      <c r="E153" s="92"/>
      <c r="F153" s="216"/>
      <c r="G153" s="216"/>
      <c r="H153" s="92"/>
    </row>
    <row r="154" ht="16.5" customHeight="1">
      <c r="A154" s="92"/>
      <c r="B154" s="92"/>
      <c r="C154" s="92"/>
      <c r="D154" s="92"/>
      <c r="E154" s="92"/>
      <c r="F154" s="216"/>
      <c r="G154" s="216"/>
      <c r="H154" s="92"/>
    </row>
    <row r="155" ht="16.5" customHeight="1">
      <c r="A155" s="92"/>
      <c r="B155" s="92"/>
      <c r="C155" s="92"/>
      <c r="D155" s="92"/>
      <c r="E155" s="92"/>
      <c r="F155" s="216"/>
      <c r="G155" s="216"/>
      <c r="H155" s="92"/>
    </row>
    <row r="156" ht="16.5" customHeight="1">
      <c r="A156" s="92"/>
      <c r="B156" s="92"/>
      <c r="C156" s="92"/>
      <c r="D156" s="92"/>
      <c r="E156" s="92"/>
      <c r="F156" s="216"/>
      <c r="G156" s="216"/>
      <c r="H156" s="92"/>
    </row>
    <row r="157" ht="16.5" customHeight="1">
      <c r="A157" s="92"/>
      <c r="B157" s="92"/>
      <c r="C157" s="92"/>
      <c r="D157" s="92"/>
      <c r="E157" s="92"/>
      <c r="F157" s="216"/>
      <c r="G157" s="216"/>
      <c r="H157" s="92"/>
    </row>
    <row r="158" ht="16.5" customHeight="1">
      <c r="A158" s="92"/>
      <c r="B158" s="92"/>
      <c r="C158" s="92"/>
      <c r="D158" s="92"/>
      <c r="E158" s="92"/>
      <c r="F158" s="216"/>
      <c r="G158" s="216"/>
      <c r="H158" s="92"/>
    </row>
    <row r="159" ht="16.5" customHeight="1">
      <c r="A159" s="92"/>
      <c r="B159" s="92"/>
      <c r="C159" s="92"/>
      <c r="D159" s="92"/>
      <c r="E159" s="92"/>
      <c r="F159" s="216"/>
      <c r="G159" s="216"/>
      <c r="H159" s="92"/>
    </row>
    <row r="160" ht="16.5" customHeight="1">
      <c r="A160" s="92"/>
      <c r="B160" s="92"/>
      <c r="C160" s="92"/>
      <c r="D160" s="92"/>
      <c r="E160" s="92"/>
      <c r="F160" s="216"/>
      <c r="G160" s="216"/>
      <c r="H160" s="92"/>
    </row>
    <row r="161" ht="16.5" customHeight="1">
      <c r="A161" s="92"/>
      <c r="B161" s="92"/>
      <c r="C161" s="92"/>
      <c r="D161" s="92"/>
      <c r="E161" s="92"/>
      <c r="F161" s="216"/>
      <c r="G161" s="216"/>
      <c r="H161" s="92"/>
    </row>
    <row r="162" ht="16.5" customHeight="1">
      <c r="A162" s="92"/>
      <c r="B162" s="92"/>
      <c r="C162" s="92"/>
      <c r="D162" s="92"/>
      <c r="E162" s="92"/>
      <c r="F162" s="216"/>
      <c r="G162" s="216"/>
      <c r="H162" s="92"/>
    </row>
    <row r="163" ht="16.5" customHeight="1">
      <c r="A163" s="92"/>
      <c r="B163" s="92"/>
      <c r="C163" s="92"/>
      <c r="D163" s="92"/>
      <c r="E163" s="92"/>
      <c r="F163" s="216"/>
      <c r="G163" s="216"/>
      <c r="H163" s="92"/>
    </row>
    <row r="164" ht="16.5" customHeight="1">
      <c r="A164" s="92"/>
      <c r="B164" s="92"/>
      <c r="C164" s="92"/>
      <c r="D164" s="92"/>
      <c r="E164" s="92"/>
      <c r="F164" s="216"/>
      <c r="G164" s="216"/>
      <c r="H164" s="92"/>
    </row>
    <row r="165" ht="16.5" customHeight="1">
      <c r="A165" s="92"/>
      <c r="B165" s="92"/>
      <c r="C165" s="92"/>
      <c r="D165" s="92"/>
      <c r="E165" s="92"/>
      <c r="F165" s="216"/>
      <c r="G165" s="216"/>
      <c r="H165" s="92"/>
    </row>
    <row r="166" ht="16.5" customHeight="1">
      <c r="A166" s="92"/>
      <c r="B166" s="92"/>
      <c r="C166" s="92"/>
      <c r="D166" s="92"/>
      <c r="E166" s="92"/>
      <c r="F166" s="216"/>
      <c r="G166" s="216"/>
      <c r="H166" s="92"/>
    </row>
    <row r="167" ht="16.5" customHeight="1">
      <c r="A167" s="92"/>
      <c r="B167" s="92"/>
      <c r="C167" s="92"/>
      <c r="D167" s="92"/>
      <c r="E167" s="92"/>
      <c r="F167" s="216"/>
      <c r="G167" s="216"/>
      <c r="H167" s="92"/>
    </row>
    <row r="168" ht="16.5" customHeight="1">
      <c r="A168" s="92"/>
      <c r="B168" s="92"/>
      <c r="C168" s="92"/>
      <c r="D168" s="92"/>
      <c r="E168" s="92"/>
      <c r="F168" s="216"/>
      <c r="G168" s="216"/>
      <c r="H168" s="92"/>
    </row>
    <row r="169" ht="16.5" customHeight="1">
      <c r="A169" s="92"/>
      <c r="B169" s="92"/>
      <c r="C169" s="92"/>
      <c r="D169" s="92"/>
      <c r="E169" s="92"/>
      <c r="F169" s="216"/>
      <c r="G169" s="216"/>
      <c r="H169" s="92"/>
    </row>
    <row r="170" ht="16.5" customHeight="1">
      <c r="A170" s="92"/>
      <c r="B170" s="92"/>
      <c r="C170" s="92"/>
      <c r="D170" s="92"/>
      <c r="E170" s="92"/>
      <c r="F170" s="216"/>
      <c r="G170" s="216"/>
      <c r="H170" s="92"/>
    </row>
    <row r="171" ht="16.5" customHeight="1">
      <c r="A171" s="92"/>
      <c r="B171" s="92"/>
      <c r="C171" s="92"/>
      <c r="D171" s="92"/>
      <c r="E171" s="92"/>
      <c r="F171" s="216"/>
      <c r="G171" s="216"/>
      <c r="H171" s="92"/>
    </row>
    <row r="172" ht="16.5" customHeight="1">
      <c r="A172" s="92"/>
      <c r="B172" s="92"/>
      <c r="C172" s="92"/>
      <c r="D172" s="92"/>
      <c r="E172" s="92"/>
      <c r="F172" s="216"/>
      <c r="G172" s="216"/>
      <c r="H172" s="92"/>
    </row>
    <row r="173" ht="16.5" customHeight="1">
      <c r="A173" s="92"/>
      <c r="B173" s="92"/>
      <c r="C173" s="92"/>
      <c r="D173" s="92"/>
      <c r="E173" s="92"/>
      <c r="F173" s="216"/>
      <c r="G173" s="216"/>
      <c r="H173" s="92"/>
    </row>
    <row r="174" ht="16.5" customHeight="1">
      <c r="A174" s="92"/>
      <c r="B174" s="92"/>
      <c r="C174" s="92"/>
      <c r="D174" s="92"/>
      <c r="E174" s="92"/>
      <c r="F174" s="216"/>
      <c r="G174" s="216"/>
      <c r="H174" s="92"/>
    </row>
    <row r="175" ht="16.5" customHeight="1">
      <c r="A175" s="92"/>
      <c r="B175" s="92"/>
      <c r="C175" s="92"/>
      <c r="D175" s="92"/>
      <c r="E175" s="92"/>
      <c r="F175" s="216"/>
      <c r="G175" s="216"/>
      <c r="H175" s="92"/>
    </row>
    <row r="176" ht="16.5" customHeight="1">
      <c r="A176" s="92"/>
      <c r="B176" s="92"/>
      <c r="C176" s="92"/>
      <c r="D176" s="92"/>
      <c r="E176" s="92"/>
      <c r="F176" s="216"/>
      <c r="G176" s="216"/>
      <c r="H176" s="92"/>
    </row>
    <row r="177" ht="16.5" customHeight="1">
      <c r="A177" s="92"/>
      <c r="B177" s="92"/>
      <c r="C177" s="92"/>
      <c r="D177" s="92"/>
      <c r="E177" s="92"/>
      <c r="F177" s="216"/>
      <c r="G177" s="216"/>
      <c r="H177" s="92"/>
    </row>
    <row r="178" ht="16.5" customHeight="1">
      <c r="A178" s="92"/>
      <c r="B178" s="92"/>
      <c r="C178" s="92"/>
      <c r="D178" s="92"/>
      <c r="E178" s="92"/>
      <c r="F178" s="216"/>
      <c r="G178" s="216"/>
      <c r="H178" s="92"/>
    </row>
    <row r="179" ht="16.5" customHeight="1">
      <c r="A179" s="92"/>
      <c r="B179" s="92"/>
      <c r="C179" s="92"/>
      <c r="D179" s="92"/>
      <c r="E179" s="92"/>
      <c r="F179" s="216"/>
      <c r="G179" s="216"/>
      <c r="H179" s="92"/>
    </row>
    <row r="180" ht="16.5" customHeight="1">
      <c r="A180" s="92"/>
      <c r="B180" s="92"/>
      <c r="C180" s="92"/>
      <c r="D180" s="92"/>
      <c r="E180" s="92"/>
      <c r="F180" s="216"/>
      <c r="G180" s="216"/>
      <c r="H180" s="92"/>
    </row>
    <row r="181" ht="16.5" customHeight="1">
      <c r="A181" s="92"/>
      <c r="B181" s="92"/>
      <c r="C181" s="92"/>
      <c r="D181" s="92"/>
      <c r="E181" s="92"/>
      <c r="F181" s="216"/>
      <c r="G181" s="216"/>
      <c r="H181" s="92"/>
    </row>
    <row r="182" ht="16.5" customHeight="1">
      <c r="A182" s="92"/>
      <c r="B182" s="92"/>
      <c r="C182" s="92"/>
      <c r="D182" s="92"/>
      <c r="E182" s="92"/>
      <c r="F182" s="216"/>
      <c r="G182" s="216"/>
      <c r="H182" s="92"/>
    </row>
    <row r="183" ht="16.5" customHeight="1">
      <c r="A183" s="92"/>
      <c r="B183" s="92"/>
      <c r="C183" s="92"/>
      <c r="D183" s="92"/>
      <c r="E183" s="92"/>
      <c r="F183" s="216"/>
      <c r="G183" s="216"/>
      <c r="H183" s="92"/>
    </row>
    <row r="184" ht="16.5" customHeight="1">
      <c r="A184" s="92"/>
      <c r="B184" s="92"/>
      <c r="C184" s="92"/>
      <c r="D184" s="92"/>
      <c r="E184" s="92"/>
      <c r="F184" s="216"/>
      <c r="G184" s="216"/>
      <c r="H184" s="92"/>
    </row>
    <row r="185" ht="16.5" customHeight="1">
      <c r="A185" s="92"/>
      <c r="B185" s="92"/>
      <c r="C185" s="92"/>
      <c r="D185" s="92"/>
      <c r="E185" s="92"/>
      <c r="F185" s="216"/>
      <c r="G185" s="216"/>
      <c r="H185" s="92"/>
    </row>
    <row r="186" ht="16.5" customHeight="1">
      <c r="A186" s="92"/>
      <c r="B186" s="92"/>
      <c r="C186" s="92"/>
      <c r="D186" s="92"/>
      <c r="E186" s="92"/>
      <c r="F186" s="216"/>
      <c r="G186" s="216"/>
      <c r="H186" s="92"/>
    </row>
    <row r="187" ht="16.5" customHeight="1">
      <c r="A187" s="92"/>
      <c r="B187" s="92"/>
      <c r="C187" s="92"/>
      <c r="D187" s="92"/>
      <c r="E187" s="92"/>
      <c r="F187" s="216"/>
      <c r="G187" s="216"/>
      <c r="H187" s="92"/>
    </row>
    <row r="188" ht="16.5" customHeight="1">
      <c r="A188" s="92"/>
      <c r="B188" s="92"/>
      <c r="C188" s="92"/>
      <c r="D188" s="92"/>
      <c r="E188" s="92"/>
      <c r="F188" s="216"/>
      <c r="G188" s="216"/>
      <c r="H188" s="92"/>
    </row>
    <row r="189" ht="16.5" customHeight="1">
      <c r="A189" s="92"/>
      <c r="B189" s="92"/>
      <c r="C189" s="92"/>
      <c r="D189" s="92"/>
      <c r="E189" s="92"/>
      <c r="F189" s="216"/>
      <c r="G189" s="216"/>
      <c r="H189" s="92"/>
    </row>
    <row r="190" ht="16.5" customHeight="1">
      <c r="A190" s="92"/>
      <c r="B190" s="92"/>
      <c r="C190" s="92"/>
      <c r="D190" s="92"/>
      <c r="E190" s="92"/>
      <c r="F190" s="216"/>
      <c r="G190" s="216"/>
      <c r="H190" s="92"/>
    </row>
    <row r="191" ht="16.5" customHeight="1">
      <c r="A191" s="92"/>
      <c r="B191" s="92"/>
      <c r="C191" s="92"/>
      <c r="D191" s="92"/>
      <c r="E191" s="92"/>
      <c r="F191" s="216"/>
      <c r="G191" s="216"/>
      <c r="H191" s="92"/>
    </row>
    <row r="192" ht="16.5" customHeight="1">
      <c r="A192" s="92"/>
      <c r="B192" s="92"/>
      <c r="C192" s="92"/>
      <c r="D192" s="92"/>
      <c r="E192" s="92"/>
      <c r="F192" s="216"/>
      <c r="G192" s="216"/>
      <c r="H192" s="92"/>
    </row>
    <row r="193" ht="16.5" customHeight="1">
      <c r="A193" s="92"/>
      <c r="B193" s="92"/>
      <c r="C193" s="92"/>
      <c r="D193" s="92"/>
      <c r="E193" s="92"/>
      <c r="F193" s="216"/>
      <c r="G193" s="216"/>
      <c r="H193" s="92"/>
    </row>
    <row r="194" ht="16.5" customHeight="1">
      <c r="A194" s="92"/>
      <c r="B194" s="92"/>
      <c r="C194" s="92"/>
      <c r="D194" s="92"/>
      <c r="E194" s="92"/>
      <c r="F194" s="216"/>
      <c r="G194" s="216"/>
      <c r="H194" s="92"/>
    </row>
    <row r="195" ht="16.5" customHeight="1">
      <c r="A195" s="92"/>
      <c r="B195" s="92"/>
      <c r="C195" s="92"/>
      <c r="D195" s="92"/>
      <c r="E195" s="92"/>
      <c r="F195" s="216"/>
      <c r="G195" s="216"/>
      <c r="H195" s="92"/>
    </row>
    <row r="196" ht="16.5" customHeight="1">
      <c r="A196" s="92"/>
      <c r="B196" s="92"/>
      <c r="C196" s="92"/>
      <c r="D196" s="92"/>
      <c r="E196" s="92"/>
      <c r="F196" s="216"/>
      <c r="G196" s="216"/>
      <c r="H196" s="92"/>
    </row>
    <row r="197" ht="16.5" customHeight="1">
      <c r="A197" s="92"/>
      <c r="B197" s="92"/>
      <c r="C197" s="92"/>
      <c r="D197" s="92"/>
      <c r="E197" s="92"/>
      <c r="F197" s="216"/>
      <c r="G197" s="216"/>
      <c r="H197" s="92"/>
    </row>
    <row r="198" ht="16.5" customHeight="1">
      <c r="A198" s="92"/>
      <c r="B198" s="92"/>
      <c r="C198" s="92"/>
      <c r="D198" s="92"/>
      <c r="E198" s="92"/>
      <c r="F198" s="216"/>
      <c r="G198" s="216"/>
      <c r="H198" s="92"/>
    </row>
    <row r="199" ht="16.5" customHeight="1">
      <c r="A199" s="92"/>
      <c r="B199" s="92"/>
      <c r="C199" s="92"/>
      <c r="D199" s="92"/>
      <c r="E199" s="92"/>
      <c r="F199" s="216"/>
      <c r="G199" s="216"/>
      <c r="H199" s="92"/>
    </row>
    <row r="200" ht="16.5" customHeight="1">
      <c r="A200" s="92"/>
      <c r="B200" s="92"/>
      <c r="C200" s="92"/>
      <c r="D200" s="92"/>
      <c r="E200" s="92"/>
      <c r="F200" s="216"/>
      <c r="G200" s="216"/>
      <c r="H200" s="92"/>
    </row>
    <row r="201" ht="16.5" customHeight="1">
      <c r="A201" s="92"/>
      <c r="B201" s="92"/>
      <c r="C201" s="92"/>
      <c r="D201" s="92"/>
      <c r="E201" s="92"/>
      <c r="F201" s="216"/>
      <c r="G201" s="216"/>
      <c r="H201" s="92"/>
    </row>
    <row r="202" ht="16.5" customHeight="1">
      <c r="A202" s="92"/>
      <c r="B202" s="92"/>
      <c r="C202" s="92"/>
      <c r="D202" s="92"/>
      <c r="E202" s="92"/>
      <c r="F202" s="216"/>
      <c r="G202" s="216"/>
      <c r="H202" s="92"/>
    </row>
    <row r="203" ht="16.5" customHeight="1">
      <c r="A203" s="92"/>
      <c r="B203" s="92"/>
      <c r="C203" s="92"/>
      <c r="D203" s="92"/>
      <c r="E203" s="92"/>
      <c r="F203" s="216"/>
      <c r="G203" s="216"/>
      <c r="H203" s="92"/>
    </row>
    <row r="204" ht="16.5" customHeight="1">
      <c r="A204" s="92"/>
      <c r="B204" s="92"/>
      <c r="C204" s="92"/>
      <c r="D204" s="92"/>
      <c r="E204" s="92"/>
      <c r="F204" s="216"/>
      <c r="G204" s="216"/>
      <c r="H204" s="92"/>
    </row>
    <row r="205" ht="16.5" customHeight="1">
      <c r="A205" s="92"/>
      <c r="B205" s="92"/>
      <c r="C205" s="92"/>
      <c r="D205" s="92"/>
      <c r="E205" s="92"/>
      <c r="F205" s="216"/>
      <c r="G205" s="216"/>
      <c r="H205" s="92"/>
    </row>
    <row r="206" ht="16.5" customHeight="1">
      <c r="A206" s="92"/>
      <c r="B206" s="92"/>
      <c r="C206" s="92"/>
      <c r="D206" s="92"/>
      <c r="E206" s="92"/>
      <c r="F206" s="216"/>
      <c r="G206" s="216"/>
      <c r="H206" s="92"/>
    </row>
    <row r="207" ht="16.5" customHeight="1">
      <c r="A207" s="92"/>
      <c r="B207" s="92"/>
      <c r="C207" s="92"/>
      <c r="D207" s="92"/>
      <c r="E207" s="92"/>
      <c r="F207" s="216"/>
      <c r="G207" s="216"/>
      <c r="H207" s="92"/>
    </row>
    <row r="208" ht="16.5" customHeight="1">
      <c r="A208" s="92"/>
      <c r="B208" s="92"/>
      <c r="C208" s="92"/>
      <c r="D208" s="92"/>
      <c r="E208" s="92"/>
      <c r="F208" s="216"/>
      <c r="G208" s="216"/>
      <c r="H208" s="92"/>
    </row>
    <row r="209" ht="16.5" customHeight="1">
      <c r="A209" s="92"/>
      <c r="B209" s="92"/>
      <c r="C209" s="92"/>
      <c r="D209" s="92"/>
      <c r="E209" s="92"/>
      <c r="F209" s="216"/>
      <c r="G209" s="216"/>
      <c r="H209" s="92"/>
    </row>
    <row r="210" ht="16.5" customHeight="1">
      <c r="A210" s="92"/>
      <c r="B210" s="92"/>
      <c r="C210" s="92"/>
      <c r="D210" s="92"/>
      <c r="E210" s="92"/>
      <c r="F210" s="216"/>
      <c r="G210" s="216"/>
      <c r="H210" s="92"/>
    </row>
    <row r="211" ht="16.5" customHeight="1">
      <c r="A211" s="92"/>
      <c r="B211" s="92"/>
      <c r="C211" s="92"/>
      <c r="D211" s="92"/>
      <c r="E211" s="92"/>
      <c r="F211" s="216"/>
      <c r="G211" s="216"/>
      <c r="H211" s="92"/>
    </row>
    <row r="212" ht="16.5" customHeight="1">
      <c r="A212" s="92"/>
      <c r="B212" s="92"/>
      <c r="C212" s="92"/>
      <c r="D212" s="92"/>
      <c r="E212" s="92"/>
      <c r="F212" s="216"/>
      <c r="G212" s="216"/>
      <c r="H212" s="92"/>
    </row>
    <row r="213" ht="16.5" customHeight="1">
      <c r="A213" s="92"/>
      <c r="B213" s="92"/>
      <c r="C213" s="92"/>
      <c r="D213" s="92"/>
      <c r="E213" s="92"/>
      <c r="F213" s="216"/>
      <c r="G213" s="216"/>
      <c r="H213" s="92"/>
    </row>
    <row r="214" ht="16.5" customHeight="1">
      <c r="A214" s="92"/>
      <c r="B214" s="92"/>
      <c r="C214" s="92"/>
      <c r="D214" s="92"/>
      <c r="E214" s="92"/>
      <c r="F214" s="216"/>
      <c r="G214" s="216"/>
      <c r="H214" s="92"/>
    </row>
    <row r="215" ht="16.5" customHeight="1">
      <c r="A215" s="92"/>
      <c r="B215" s="92"/>
      <c r="C215" s="92"/>
      <c r="D215" s="92"/>
      <c r="E215" s="92"/>
      <c r="F215" s="216"/>
      <c r="G215" s="216"/>
      <c r="H215" s="92"/>
    </row>
    <row r="216" ht="16.5" customHeight="1">
      <c r="A216" s="92"/>
      <c r="B216" s="92"/>
      <c r="C216" s="92"/>
      <c r="D216" s="92"/>
      <c r="E216" s="92"/>
      <c r="F216" s="216"/>
      <c r="G216" s="216"/>
      <c r="H216" s="92"/>
    </row>
    <row r="217" ht="16.5" customHeight="1">
      <c r="A217" s="92"/>
      <c r="B217" s="92"/>
      <c r="C217" s="92"/>
      <c r="D217" s="92"/>
      <c r="E217" s="92"/>
      <c r="F217" s="216"/>
      <c r="G217" s="216"/>
      <c r="H217" s="92"/>
    </row>
    <row r="218" ht="16.5" customHeight="1">
      <c r="A218" s="92"/>
      <c r="B218" s="92"/>
      <c r="C218" s="92"/>
      <c r="D218" s="92"/>
      <c r="E218" s="92"/>
      <c r="F218" s="216"/>
      <c r="G218" s="216"/>
      <c r="H218" s="92"/>
    </row>
    <row r="219" ht="16.5" customHeight="1">
      <c r="A219" s="92"/>
      <c r="B219" s="92"/>
      <c r="C219" s="92"/>
      <c r="D219" s="92"/>
      <c r="E219" s="92"/>
      <c r="F219" s="216"/>
      <c r="G219" s="216"/>
      <c r="H219" s="92"/>
    </row>
    <row r="220" ht="16.5" customHeight="1">
      <c r="A220" s="92"/>
      <c r="B220" s="92"/>
      <c r="C220" s="92"/>
      <c r="D220" s="92"/>
      <c r="E220" s="92"/>
      <c r="F220" s="216"/>
      <c r="G220" s="216"/>
      <c r="H220" s="92"/>
    </row>
    <row r="221" ht="16.5" customHeight="1">
      <c r="A221" s="92"/>
      <c r="B221" s="92"/>
      <c r="C221" s="92"/>
      <c r="D221" s="92"/>
      <c r="E221" s="92"/>
      <c r="F221" s="216"/>
      <c r="G221" s="216"/>
      <c r="H221" s="92"/>
    </row>
    <row r="222" ht="16.5" customHeight="1">
      <c r="A222" s="92"/>
      <c r="B222" s="92"/>
      <c r="C222" s="92"/>
      <c r="D222" s="92"/>
      <c r="E222" s="92"/>
      <c r="F222" s="216"/>
      <c r="G222" s="216"/>
      <c r="H222" s="92"/>
    </row>
    <row r="223" ht="16.5" customHeight="1">
      <c r="A223" s="92"/>
      <c r="B223" s="92"/>
      <c r="C223" s="92"/>
      <c r="D223" s="92"/>
      <c r="E223" s="92"/>
      <c r="F223" s="216"/>
      <c r="G223" s="216"/>
      <c r="H223" s="92"/>
    </row>
    <row r="224" ht="16.5" customHeight="1">
      <c r="A224" s="92"/>
      <c r="B224" s="92"/>
      <c r="C224" s="92"/>
      <c r="D224" s="92"/>
      <c r="E224" s="92"/>
      <c r="F224" s="216"/>
      <c r="G224" s="216"/>
      <c r="H224" s="92"/>
    </row>
    <row r="225" ht="16.5" customHeight="1">
      <c r="A225" s="92"/>
      <c r="B225" s="92"/>
      <c r="C225" s="92"/>
      <c r="D225" s="92"/>
      <c r="E225" s="92"/>
      <c r="F225" s="216"/>
      <c r="G225" s="216"/>
      <c r="H225" s="92"/>
    </row>
    <row r="226" ht="16.5" customHeight="1">
      <c r="A226" s="92"/>
      <c r="B226" s="92"/>
      <c r="C226" s="92"/>
      <c r="D226" s="92"/>
      <c r="E226" s="92"/>
      <c r="F226" s="216"/>
      <c r="G226" s="216"/>
      <c r="H226" s="92"/>
    </row>
    <row r="227" ht="16.5" customHeight="1">
      <c r="A227" s="92"/>
      <c r="B227" s="92"/>
      <c r="C227" s="92"/>
      <c r="D227" s="92"/>
      <c r="E227" s="92"/>
      <c r="F227" s="216"/>
      <c r="G227" s="216"/>
      <c r="H227" s="92"/>
    </row>
    <row r="228" ht="16.5" customHeight="1">
      <c r="A228" s="92"/>
      <c r="B228" s="92"/>
      <c r="C228" s="92"/>
      <c r="D228" s="92"/>
      <c r="E228" s="92"/>
      <c r="F228" s="216"/>
      <c r="G228" s="216"/>
      <c r="H228" s="92"/>
    </row>
    <row r="229" ht="16.5" customHeight="1">
      <c r="A229" s="92"/>
      <c r="B229" s="92"/>
      <c r="C229" s="92"/>
      <c r="D229" s="92"/>
      <c r="E229" s="92"/>
      <c r="F229" s="216"/>
      <c r="G229" s="216"/>
      <c r="H229" s="92"/>
    </row>
    <row r="230" ht="16.5" customHeight="1">
      <c r="A230" s="92"/>
      <c r="B230" s="92"/>
      <c r="C230" s="92"/>
      <c r="D230" s="92"/>
      <c r="E230" s="92"/>
      <c r="F230" s="216"/>
      <c r="G230" s="216"/>
      <c r="H230" s="92"/>
    </row>
    <row r="231" ht="16.5" customHeight="1">
      <c r="A231" s="92"/>
      <c r="B231" s="92"/>
      <c r="C231" s="92"/>
      <c r="D231" s="92"/>
      <c r="E231" s="92"/>
      <c r="F231" s="216"/>
      <c r="G231" s="216"/>
      <c r="H231" s="92"/>
    </row>
    <row r="232" ht="16.5" customHeight="1">
      <c r="A232" s="92"/>
      <c r="B232" s="92"/>
      <c r="C232" s="92"/>
      <c r="D232" s="92"/>
      <c r="E232" s="92"/>
      <c r="F232" s="216"/>
      <c r="G232" s="216"/>
      <c r="H232" s="92"/>
    </row>
    <row r="233" ht="16.5" customHeight="1">
      <c r="A233" s="92"/>
      <c r="B233" s="92"/>
      <c r="C233" s="92"/>
      <c r="D233" s="92"/>
      <c r="E233" s="92"/>
      <c r="F233" s="216"/>
      <c r="G233" s="216"/>
      <c r="H233" s="92"/>
    </row>
    <row r="234" ht="16.5" customHeight="1">
      <c r="A234" s="92"/>
      <c r="B234" s="92"/>
      <c r="C234" s="92"/>
      <c r="D234" s="92"/>
      <c r="E234" s="92"/>
      <c r="F234" s="216"/>
      <c r="G234" s="216"/>
      <c r="H234" s="92"/>
    </row>
    <row r="235" ht="16.5" customHeight="1">
      <c r="A235" s="92"/>
      <c r="B235" s="92"/>
      <c r="C235" s="92"/>
      <c r="D235" s="92"/>
      <c r="E235" s="92"/>
      <c r="F235" s="216"/>
      <c r="G235" s="216"/>
      <c r="H235" s="92"/>
    </row>
    <row r="236" ht="15.75" customHeight="1">
      <c r="A236" s="92"/>
      <c r="B236" s="92"/>
      <c r="C236" s="92"/>
      <c r="D236" s="92"/>
      <c r="E236" s="92"/>
      <c r="F236" s="92"/>
      <c r="G236" s="92"/>
      <c r="H236" s="92"/>
    </row>
    <row r="237" ht="15.75" customHeight="1">
      <c r="A237" s="92"/>
      <c r="B237" s="92"/>
      <c r="C237" s="92"/>
      <c r="D237" s="92"/>
      <c r="E237" s="92"/>
      <c r="F237" s="92"/>
      <c r="G237" s="92"/>
      <c r="H237" s="92"/>
    </row>
    <row r="238" ht="15.75" customHeight="1">
      <c r="A238" s="92"/>
      <c r="B238" s="92"/>
      <c r="C238" s="92"/>
      <c r="D238" s="92"/>
      <c r="E238" s="92"/>
      <c r="F238" s="92"/>
      <c r="G238" s="92"/>
      <c r="H238" s="92"/>
    </row>
    <row r="239" ht="15.75" customHeight="1">
      <c r="A239" s="92"/>
      <c r="B239" s="92"/>
      <c r="C239" s="92"/>
      <c r="D239" s="92"/>
      <c r="E239" s="92"/>
      <c r="F239" s="92"/>
      <c r="G239" s="92"/>
      <c r="H239" s="92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</row>
  </sheetData>
  <mergeCells count="13">
    <mergeCell ref="A11:A16"/>
    <mergeCell ref="A17:A21"/>
    <mergeCell ref="A22:A28"/>
    <mergeCell ref="F22:F28"/>
    <mergeCell ref="A29:A31"/>
    <mergeCell ref="A32:A35"/>
    <mergeCell ref="A1:G2"/>
    <mergeCell ref="A3:B3"/>
    <mergeCell ref="C3:C4"/>
    <mergeCell ref="D3:D4"/>
    <mergeCell ref="E3:E4"/>
    <mergeCell ref="G3:G4"/>
    <mergeCell ref="A5:A10"/>
  </mergeCells>
  <printOptions/>
  <pageMargins bottom="0.75" footer="0.0" header="0.0" left="0.25" right="0.25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8.0"/>
    <col customWidth="1" min="3" max="3" width="11.86"/>
    <col customWidth="1" min="4" max="4" width="12.86"/>
    <col customWidth="1" min="5" max="5" width="12.43"/>
    <col customWidth="1" min="6" max="6" width="21.14"/>
    <col customWidth="1" min="7" max="7" width="31.57"/>
    <col customWidth="1" min="8" max="8" width="10.14"/>
    <col customWidth="1" min="9" max="9" width="8.86"/>
  </cols>
  <sheetData>
    <row r="1" ht="16.5" customHeight="1">
      <c r="A1" s="1" t="s">
        <v>198</v>
      </c>
      <c r="B1" s="2"/>
      <c r="C1" s="2"/>
      <c r="D1" s="2"/>
      <c r="E1" s="2"/>
      <c r="F1" s="2"/>
      <c r="G1" s="642"/>
      <c r="H1" s="92"/>
      <c r="I1" s="92"/>
    </row>
    <row r="2" ht="18.0" customHeight="1">
      <c r="A2" s="58"/>
      <c r="B2" s="82"/>
      <c r="C2" s="82"/>
      <c r="D2" s="82"/>
      <c r="E2" s="82"/>
      <c r="F2" s="82"/>
      <c r="G2" s="642"/>
      <c r="H2" s="92"/>
      <c r="I2" s="92"/>
    </row>
    <row r="3" ht="16.5" customHeight="1">
      <c r="A3" s="320" t="s">
        <v>490</v>
      </c>
      <c r="B3" s="409"/>
      <c r="C3" s="260" t="s">
        <v>438</v>
      </c>
      <c r="D3" s="261" t="s">
        <v>562</v>
      </c>
      <c r="E3" s="410" t="s">
        <v>521</v>
      </c>
      <c r="F3" s="260" t="s">
        <v>663</v>
      </c>
      <c r="G3" s="260" t="s">
        <v>491</v>
      </c>
      <c r="H3" s="260" t="s">
        <v>492</v>
      </c>
      <c r="I3" s="92"/>
    </row>
    <row r="4" ht="16.5" customHeight="1">
      <c r="A4" s="643" t="s">
        <v>8</v>
      </c>
      <c r="B4" s="643" t="s">
        <v>9</v>
      </c>
      <c r="C4" s="11"/>
      <c r="D4" s="12"/>
      <c r="E4" s="262" t="s">
        <v>10</v>
      </c>
      <c r="F4" s="11"/>
      <c r="G4" s="25"/>
      <c r="H4" s="11"/>
      <c r="I4" s="92"/>
    </row>
    <row r="5" ht="16.5" customHeight="1">
      <c r="A5" s="189" t="s">
        <v>664</v>
      </c>
      <c r="B5" s="212" t="s">
        <v>665</v>
      </c>
      <c r="C5" s="423">
        <f t="shared" ref="C5:C32" si="1">D5*2-1000</f>
        <v>557000</v>
      </c>
      <c r="D5" s="423">
        <v>279000.0</v>
      </c>
      <c r="E5" s="623"/>
      <c r="F5" s="644"/>
      <c r="G5" s="645" t="s">
        <v>666</v>
      </c>
      <c r="H5" s="208"/>
      <c r="I5" s="92"/>
    </row>
    <row r="6" ht="16.5" customHeight="1">
      <c r="A6" s="25"/>
      <c r="B6" s="212" t="s">
        <v>667</v>
      </c>
      <c r="C6" s="423">
        <f t="shared" si="1"/>
        <v>97000</v>
      </c>
      <c r="D6" s="423">
        <v>49000.0</v>
      </c>
      <c r="E6" s="216"/>
      <c r="F6" s="28"/>
      <c r="G6" s="646" t="s">
        <v>668</v>
      </c>
      <c r="H6" s="212"/>
      <c r="I6" s="8"/>
    </row>
    <row r="7" ht="16.5" customHeight="1">
      <c r="A7" s="25"/>
      <c r="B7" s="212" t="s">
        <v>669</v>
      </c>
      <c r="C7" s="423">
        <f t="shared" si="1"/>
        <v>317000</v>
      </c>
      <c r="D7" s="423">
        <v>159000.0</v>
      </c>
      <c r="E7" s="216"/>
      <c r="F7" s="28"/>
      <c r="G7" s="646" t="s">
        <v>670</v>
      </c>
      <c r="H7" s="212"/>
      <c r="I7" s="8"/>
    </row>
    <row r="8" ht="16.5" customHeight="1">
      <c r="A8" s="25"/>
      <c r="B8" s="212" t="s">
        <v>671</v>
      </c>
      <c r="C8" s="423">
        <f t="shared" si="1"/>
        <v>1097000</v>
      </c>
      <c r="D8" s="423">
        <v>549000.0</v>
      </c>
      <c r="E8" s="624"/>
      <c r="F8" s="28"/>
      <c r="G8" s="646" t="s">
        <v>672</v>
      </c>
      <c r="H8" s="212"/>
      <c r="I8" s="8"/>
    </row>
    <row r="9" ht="15.75" customHeight="1">
      <c r="A9" s="25"/>
      <c r="B9" s="474" t="s">
        <v>673</v>
      </c>
      <c r="C9" s="423">
        <f t="shared" si="1"/>
        <v>1297000</v>
      </c>
      <c r="D9" s="424">
        <v>649000.0</v>
      </c>
      <c r="E9" s="216"/>
      <c r="F9" s="28"/>
      <c r="G9" s="646" t="s">
        <v>674</v>
      </c>
      <c r="H9" s="212"/>
      <c r="I9" s="92"/>
    </row>
    <row r="10" ht="16.5" customHeight="1">
      <c r="A10" s="11"/>
      <c r="B10" s="212" t="s">
        <v>675</v>
      </c>
      <c r="C10" s="430">
        <f t="shared" si="1"/>
        <v>1797000</v>
      </c>
      <c r="D10" s="423">
        <v>899000.0</v>
      </c>
      <c r="E10" s="647"/>
      <c r="F10" s="149"/>
      <c r="G10" s="648" t="s">
        <v>670</v>
      </c>
      <c r="H10" s="214"/>
      <c r="I10" s="92"/>
    </row>
    <row r="11" ht="16.5" customHeight="1">
      <c r="A11" s="189" t="s">
        <v>676</v>
      </c>
      <c r="B11" s="208" t="s">
        <v>677</v>
      </c>
      <c r="C11" s="423">
        <f t="shared" si="1"/>
        <v>89000</v>
      </c>
      <c r="D11" s="414">
        <v>45000.0</v>
      </c>
      <c r="E11" s="623"/>
      <c r="F11" s="533"/>
      <c r="G11" s="645" t="s">
        <v>678</v>
      </c>
      <c r="H11" s="208"/>
      <c r="I11" s="92"/>
    </row>
    <row r="12" ht="16.5" customHeight="1">
      <c r="A12" s="25"/>
      <c r="B12" s="212" t="s">
        <v>679</v>
      </c>
      <c r="C12" s="423">
        <f t="shared" si="1"/>
        <v>19000</v>
      </c>
      <c r="D12" s="423">
        <v>10000.0</v>
      </c>
      <c r="E12" s="624"/>
      <c r="F12" s="533"/>
      <c r="G12" s="646" t="s">
        <v>680</v>
      </c>
      <c r="H12" s="212"/>
      <c r="I12" s="92"/>
    </row>
    <row r="13" ht="16.5" customHeight="1">
      <c r="A13" s="25"/>
      <c r="B13" s="212" t="s">
        <v>681</v>
      </c>
      <c r="C13" s="423">
        <f t="shared" si="1"/>
        <v>19000</v>
      </c>
      <c r="D13" s="423">
        <v>10000.0</v>
      </c>
      <c r="E13" s="624"/>
      <c r="F13" s="533"/>
      <c r="G13" s="646" t="s">
        <v>680</v>
      </c>
      <c r="H13" s="212"/>
      <c r="I13" s="92"/>
    </row>
    <row r="14" ht="16.5" customHeight="1">
      <c r="A14" s="25"/>
      <c r="B14" s="212" t="s">
        <v>682</v>
      </c>
      <c r="C14" s="423">
        <f t="shared" si="1"/>
        <v>219000</v>
      </c>
      <c r="D14" s="423">
        <v>110000.0</v>
      </c>
      <c r="E14" s="624"/>
      <c r="F14" s="533"/>
      <c r="G14" s="646" t="s">
        <v>683</v>
      </c>
      <c r="H14" s="212"/>
      <c r="I14" s="92"/>
    </row>
    <row r="15" ht="16.5" customHeight="1">
      <c r="A15" s="11"/>
      <c r="B15" s="214" t="s">
        <v>684</v>
      </c>
      <c r="C15" s="430">
        <f t="shared" si="1"/>
        <v>219000</v>
      </c>
      <c r="D15" s="430">
        <v>110000.0</v>
      </c>
      <c r="E15" s="627"/>
      <c r="F15" s="563"/>
      <c r="G15" s="648" t="s">
        <v>672</v>
      </c>
      <c r="H15" s="214"/>
      <c r="I15" s="92"/>
    </row>
    <row r="16" ht="16.5" customHeight="1">
      <c r="A16" s="649" t="s">
        <v>685</v>
      </c>
      <c r="B16" s="212" t="s">
        <v>686</v>
      </c>
      <c r="C16" s="423">
        <f t="shared" si="1"/>
        <v>397000</v>
      </c>
      <c r="D16" s="423">
        <v>199000.0</v>
      </c>
      <c r="E16" s="624"/>
      <c r="F16" s="533"/>
      <c r="G16" s="645" t="s">
        <v>678</v>
      </c>
      <c r="H16" s="208"/>
      <c r="I16" s="92"/>
    </row>
    <row r="17" ht="16.5" customHeight="1">
      <c r="A17" s="25"/>
      <c r="B17" s="212" t="s">
        <v>687</v>
      </c>
      <c r="C17" s="423">
        <f t="shared" si="1"/>
        <v>597000</v>
      </c>
      <c r="D17" s="423">
        <v>299000.0</v>
      </c>
      <c r="E17" s="624"/>
      <c r="F17" s="533"/>
      <c r="G17" s="646" t="s">
        <v>688</v>
      </c>
      <c r="H17" s="212"/>
      <c r="I17" s="92"/>
    </row>
    <row r="18" ht="16.5" customHeight="1">
      <c r="A18" s="25"/>
      <c r="B18" s="308" t="s">
        <v>689</v>
      </c>
      <c r="C18" s="423">
        <f t="shared" si="1"/>
        <v>597000</v>
      </c>
      <c r="D18" s="423">
        <v>299000.0</v>
      </c>
      <c r="E18" s="624"/>
      <c r="F18" s="533"/>
      <c r="G18" s="646" t="s">
        <v>690</v>
      </c>
      <c r="H18" s="212"/>
      <c r="I18" s="92"/>
    </row>
    <row r="19" ht="16.5" customHeight="1">
      <c r="A19" s="25"/>
      <c r="B19" s="212" t="s">
        <v>691</v>
      </c>
      <c r="C19" s="423">
        <f t="shared" si="1"/>
        <v>797000</v>
      </c>
      <c r="D19" s="423">
        <v>399000.0</v>
      </c>
      <c r="E19" s="624"/>
      <c r="F19" s="533"/>
      <c r="G19" s="646" t="s">
        <v>692</v>
      </c>
      <c r="H19" s="212"/>
      <c r="I19" s="92"/>
    </row>
    <row r="20">
      <c r="A20" s="11"/>
      <c r="B20" s="195" t="s">
        <v>212</v>
      </c>
      <c r="C20" s="430">
        <f t="shared" si="1"/>
        <v>597000</v>
      </c>
      <c r="D20" s="430">
        <v>299000.0</v>
      </c>
      <c r="E20" s="647"/>
      <c r="F20" s="563"/>
      <c r="G20" s="648" t="s">
        <v>693</v>
      </c>
      <c r="H20" s="214"/>
      <c r="I20" s="92"/>
    </row>
    <row r="21" ht="16.5" customHeight="1">
      <c r="A21" s="189" t="s">
        <v>694</v>
      </c>
      <c r="B21" s="304" t="s">
        <v>695</v>
      </c>
      <c r="C21" s="423">
        <f t="shared" si="1"/>
        <v>75000</v>
      </c>
      <c r="D21" s="414">
        <v>38000.0</v>
      </c>
      <c r="E21" s="623"/>
      <c r="F21" s="533"/>
      <c r="G21" s="645" t="s">
        <v>674</v>
      </c>
      <c r="H21" s="208"/>
      <c r="I21" s="92"/>
    </row>
    <row r="22" ht="16.5" customHeight="1">
      <c r="A22" s="25"/>
      <c r="B22" s="308" t="s">
        <v>696</v>
      </c>
      <c r="C22" s="423">
        <f t="shared" si="1"/>
        <v>197000</v>
      </c>
      <c r="D22" s="423">
        <v>99000.0</v>
      </c>
      <c r="E22" s="624"/>
      <c r="F22" s="327"/>
      <c r="G22" s="646" t="s">
        <v>697</v>
      </c>
      <c r="H22" s="212"/>
      <c r="I22" s="92"/>
    </row>
    <row r="23" ht="16.5" customHeight="1">
      <c r="A23" s="25"/>
      <c r="B23" s="8" t="s">
        <v>698</v>
      </c>
      <c r="C23" s="423">
        <f t="shared" si="1"/>
        <v>897000</v>
      </c>
      <c r="D23" s="424">
        <v>449000.0</v>
      </c>
      <c r="E23" s="624"/>
      <c r="F23" s="327"/>
      <c r="G23" s="646" t="s">
        <v>699</v>
      </c>
      <c r="H23" s="212"/>
      <c r="I23" s="92"/>
    </row>
    <row r="24" ht="16.5" customHeight="1">
      <c r="A24" s="25"/>
      <c r="B24" s="308" t="s">
        <v>700</v>
      </c>
      <c r="C24" s="423">
        <f t="shared" si="1"/>
        <v>998800</v>
      </c>
      <c r="D24" s="423">
        <v>499900.0</v>
      </c>
      <c r="E24" s="624"/>
      <c r="F24" s="327"/>
      <c r="G24" s="646" t="s">
        <v>701</v>
      </c>
      <c r="H24" s="212"/>
      <c r="I24" s="8"/>
    </row>
    <row r="25" ht="16.5" customHeight="1">
      <c r="A25" s="11"/>
      <c r="B25" s="312" t="s">
        <v>702</v>
      </c>
      <c r="C25" s="430">
        <f t="shared" si="1"/>
        <v>1899000</v>
      </c>
      <c r="D25" s="430">
        <v>950000.0</v>
      </c>
      <c r="E25" s="647"/>
      <c r="F25" s="650"/>
      <c r="G25" s="648" t="s">
        <v>672</v>
      </c>
      <c r="H25" s="214"/>
      <c r="I25" s="8"/>
    </row>
    <row r="26" ht="16.5" customHeight="1">
      <c r="A26" s="458" t="s">
        <v>703</v>
      </c>
      <c r="B26" s="523" t="s">
        <v>704</v>
      </c>
      <c r="C26" s="423">
        <f t="shared" si="1"/>
        <v>117000</v>
      </c>
      <c r="D26" s="475">
        <v>59000.0</v>
      </c>
      <c r="E26" s="624"/>
      <c r="F26" s="644"/>
      <c r="G26" s="645" t="s">
        <v>697</v>
      </c>
      <c r="H26" s="208"/>
      <c r="I26" s="8"/>
    </row>
    <row r="27" ht="16.5" customHeight="1">
      <c r="A27" s="25"/>
      <c r="B27" s="518" t="s">
        <v>705</v>
      </c>
      <c r="C27" s="423">
        <f t="shared" si="1"/>
        <v>257000</v>
      </c>
      <c r="D27" s="423">
        <v>129000.0</v>
      </c>
      <c r="E27" s="624"/>
      <c r="F27" s="28"/>
      <c r="G27" s="646" t="s">
        <v>672</v>
      </c>
      <c r="H27" s="212"/>
      <c r="I27" s="92"/>
    </row>
    <row r="28" ht="16.5" customHeight="1">
      <c r="A28" s="25"/>
      <c r="B28" s="518" t="s">
        <v>706</v>
      </c>
      <c r="C28" s="443">
        <f t="shared" si="1"/>
        <v>337000</v>
      </c>
      <c r="D28" s="423">
        <v>169000.0</v>
      </c>
      <c r="E28" s="624"/>
      <c r="F28" s="28"/>
      <c r="G28" s="646" t="s">
        <v>707</v>
      </c>
      <c r="H28" s="212"/>
      <c r="I28" s="92"/>
    </row>
    <row r="29" ht="16.5" customHeight="1">
      <c r="A29" s="25"/>
      <c r="B29" s="523" t="s">
        <v>708</v>
      </c>
      <c r="C29" s="423">
        <f t="shared" si="1"/>
        <v>717000</v>
      </c>
      <c r="D29" s="423">
        <v>359000.0</v>
      </c>
      <c r="E29" s="216"/>
      <c r="F29" s="28"/>
      <c r="G29" s="646" t="s">
        <v>697</v>
      </c>
      <c r="H29" s="212"/>
      <c r="I29" s="92"/>
    </row>
    <row r="30" ht="16.5" customHeight="1">
      <c r="A30" s="25"/>
      <c r="B30" s="523" t="s">
        <v>709</v>
      </c>
      <c r="C30" s="423">
        <f t="shared" si="1"/>
        <v>197000</v>
      </c>
      <c r="D30" s="475">
        <v>99000.0</v>
      </c>
      <c r="E30" s="624"/>
      <c r="F30" s="28"/>
      <c r="G30" s="646" t="s">
        <v>697</v>
      </c>
      <c r="H30" s="212"/>
      <c r="I30" s="92"/>
    </row>
    <row r="31" ht="16.5" customHeight="1">
      <c r="A31" s="25"/>
      <c r="B31" s="518" t="s">
        <v>710</v>
      </c>
      <c r="C31" s="423">
        <f t="shared" si="1"/>
        <v>337000</v>
      </c>
      <c r="D31" s="597">
        <v>169000.0</v>
      </c>
      <c r="E31" s="216"/>
      <c r="F31" s="28"/>
      <c r="G31" s="646" t="s">
        <v>711</v>
      </c>
      <c r="H31" s="212"/>
      <c r="I31" s="92"/>
    </row>
    <row r="32" ht="16.5" customHeight="1">
      <c r="A32" s="11"/>
      <c r="B32" s="519" t="s">
        <v>712</v>
      </c>
      <c r="C32" s="430">
        <f t="shared" si="1"/>
        <v>377000</v>
      </c>
      <c r="D32" s="637">
        <v>189000.0</v>
      </c>
      <c r="E32" s="627"/>
      <c r="F32" s="149"/>
      <c r="G32" s="648" t="s">
        <v>688</v>
      </c>
      <c r="H32" s="214"/>
      <c r="I32" s="92"/>
    </row>
    <row r="33" ht="16.5" customHeight="1">
      <c r="A33" s="92"/>
      <c r="B33" s="92"/>
      <c r="C33" s="92"/>
      <c r="D33" s="408"/>
      <c r="E33" s="216"/>
      <c r="F33" s="421"/>
      <c r="G33" s="642"/>
      <c r="H33" s="8"/>
      <c r="I33" s="92"/>
    </row>
    <row r="34" ht="16.5" customHeight="1">
      <c r="A34" s="92"/>
      <c r="B34" s="92"/>
      <c r="C34" s="92"/>
      <c r="D34" s="92"/>
      <c r="E34" s="216"/>
      <c r="F34" s="216"/>
      <c r="G34" s="642"/>
      <c r="H34" s="92"/>
      <c r="I34" s="92"/>
    </row>
    <row r="35" ht="16.5" customHeight="1">
      <c r="A35" s="92"/>
      <c r="B35" s="92"/>
      <c r="C35" s="92"/>
      <c r="D35" s="92"/>
      <c r="E35" s="651"/>
      <c r="F35" s="216"/>
      <c r="G35" s="642"/>
      <c r="H35" s="92"/>
      <c r="I35" s="92"/>
    </row>
    <row r="36" ht="16.5" customHeight="1">
      <c r="A36" s="92"/>
      <c r="B36" s="92"/>
      <c r="C36" s="92"/>
      <c r="D36" s="92"/>
      <c r="E36" s="216"/>
      <c r="F36" s="216"/>
      <c r="G36" s="642"/>
      <c r="H36" s="92"/>
      <c r="I36" s="92"/>
    </row>
    <row r="37" ht="16.5" customHeight="1">
      <c r="A37" s="92"/>
      <c r="B37" s="92"/>
      <c r="C37" s="92"/>
      <c r="D37" s="92"/>
      <c r="E37" s="641"/>
      <c r="F37" s="216"/>
      <c r="G37" s="642"/>
      <c r="H37" s="92"/>
      <c r="I37" s="92"/>
    </row>
    <row r="38" ht="16.5" customHeight="1">
      <c r="A38" s="92"/>
      <c r="B38" s="92"/>
      <c r="C38" s="92"/>
      <c r="D38" s="92"/>
      <c r="E38" s="641"/>
      <c r="F38" s="216"/>
      <c r="G38" s="642"/>
      <c r="H38" s="92"/>
      <c r="I38" s="92"/>
    </row>
    <row r="39" ht="16.5" customHeight="1">
      <c r="A39" s="92"/>
      <c r="B39" s="92"/>
      <c r="C39" s="92"/>
      <c r="D39" s="92"/>
      <c r="E39" s="216"/>
      <c r="F39" s="216"/>
      <c r="G39" s="642"/>
      <c r="H39" s="92"/>
      <c r="I39" s="92"/>
    </row>
    <row r="40" ht="16.5" customHeight="1">
      <c r="A40" s="92"/>
      <c r="B40" s="92"/>
      <c r="C40" s="92"/>
      <c r="D40" s="92"/>
      <c r="E40" s="641"/>
      <c r="F40" s="216"/>
      <c r="G40" s="642"/>
      <c r="H40" s="92"/>
      <c r="I40" s="92"/>
    </row>
    <row r="41" ht="16.5" customHeight="1">
      <c r="A41" s="92"/>
      <c r="B41" s="92"/>
      <c r="C41" s="92"/>
      <c r="D41" s="92"/>
      <c r="E41" s="641"/>
      <c r="F41" s="216"/>
      <c r="G41" s="642"/>
      <c r="H41" s="92"/>
      <c r="I41" s="92"/>
    </row>
    <row r="42" ht="16.5" customHeight="1">
      <c r="A42" s="92"/>
      <c r="B42" s="92"/>
      <c r="C42" s="92"/>
      <c r="D42" s="92"/>
      <c r="E42" s="641"/>
      <c r="F42" s="216"/>
      <c r="G42" s="642"/>
      <c r="H42" s="92"/>
      <c r="I42" s="92"/>
    </row>
    <row r="43" ht="16.5" customHeight="1">
      <c r="A43" s="92"/>
      <c r="B43" s="92"/>
      <c r="C43" s="92"/>
      <c r="D43" s="92"/>
      <c r="E43" s="216"/>
      <c r="F43" s="216"/>
      <c r="G43" s="642"/>
      <c r="H43" s="92"/>
      <c r="I43" s="92"/>
    </row>
    <row r="44" ht="16.5" customHeight="1">
      <c r="A44" s="92"/>
      <c r="B44" s="92"/>
      <c r="C44" s="92"/>
      <c r="D44" s="92"/>
      <c r="E44" s="216"/>
      <c r="F44" s="216"/>
      <c r="G44" s="642"/>
      <c r="H44" s="92"/>
      <c r="I44" s="92"/>
    </row>
    <row r="45" ht="16.5" customHeight="1">
      <c r="A45" s="92"/>
      <c r="B45" s="92"/>
      <c r="C45" s="92"/>
      <c r="D45" s="92"/>
      <c r="E45" s="216"/>
      <c r="F45" s="216"/>
      <c r="G45" s="642"/>
      <c r="H45" s="92"/>
      <c r="I45" s="92"/>
    </row>
    <row r="46" ht="16.5" customHeight="1">
      <c r="A46" s="92"/>
      <c r="B46" s="92"/>
      <c r="C46" s="92"/>
      <c r="D46" s="92"/>
      <c r="E46" s="216"/>
      <c r="F46" s="216"/>
      <c r="G46" s="642"/>
      <c r="H46" s="92"/>
      <c r="I46" s="92"/>
    </row>
    <row r="47" ht="16.5" customHeight="1">
      <c r="A47" s="92"/>
      <c r="B47" s="92"/>
      <c r="C47" s="92"/>
      <c r="D47" s="92"/>
      <c r="E47" s="216"/>
      <c r="F47" s="216"/>
      <c r="G47" s="642"/>
      <c r="H47" s="92"/>
      <c r="I47" s="92"/>
    </row>
    <row r="48" ht="16.5" customHeight="1">
      <c r="A48" s="92"/>
      <c r="B48" s="92"/>
      <c r="C48" s="92"/>
      <c r="D48" s="92"/>
      <c r="E48" s="216"/>
      <c r="F48" s="216"/>
      <c r="G48" s="642"/>
      <c r="H48" s="92"/>
      <c r="I48" s="92"/>
    </row>
    <row r="49" ht="16.5" customHeight="1">
      <c r="A49" s="92"/>
      <c r="B49" s="92"/>
      <c r="C49" s="92"/>
      <c r="D49" s="92"/>
      <c r="E49" s="216"/>
      <c r="F49" s="216"/>
      <c r="G49" s="642"/>
      <c r="H49" s="92"/>
      <c r="I49" s="92"/>
    </row>
    <row r="50" ht="16.5" customHeight="1">
      <c r="A50" s="92"/>
      <c r="B50" s="92"/>
      <c r="C50" s="92"/>
      <c r="D50" s="92"/>
      <c r="E50" s="216"/>
      <c r="F50" s="216"/>
      <c r="G50" s="642"/>
      <c r="H50" s="92"/>
      <c r="I50" s="92"/>
    </row>
    <row r="51" ht="16.5" customHeight="1">
      <c r="A51" s="92"/>
      <c r="B51" s="92"/>
      <c r="C51" s="92"/>
      <c r="D51" s="92"/>
      <c r="E51" s="216"/>
      <c r="F51" s="216"/>
      <c r="G51" s="642"/>
      <c r="H51" s="92"/>
      <c r="I51" s="92"/>
    </row>
    <row r="52" ht="16.5" customHeight="1">
      <c r="A52" s="92"/>
      <c r="B52" s="92"/>
      <c r="C52" s="92"/>
      <c r="D52" s="92"/>
      <c r="E52" s="216"/>
      <c r="F52" s="216"/>
      <c r="G52" s="642"/>
      <c r="H52" s="92"/>
      <c r="I52" s="92"/>
    </row>
    <row r="53" ht="16.5" customHeight="1">
      <c r="A53" s="92"/>
      <c r="B53" s="92"/>
      <c r="C53" s="92"/>
      <c r="D53" s="92"/>
      <c r="E53" s="216"/>
      <c r="F53" s="216"/>
      <c r="G53" s="642"/>
      <c r="H53" s="92"/>
      <c r="I53" s="92"/>
    </row>
    <row r="54" ht="16.5" customHeight="1">
      <c r="A54" s="92"/>
      <c r="B54" s="92"/>
      <c r="C54" s="92"/>
      <c r="D54" s="92"/>
      <c r="E54" s="216"/>
      <c r="F54" s="216"/>
      <c r="G54" s="642"/>
      <c r="H54" s="92"/>
      <c r="I54" s="92"/>
    </row>
    <row r="55" ht="16.5" customHeight="1">
      <c r="A55" s="92"/>
      <c r="B55" s="92"/>
      <c r="C55" s="92"/>
      <c r="D55" s="92"/>
      <c r="E55" s="216"/>
      <c r="F55" s="216"/>
      <c r="G55" s="642"/>
      <c r="H55" s="92"/>
      <c r="I55" s="92"/>
    </row>
    <row r="56" ht="16.5" customHeight="1">
      <c r="A56" s="92"/>
      <c r="B56" s="92"/>
      <c r="C56" s="92"/>
      <c r="D56" s="92"/>
      <c r="E56" s="216"/>
      <c r="F56" s="216"/>
      <c r="G56" s="642"/>
      <c r="H56" s="92"/>
      <c r="I56" s="92"/>
    </row>
    <row r="57" ht="16.5" customHeight="1">
      <c r="A57" s="92"/>
      <c r="B57" s="92"/>
      <c r="C57" s="92"/>
      <c r="D57" s="92"/>
      <c r="E57" s="216"/>
      <c r="F57" s="216"/>
      <c r="G57" s="642"/>
      <c r="H57" s="92"/>
      <c r="I57" s="92"/>
    </row>
    <row r="58" ht="16.5" customHeight="1">
      <c r="A58" s="92"/>
      <c r="B58" s="92"/>
      <c r="C58" s="92"/>
      <c r="D58" s="92"/>
      <c r="E58" s="216"/>
      <c r="F58" s="216"/>
      <c r="G58" s="642"/>
      <c r="H58" s="92"/>
      <c r="I58" s="92"/>
    </row>
    <row r="59" ht="16.5" customHeight="1">
      <c r="A59" s="92"/>
      <c r="B59" s="92"/>
      <c r="C59" s="92"/>
      <c r="D59" s="92"/>
      <c r="E59" s="216"/>
      <c r="F59" s="216"/>
      <c r="G59" s="642"/>
      <c r="H59" s="92"/>
      <c r="I59" s="92"/>
    </row>
    <row r="60" ht="16.5" customHeight="1">
      <c r="A60" s="92"/>
      <c r="B60" s="92"/>
      <c r="C60" s="92"/>
      <c r="D60" s="92"/>
      <c r="E60" s="216"/>
      <c r="F60" s="216"/>
      <c r="G60" s="642"/>
      <c r="H60" s="92"/>
      <c r="I60" s="92"/>
    </row>
    <row r="61" ht="16.5" customHeight="1">
      <c r="A61" s="92"/>
      <c r="B61" s="92"/>
      <c r="C61" s="92"/>
      <c r="D61" s="92"/>
      <c r="E61" s="216"/>
      <c r="F61" s="216"/>
      <c r="G61" s="642"/>
      <c r="H61" s="92"/>
      <c r="I61" s="92"/>
    </row>
    <row r="62" ht="16.5" customHeight="1">
      <c r="A62" s="92"/>
      <c r="B62" s="92"/>
      <c r="C62" s="92"/>
      <c r="D62" s="92"/>
      <c r="E62" s="216"/>
      <c r="F62" s="216"/>
      <c r="G62" s="642"/>
      <c r="H62" s="92"/>
      <c r="I62" s="92"/>
    </row>
    <row r="63" ht="16.5" customHeight="1">
      <c r="A63" s="92"/>
      <c r="B63" s="92"/>
      <c r="C63" s="92"/>
      <c r="D63" s="92"/>
      <c r="E63" s="216"/>
      <c r="F63" s="216"/>
      <c r="G63" s="642"/>
      <c r="H63" s="92"/>
      <c r="I63" s="92"/>
    </row>
    <row r="64" ht="16.5" customHeight="1">
      <c r="A64" s="92"/>
      <c r="B64" s="92"/>
      <c r="C64" s="92"/>
      <c r="D64" s="92"/>
      <c r="E64" s="216"/>
      <c r="F64" s="216"/>
      <c r="G64" s="642"/>
      <c r="H64" s="92"/>
      <c r="I64" s="92"/>
    </row>
    <row r="65" ht="16.5" customHeight="1">
      <c r="A65" s="92"/>
      <c r="B65" s="92"/>
      <c r="C65" s="92"/>
      <c r="D65" s="92"/>
      <c r="E65" s="216"/>
      <c r="F65" s="216"/>
      <c r="G65" s="642"/>
      <c r="H65" s="92"/>
      <c r="I65" s="92"/>
    </row>
    <row r="66" ht="16.5" customHeight="1">
      <c r="A66" s="92"/>
      <c r="B66" s="92"/>
      <c r="C66" s="92"/>
      <c r="D66" s="92"/>
      <c r="E66" s="216"/>
      <c r="F66" s="216"/>
      <c r="G66" s="642"/>
      <c r="H66" s="92"/>
      <c r="I66" s="92"/>
    </row>
    <row r="67" ht="16.5" customHeight="1">
      <c r="A67" s="92"/>
      <c r="B67" s="92"/>
      <c r="C67" s="92"/>
      <c r="D67" s="92"/>
      <c r="E67" s="216"/>
      <c r="F67" s="216"/>
      <c r="G67" s="642"/>
      <c r="H67" s="92"/>
      <c r="I67" s="92"/>
    </row>
    <row r="68" ht="16.5" customHeight="1">
      <c r="A68" s="92"/>
      <c r="B68" s="92"/>
      <c r="C68" s="92"/>
      <c r="D68" s="92"/>
      <c r="E68" s="216"/>
      <c r="F68" s="216"/>
      <c r="G68" s="642"/>
      <c r="H68" s="92"/>
      <c r="I68" s="92"/>
    </row>
    <row r="69" ht="16.5" customHeight="1">
      <c r="A69" s="92"/>
      <c r="B69" s="92"/>
      <c r="C69" s="92"/>
      <c r="D69" s="92"/>
      <c r="E69" s="216"/>
      <c r="F69" s="216"/>
      <c r="G69" s="642"/>
      <c r="H69" s="92"/>
      <c r="I69" s="92"/>
    </row>
    <row r="70" ht="16.5" customHeight="1">
      <c r="A70" s="92"/>
      <c r="B70" s="92"/>
      <c r="C70" s="92"/>
      <c r="D70" s="92"/>
      <c r="E70" s="216"/>
      <c r="F70" s="216"/>
      <c r="G70" s="642"/>
      <c r="H70" s="92"/>
      <c r="I70" s="92"/>
    </row>
    <row r="71" ht="16.5" customHeight="1">
      <c r="A71" s="92"/>
      <c r="B71" s="92"/>
      <c r="C71" s="92"/>
      <c r="D71" s="92"/>
      <c r="E71" s="216"/>
      <c r="F71" s="216"/>
      <c r="G71" s="642"/>
      <c r="H71" s="92"/>
      <c r="I71" s="92"/>
    </row>
    <row r="72" ht="16.5" customHeight="1">
      <c r="A72" s="92"/>
      <c r="B72" s="92"/>
      <c r="C72" s="92"/>
      <c r="D72" s="92"/>
      <c r="E72" s="216"/>
      <c r="F72" s="216"/>
      <c r="G72" s="642"/>
      <c r="H72" s="92"/>
      <c r="I72" s="92"/>
    </row>
    <row r="73" ht="16.5" customHeight="1">
      <c r="A73" s="92"/>
      <c r="B73" s="92"/>
      <c r="C73" s="92"/>
      <c r="D73" s="92"/>
      <c r="E73" s="216"/>
      <c r="F73" s="216"/>
      <c r="G73" s="642"/>
      <c r="H73" s="92"/>
      <c r="I73" s="92"/>
    </row>
    <row r="74" ht="16.5" customHeight="1">
      <c r="A74" s="92"/>
      <c r="B74" s="92"/>
      <c r="C74" s="92"/>
      <c r="D74" s="92"/>
      <c r="E74" s="216"/>
      <c r="F74" s="216"/>
      <c r="G74" s="642"/>
      <c r="H74" s="92"/>
      <c r="I74" s="92"/>
    </row>
    <row r="75" ht="16.5" customHeight="1">
      <c r="A75" s="92"/>
      <c r="B75" s="92"/>
      <c r="C75" s="92"/>
      <c r="D75" s="92"/>
      <c r="E75" s="216"/>
      <c r="F75" s="216"/>
      <c r="G75" s="642"/>
      <c r="H75" s="92"/>
      <c r="I75" s="92"/>
    </row>
    <row r="76" ht="16.5" customHeight="1">
      <c r="A76" s="92"/>
      <c r="B76" s="92"/>
      <c r="C76" s="92"/>
      <c r="D76" s="92"/>
      <c r="E76" s="216"/>
      <c r="F76" s="216"/>
      <c r="G76" s="642"/>
      <c r="H76" s="92"/>
      <c r="I76" s="92"/>
    </row>
    <row r="77" ht="16.5" customHeight="1">
      <c r="A77" s="92"/>
      <c r="B77" s="92"/>
      <c r="C77" s="92"/>
      <c r="D77" s="92"/>
      <c r="E77" s="216"/>
      <c r="F77" s="216"/>
      <c r="G77" s="642"/>
      <c r="H77" s="92"/>
      <c r="I77" s="92"/>
    </row>
    <row r="78" ht="16.5" customHeight="1">
      <c r="A78" s="92"/>
      <c r="B78" s="92"/>
      <c r="C78" s="92"/>
      <c r="D78" s="92"/>
      <c r="E78" s="216"/>
      <c r="F78" s="216"/>
      <c r="G78" s="642"/>
      <c r="H78" s="92"/>
      <c r="I78" s="92"/>
    </row>
    <row r="79" ht="16.5" customHeight="1">
      <c r="A79" s="92"/>
      <c r="B79" s="92"/>
      <c r="C79" s="92"/>
      <c r="D79" s="92"/>
      <c r="E79" s="216"/>
      <c r="F79" s="216"/>
      <c r="G79" s="642"/>
      <c r="H79" s="92"/>
      <c r="I79" s="92"/>
    </row>
    <row r="80" ht="16.5" customHeight="1">
      <c r="A80" s="92"/>
      <c r="B80" s="92"/>
      <c r="C80" s="92"/>
      <c r="D80" s="92"/>
      <c r="E80" s="216"/>
      <c r="F80" s="216"/>
      <c r="G80" s="642"/>
      <c r="H80" s="92"/>
      <c r="I80" s="92"/>
    </row>
    <row r="81" ht="16.5" customHeight="1">
      <c r="A81" s="92"/>
      <c r="B81" s="92"/>
      <c r="C81" s="92"/>
      <c r="D81" s="92"/>
      <c r="E81" s="216"/>
      <c r="F81" s="216"/>
      <c r="G81" s="642"/>
      <c r="H81" s="92"/>
      <c r="I81" s="92"/>
    </row>
    <row r="82" ht="16.5" customHeight="1">
      <c r="A82" s="92"/>
      <c r="B82" s="92"/>
      <c r="C82" s="92"/>
      <c r="D82" s="92"/>
      <c r="E82" s="216"/>
      <c r="F82" s="216"/>
      <c r="G82" s="642"/>
      <c r="H82" s="92"/>
      <c r="I82" s="92"/>
    </row>
    <row r="83" ht="16.5" customHeight="1">
      <c r="A83" s="92"/>
      <c r="B83" s="92"/>
      <c r="C83" s="92"/>
      <c r="D83" s="92"/>
      <c r="E83" s="216"/>
      <c r="F83" s="216"/>
      <c r="G83" s="642"/>
      <c r="H83" s="92"/>
      <c r="I83" s="92"/>
    </row>
    <row r="84" ht="16.5" customHeight="1">
      <c r="A84" s="92"/>
      <c r="B84" s="92"/>
      <c r="C84" s="92"/>
      <c r="D84" s="92"/>
      <c r="E84" s="216"/>
      <c r="F84" s="216"/>
      <c r="G84" s="642"/>
      <c r="H84" s="92"/>
      <c r="I84" s="92"/>
    </row>
    <row r="85" ht="16.5" customHeight="1">
      <c r="A85" s="92"/>
      <c r="B85" s="92"/>
      <c r="C85" s="92"/>
      <c r="D85" s="92"/>
      <c r="E85" s="216"/>
      <c r="F85" s="216"/>
      <c r="G85" s="642"/>
      <c r="H85" s="92"/>
      <c r="I85" s="92"/>
    </row>
    <row r="86" ht="16.5" customHeight="1">
      <c r="A86" s="92"/>
      <c r="B86" s="92"/>
      <c r="C86" s="92"/>
      <c r="D86" s="92"/>
      <c r="E86" s="216"/>
      <c r="F86" s="216"/>
      <c r="G86" s="642"/>
      <c r="H86" s="92"/>
      <c r="I86" s="92"/>
    </row>
    <row r="87" ht="16.5" customHeight="1">
      <c r="A87" s="92"/>
      <c r="B87" s="92"/>
      <c r="C87" s="92"/>
      <c r="D87" s="92"/>
      <c r="E87" s="216"/>
      <c r="F87" s="216"/>
      <c r="G87" s="642"/>
      <c r="H87" s="92"/>
      <c r="I87" s="92"/>
    </row>
    <row r="88" ht="16.5" customHeight="1">
      <c r="A88" s="92"/>
      <c r="B88" s="92"/>
      <c r="C88" s="92"/>
      <c r="D88" s="92"/>
      <c r="E88" s="216"/>
      <c r="F88" s="216"/>
      <c r="G88" s="642"/>
      <c r="H88" s="92"/>
      <c r="I88" s="92"/>
    </row>
    <row r="89" ht="16.5" customHeight="1">
      <c r="A89" s="92"/>
      <c r="B89" s="92"/>
      <c r="C89" s="92"/>
      <c r="D89" s="92"/>
      <c r="E89" s="216"/>
      <c r="F89" s="216"/>
      <c r="G89" s="642"/>
      <c r="H89" s="92"/>
      <c r="I89" s="92"/>
    </row>
    <row r="90" ht="16.5" customHeight="1">
      <c r="A90" s="92"/>
      <c r="B90" s="92"/>
      <c r="C90" s="92"/>
      <c r="D90" s="92"/>
      <c r="E90" s="216"/>
      <c r="F90" s="216"/>
      <c r="G90" s="642"/>
      <c r="H90" s="92"/>
      <c r="I90" s="92"/>
    </row>
    <row r="91" ht="16.5" customHeight="1">
      <c r="A91" s="92"/>
      <c r="B91" s="92"/>
      <c r="C91" s="92"/>
      <c r="D91" s="92"/>
      <c r="E91" s="216"/>
      <c r="F91" s="216"/>
      <c r="G91" s="642"/>
      <c r="H91" s="92"/>
      <c r="I91" s="92"/>
    </row>
    <row r="92" ht="16.5" customHeight="1">
      <c r="A92" s="92"/>
      <c r="B92" s="92"/>
      <c r="C92" s="92"/>
      <c r="D92" s="92"/>
      <c r="E92" s="216"/>
      <c r="F92" s="216"/>
      <c r="G92" s="642"/>
      <c r="H92" s="92"/>
      <c r="I92" s="92"/>
    </row>
    <row r="93" ht="16.5" customHeight="1">
      <c r="A93" s="92"/>
      <c r="B93" s="92"/>
      <c r="C93" s="92"/>
      <c r="D93" s="92"/>
      <c r="E93" s="216"/>
      <c r="F93" s="216"/>
      <c r="G93" s="642"/>
      <c r="H93" s="92"/>
      <c r="I93" s="92"/>
    </row>
    <row r="94" ht="16.5" customHeight="1">
      <c r="A94" s="92"/>
      <c r="B94" s="92"/>
      <c r="C94" s="92"/>
      <c r="D94" s="92"/>
      <c r="E94" s="216"/>
      <c r="F94" s="216"/>
      <c r="G94" s="642"/>
      <c r="H94" s="92"/>
      <c r="I94" s="92"/>
    </row>
    <row r="95" ht="16.5" customHeight="1">
      <c r="A95" s="92"/>
      <c r="B95" s="92"/>
      <c r="C95" s="92"/>
      <c r="D95" s="92"/>
      <c r="E95" s="216"/>
      <c r="F95" s="216"/>
      <c r="G95" s="642"/>
      <c r="H95" s="92"/>
      <c r="I95" s="92"/>
    </row>
    <row r="96" ht="16.5" customHeight="1">
      <c r="A96" s="92"/>
      <c r="B96" s="92"/>
      <c r="C96" s="92"/>
      <c r="D96" s="92"/>
      <c r="E96" s="216"/>
      <c r="F96" s="216"/>
      <c r="G96" s="642"/>
      <c r="H96" s="92"/>
      <c r="I96" s="92"/>
    </row>
    <row r="97" ht="16.5" customHeight="1">
      <c r="A97" s="92"/>
      <c r="B97" s="92"/>
      <c r="C97" s="92"/>
      <c r="D97" s="92"/>
      <c r="E97" s="216"/>
      <c r="F97" s="216"/>
      <c r="G97" s="642"/>
      <c r="H97" s="92"/>
      <c r="I97" s="92"/>
    </row>
    <row r="98" ht="16.5" customHeight="1">
      <c r="A98" s="92"/>
      <c r="B98" s="92"/>
      <c r="C98" s="92"/>
      <c r="D98" s="92"/>
      <c r="E98" s="216"/>
      <c r="F98" s="216"/>
      <c r="G98" s="642"/>
      <c r="H98" s="92"/>
      <c r="I98" s="92"/>
    </row>
    <row r="99" ht="16.5" customHeight="1">
      <c r="A99" s="92"/>
      <c r="B99" s="92"/>
      <c r="C99" s="92"/>
      <c r="D99" s="92"/>
      <c r="E99" s="216"/>
      <c r="F99" s="216"/>
      <c r="G99" s="642"/>
      <c r="H99" s="92"/>
      <c r="I99" s="92"/>
    </row>
    <row r="100" ht="16.5" customHeight="1">
      <c r="A100" s="92"/>
      <c r="B100" s="92"/>
      <c r="C100" s="92"/>
      <c r="D100" s="92"/>
      <c r="E100" s="216"/>
      <c r="F100" s="216"/>
      <c r="G100" s="642"/>
      <c r="H100" s="92"/>
      <c r="I100" s="92"/>
    </row>
    <row r="101" ht="16.5" customHeight="1">
      <c r="A101" s="92"/>
      <c r="B101" s="92"/>
      <c r="C101" s="92"/>
      <c r="D101" s="92"/>
      <c r="E101" s="216"/>
      <c r="F101" s="216"/>
      <c r="G101" s="642"/>
      <c r="H101" s="92"/>
      <c r="I101" s="92"/>
    </row>
    <row r="102" ht="16.5" customHeight="1">
      <c r="A102" s="92"/>
      <c r="B102" s="92"/>
      <c r="C102" s="92"/>
      <c r="D102" s="92"/>
      <c r="E102" s="216"/>
      <c r="F102" s="216"/>
      <c r="G102" s="642"/>
      <c r="H102" s="92"/>
      <c r="I102" s="92"/>
    </row>
    <row r="103" ht="16.5" customHeight="1">
      <c r="A103" s="92"/>
      <c r="B103" s="92"/>
      <c r="C103" s="92"/>
      <c r="D103" s="92"/>
      <c r="E103" s="216"/>
      <c r="F103" s="216"/>
      <c r="G103" s="642"/>
      <c r="H103" s="92"/>
      <c r="I103" s="92"/>
    </row>
    <row r="104" ht="16.5" customHeight="1">
      <c r="A104" s="92"/>
      <c r="B104" s="92"/>
      <c r="C104" s="92"/>
      <c r="D104" s="92"/>
      <c r="E104" s="216"/>
      <c r="F104" s="216"/>
      <c r="G104" s="642"/>
      <c r="H104" s="92"/>
      <c r="I104" s="92"/>
    </row>
    <row r="105" ht="16.5" customHeight="1">
      <c r="A105" s="92"/>
      <c r="B105" s="92"/>
      <c r="C105" s="92"/>
      <c r="D105" s="92"/>
      <c r="E105" s="216"/>
      <c r="F105" s="216"/>
      <c r="G105" s="642"/>
      <c r="H105" s="92"/>
      <c r="I105" s="92"/>
    </row>
    <row r="106" ht="16.5" customHeight="1">
      <c r="A106" s="92"/>
      <c r="B106" s="92"/>
      <c r="C106" s="92"/>
      <c r="D106" s="92"/>
      <c r="E106" s="216"/>
      <c r="F106" s="216"/>
      <c r="G106" s="642"/>
      <c r="H106" s="92"/>
      <c r="I106" s="92"/>
    </row>
    <row r="107" ht="16.5" customHeight="1">
      <c r="A107" s="92"/>
      <c r="B107" s="92"/>
      <c r="C107" s="92"/>
      <c r="D107" s="92"/>
      <c r="E107" s="216"/>
      <c r="F107" s="216"/>
      <c r="G107" s="642"/>
      <c r="H107" s="92"/>
      <c r="I107" s="92"/>
    </row>
    <row r="108" ht="16.5" customHeight="1">
      <c r="A108" s="92"/>
      <c r="B108" s="92"/>
      <c r="C108" s="92"/>
      <c r="D108" s="92"/>
      <c r="E108" s="216"/>
      <c r="F108" s="216"/>
      <c r="G108" s="642"/>
      <c r="H108" s="92"/>
      <c r="I108" s="92"/>
    </row>
    <row r="109" ht="16.5" customHeight="1">
      <c r="A109" s="92"/>
      <c r="B109" s="92"/>
      <c r="C109" s="92"/>
      <c r="D109" s="92"/>
      <c r="E109" s="216"/>
      <c r="F109" s="216"/>
      <c r="G109" s="642"/>
      <c r="H109" s="92"/>
      <c r="I109" s="92"/>
    </row>
    <row r="110" ht="16.5" customHeight="1">
      <c r="A110" s="92"/>
      <c r="B110" s="92"/>
      <c r="C110" s="92"/>
      <c r="D110" s="92"/>
      <c r="E110" s="216"/>
      <c r="F110" s="216"/>
      <c r="G110" s="642"/>
      <c r="H110" s="92"/>
      <c r="I110" s="92"/>
    </row>
    <row r="111" ht="16.5" customHeight="1">
      <c r="A111" s="92"/>
      <c r="B111" s="92"/>
      <c r="C111" s="92"/>
      <c r="D111" s="92"/>
      <c r="E111" s="216"/>
      <c r="F111" s="216"/>
      <c r="G111" s="642"/>
      <c r="H111" s="92"/>
      <c r="I111" s="92"/>
    </row>
    <row r="112" ht="16.5" customHeight="1">
      <c r="A112" s="92"/>
      <c r="B112" s="92"/>
      <c r="C112" s="92"/>
      <c r="D112" s="92"/>
      <c r="E112" s="216"/>
      <c r="F112" s="216"/>
      <c r="G112" s="642"/>
      <c r="H112" s="92"/>
      <c r="I112" s="92"/>
    </row>
    <row r="113" ht="16.5" customHeight="1">
      <c r="A113" s="92"/>
      <c r="B113" s="92"/>
      <c r="C113" s="92"/>
      <c r="D113" s="92"/>
      <c r="E113" s="216"/>
      <c r="F113" s="216"/>
      <c r="G113" s="642"/>
      <c r="H113" s="92"/>
      <c r="I113" s="92"/>
    </row>
    <row r="114" ht="16.5" customHeight="1">
      <c r="A114" s="92"/>
      <c r="B114" s="92"/>
      <c r="C114" s="92"/>
      <c r="D114" s="92"/>
      <c r="E114" s="216"/>
      <c r="F114" s="216"/>
      <c r="G114" s="642"/>
      <c r="H114" s="92"/>
      <c r="I114" s="92"/>
    </row>
    <row r="115" ht="16.5" customHeight="1">
      <c r="A115" s="92"/>
      <c r="B115" s="92"/>
      <c r="C115" s="92"/>
      <c r="D115" s="92"/>
      <c r="E115" s="216"/>
      <c r="F115" s="216"/>
      <c r="G115" s="642"/>
      <c r="H115" s="92"/>
      <c r="I115" s="92"/>
    </row>
    <row r="116" ht="16.5" customHeight="1">
      <c r="A116" s="92"/>
      <c r="B116" s="92"/>
      <c r="C116" s="92"/>
      <c r="D116" s="92"/>
      <c r="E116" s="216"/>
      <c r="F116" s="216"/>
      <c r="G116" s="642"/>
      <c r="H116" s="92"/>
      <c r="I116" s="92"/>
    </row>
    <row r="117" ht="16.5" customHeight="1">
      <c r="A117" s="92"/>
      <c r="B117" s="92"/>
      <c r="C117" s="92"/>
      <c r="D117" s="92"/>
      <c r="E117" s="216"/>
      <c r="F117" s="216"/>
      <c r="G117" s="642"/>
      <c r="H117" s="92"/>
      <c r="I117" s="92"/>
    </row>
    <row r="118" ht="16.5" customHeight="1">
      <c r="A118" s="92"/>
      <c r="B118" s="92"/>
      <c r="C118" s="92"/>
      <c r="D118" s="92"/>
      <c r="E118" s="216"/>
      <c r="F118" s="216"/>
      <c r="G118" s="642"/>
      <c r="H118" s="92"/>
      <c r="I118" s="92"/>
    </row>
    <row r="119" ht="16.5" customHeight="1">
      <c r="A119" s="92"/>
      <c r="B119" s="92"/>
      <c r="C119" s="92"/>
      <c r="D119" s="92"/>
      <c r="E119" s="216"/>
      <c r="F119" s="216"/>
      <c r="G119" s="642"/>
      <c r="H119" s="92"/>
      <c r="I119" s="92"/>
    </row>
    <row r="120" ht="16.5" customHeight="1">
      <c r="A120" s="92"/>
      <c r="B120" s="92"/>
      <c r="C120" s="92"/>
      <c r="D120" s="92"/>
      <c r="E120" s="216"/>
      <c r="F120" s="216"/>
      <c r="G120" s="642"/>
      <c r="H120" s="92"/>
      <c r="I120" s="92"/>
    </row>
    <row r="121" ht="16.5" customHeight="1">
      <c r="A121" s="92"/>
      <c r="B121" s="92"/>
      <c r="C121" s="92"/>
      <c r="D121" s="92"/>
      <c r="E121" s="216"/>
      <c r="F121" s="216"/>
      <c r="G121" s="642"/>
      <c r="H121" s="92"/>
      <c r="I121" s="92"/>
    </row>
    <row r="122" ht="16.5" customHeight="1">
      <c r="A122" s="92"/>
      <c r="B122" s="92"/>
      <c r="C122" s="92"/>
      <c r="D122" s="92"/>
      <c r="E122" s="216"/>
      <c r="F122" s="216"/>
      <c r="G122" s="642"/>
      <c r="H122" s="92"/>
      <c r="I122" s="92"/>
    </row>
    <row r="123" ht="16.5" customHeight="1">
      <c r="A123" s="92"/>
      <c r="B123" s="92"/>
      <c r="C123" s="92"/>
      <c r="D123" s="92"/>
      <c r="E123" s="216"/>
      <c r="F123" s="216"/>
      <c r="G123" s="642"/>
      <c r="H123" s="92"/>
      <c r="I123" s="92"/>
    </row>
    <row r="124" ht="16.5" customHeight="1">
      <c r="A124" s="92"/>
      <c r="B124" s="92"/>
      <c r="C124" s="92"/>
      <c r="D124" s="92"/>
      <c r="E124" s="216"/>
      <c r="F124" s="216"/>
      <c r="G124" s="642"/>
      <c r="H124" s="92"/>
      <c r="I124" s="92"/>
    </row>
    <row r="125" ht="16.5" customHeight="1">
      <c r="A125" s="92"/>
      <c r="B125" s="92"/>
      <c r="C125" s="92"/>
      <c r="D125" s="92"/>
      <c r="E125" s="216"/>
      <c r="F125" s="216"/>
      <c r="G125" s="642"/>
      <c r="H125" s="92"/>
      <c r="I125" s="92"/>
    </row>
    <row r="126" ht="16.5" customHeight="1">
      <c r="A126" s="92"/>
      <c r="B126" s="92"/>
      <c r="C126" s="92"/>
      <c r="D126" s="92"/>
      <c r="E126" s="216"/>
      <c r="F126" s="216"/>
      <c r="G126" s="642"/>
      <c r="H126" s="92"/>
      <c r="I126" s="92"/>
    </row>
    <row r="127" ht="16.5" customHeight="1">
      <c r="A127" s="92"/>
      <c r="B127" s="92"/>
      <c r="C127" s="92"/>
      <c r="D127" s="92"/>
      <c r="E127" s="216"/>
      <c r="F127" s="216"/>
      <c r="G127" s="642"/>
      <c r="H127" s="92"/>
      <c r="I127" s="92"/>
    </row>
    <row r="128" ht="16.5" customHeight="1">
      <c r="A128" s="92"/>
      <c r="B128" s="92"/>
      <c r="C128" s="92"/>
      <c r="D128" s="92"/>
      <c r="E128" s="216"/>
      <c r="F128" s="216"/>
      <c r="G128" s="642"/>
      <c r="H128" s="92"/>
      <c r="I128" s="92"/>
    </row>
    <row r="129" ht="16.5" customHeight="1">
      <c r="A129" s="92"/>
      <c r="B129" s="92"/>
      <c r="C129" s="92"/>
      <c r="D129" s="92"/>
      <c r="E129" s="216"/>
      <c r="F129" s="216"/>
      <c r="G129" s="642"/>
      <c r="H129" s="92"/>
      <c r="I129" s="92"/>
    </row>
    <row r="130" ht="16.5" customHeight="1">
      <c r="A130" s="92"/>
      <c r="B130" s="92"/>
      <c r="C130" s="92"/>
      <c r="D130" s="92"/>
      <c r="E130" s="216"/>
      <c r="F130" s="216"/>
      <c r="G130" s="642"/>
      <c r="H130" s="92"/>
      <c r="I130" s="92"/>
    </row>
    <row r="131" ht="16.5" customHeight="1">
      <c r="A131" s="92"/>
      <c r="B131" s="92"/>
      <c r="C131" s="92"/>
      <c r="D131" s="92"/>
      <c r="E131" s="216"/>
      <c r="F131" s="216"/>
      <c r="G131" s="642"/>
      <c r="H131" s="92"/>
      <c r="I131" s="92"/>
    </row>
    <row r="132" ht="16.5" customHeight="1">
      <c r="A132" s="92"/>
      <c r="B132" s="92"/>
      <c r="C132" s="92"/>
      <c r="D132" s="92"/>
      <c r="E132" s="216"/>
      <c r="F132" s="216"/>
      <c r="G132" s="642"/>
      <c r="H132" s="92"/>
      <c r="I132" s="92"/>
    </row>
    <row r="133" ht="16.5" customHeight="1">
      <c r="A133" s="92"/>
      <c r="B133" s="92"/>
      <c r="C133" s="92"/>
      <c r="D133" s="92"/>
      <c r="E133" s="216"/>
      <c r="F133" s="216"/>
      <c r="G133" s="642"/>
      <c r="H133" s="92"/>
      <c r="I133" s="92"/>
    </row>
    <row r="134" ht="16.5" customHeight="1">
      <c r="A134" s="92"/>
      <c r="B134" s="92"/>
      <c r="C134" s="92"/>
      <c r="D134" s="92"/>
      <c r="E134" s="216"/>
      <c r="F134" s="216"/>
      <c r="G134" s="642"/>
      <c r="H134" s="92"/>
      <c r="I134" s="92"/>
    </row>
    <row r="135" ht="16.5" customHeight="1">
      <c r="A135" s="92"/>
      <c r="B135" s="92"/>
      <c r="C135" s="92"/>
      <c r="D135" s="92"/>
      <c r="E135" s="216"/>
      <c r="F135" s="216"/>
      <c r="G135" s="642"/>
      <c r="H135" s="92"/>
      <c r="I135" s="92"/>
    </row>
    <row r="136" ht="16.5" customHeight="1">
      <c r="A136" s="92"/>
      <c r="B136" s="92"/>
      <c r="C136" s="92"/>
      <c r="D136" s="92"/>
      <c r="E136" s="216"/>
      <c r="F136" s="216"/>
      <c r="G136" s="642"/>
      <c r="H136" s="92"/>
      <c r="I136" s="92"/>
    </row>
    <row r="137" ht="16.5" customHeight="1">
      <c r="A137" s="92"/>
      <c r="B137" s="92"/>
      <c r="C137" s="92"/>
      <c r="D137" s="92"/>
      <c r="E137" s="216"/>
      <c r="F137" s="216"/>
      <c r="G137" s="642"/>
      <c r="H137" s="92"/>
      <c r="I137" s="92"/>
    </row>
    <row r="138" ht="16.5" customHeight="1">
      <c r="A138" s="92"/>
      <c r="B138" s="92"/>
      <c r="C138" s="92"/>
      <c r="D138" s="92"/>
      <c r="E138" s="216"/>
      <c r="F138" s="216"/>
      <c r="G138" s="642"/>
      <c r="H138" s="92"/>
      <c r="I138" s="92"/>
    </row>
    <row r="139" ht="16.5" customHeight="1">
      <c r="A139" s="92"/>
      <c r="B139" s="92"/>
      <c r="C139" s="92"/>
      <c r="D139" s="92"/>
      <c r="E139" s="216"/>
      <c r="F139" s="216"/>
      <c r="G139" s="642"/>
      <c r="H139" s="92"/>
      <c r="I139" s="92"/>
    </row>
    <row r="140" ht="16.5" customHeight="1">
      <c r="A140" s="92"/>
      <c r="B140" s="92"/>
      <c r="C140" s="92"/>
      <c r="D140" s="92"/>
      <c r="E140" s="216"/>
      <c r="F140" s="216"/>
      <c r="G140" s="642"/>
      <c r="H140" s="92"/>
      <c r="I140" s="92"/>
    </row>
    <row r="141" ht="16.5" customHeight="1">
      <c r="A141" s="92"/>
      <c r="B141" s="92"/>
      <c r="C141" s="92"/>
      <c r="D141" s="92"/>
      <c r="E141" s="216"/>
      <c r="F141" s="216"/>
      <c r="G141" s="642"/>
      <c r="H141" s="92"/>
      <c r="I141" s="92"/>
    </row>
    <row r="142" ht="16.5" customHeight="1">
      <c r="A142" s="92"/>
      <c r="B142" s="92"/>
      <c r="C142" s="92"/>
      <c r="D142" s="92"/>
      <c r="E142" s="216"/>
      <c r="F142" s="216"/>
      <c r="G142" s="642"/>
      <c r="H142" s="92"/>
      <c r="I142" s="92"/>
    </row>
    <row r="143" ht="16.5" customHeight="1">
      <c r="A143" s="92"/>
      <c r="B143" s="92"/>
      <c r="C143" s="92"/>
      <c r="D143" s="92"/>
      <c r="E143" s="216"/>
      <c r="F143" s="216"/>
      <c r="G143" s="642"/>
      <c r="H143" s="92"/>
      <c r="I143" s="92"/>
    </row>
    <row r="144" ht="16.5" customHeight="1">
      <c r="A144" s="92"/>
      <c r="B144" s="92"/>
      <c r="C144" s="92"/>
      <c r="D144" s="92"/>
      <c r="E144" s="216"/>
      <c r="F144" s="216"/>
      <c r="G144" s="642"/>
      <c r="H144" s="92"/>
      <c r="I144" s="92"/>
    </row>
    <row r="145" ht="16.5" customHeight="1">
      <c r="A145" s="92"/>
      <c r="B145" s="92"/>
      <c r="C145" s="92"/>
      <c r="D145" s="92"/>
      <c r="E145" s="216"/>
      <c r="F145" s="216"/>
      <c r="G145" s="642"/>
      <c r="H145" s="92"/>
      <c r="I145" s="92"/>
    </row>
    <row r="146" ht="16.5" customHeight="1">
      <c r="A146" s="92"/>
      <c r="B146" s="92"/>
      <c r="C146" s="92"/>
      <c r="D146" s="92"/>
      <c r="E146" s="216"/>
      <c r="F146" s="216"/>
      <c r="G146" s="642"/>
      <c r="H146" s="92"/>
      <c r="I146" s="92"/>
    </row>
    <row r="147" ht="16.5" customHeight="1">
      <c r="A147" s="92"/>
      <c r="B147" s="92"/>
      <c r="C147" s="92"/>
      <c r="D147" s="92"/>
      <c r="E147" s="216"/>
      <c r="F147" s="216"/>
      <c r="G147" s="642"/>
      <c r="H147" s="92"/>
      <c r="I147" s="92"/>
    </row>
    <row r="148" ht="16.5" customHeight="1">
      <c r="A148" s="92"/>
      <c r="B148" s="92"/>
      <c r="C148" s="92"/>
      <c r="D148" s="92"/>
      <c r="E148" s="216"/>
      <c r="F148" s="216"/>
      <c r="G148" s="642"/>
      <c r="H148" s="92"/>
      <c r="I148" s="92"/>
    </row>
    <row r="149" ht="16.5" customHeight="1">
      <c r="A149" s="92"/>
      <c r="B149" s="92"/>
      <c r="C149" s="92"/>
      <c r="D149" s="92"/>
      <c r="E149" s="216"/>
      <c r="F149" s="216"/>
      <c r="G149" s="642"/>
      <c r="H149" s="92"/>
      <c r="I149" s="92"/>
    </row>
    <row r="150" ht="16.5" customHeight="1">
      <c r="A150" s="92"/>
      <c r="B150" s="92"/>
      <c r="C150" s="92"/>
      <c r="D150" s="92"/>
      <c r="E150" s="216"/>
      <c r="F150" s="216"/>
      <c r="G150" s="642"/>
      <c r="H150" s="92"/>
      <c r="I150" s="92"/>
    </row>
    <row r="151" ht="16.5" customHeight="1">
      <c r="A151" s="92"/>
      <c r="B151" s="92"/>
      <c r="C151" s="92"/>
      <c r="D151" s="92"/>
      <c r="E151" s="216"/>
      <c r="F151" s="216"/>
      <c r="G151" s="642"/>
      <c r="H151" s="92"/>
      <c r="I151" s="92"/>
    </row>
    <row r="152" ht="16.5" customHeight="1">
      <c r="A152" s="92"/>
      <c r="B152" s="92"/>
      <c r="C152" s="92"/>
      <c r="D152" s="92"/>
      <c r="E152" s="216"/>
      <c r="F152" s="216"/>
      <c r="G152" s="642"/>
      <c r="H152" s="92"/>
      <c r="I152" s="92"/>
    </row>
    <row r="153" ht="16.5" customHeight="1">
      <c r="A153" s="92"/>
      <c r="B153" s="92"/>
      <c r="C153" s="92"/>
      <c r="D153" s="92"/>
      <c r="E153" s="216"/>
      <c r="F153" s="216"/>
      <c r="G153" s="642"/>
      <c r="H153" s="92"/>
      <c r="I153" s="92"/>
    </row>
    <row r="154" ht="16.5" customHeight="1">
      <c r="A154" s="92"/>
      <c r="B154" s="92"/>
      <c r="C154" s="92"/>
      <c r="D154" s="92"/>
      <c r="E154" s="216"/>
      <c r="F154" s="216"/>
      <c r="G154" s="642"/>
      <c r="H154" s="92"/>
      <c r="I154" s="92"/>
    </row>
    <row r="155" ht="16.5" customHeight="1">
      <c r="A155" s="92"/>
      <c r="B155" s="92"/>
      <c r="C155" s="92"/>
      <c r="D155" s="92"/>
      <c r="E155" s="216"/>
      <c r="F155" s="216"/>
      <c r="G155" s="642"/>
      <c r="H155" s="92"/>
      <c r="I155" s="92"/>
    </row>
    <row r="156" ht="16.5" customHeight="1">
      <c r="A156" s="92"/>
      <c r="B156" s="92"/>
      <c r="C156" s="92"/>
      <c r="D156" s="92"/>
      <c r="E156" s="216"/>
      <c r="F156" s="216"/>
      <c r="G156" s="642"/>
      <c r="H156" s="92"/>
      <c r="I156" s="92"/>
    </row>
    <row r="157" ht="16.5" customHeight="1">
      <c r="A157" s="92"/>
      <c r="B157" s="92"/>
      <c r="C157" s="92"/>
      <c r="D157" s="92"/>
      <c r="E157" s="216"/>
      <c r="F157" s="216"/>
      <c r="G157" s="642"/>
      <c r="H157" s="92"/>
      <c r="I157" s="92"/>
    </row>
    <row r="158" ht="16.5" customHeight="1">
      <c r="A158" s="92"/>
      <c r="B158" s="92"/>
      <c r="C158" s="92"/>
      <c r="D158" s="92"/>
      <c r="E158" s="216"/>
      <c r="F158" s="216"/>
      <c r="G158" s="642"/>
      <c r="H158" s="92"/>
      <c r="I158" s="92"/>
    </row>
    <row r="159" ht="16.5" customHeight="1">
      <c r="A159" s="92"/>
      <c r="B159" s="92"/>
      <c r="C159" s="92"/>
      <c r="D159" s="92"/>
      <c r="E159" s="216"/>
      <c r="F159" s="216"/>
      <c r="G159" s="642"/>
      <c r="H159" s="92"/>
      <c r="I159" s="92"/>
    </row>
    <row r="160" ht="16.5" customHeight="1">
      <c r="A160" s="92"/>
      <c r="B160" s="92"/>
      <c r="C160" s="92"/>
      <c r="D160" s="92"/>
      <c r="E160" s="216"/>
      <c r="F160" s="216"/>
      <c r="G160" s="642"/>
      <c r="H160" s="92"/>
      <c r="I160" s="92"/>
    </row>
    <row r="161" ht="16.5" customHeight="1">
      <c r="A161" s="92"/>
      <c r="B161" s="92"/>
      <c r="C161" s="92"/>
      <c r="D161" s="92"/>
      <c r="E161" s="216"/>
      <c r="F161" s="216"/>
      <c r="G161" s="642"/>
      <c r="H161" s="92"/>
      <c r="I161" s="92"/>
    </row>
    <row r="162" ht="16.5" customHeight="1">
      <c r="A162" s="92"/>
      <c r="B162" s="92"/>
      <c r="C162" s="92"/>
      <c r="D162" s="92"/>
      <c r="E162" s="216"/>
      <c r="F162" s="216"/>
      <c r="G162" s="642"/>
      <c r="H162" s="92"/>
      <c r="I162" s="92"/>
    </row>
    <row r="163" ht="16.5" customHeight="1">
      <c r="A163" s="92"/>
      <c r="B163" s="92"/>
      <c r="C163" s="92"/>
      <c r="D163" s="92"/>
      <c r="E163" s="216"/>
      <c r="F163" s="216"/>
      <c r="G163" s="642"/>
      <c r="H163" s="92"/>
      <c r="I163" s="92"/>
    </row>
    <row r="164" ht="16.5" customHeight="1">
      <c r="A164" s="92"/>
      <c r="B164" s="92"/>
      <c r="C164" s="92"/>
      <c r="D164" s="92"/>
      <c r="E164" s="216"/>
      <c r="F164" s="216"/>
      <c r="G164" s="642"/>
      <c r="H164" s="92"/>
      <c r="I164" s="92"/>
    </row>
    <row r="165" ht="16.5" customHeight="1">
      <c r="A165" s="92"/>
      <c r="B165" s="92"/>
      <c r="C165" s="92"/>
      <c r="D165" s="92"/>
      <c r="E165" s="216"/>
      <c r="F165" s="216"/>
      <c r="G165" s="642"/>
      <c r="H165" s="92"/>
      <c r="I165" s="92"/>
    </row>
    <row r="166" ht="16.5" customHeight="1">
      <c r="A166" s="92"/>
      <c r="B166" s="92"/>
      <c r="C166" s="92"/>
      <c r="D166" s="92"/>
      <c r="E166" s="216"/>
      <c r="F166" s="216"/>
      <c r="G166" s="642"/>
      <c r="H166" s="92"/>
      <c r="I166" s="92"/>
    </row>
    <row r="167" ht="16.5" customHeight="1">
      <c r="A167" s="92"/>
      <c r="B167" s="92"/>
      <c r="C167" s="92"/>
      <c r="D167" s="92"/>
      <c r="E167" s="216"/>
      <c r="F167" s="216"/>
      <c r="G167" s="642"/>
      <c r="H167" s="92"/>
      <c r="I167" s="92"/>
    </row>
    <row r="168" ht="16.5" customHeight="1">
      <c r="A168" s="92"/>
      <c r="B168" s="92"/>
      <c r="C168" s="92"/>
      <c r="D168" s="92"/>
      <c r="E168" s="216"/>
      <c r="F168" s="216"/>
      <c r="G168" s="642"/>
      <c r="H168" s="92"/>
      <c r="I168" s="92"/>
    </row>
    <row r="169" ht="16.5" customHeight="1">
      <c r="A169" s="92"/>
      <c r="B169" s="92"/>
      <c r="C169" s="92"/>
      <c r="D169" s="92"/>
      <c r="E169" s="216"/>
      <c r="F169" s="216"/>
      <c r="G169" s="642"/>
      <c r="H169" s="92"/>
      <c r="I169" s="92"/>
    </row>
    <row r="170" ht="16.5" customHeight="1">
      <c r="A170" s="92"/>
      <c r="B170" s="92"/>
      <c r="C170" s="92"/>
      <c r="D170" s="92"/>
      <c r="E170" s="216"/>
      <c r="F170" s="216"/>
      <c r="G170" s="642"/>
      <c r="H170" s="92"/>
      <c r="I170" s="92"/>
    </row>
    <row r="171" ht="16.5" customHeight="1">
      <c r="A171" s="92"/>
      <c r="B171" s="92"/>
      <c r="C171" s="92"/>
      <c r="D171" s="92"/>
      <c r="E171" s="216"/>
      <c r="F171" s="216"/>
      <c r="G171" s="642"/>
      <c r="H171" s="92"/>
      <c r="I171" s="92"/>
    </row>
    <row r="172" ht="16.5" customHeight="1">
      <c r="A172" s="92"/>
      <c r="B172" s="92"/>
      <c r="C172" s="92"/>
      <c r="D172" s="92"/>
      <c r="E172" s="216"/>
      <c r="F172" s="216"/>
      <c r="G172" s="642"/>
      <c r="H172" s="92"/>
      <c r="I172" s="92"/>
    </row>
    <row r="173" ht="16.5" customHeight="1">
      <c r="A173" s="92"/>
      <c r="B173" s="92"/>
      <c r="C173" s="92"/>
      <c r="D173" s="92"/>
      <c r="E173" s="216"/>
      <c r="F173" s="216"/>
      <c r="G173" s="642"/>
      <c r="H173" s="92"/>
      <c r="I173" s="92"/>
    </row>
    <row r="174" ht="16.5" customHeight="1">
      <c r="A174" s="92"/>
      <c r="B174" s="92"/>
      <c r="C174" s="92"/>
      <c r="D174" s="92"/>
      <c r="E174" s="216"/>
      <c r="F174" s="216"/>
      <c r="G174" s="642"/>
      <c r="H174" s="92"/>
      <c r="I174" s="92"/>
    </row>
    <row r="175" ht="16.5" customHeight="1">
      <c r="A175" s="92"/>
      <c r="B175" s="92"/>
      <c r="C175" s="92"/>
      <c r="D175" s="92"/>
      <c r="E175" s="216"/>
      <c r="F175" s="216"/>
      <c r="G175" s="642"/>
      <c r="H175" s="92"/>
      <c r="I175" s="92"/>
    </row>
    <row r="176" ht="16.5" customHeight="1">
      <c r="A176" s="92"/>
      <c r="B176" s="92"/>
      <c r="C176" s="92"/>
      <c r="D176" s="92"/>
      <c r="E176" s="216"/>
      <c r="F176" s="216"/>
      <c r="G176" s="642"/>
      <c r="H176" s="92"/>
      <c r="I176" s="92"/>
    </row>
    <row r="177" ht="16.5" customHeight="1">
      <c r="A177" s="92"/>
      <c r="B177" s="92"/>
      <c r="C177" s="92"/>
      <c r="D177" s="92"/>
      <c r="E177" s="216"/>
      <c r="F177" s="216"/>
      <c r="G177" s="642"/>
      <c r="H177" s="92"/>
      <c r="I177" s="92"/>
    </row>
    <row r="178" ht="16.5" customHeight="1">
      <c r="A178" s="92"/>
      <c r="B178" s="92"/>
      <c r="C178" s="92"/>
      <c r="D178" s="92"/>
      <c r="E178" s="216"/>
      <c r="F178" s="216"/>
      <c r="G178" s="642"/>
      <c r="H178" s="92"/>
      <c r="I178" s="92"/>
    </row>
    <row r="179" ht="16.5" customHeight="1">
      <c r="A179" s="92"/>
      <c r="B179" s="92"/>
      <c r="C179" s="92"/>
      <c r="D179" s="92"/>
      <c r="E179" s="216"/>
      <c r="F179" s="216"/>
      <c r="G179" s="642"/>
      <c r="H179" s="92"/>
      <c r="I179" s="92"/>
    </row>
    <row r="180" ht="16.5" customHeight="1">
      <c r="A180" s="92"/>
      <c r="B180" s="92"/>
      <c r="C180" s="92"/>
      <c r="D180" s="92"/>
      <c r="E180" s="216"/>
      <c r="F180" s="216"/>
      <c r="G180" s="642"/>
      <c r="H180" s="92"/>
      <c r="I180" s="92"/>
    </row>
    <row r="181" ht="16.5" customHeight="1">
      <c r="A181" s="92"/>
      <c r="B181" s="92"/>
      <c r="C181" s="92"/>
      <c r="D181" s="92"/>
      <c r="E181" s="216"/>
      <c r="F181" s="216"/>
      <c r="G181" s="642"/>
      <c r="H181" s="92"/>
      <c r="I181" s="92"/>
    </row>
    <row r="182" ht="16.5" customHeight="1">
      <c r="A182" s="92"/>
      <c r="B182" s="92"/>
      <c r="C182" s="92"/>
      <c r="D182" s="92"/>
      <c r="E182" s="216"/>
      <c r="F182" s="216"/>
      <c r="G182" s="642"/>
      <c r="H182" s="92"/>
      <c r="I182" s="92"/>
    </row>
    <row r="183" ht="16.5" customHeight="1">
      <c r="A183" s="92"/>
      <c r="B183" s="92"/>
      <c r="C183" s="92"/>
      <c r="D183" s="92"/>
      <c r="E183" s="216"/>
      <c r="F183" s="216"/>
      <c r="G183" s="642"/>
      <c r="H183" s="92"/>
      <c r="I183" s="92"/>
    </row>
    <row r="184" ht="16.5" customHeight="1">
      <c r="A184" s="92"/>
      <c r="B184" s="92"/>
      <c r="C184" s="92"/>
      <c r="D184" s="92"/>
      <c r="E184" s="216"/>
      <c r="F184" s="216"/>
      <c r="G184" s="642"/>
      <c r="H184" s="92"/>
      <c r="I184" s="92"/>
    </row>
    <row r="185" ht="16.5" customHeight="1">
      <c r="A185" s="92"/>
      <c r="B185" s="92"/>
      <c r="C185" s="92"/>
      <c r="D185" s="92"/>
      <c r="E185" s="216"/>
      <c r="F185" s="216"/>
      <c r="G185" s="642"/>
      <c r="H185" s="92"/>
      <c r="I185" s="92"/>
    </row>
    <row r="186" ht="16.5" customHeight="1">
      <c r="A186" s="92"/>
      <c r="B186" s="92"/>
      <c r="C186" s="92"/>
      <c r="D186" s="92"/>
      <c r="E186" s="216"/>
      <c r="F186" s="216"/>
      <c r="G186" s="642"/>
      <c r="H186" s="92"/>
      <c r="I186" s="92"/>
    </row>
    <row r="187" ht="16.5" customHeight="1">
      <c r="A187" s="92"/>
      <c r="B187" s="92"/>
      <c r="C187" s="92"/>
      <c r="D187" s="92"/>
      <c r="E187" s="216"/>
      <c r="F187" s="216"/>
      <c r="G187" s="642"/>
      <c r="H187" s="92"/>
      <c r="I187" s="92"/>
    </row>
    <row r="188" ht="16.5" customHeight="1">
      <c r="A188" s="92"/>
      <c r="B188" s="92"/>
      <c r="C188" s="92"/>
      <c r="D188" s="92"/>
      <c r="E188" s="216"/>
      <c r="F188" s="216"/>
      <c r="G188" s="642"/>
      <c r="H188" s="92"/>
      <c r="I188" s="92"/>
    </row>
    <row r="189" ht="16.5" customHeight="1">
      <c r="A189" s="92"/>
      <c r="B189" s="92"/>
      <c r="C189" s="92"/>
      <c r="D189" s="92"/>
      <c r="E189" s="216"/>
      <c r="F189" s="216"/>
      <c r="G189" s="642"/>
      <c r="H189" s="92"/>
      <c r="I189" s="92"/>
    </row>
    <row r="190" ht="16.5" customHeight="1">
      <c r="A190" s="92"/>
      <c r="B190" s="92"/>
      <c r="C190" s="92"/>
      <c r="D190" s="92"/>
      <c r="E190" s="216"/>
      <c r="F190" s="216"/>
      <c r="G190" s="642"/>
      <c r="H190" s="92"/>
      <c r="I190" s="92"/>
    </row>
    <row r="191" ht="16.5" customHeight="1">
      <c r="A191" s="92"/>
      <c r="B191" s="92"/>
      <c r="C191" s="92"/>
      <c r="D191" s="92"/>
      <c r="E191" s="216"/>
      <c r="F191" s="216"/>
      <c r="G191" s="642"/>
      <c r="H191" s="92"/>
      <c r="I191" s="92"/>
    </row>
    <row r="192" ht="16.5" customHeight="1">
      <c r="A192" s="92"/>
      <c r="B192" s="92"/>
      <c r="C192" s="92"/>
      <c r="D192" s="92"/>
      <c r="E192" s="216"/>
      <c r="F192" s="216"/>
      <c r="G192" s="642"/>
      <c r="H192" s="92"/>
      <c r="I192" s="92"/>
    </row>
    <row r="193" ht="16.5" customHeight="1">
      <c r="A193" s="92"/>
      <c r="B193" s="92"/>
      <c r="C193" s="92"/>
      <c r="D193" s="92"/>
      <c r="E193" s="216"/>
      <c r="F193" s="216"/>
      <c r="G193" s="642"/>
      <c r="H193" s="92"/>
      <c r="I193" s="92"/>
    </row>
    <row r="194" ht="16.5" customHeight="1">
      <c r="A194" s="92"/>
      <c r="B194" s="92"/>
      <c r="C194" s="92"/>
      <c r="D194" s="92"/>
      <c r="E194" s="216"/>
      <c r="F194" s="216"/>
      <c r="G194" s="642"/>
      <c r="H194" s="92"/>
      <c r="I194" s="92"/>
    </row>
    <row r="195" ht="16.5" customHeight="1">
      <c r="A195" s="92"/>
      <c r="B195" s="92"/>
      <c r="C195" s="92"/>
      <c r="D195" s="92"/>
      <c r="E195" s="216"/>
      <c r="F195" s="216"/>
      <c r="G195" s="642"/>
      <c r="H195" s="92"/>
      <c r="I195" s="92"/>
    </row>
    <row r="196" ht="16.5" customHeight="1">
      <c r="A196" s="92"/>
      <c r="B196" s="92"/>
      <c r="C196" s="92"/>
      <c r="D196" s="92"/>
      <c r="E196" s="216"/>
      <c r="F196" s="216"/>
      <c r="G196" s="642"/>
      <c r="H196" s="92"/>
      <c r="I196" s="92"/>
    </row>
    <row r="197" ht="16.5" customHeight="1">
      <c r="A197" s="92"/>
      <c r="B197" s="92"/>
      <c r="C197" s="92"/>
      <c r="D197" s="92"/>
      <c r="E197" s="216"/>
      <c r="F197" s="216"/>
      <c r="G197" s="642"/>
      <c r="H197" s="92"/>
      <c r="I197" s="92"/>
    </row>
    <row r="198" ht="16.5" customHeight="1">
      <c r="A198" s="92"/>
      <c r="B198" s="92"/>
      <c r="C198" s="92"/>
      <c r="D198" s="92"/>
      <c r="E198" s="216"/>
      <c r="F198" s="216"/>
      <c r="G198" s="642"/>
      <c r="H198" s="92"/>
      <c r="I198" s="92"/>
    </row>
    <row r="199" ht="16.5" customHeight="1">
      <c r="A199" s="92"/>
      <c r="B199" s="92"/>
      <c r="C199" s="92"/>
      <c r="D199" s="92"/>
      <c r="E199" s="216"/>
      <c r="F199" s="216"/>
      <c r="G199" s="642"/>
      <c r="H199" s="92"/>
      <c r="I199" s="92"/>
    </row>
    <row r="200" ht="16.5" customHeight="1">
      <c r="A200" s="92"/>
      <c r="B200" s="92"/>
      <c r="C200" s="92"/>
      <c r="D200" s="92"/>
      <c r="E200" s="216"/>
      <c r="F200" s="216"/>
      <c r="G200" s="642"/>
      <c r="H200" s="92"/>
      <c r="I200" s="92"/>
    </row>
    <row r="201" ht="16.5" customHeight="1">
      <c r="A201" s="92"/>
      <c r="B201" s="92"/>
      <c r="C201" s="92"/>
      <c r="D201" s="92"/>
      <c r="E201" s="216"/>
      <c r="F201" s="216"/>
      <c r="G201" s="642"/>
      <c r="H201" s="92"/>
      <c r="I201" s="92"/>
    </row>
    <row r="202" ht="16.5" customHeight="1">
      <c r="A202" s="92"/>
      <c r="B202" s="92"/>
      <c r="C202" s="92"/>
      <c r="D202" s="92"/>
      <c r="E202" s="216"/>
      <c r="F202" s="216"/>
      <c r="G202" s="642"/>
      <c r="H202" s="92"/>
      <c r="I202" s="92"/>
    </row>
    <row r="203" ht="16.5" customHeight="1">
      <c r="A203" s="92"/>
      <c r="B203" s="92"/>
      <c r="C203" s="92"/>
      <c r="D203" s="92"/>
      <c r="E203" s="216"/>
      <c r="F203" s="216"/>
      <c r="G203" s="642"/>
      <c r="H203" s="92"/>
      <c r="I203" s="92"/>
    </row>
    <row r="204" ht="16.5" customHeight="1">
      <c r="A204" s="92"/>
      <c r="B204" s="92"/>
      <c r="C204" s="92"/>
      <c r="D204" s="92"/>
      <c r="E204" s="216"/>
      <c r="F204" s="216"/>
      <c r="G204" s="642"/>
      <c r="H204" s="92"/>
      <c r="I204" s="92"/>
    </row>
    <row r="205" ht="16.5" customHeight="1">
      <c r="A205" s="92"/>
      <c r="B205" s="92"/>
      <c r="C205" s="92"/>
      <c r="D205" s="92"/>
      <c r="E205" s="216"/>
      <c r="F205" s="216"/>
      <c r="G205" s="642"/>
      <c r="H205" s="92"/>
      <c r="I205" s="92"/>
    </row>
    <row r="206" ht="16.5" customHeight="1">
      <c r="A206" s="92"/>
      <c r="B206" s="92"/>
      <c r="C206" s="92"/>
      <c r="D206" s="92"/>
      <c r="E206" s="216"/>
      <c r="F206" s="216"/>
      <c r="G206" s="642"/>
      <c r="H206" s="92"/>
      <c r="I206" s="92"/>
    </row>
    <row r="207" ht="16.5" customHeight="1">
      <c r="A207" s="92"/>
      <c r="B207" s="92"/>
      <c r="C207" s="92"/>
      <c r="D207" s="92"/>
      <c r="E207" s="216"/>
      <c r="F207" s="216"/>
      <c r="G207" s="642"/>
      <c r="H207" s="92"/>
      <c r="I207" s="92"/>
    </row>
    <row r="208" ht="16.5" customHeight="1">
      <c r="A208" s="92"/>
      <c r="B208" s="92"/>
      <c r="C208" s="92"/>
      <c r="D208" s="92"/>
      <c r="E208" s="216"/>
      <c r="F208" s="216"/>
      <c r="G208" s="642"/>
      <c r="H208" s="92"/>
      <c r="I208" s="92"/>
    </row>
    <row r="209" ht="16.5" customHeight="1">
      <c r="A209" s="92"/>
      <c r="B209" s="92"/>
      <c r="C209" s="92"/>
      <c r="D209" s="92"/>
      <c r="E209" s="216"/>
      <c r="F209" s="216"/>
      <c r="G209" s="642"/>
      <c r="H209" s="92"/>
      <c r="I209" s="92"/>
    </row>
    <row r="210" ht="16.5" customHeight="1">
      <c r="A210" s="92"/>
      <c r="B210" s="92"/>
      <c r="C210" s="92"/>
      <c r="D210" s="92"/>
      <c r="E210" s="216"/>
      <c r="F210" s="216"/>
      <c r="G210" s="642"/>
      <c r="H210" s="92"/>
      <c r="I210" s="92"/>
    </row>
    <row r="211" ht="16.5" customHeight="1">
      <c r="A211" s="92"/>
      <c r="B211" s="92"/>
      <c r="C211" s="92"/>
      <c r="D211" s="92"/>
      <c r="E211" s="216"/>
      <c r="F211" s="216"/>
      <c r="G211" s="642"/>
      <c r="H211" s="92"/>
      <c r="I211" s="92"/>
    </row>
    <row r="212" ht="16.5" customHeight="1">
      <c r="A212" s="92"/>
      <c r="B212" s="92"/>
      <c r="C212" s="92"/>
      <c r="D212" s="92"/>
      <c r="E212" s="216"/>
      <c r="F212" s="216"/>
      <c r="G212" s="642"/>
      <c r="H212" s="92"/>
      <c r="I212" s="92"/>
    </row>
    <row r="213" ht="16.5" customHeight="1">
      <c r="A213" s="92"/>
      <c r="B213" s="92"/>
      <c r="C213" s="92"/>
      <c r="D213" s="92"/>
      <c r="E213" s="216"/>
      <c r="F213" s="216"/>
      <c r="G213" s="642"/>
      <c r="H213" s="92"/>
      <c r="I213" s="92"/>
    </row>
    <row r="214" ht="16.5" customHeight="1">
      <c r="A214" s="92"/>
      <c r="B214" s="92"/>
      <c r="C214" s="92"/>
      <c r="D214" s="92"/>
      <c r="E214" s="216"/>
      <c r="F214" s="216"/>
      <c r="G214" s="642"/>
      <c r="H214" s="92"/>
      <c r="I214" s="92"/>
    </row>
    <row r="215" ht="16.5" customHeight="1">
      <c r="A215" s="92"/>
      <c r="B215" s="92"/>
      <c r="C215" s="92"/>
      <c r="D215" s="92"/>
      <c r="E215" s="216"/>
      <c r="F215" s="216"/>
      <c r="G215" s="642"/>
      <c r="H215" s="92"/>
      <c r="I215" s="92"/>
    </row>
    <row r="216" ht="16.5" customHeight="1">
      <c r="A216" s="92"/>
      <c r="B216" s="92"/>
      <c r="C216" s="92"/>
      <c r="D216" s="92"/>
      <c r="E216" s="216"/>
      <c r="F216" s="216"/>
      <c r="G216" s="642"/>
      <c r="H216" s="92"/>
      <c r="I216" s="92"/>
    </row>
    <row r="217" ht="16.5" customHeight="1">
      <c r="A217" s="92"/>
      <c r="B217" s="92"/>
      <c r="C217" s="92"/>
      <c r="D217" s="92"/>
      <c r="E217" s="216"/>
      <c r="F217" s="216"/>
      <c r="G217" s="642"/>
      <c r="H217" s="92"/>
      <c r="I217" s="92"/>
    </row>
    <row r="218" ht="16.5" customHeight="1">
      <c r="A218" s="92"/>
      <c r="B218" s="92"/>
      <c r="C218" s="92"/>
      <c r="D218" s="92"/>
      <c r="E218" s="216"/>
      <c r="F218" s="216"/>
      <c r="G218" s="642"/>
      <c r="H218" s="92"/>
      <c r="I218" s="92"/>
    </row>
    <row r="219" ht="16.5" customHeight="1">
      <c r="A219" s="92"/>
      <c r="B219" s="92"/>
      <c r="C219" s="92"/>
      <c r="D219" s="92"/>
      <c r="E219" s="216"/>
      <c r="F219" s="216"/>
      <c r="G219" s="642"/>
      <c r="H219" s="92"/>
      <c r="I219" s="92"/>
    </row>
    <row r="220" ht="16.5" customHeight="1">
      <c r="A220" s="92"/>
      <c r="B220" s="92"/>
      <c r="C220" s="92"/>
      <c r="D220" s="92"/>
      <c r="E220" s="216"/>
      <c r="F220" s="216"/>
      <c r="G220" s="642"/>
      <c r="H220" s="92"/>
      <c r="I220" s="92"/>
    </row>
    <row r="221" ht="16.5" customHeight="1">
      <c r="A221" s="92"/>
      <c r="B221" s="92"/>
      <c r="C221" s="92"/>
      <c r="D221" s="92"/>
      <c r="E221" s="216"/>
      <c r="F221" s="216"/>
      <c r="G221" s="642"/>
      <c r="H221" s="92"/>
      <c r="I221" s="92"/>
    </row>
    <row r="222" ht="16.5" customHeight="1">
      <c r="A222" s="92"/>
      <c r="B222" s="92"/>
      <c r="C222" s="92"/>
      <c r="D222" s="92"/>
      <c r="E222" s="216"/>
      <c r="F222" s="216"/>
      <c r="G222" s="642"/>
      <c r="H222" s="92"/>
      <c r="I222" s="92"/>
    </row>
    <row r="223" ht="16.5" customHeight="1">
      <c r="A223" s="92"/>
      <c r="B223" s="92"/>
      <c r="C223" s="92"/>
      <c r="D223" s="92"/>
      <c r="E223" s="216"/>
      <c r="F223" s="216"/>
      <c r="G223" s="642"/>
      <c r="H223" s="92"/>
      <c r="I223" s="92"/>
    </row>
    <row r="224" ht="16.5" customHeight="1">
      <c r="A224" s="92"/>
      <c r="B224" s="92"/>
      <c r="C224" s="92"/>
      <c r="D224" s="92"/>
      <c r="E224" s="216"/>
      <c r="F224" s="216"/>
      <c r="G224" s="642"/>
      <c r="H224" s="92"/>
      <c r="I224" s="92"/>
    </row>
    <row r="225" ht="16.5" customHeight="1">
      <c r="A225" s="92"/>
      <c r="B225" s="92"/>
      <c r="C225" s="92"/>
      <c r="D225" s="92"/>
      <c r="E225" s="216"/>
      <c r="F225" s="216"/>
      <c r="G225" s="642"/>
      <c r="H225" s="92"/>
      <c r="I225" s="92"/>
    </row>
    <row r="226" ht="16.5" customHeight="1">
      <c r="A226" s="92"/>
      <c r="B226" s="92"/>
      <c r="C226" s="92"/>
      <c r="D226" s="92"/>
      <c r="E226" s="216"/>
      <c r="F226" s="216"/>
      <c r="G226" s="642"/>
      <c r="H226" s="92"/>
      <c r="I226" s="92"/>
    </row>
    <row r="227" ht="16.5" customHeight="1">
      <c r="A227" s="92"/>
      <c r="B227" s="92"/>
      <c r="C227" s="92"/>
      <c r="D227" s="92"/>
      <c r="E227" s="216"/>
      <c r="F227" s="216"/>
      <c r="G227" s="642"/>
      <c r="H227" s="92"/>
      <c r="I227" s="92"/>
    </row>
    <row r="228" ht="16.5" customHeight="1">
      <c r="A228" s="92"/>
      <c r="B228" s="92"/>
      <c r="C228" s="92"/>
      <c r="D228" s="92"/>
      <c r="E228" s="216"/>
      <c r="F228" s="216"/>
      <c r="G228" s="642"/>
      <c r="H228" s="92"/>
      <c r="I228" s="92"/>
    </row>
    <row r="229" ht="16.5" customHeight="1">
      <c r="A229" s="92"/>
      <c r="B229" s="92"/>
      <c r="C229" s="92"/>
      <c r="D229" s="92"/>
      <c r="E229" s="216"/>
      <c r="F229" s="216"/>
      <c r="G229" s="642"/>
      <c r="H229" s="92"/>
      <c r="I229" s="92"/>
    </row>
    <row r="230" ht="16.5" customHeight="1">
      <c r="A230" s="92"/>
      <c r="B230" s="92"/>
      <c r="C230" s="92"/>
      <c r="D230" s="92"/>
      <c r="E230" s="216"/>
      <c r="F230" s="216"/>
      <c r="G230" s="642"/>
      <c r="H230" s="92"/>
      <c r="I230" s="92"/>
    </row>
    <row r="231" ht="16.5" customHeight="1">
      <c r="A231" s="92"/>
      <c r="B231" s="92"/>
      <c r="C231" s="92"/>
      <c r="D231" s="92"/>
      <c r="E231" s="216"/>
      <c r="F231" s="216"/>
      <c r="G231" s="642"/>
      <c r="H231" s="92"/>
      <c r="I231" s="92"/>
    </row>
    <row r="232" ht="16.5" customHeight="1">
      <c r="A232" s="92"/>
      <c r="B232" s="92"/>
      <c r="C232" s="92"/>
      <c r="D232" s="92"/>
      <c r="E232" s="216"/>
      <c r="F232" s="216"/>
      <c r="G232" s="642"/>
      <c r="H232" s="92"/>
      <c r="I232" s="92"/>
    </row>
    <row r="233" ht="15.75" customHeight="1">
      <c r="A233" s="92"/>
      <c r="B233" s="92"/>
      <c r="C233" s="92"/>
      <c r="D233" s="92"/>
      <c r="E233" s="92"/>
      <c r="F233" s="92"/>
      <c r="G233" s="92"/>
      <c r="H233" s="92"/>
      <c r="I233" s="92"/>
    </row>
    <row r="234" ht="15.75" customHeight="1">
      <c r="A234" s="92"/>
      <c r="B234" s="92"/>
      <c r="C234" s="92"/>
      <c r="D234" s="92"/>
      <c r="E234" s="92"/>
      <c r="F234" s="92"/>
      <c r="G234" s="92"/>
      <c r="H234" s="92"/>
      <c r="I234" s="92"/>
    </row>
    <row r="235" ht="15.75" customHeight="1">
      <c r="A235" s="92"/>
      <c r="B235" s="92"/>
      <c r="C235" s="92"/>
      <c r="D235" s="92"/>
      <c r="E235" s="92"/>
      <c r="F235" s="92"/>
      <c r="G235" s="92"/>
      <c r="H235" s="92"/>
      <c r="I235" s="92"/>
    </row>
    <row r="236" ht="15.75" customHeight="1">
      <c r="A236" s="92"/>
      <c r="B236" s="92"/>
      <c r="C236" s="92"/>
      <c r="D236" s="92"/>
      <c r="E236" s="92"/>
      <c r="F236" s="92"/>
      <c r="G236" s="92"/>
      <c r="H236" s="92"/>
      <c r="I236" s="92"/>
    </row>
    <row r="237" ht="15.75" customHeight="1">
      <c r="A237" s="92"/>
      <c r="B237" s="92"/>
      <c r="C237" s="92"/>
      <c r="D237" s="92"/>
      <c r="E237" s="92"/>
      <c r="F237" s="92"/>
      <c r="G237" s="92"/>
      <c r="H237" s="92"/>
      <c r="I237" s="92"/>
    </row>
    <row r="238" ht="15.75" customHeight="1">
      <c r="A238" s="92"/>
      <c r="B238" s="92"/>
      <c r="C238" s="92"/>
      <c r="D238" s="92"/>
      <c r="E238" s="92"/>
      <c r="F238" s="92"/>
      <c r="G238" s="92"/>
      <c r="H238" s="92"/>
      <c r="I238" s="92"/>
    </row>
    <row r="239" ht="15.75" customHeight="1">
      <c r="A239" s="92"/>
      <c r="B239" s="92"/>
      <c r="C239" s="92"/>
      <c r="D239" s="92"/>
      <c r="E239" s="92"/>
      <c r="F239" s="92"/>
      <c r="G239" s="92"/>
      <c r="H239" s="92"/>
      <c r="I239" s="92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</row>
  </sheetData>
  <mergeCells count="14">
    <mergeCell ref="F3:F4"/>
    <mergeCell ref="F5:F10"/>
    <mergeCell ref="F26:F32"/>
    <mergeCell ref="A11:A15"/>
    <mergeCell ref="A16:A20"/>
    <mergeCell ref="A21:A25"/>
    <mergeCell ref="A26:A32"/>
    <mergeCell ref="A1:F2"/>
    <mergeCell ref="A3:B3"/>
    <mergeCell ref="C3:C4"/>
    <mergeCell ref="D3:D4"/>
    <mergeCell ref="G3:G4"/>
    <mergeCell ref="H3:H4"/>
    <mergeCell ref="A5:A10"/>
  </mergeCells>
  <printOptions/>
  <pageMargins bottom="0.75" footer="0.0" header="0.0" left="0.25" right="0.25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5.14"/>
    <col customWidth="1" min="3" max="3" width="11.86"/>
    <col customWidth="1" min="4" max="4" width="12.86"/>
    <col customWidth="1" min="5" max="5" width="12.43"/>
    <col customWidth="1" min="6" max="6" width="21.14"/>
    <col customWidth="1" min="7" max="7" width="27.29"/>
    <col customWidth="1" min="8" max="8" width="10.14"/>
    <col customWidth="1" min="9" max="9" width="8.86"/>
  </cols>
  <sheetData>
    <row r="1" ht="16.5" customHeight="1">
      <c r="A1" s="1" t="s">
        <v>713</v>
      </c>
      <c r="B1" s="2"/>
      <c r="C1" s="2"/>
      <c r="D1" s="2"/>
      <c r="E1" s="2"/>
      <c r="F1" s="2"/>
      <c r="G1" s="642"/>
      <c r="H1" s="92"/>
      <c r="I1" s="92"/>
    </row>
    <row r="2" ht="18.0" customHeight="1">
      <c r="A2" s="58"/>
      <c r="B2" s="82"/>
      <c r="C2" s="82"/>
      <c r="D2" s="82"/>
      <c r="E2" s="82"/>
      <c r="F2" s="82"/>
      <c r="G2" s="642"/>
      <c r="H2" s="92"/>
      <c r="I2" s="92"/>
    </row>
    <row r="3" ht="16.5" customHeight="1">
      <c r="A3" s="320" t="s">
        <v>490</v>
      </c>
      <c r="B3" s="409"/>
      <c r="C3" s="260" t="s">
        <v>438</v>
      </c>
      <c r="D3" s="261" t="s">
        <v>562</v>
      </c>
      <c r="E3" s="410" t="s">
        <v>521</v>
      </c>
      <c r="F3" s="260" t="s">
        <v>714</v>
      </c>
      <c r="G3" s="260" t="s">
        <v>491</v>
      </c>
      <c r="H3" s="260" t="s">
        <v>492</v>
      </c>
      <c r="I3" s="92"/>
    </row>
    <row r="4" ht="16.5" customHeight="1">
      <c r="A4" s="643" t="s">
        <v>8</v>
      </c>
      <c r="B4" s="643" t="s">
        <v>9</v>
      </c>
      <c r="C4" s="11"/>
      <c r="D4" s="12"/>
      <c r="E4" s="652" t="s">
        <v>715</v>
      </c>
      <c r="F4" s="11"/>
      <c r="G4" s="11"/>
      <c r="H4" s="11"/>
      <c r="I4" s="92"/>
    </row>
    <row r="5" ht="16.5" customHeight="1">
      <c r="A5" s="189" t="s">
        <v>716</v>
      </c>
      <c r="B5" s="212" t="s">
        <v>717</v>
      </c>
      <c r="C5" s="592">
        <f t="shared" ref="C5:C39" si="1">D5*2-1000</f>
        <v>157000</v>
      </c>
      <c r="D5" s="592">
        <v>79000.0</v>
      </c>
      <c r="E5" s="282"/>
      <c r="F5" s="282"/>
      <c r="G5" s="653" t="s">
        <v>697</v>
      </c>
      <c r="H5" s="8" t="s">
        <v>718</v>
      </c>
      <c r="I5" s="92"/>
    </row>
    <row r="6" ht="16.5" customHeight="1">
      <c r="A6" s="25"/>
      <c r="B6" s="212" t="s">
        <v>719</v>
      </c>
      <c r="C6" s="592">
        <f t="shared" si="1"/>
        <v>175000</v>
      </c>
      <c r="D6" s="592">
        <v>88000.0</v>
      </c>
      <c r="E6" s="216"/>
      <c r="F6" s="636"/>
      <c r="G6" s="653" t="s">
        <v>666</v>
      </c>
      <c r="H6" s="8" t="s">
        <v>718</v>
      </c>
      <c r="I6" s="92"/>
    </row>
    <row r="7" ht="16.5" customHeight="1">
      <c r="A7" s="25"/>
      <c r="B7" s="212" t="s">
        <v>720</v>
      </c>
      <c r="C7" s="592">
        <f t="shared" si="1"/>
        <v>197000</v>
      </c>
      <c r="D7" s="592">
        <v>99000.0</v>
      </c>
      <c r="E7" s="216"/>
      <c r="F7" s="636"/>
      <c r="G7" s="653" t="s">
        <v>721</v>
      </c>
      <c r="H7" s="8" t="s">
        <v>718</v>
      </c>
      <c r="I7" s="8"/>
    </row>
    <row r="8" ht="16.5" customHeight="1">
      <c r="A8" s="25"/>
      <c r="B8" s="212" t="s">
        <v>722</v>
      </c>
      <c r="C8" s="592">
        <f t="shared" si="1"/>
        <v>277000</v>
      </c>
      <c r="D8" s="592">
        <v>139000.0</v>
      </c>
      <c r="E8" s="216"/>
      <c r="F8" s="636"/>
      <c r="G8" s="653" t="s">
        <v>672</v>
      </c>
      <c r="H8" s="8" t="s">
        <v>718</v>
      </c>
      <c r="I8" s="8"/>
    </row>
    <row r="9" ht="15.75" customHeight="1">
      <c r="A9" s="11"/>
      <c r="B9" s="214" t="s">
        <v>723</v>
      </c>
      <c r="C9" s="654">
        <f t="shared" si="1"/>
        <v>397000</v>
      </c>
      <c r="D9" s="654">
        <v>199000.0</v>
      </c>
      <c r="E9" s="640"/>
      <c r="F9" s="640"/>
      <c r="G9" s="655" t="s">
        <v>697</v>
      </c>
      <c r="H9" s="8" t="s">
        <v>718</v>
      </c>
      <c r="I9" s="92"/>
    </row>
    <row r="10" ht="16.5" customHeight="1">
      <c r="A10" s="189" t="s">
        <v>724</v>
      </c>
      <c r="B10" s="308" t="s">
        <v>725</v>
      </c>
      <c r="C10" s="592">
        <f t="shared" si="1"/>
        <v>197000</v>
      </c>
      <c r="D10" s="592">
        <v>99000.0</v>
      </c>
      <c r="E10" s="636"/>
      <c r="F10" s="636"/>
      <c r="G10" s="653" t="s">
        <v>726</v>
      </c>
      <c r="H10" s="8" t="s">
        <v>718</v>
      </c>
      <c r="I10" s="92"/>
    </row>
    <row r="11" ht="16.5" customHeight="1">
      <c r="A11" s="25"/>
      <c r="B11" s="212" t="s">
        <v>727</v>
      </c>
      <c r="C11" s="592">
        <f t="shared" si="1"/>
        <v>197000</v>
      </c>
      <c r="D11" s="592">
        <v>99000.0</v>
      </c>
      <c r="E11" s="636"/>
      <c r="F11" s="636"/>
      <c r="G11" s="653" t="s">
        <v>728</v>
      </c>
      <c r="H11" s="8" t="s">
        <v>718</v>
      </c>
      <c r="I11" s="92"/>
    </row>
    <row r="12" ht="16.5" customHeight="1">
      <c r="A12" s="25"/>
      <c r="B12" s="212" t="s">
        <v>729</v>
      </c>
      <c r="C12" s="592">
        <f t="shared" si="1"/>
        <v>597000</v>
      </c>
      <c r="D12" s="592">
        <v>299000.0</v>
      </c>
      <c r="E12" s="636"/>
      <c r="F12" s="636"/>
      <c r="G12" s="653" t="s">
        <v>672</v>
      </c>
      <c r="H12" s="8" t="s">
        <v>718</v>
      </c>
      <c r="I12" s="92"/>
    </row>
    <row r="13" ht="17.25" customHeight="1">
      <c r="A13" s="25"/>
      <c r="B13" s="212" t="s">
        <v>730</v>
      </c>
      <c r="C13" s="592">
        <f t="shared" si="1"/>
        <v>1497000</v>
      </c>
      <c r="D13" s="592">
        <v>749000.0</v>
      </c>
      <c r="E13" s="636"/>
      <c r="F13" s="636"/>
      <c r="G13" s="653" t="s">
        <v>731</v>
      </c>
      <c r="H13" s="8" t="s">
        <v>718</v>
      </c>
      <c r="I13" s="92"/>
    </row>
    <row r="14" ht="16.5" customHeight="1">
      <c r="A14" s="11"/>
      <c r="B14" s="312" t="s">
        <v>732</v>
      </c>
      <c r="C14" s="654">
        <f t="shared" si="1"/>
        <v>1699000</v>
      </c>
      <c r="D14" s="654">
        <v>850000.0</v>
      </c>
      <c r="E14" s="647"/>
      <c r="F14" s="640"/>
      <c r="G14" s="655" t="s">
        <v>672</v>
      </c>
      <c r="H14" s="8" t="s">
        <v>718</v>
      </c>
      <c r="I14" s="92"/>
    </row>
    <row r="15" ht="16.5" customHeight="1">
      <c r="A15" s="189" t="s">
        <v>733</v>
      </c>
      <c r="B15" s="304" t="s">
        <v>734</v>
      </c>
      <c r="C15" s="592">
        <f t="shared" si="1"/>
        <v>397000</v>
      </c>
      <c r="D15" s="587">
        <v>199000.0</v>
      </c>
      <c r="E15" s="636"/>
      <c r="F15" s="656"/>
      <c r="G15" s="653" t="s">
        <v>735</v>
      </c>
      <c r="H15" s="8" t="s">
        <v>718</v>
      </c>
      <c r="I15" s="92"/>
    </row>
    <row r="16" ht="16.5" customHeight="1">
      <c r="A16" s="25"/>
      <c r="B16" s="308" t="s">
        <v>250</v>
      </c>
      <c r="C16" s="592">
        <f t="shared" si="1"/>
        <v>477000</v>
      </c>
      <c r="D16" s="592">
        <v>239000.0</v>
      </c>
      <c r="E16" s="636"/>
      <c r="F16" s="25"/>
      <c r="G16" s="653" t="s">
        <v>736</v>
      </c>
      <c r="H16" s="8" t="s">
        <v>718</v>
      </c>
      <c r="I16" s="92"/>
    </row>
    <row r="17" ht="16.5" customHeight="1">
      <c r="A17" s="25"/>
      <c r="B17" s="308" t="s">
        <v>737</v>
      </c>
      <c r="C17" s="592">
        <f t="shared" si="1"/>
        <v>699000</v>
      </c>
      <c r="D17" s="592">
        <v>350000.0</v>
      </c>
      <c r="E17" s="636"/>
      <c r="F17" s="25"/>
      <c r="G17" s="653" t="s">
        <v>735</v>
      </c>
      <c r="H17" s="8" t="s">
        <v>718</v>
      </c>
      <c r="I17" s="92"/>
    </row>
    <row r="18" ht="16.5" customHeight="1">
      <c r="A18" s="11"/>
      <c r="B18" s="312" t="s">
        <v>738</v>
      </c>
      <c r="C18" s="654">
        <f t="shared" si="1"/>
        <v>797000</v>
      </c>
      <c r="D18" s="654">
        <v>399000.0</v>
      </c>
      <c r="E18" s="640"/>
      <c r="F18" s="11"/>
      <c r="G18" s="655" t="s">
        <v>735</v>
      </c>
      <c r="H18" s="8" t="s">
        <v>718</v>
      </c>
      <c r="I18" s="92"/>
    </row>
    <row r="19" ht="16.5" customHeight="1">
      <c r="A19" s="282" t="s">
        <v>739</v>
      </c>
      <c r="B19" s="212" t="s">
        <v>740</v>
      </c>
      <c r="C19" s="592">
        <f t="shared" si="1"/>
        <v>117000</v>
      </c>
      <c r="D19" s="592">
        <v>59000.0</v>
      </c>
      <c r="E19" s="212"/>
      <c r="F19" s="656"/>
      <c r="G19" s="653" t="s">
        <v>697</v>
      </c>
      <c r="H19" s="8" t="s">
        <v>718</v>
      </c>
      <c r="I19" s="8"/>
    </row>
    <row r="20" ht="16.5" customHeight="1">
      <c r="A20" s="25"/>
      <c r="B20" s="212" t="s">
        <v>741</v>
      </c>
      <c r="C20" s="592">
        <f t="shared" si="1"/>
        <v>297000</v>
      </c>
      <c r="D20" s="592">
        <v>149000.0</v>
      </c>
      <c r="E20" s="212"/>
      <c r="F20" s="25"/>
      <c r="G20" s="653" t="s">
        <v>742</v>
      </c>
      <c r="H20" s="8" t="s">
        <v>718</v>
      </c>
      <c r="I20" s="8"/>
    </row>
    <row r="21" ht="16.5" customHeight="1">
      <c r="A21" s="25"/>
      <c r="B21" s="212" t="s">
        <v>743</v>
      </c>
      <c r="C21" s="592">
        <f t="shared" si="1"/>
        <v>437000</v>
      </c>
      <c r="D21" s="592">
        <v>219000.0</v>
      </c>
      <c r="E21" s="212"/>
      <c r="F21" s="25"/>
      <c r="G21" s="653" t="s">
        <v>744</v>
      </c>
      <c r="H21" s="8" t="s">
        <v>718</v>
      </c>
      <c r="I21" s="92"/>
    </row>
    <row r="22" ht="16.5" customHeight="1">
      <c r="A22" s="11"/>
      <c r="B22" s="212" t="s">
        <v>745</v>
      </c>
      <c r="C22" s="654">
        <f t="shared" si="1"/>
        <v>977000</v>
      </c>
      <c r="D22" s="592">
        <v>489000.0</v>
      </c>
      <c r="E22" s="647"/>
      <c r="F22" s="11"/>
      <c r="G22" s="655" t="s">
        <v>670</v>
      </c>
      <c r="H22" s="8" t="s">
        <v>718</v>
      </c>
      <c r="I22" s="92"/>
    </row>
    <row r="23" ht="16.5" customHeight="1">
      <c r="A23" s="201" t="s">
        <v>703</v>
      </c>
      <c r="B23" s="495" t="s">
        <v>746</v>
      </c>
      <c r="C23" s="592">
        <f t="shared" si="1"/>
        <v>197000</v>
      </c>
      <c r="D23" s="589">
        <v>99000.0</v>
      </c>
      <c r="E23" s="636"/>
      <c r="F23" s="282"/>
      <c r="G23" s="653" t="s">
        <v>680</v>
      </c>
      <c r="H23" s="8" t="s">
        <v>718</v>
      </c>
      <c r="I23" s="92"/>
    </row>
    <row r="24" ht="16.5" customHeight="1">
      <c r="A24" s="25"/>
      <c r="B24" s="523" t="s">
        <v>747</v>
      </c>
      <c r="C24" s="592">
        <f t="shared" si="1"/>
        <v>237000</v>
      </c>
      <c r="D24" s="131">
        <v>119000.0</v>
      </c>
      <c r="E24" s="636"/>
      <c r="F24" s="636"/>
      <c r="G24" s="653" t="s">
        <v>697</v>
      </c>
      <c r="H24" s="8" t="s">
        <v>718</v>
      </c>
      <c r="I24" s="92"/>
    </row>
    <row r="25" ht="16.5" customHeight="1">
      <c r="A25" s="25"/>
      <c r="B25" s="518" t="s">
        <v>748</v>
      </c>
      <c r="C25" s="592">
        <f t="shared" si="1"/>
        <v>117000</v>
      </c>
      <c r="D25" s="594">
        <v>59000.0</v>
      </c>
      <c r="E25" s="636"/>
      <c r="F25" s="636"/>
      <c r="G25" s="653" t="s">
        <v>674</v>
      </c>
      <c r="H25" s="8" t="s">
        <v>718</v>
      </c>
      <c r="I25" s="92"/>
    </row>
    <row r="26" ht="16.5" customHeight="1">
      <c r="A26" s="25"/>
      <c r="B26" s="518" t="s">
        <v>517</v>
      </c>
      <c r="C26" s="592">
        <f t="shared" si="1"/>
        <v>1397000</v>
      </c>
      <c r="D26" s="594">
        <v>699000.0</v>
      </c>
      <c r="E26" s="533"/>
      <c r="F26" s="636"/>
      <c r="G26" s="653" t="s">
        <v>666</v>
      </c>
      <c r="H26" s="8" t="s">
        <v>718</v>
      </c>
      <c r="I26" s="92"/>
    </row>
    <row r="27" ht="16.5" customHeight="1">
      <c r="A27" s="25"/>
      <c r="B27" s="523" t="s">
        <v>749</v>
      </c>
      <c r="C27" s="592">
        <f t="shared" si="1"/>
        <v>217000</v>
      </c>
      <c r="D27" s="131">
        <v>109000.0</v>
      </c>
      <c r="E27" s="636"/>
      <c r="F27" s="636"/>
      <c r="G27" s="653" t="s">
        <v>697</v>
      </c>
      <c r="H27" s="8" t="s">
        <v>718</v>
      </c>
      <c r="I27" s="92"/>
    </row>
    <row r="28" ht="16.5" customHeight="1">
      <c r="A28" s="25"/>
      <c r="B28" s="518" t="s">
        <v>750</v>
      </c>
      <c r="C28" s="592">
        <f t="shared" si="1"/>
        <v>597000</v>
      </c>
      <c r="D28" s="594">
        <v>299000.0</v>
      </c>
      <c r="E28" s="216"/>
      <c r="F28" s="636"/>
      <c r="G28" s="653" t="s">
        <v>751</v>
      </c>
      <c r="H28" s="8" t="s">
        <v>718</v>
      </c>
      <c r="I28" s="92"/>
    </row>
    <row r="29" ht="16.5" customHeight="1">
      <c r="A29" s="11"/>
      <c r="B29" s="519" t="s">
        <v>752</v>
      </c>
      <c r="C29" s="654">
        <f t="shared" si="1"/>
        <v>779000</v>
      </c>
      <c r="D29" s="657">
        <v>390000.0</v>
      </c>
      <c r="E29" s="640"/>
      <c r="F29" s="640"/>
      <c r="G29" s="655" t="s">
        <v>674</v>
      </c>
      <c r="H29" s="92" t="s">
        <v>718</v>
      </c>
      <c r="I29" s="92"/>
    </row>
    <row r="30" ht="16.5" customHeight="1">
      <c r="A30" s="201" t="s">
        <v>753</v>
      </c>
      <c r="B30" s="208" t="s">
        <v>754</v>
      </c>
      <c r="C30" s="592">
        <f t="shared" si="1"/>
        <v>1077000</v>
      </c>
      <c r="D30" s="658">
        <v>539000.0</v>
      </c>
      <c r="E30" s="659"/>
      <c r="F30" s="656"/>
      <c r="G30" s="653" t="s">
        <v>666</v>
      </c>
      <c r="H30" s="92" t="s">
        <v>718</v>
      </c>
      <c r="I30" s="92"/>
    </row>
    <row r="31" ht="16.5" customHeight="1">
      <c r="A31" s="25"/>
      <c r="B31" s="212" t="s">
        <v>755</v>
      </c>
      <c r="C31" s="592">
        <f t="shared" si="1"/>
        <v>797000</v>
      </c>
      <c r="D31" s="592">
        <v>399000.0</v>
      </c>
      <c r="E31" s="212"/>
      <c r="F31" s="25"/>
      <c r="G31" s="653" t="s">
        <v>756</v>
      </c>
      <c r="H31" s="92" t="s">
        <v>718</v>
      </c>
      <c r="I31" s="92"/>
    </row>
    <row r="32" ht="16.5" customHeight="1">
      <c r="A32" s="25"/>
      <c r="B32" s="214" t="s">
        <v>757</v>
      </c>
      <c r="C32" s="654">
        <f t="shared" si="1"/>
        <v>797000</v>
      </c>
      <c r="D32" s="658">
        <v>399000.0</v>
      </c>
      <c r="E32" s="214"/>
      <c r="F32" s="11"/>
      <c r="G32" s="655" t="s">
        <v>674</v>
      </c>
      <c r="H32" s="92" t="s">
        <v>718</v>
      </c>
      <c r="I32" s="92"/>
    </row>
    <row r="33" ht="16.5" customHeight="1">
      <c r="A33" s="660" t="s">
        <v>758</v>
      </c>
      <c r="B33" s="208" t="s">
        <v>759</v>
      </c>
      <c r="C33" s="592">
        <f t="shared" si="1"/>
        <v>297000</v>
      </c>
      <c r="D33" s="592">
        <v>149000.0</v>
      </c>
      <c r="E33" s="216"/>
      <c r="F33" s="216"/>
      <c r="G33" s="642"/>
      <c r="H33" s="92"/>
      <c r="I33" s="92"/>
    </row>
    <row r="34" ht="16.5" customHeight="1">
      <c r="A34" s="14"/>
      <c r="B34" s="212" t="s">
        <v>760</v>
      </c>
      <c r="C34" s="592">
        <f t="shared" si="1"/>
        <v>317000</v>
      </c>
      <c r="D34" s="594">
        <v>159000.0</v>
      </c>
      <c r="E34" s="641"/>
      <c r="F34" s="216"/>
      <c r="G34" s="642"/>
      <c r="H34" s="92"/>
      <c r="I34" s="92"/>
    </row>
    <row r="35" ht="16.5" customHeight="1">
      <c r="A35" s="14"/>
      <c r="B35" s="212" t="s">
        <v>761</v>
      </c>
      <c r="C35" s="592">
        <f t="shared" si="1"/>
        <v>257000</v>
      </c>
      <c r="D35" s="131">
        <v>129000.0</v>
      </c>
      <c r="E35" s="641"/>
      <c r="F35" s="216"/>
      <c r="G35" s="642"/>
      <c r="H35" s="92"/>
      <c r="I35" s="92"/>
    </row>
    <row r="36" ht="16.5" customHeight="1">
      <c r="A36" s="14"/>
      <c r="B36" s="212" t="s">
        <v>762</v>
      </c>
      <c r="C36" s="592">
        <f t="shared" si="1"/>
        <v>237000</v>
      </c>
      <c r="D36" s="594">
        <v>119000.0</v>
      </c>
      <c r="E36" s="216"/>
      <c r="F36" s="216"/>
      <c r="G36" s="642"/>
      <c r="H36" s="92"/>
      <c r="I36" s="92"/>
    </row>
    <row r="37" ht="16.5" customHeight="1">
      <c r="A37" s="14"/>
      <c r="B37" s="212" t="s">
        <v>763</v>
      </c>
      <c r="C37" s="592">
        <f t="shared" si="1"/>
        <v>233000</v>
      </c>
      <c r="D37" s="131">
        <v>117000.0</v>
      </c>
      <c r="E37" s="641"/>
      <c r="F37" s="216"/>
      <c r="G37" s="642"/>
      <c r="H37" s="92"/>
      <c r="I37" s="92"/>
    </row>
    <row r="38" ht="16.5" customHeight="1">
      <c r="A38" s="14"/>
      <c r="B38" s="212" t="s">
        <v>764</v>
      </c>
      <c r="C38" s="592">
        <f t="shared" si="1"/>
        <v>197000</v>
      </c>
      <c r="D38" s="594">
        <v>99000.0</v>
      </c>
      <c r="E38" s="641"/>
      <c r="F38" s="216"/>
      <c r="G38" s="642"/>
      <c r="H38" s="92"/>
      <c r="I38" s="92"/>
    </row>
    <row r="39" ht="16.5" customHeight="1">
      <c r="A39" s="83"/>
      <c r="B39" s="214" t="s">
        <v>592</v>
      </c>
      <c r="C39" s="654">
        <f t="shared" si="1"/>
        <v>597000</v>
      </c>
      <c r="D39" s="657">
        <v>299000.0</v>
      </c>
      <c r="E39" s="641"/>
      <c r="F39" s="216"/>
      <c r="G39" s="642"/>
      <c r="H39" s="92"/>
      <c r="I39" s="92"/>
    </row>
    <row r="40" ht="16.5" customHeight="1">
      <c r="A40" s="92"/>
      <c r="B40" s="92"/>
      <c r="C40" s="92"/>
      <c r="D40" s="92"/>
      <c r="E40" s="216"/>
      <c r="F40" s="216"/>
      <c r="G40" s="642"/>
      <c r="H40" s="92"/>
      <c r="I40" s="92"/>
    </row>
    <row r="41" ht="16.5" customHeight="1">
      <c r="A41" s="92"/>
      <c r="B41" s="92"/>
      <c r="C41" s="92"/>
      <c r="D41" s="92"/>
      <c r="E41" s="216"/>
      <c r="F41" s="216"/>
      <c r="G41" s="642"/>
      <c r="H41" s="92"/>
      <c r="I41" s="92"/>
    </row>
    <row r="42" ht="16.5" customHeight="1">
      <c r="A42" s="92"/>
      <c r="B42" s="92"/>
      <c r="C42" s="92"/>
      <c r="D42" s="92"/>
      <c r="E42" s="216"/>
      <c r="F42" s="216"/>
      <c r="G42" s="642"/>
      <c r="H42" s="92"/>
      <c r="I42" s="92"/>
    </row>
    <row r="43" ht="16.5" customHeight="1">
      <c r="A43" s="92"/>
      <c r="B43" s="92"/>
      <c r="C43" s="92"/>
      <c r="D43" s="92"/>
      <c r="E43" s="216"/>
      <c r="F43" s="216"/>
      <c r="G43" s="642"/>
      <c r="H43" s="92"/>
      <c r="I43" s="92"/>
    </row>
    <row r="44" ht="16.5" customHeight="1">
      <c r="A44" s="92"/>
      <c r="B44" s="92"/>
      <c r="C44" s="92"/>
      <c r="D44" s="92"/>
      <c r="E44" s="216"/>
      <c r="F44" s="216"/>
      <c r="G44" s="642"/>
      <c r="H44" s="92"/>
      <c r="I44" s="92"/>
    </row>
    <row r="45" ht="16.5" customHeight="1">
      <c r="A45" s="92"/>
      <c r="B45" s="92"/>
      <c r="C45" s="92"/>
      <c r="D45" s="92"/>
      <c r="E45" s="216"/>
      <c r="F45" s="216"/>
      <c r="G45" s="642"/>
      <c r="H45" s="92"/>
      <c r="I45" s="92"/>
    </row>
    <row r="46" ht="16.5" customHeight="1">
      <c r="A46" s="92"/>
      <c r="B46" s="92"/>
      <c r="C46" s="92"/>
      <c r="D46" s="92"/>
      <c r="E46" s="216"/>
      <c r="F46" s="216"/>
      <c r="G46" s="642"/>
      <c r="H46" s="92"/>
      <c r="I46" s="92"/>
    </row>
    <row r="47" ht="16.5" customHeight="1">
      <c r="A47" s="92"/>
      <c r="B47" s="92"/>
      <c r="C47" s="92"/>
      <c r="D47" s="92"/>
      <c r="E47" s="216"/>
      <c r="F47" s="216"/>
      <c r="G47" s="642"/>
      <c r="H47" s="92"/>
      <c r="I47" s="92"/>
    </row>
    <row r="48" ht="16.5" customHeight="1">
      <c r="A48" s="92"/>
      <c r="B48" s="92"/>
      <c r="C48" s="92"/>
      <c r="D48" s="92"/>
      <c r="E48" s="216"/>
      <c r="F48" s="216"/>
      <c r="G48" s="642"/>
      <c r="H48" s="92"/>
      <c r="I48" s="92"/>
    </row>
    <row r="49" ht="16.5" customHeight="1">
      <c r="A49" s="92"/>
      <c r="B49" s="92"/>
      <c r="C49" s="92"/>
      <c r="D49" s="92"/>
      <c r="E49" s="216"/>
      <c r="F49" s="216"/>
      <c r="G49" s="642"/>
      <c r="H49" s="92"/>
      <c r="I49" s="92"/>
    </row>
    <row r="50" ht="16.5" customHeight="1">
      <c r="A50" s="92"/>
      <c r="B50" s="92"/>
      <c r="C50" s="92"/>
      <c r="D50" s="92"/>
      <c r="E50" s="216"/>
      <c r="F50" s="216"/>
      <c r="G50" s="642"/>
      <c r="H50" s="92"/>
      <c r="I50" s="92"/>
    </row>
    <row r="51" ht="16.5" customHeight="1">
      <c r="A51" s="92"/>
      <c r="B51" s="92"/>
      <c r="C51" s="92"/>
      <c r="D51" s="92"/>
      <c r="E51" s="216"/>
      <c r="F51" s="216"/>
      <c r="G51" s="642"/>
      <c r="H51" s="92"/>
      <c r="I51" s="92"/>
    </row>
    <row r="52" ht="16.5" customHeight="1">
      <c r="A52" s="92"/>
      <c r="B52" s="92"/>
      <c r="C52" s="92"/>
      <c r="D52" s="92"/>
      <c r="E52" s="216"/>
      <c r="F52" s="216"/>
      <c r="G52" s="642"/>
      <c r="H52" s="92"/>
      <c r="I52" s="92"/>
    </row>
    <row r="53" ht="16.5" customHeight="1">
      <c r="A53" s="92"/>
      <c r="B53" s="92"/>
      <c r="C53" s="92"/>
      <c r="D53" s="92"/>
      <c r="E53" s="216"/>
      <c r="F53" s="216"/>
      <c r="G53" s="642"/>
      <c r="H53" s="92"/>
      <c r="I53" s="92"/>
    </row>
    <row r="54" ht="16.5" customHeight="1">
      <c r="A54" s="92"/>
      <c r="B54" s="92"/>
      <c r="C54" s="92"/>
      <c r="D54" s="92"/>
      <c r="E54" s="216"/>
      <c r="F54" s="216"/>
      <c r="G54" s="642"/>
      <c r="H54" s="92"/>
      <c r="I54" s="92"/>
    </row>
    <row r="55" ht="16.5" customHeight="1">
      <c r="A55" s="92"/>
      <c r="B55" s="92"/>
      <c r="C55" s="92"/>
      <c r="D55" s="92"/>
      <c r="E55" s="216"/>
      <c r="F55" s="216"/>
      <c r="G55" s="642"/>
      <c r="H55" s="92"/>
      <c r="I55" s="92"/>
    </row>
    <row r="56" ht="16.5" customHeight="1">
      <c r="A56" s="92"/>
      <c r="B56" s="92"/>
      <c r="C56" s="92"/>
      <c r="D56" s="92"/>
      <c r="E56" s="216"/>
      <c r="F56" s="216"/>
      <c r="G56" s="642"/>
      <c r="H56" s="92"/>
      <c r="I56" s="92"/>
    </row>
    <row r="57" ht="16.5" customHeight="1">
      <c r="A57" s="92"/>
      <c r="B57" s="92"/>
      <c r="C57" s="92"/>
      <c r="D57" s="92"/>
      <c r="E57" s="216"/>
      <c r="F57" s="216"/>
      <c r="G57" s="642"/>
      <c r="H57" s="92"/>
      <c r="I57" s="92"/>
    </row>
    <row r="58" ht="16.5" customHeight="1">
      <c r="A58" s="92"/>
      <c r="B58" s="92"/>
      <c r="C58" s="92"/>
      <c r="D58" s="92"/>
      <c r="E58" s="216"/>
      <c r="F58" s="216"/>
      <c r="G58" s="642"/>
      <c r="H58" s="92"/>
      <c r="I58" s="92"/>
    </row>
    <row r="59" ht="16.5" customHeight="1">
      <c r="A59" s="92"/>
      <c r="B59" s="92"/>
      <c r="C59" s="92"/>
      <c r="D59" s="92"/>
      <c r="E59" s="216"/>
      <c r="F59" s="216"/>
      <c r="G59" s="642"/>
      <c r="H59" s="92"/>
      <c r="I59" s="92"/>
    </row>
    <row r="60" ht="16.5" customHeight="1">
      <c r="A60" s="92"/>
      <c r="B60" s="92"/>
      <c r="C60" s="92"/>
      <c r="D60" s="92"/>
      <c r="E60" s="216"/>
      <c r="F60" s="216"/>
      <c r="G60" s="642"/>
      <c r="H60" s="92"/>
      <c r="I60" s="92"/>
    </row>
    <row r="61" ht="16.5" customHeight="1">
      <c r="A61" s="92"/>
      <c r="B61" s="92"/>
      <c r="C61" s="92"/>
      <c r="D61" s="92"/>
      <c r="E61" s="216"/>
      <c r="F61" s="216"/>
      <c r="G61" s="642"/>
      <c r="H61" s="92"/>
      <c r="I61" s="92"/>
    </row>
    <row r="62" ht="16.5" customHeight="1">
      <c r="A62" s="92"/>
      <c r="B62" s="92"/>
      <c r="C62" s="92"/>
      <c r="D62" s="92"/>
      <c r="E62" s="216"/>
      <c r="F62" s="216"/>
      <c r="G62" s="642"/>
      <c r="H62" s="92"/>
      <c r="I62" s="92"/>
    </row>
    <row r="63" ht="16.5" customHeight="1">
      <c r="A63" s="92"/>
      <c r="B63" s="92"/>
      <c r="C63" s="92"/>
      <c r="D63" s="92"/>
      <c r="E63" s="216"/>
      <c r="F63" s="216"/>
      <c r="G63" s="642"/>
      <c r="H63" s="92"/>
      <c r="I63" s="92"/>
    </row>
    <row r="64" ht="16.5" customHeight="1">
      <c r="A64" s="92"/>
      <c r="B64" s="92"/>
      <c r="C64" s="92"/>
      <c r="D64" s="92"/>
      <c r="E64" s="216"/>
      <c r="F64" s="216"/>
      <c r="G64" s="642"/>
      <c r="H64" s="92"/>
      <c r="I64" s="92"/>
    </row>
    <row r="65" ht="16.5" customHeight="1">
      <c r="A65" s="92"/>
      <c r="B65" s="92"/>
      <c r="C65" s="92"/>
      <c r="D65" s="92"/>
      <c r="E65" s="216"/>
      <c r="F65" s="216"/>
      <c r="G65" s="642"/>
      <c r="H65" s="92"/>
      <c r="I65" s="92"/>
    </row>
    <row r="66" ht="16.5" customHeight="1">
      <c r="A66" s="92"/>
      <c r="B66" s="92"/>
      <c r="C66" s="92"/>
      <c r="D66" s="92"/>
      <c r="E66" s="216"/>
      <c r="F66" s="216"/>
      <c r="G66" s="642"/>
      <c r="H66" s="92"/>
      <c r="I66" s="92"/>
    </row>
    <row r="67" ht="16.5" customHeight="1">
      <c r="A67" s="92"/>
      <c r="B67" s="92"/>
      <c r="C67" s="92"/>
      <c r="D67" s="92"/>
      <c r="E67" s="216"/>
      <c r="F67" s="216"/>
      <c r="G67" s="642"/>
      <c r="H67" s="92"/>
      <c r="I67" s="92"/>
    </row>
    <row r="68" ht="16.5" customHeight="1">
      <c r="A68" s="92"/>
      <c r="B68" s="92"/>
      <c r="C68" s="92"/>
      <c r="D68" s="92"/>
      <c r="E68" s="216"/>
      <c r="F68" s="216"/>
      <c r="G68" s="642"/>
      <c r="H68" s="92"/>
      <c r="I68" s="92"/>
    </row>
    <row r="69" ht="16.5" customHeight="1">
      <c r="A69" s="92"/>
      <c r="B69" s="92"/>
      <c r="C69" s="92"/>
      <c r="D69" s="92"/>
      <c r="E69" s="216"/>
      <c r="F69" s="216"/>
      <c r="G69" s="642"/>
      <c r="H69" s="92"/>
      <c r="I69" s="92"/>
    </row>
    <row r="70" ht="16.5" customHeight="1">
      <c r="A70" s="92"/>
      <c r="B70" s="92"/>
      <c r="C70" s="92"/>
      <c r="D70" s="92"/>
      <c r="E70" s="216"/>
      <c r="F70" s="216"/>
      <c r="G70" s="642"/>
      <c r="H70" s="92"/>
      <c r="I70" s="92"/>
    </row>
    <row r="71" ht="16.5" customHeight="1">
      <c r="A71" s="92"/>
      <c r="B71" s="92"/>
      <c r="C71" s="92"/>
      <c r="D71" s="92"/>
      <c r="E71" s="216"/>
      <c r="F71" s="216"/>
      <c r="G71" s="642"/>
      <c r="H71" s="92"/>
      <c r="I71" s="92"/>
    </row>
    <row r="72" ht="16.5" customHeight="1">
      <c r="A72" s="92"/>
      <c r="B72" s="92"/>
      <c r="C72" s="92"/>
      <c r="D72" s="92"/>
      <c r="E72" s="216"/>
      <c r="F72" s="216"/>
      <c r="G72" s="642"/>
      <c r="H72" s="92"/>
      <c r="I72" s="92"/>
    </row>
    <row r="73" ht="16.5" customHeight="1">
      <c r="A73" s="92"/>
      <c r="B73" s="92"/>
      <c r="C73" s="92"/>
      <c r="D73" s="92"/>
      <c r="E73" s="216"/>
      <c r="F73" s="216"/>
      <c r="G73" s="642"/>
      <c r="H73" s="92"/>
      <c r="I73" s="92"/>
    </row>
    <row r="74" ht="16.5" customHeight="1">
      <c r="A74" s="92"/>
      <c r="B74" s="92"/>
      <c r="C74" s="92"/>
      <c r="D74" s="92"/>
      <c r="E74" s="216"/>
      <c r="F74" s="216"/>
      <c r="G74" s="642"/>
      <c r="H74" s="92"/>
      <c r="I74" s="92"/>
    </row>
    <row r="75" ht="16.5" customHeight="1">
      <c r="A75" s="92"/>
      <c r="B75" s="92"/>
      <c r="C75" s="92"/>
      <c r="D75" s="92"/>
      <c r="E75" s="216"/>
      <c r="F75" s="216"/>
      <c r="G75" s="642"/>
      <c r="H75" s="92"/>
      <c r="I75" s="92"/>
    </row>
    <row r="76" ht="16.5" customHeight="1">
      <c r="A76" s="92"/>
      <c r="B76" s="92"/>
      <c r="C76" s="92"/>
      <c r="D76" s="92"/>
      <c r="E76" s="216"/>
      <c r="F76" s="216"/>
      <c r="G76" s="642"/>
      <c r="H76" s="92"/>
      <c r="I76" s="92"/>
    </row>
    <row r="77" ht="16.5" customHeight="1">
      <c r="A77" s="92"/>
      <c r="B77" s="92"/>
      <c r="C77" s="92"/>
      <c r="D77" s="92"/>
      <c r="E77" s="216"/>
      <c r="F77" s="216"/>
      <c r="G77" s="642"/>
      <c r="H77" s="92"/>
      <c r="I77" s="92"/>
    </row>
    <row r="78" ht="16.5" customHeight="1">
      <c r="A78" s="92"/>
      <c r="B78" s="92"/>
      <c r="C78" s="92"/>
      <c r="D78" s="92"/>
      <c r="E78" s="216"/>
      <c r="F78" s="216"/>
      <c r="G78" s="642"/>
      <c r="H78" s="92"/>
      <c r="I78" s="92"/>
    </row>
    <row r="79" ht="16.5" customHeight="1">
      <c r="A79" s="92"/>
      <c r="B79" s="92"/>
      <c r="C79" s="92"/>
      <c r="D79" s="92"/>
      <c r="E79" s="216"/>
      <c r="F79" s="216"/>
      <c r="G79" s="642"/>
      <c r="H79" s="92"/>
      <c r="I79" s="92"/>
    </row>
    <row r="80" ht="16.5" customHeight="1">
      <c r="A80" s="92"/>
      <c r="B80" s="92"/>
      <c r="C80" s="92"/>
      <c r="D80" s="92"/>
      <c r="E80" s="216"/>
      <c r="F80" s="216"/>
      <c r="G80" s="642"/>
      <c r="H80" s="92"/>
      <c r="I80" s="92"/>
    </row>
    <row r="81" ht="16.5" customHeight="1">
      <c r="A81" s="92"/>
      <c r="B81" s="92"/>
      <c r="C81" s="92"/>
      <c r="D81" s="92"/>
      <c r="E81" s="216"/>
      <c r="F81" s="216"/>
      <c r="G81" s="642"/>
      <c r="H81" s="92"/>
      <c r="I81" s="92"/>
    </row>
    <row r="82" ht="16.5" customHeight="1">
      <c r="A82" s="92"/>
      <c r="B82" s="92"/>
      <c r="C82" s="92"/>
      <c r="D82" s="92"/>
      <c r="E82" s="216"/>
      <c r="F82" s="216"/>
      <c r="G82" s="642"/>
      <c r="H82" s="92"/>
      <c r="I82" s="92"/>
    </row>
    <row r="83" ht="16.5" customHeight="1">
      <c r="A83" s="92"/>
      <c r="B83" s="92"/>
      <c r="C83" s="92"/>
      <c r="D83" s="92"/>
      <c r="E83" s="216"/>
      <c r="F83" s="216"/>
      <c r="G83" s="642"/>
      <c r="H83" s="92"/>
      <c r="I83" s="92"/>
    </row>
    <row r="84" ht="16.5" customHeight="1">
      <c r="A84" s="92"/>
      <c r="B84" s="92"/>
      <c r="C84" s="92"/>
      <c r="D84" s="92"/>
      <c r="E84" s="216"/>
      <c r="F84" s="216"/>
      <c r="G84" s="642"/>
      <c r="H84" s="92"/>
      <c r="I84" s="92"/>
    </row>
    <row r="85" ht="16.5" customHeight="1">
      <c r="A85" s="92"/>
      <c r="B85" s="92"/>
      <c r="C85" s="92"/>
      <c r="D85" s="92"/>
      <c r="E85" s="216"/>
      <c r="F85" s="216"/>
      <c r="G85" s="642"/>
      <c r="H85" s="92"/>
      <c r="I85" s="92"/>
    </row>
    <row r="86" ht="16.5" customHeight="1">
      <c r="A86" s="92"/>
      <c r="B86" s="92"/>
      <c r="C86" s="92"/>
      <c r="D86" s="92"/>
      <c r="E86" s="216"/>
      <c r="F86" s="216"/>
      <c r="G86" s="642"/>
      <c r="H86" s="92"/>
      <c r="I86" s="92"/>
    </row>
    <row r="87" ht="16.5" customHeight="1">
      <c r="A87" s="92"/>
      <c r="B87" s="92"/>
      <c r="C87" s="92"/>
      <c r="D87" s="92"/>
      <c r="E87" s="216"/>
      <c r="F87" s="216"/>
      <c r="G87" s="642"/>
      <c r="H87" s="92"/>
      <c r="I87" s="92"/>
    </row>
    <row r="88" ht="16.5" customHeight="1">
      <c r="A88" s="92"/>
      <c r="B88" s="92"/>
      <c r="C88" s="92"/>
      <c r="D88" s="92"/>
      <c r="E88" s="216"/>
      <c r="F88" s="216"/>
      <c r="G88" s="642"/>
      <c r="H88" s="92"/>
      <c r="I88" s="92"/>
    </row>
    <row r="89" ht="16.5" customHeight="1">
      <c r="A89" s="92"/>
      <c r="B89" s="92"/>
      <c r="C89" s="92"/>
      <c r="D89" s="92"/>
      <c r="E89" s="216"/>
      <c r="F89" s="216"/>
      <c r="G89" s="642"/>
      <c r="H89" s="92"/>
      <c r="I89" s="92"/>
    </row>
    <row r="90" ht="16.5" customHeight="1">
      <c r="A90" s="92"/>
      <c r="B90" s="92"/>
      <c r="C90" s="92"/>
      <c r="D90" s="92"/>
      <c r="E90" s="216"/>
      <c r="F90" s="216"/>
      <c r="G90" s="642"/>
      <c r="H90" s="92"/>
      <c r="I90" s="92"/>
    </row>
    <row r="91" ht="16.5" customHeight="1">
      <c r="A91" s="92"/>
      <c r="B91" s="92"/>
      <c r="C91" s="92"/>
      <c r="D91" s="92"/>
      <c r="E91" s="216"/>
      <c r="F91" s="216"/>
      <c r="G91" s="642"/>
      <c r="H91" s="92"/>
      <c r="I91" s="92"/>
    </row>
    <row r="92" ht="16.5" customHeight="1">
      <c r="A92" s="92"/>
      <c r="B92" s="92"/>
      <c r="C92" s="92"/>
      <c r="D92" s="92"/>
      <c r="E92" s="216"/>
      <c r="F92" s="216"/>
      <c r="G92" s="642"/>
      <c r="H92" s="92"/>
      <c r="I92" s="92"/>
    </row>
    <row r="93" ht="16.5" customHeight="1">
      <c r="A93" s="92"/>
      <c r="B93" s="92"/>
      <c r="C93" s="92"/>
      <c r="D93" s="92"/>
      <c r="E93" s="216"/>
      <c r="F93" s="216"/>
      <c r="G93" s="642"/>
      <c r="H93" s="92"/>
      <c r="I93" s="92"/>
    </row>
    <row r="94" ht="16.5" customHeight="1">
      <c r="A94" s="92"/>
      <c r="B94" s="92"/>
      <c r="C94" s="92"/>
      <c r="D94" s="92"/>
      <c r="E94" s="216"/>
      <c r="F94" s="216"/>
      <c r="G94" s="642"/>
      <c r="H94" s="92"/>
      <c r="I94" s="92"/>
    </row>
    <row r="95" ht="16.5" customHeight="1">
      <c r="A95" s="92"/>
      <c r="B95" s="92"/>
      <c r="C95" s="92"/>
      <c r="D95" s="92"/>
      <c r="E95" s="216"/>
      <c r="F95" s="216"/>
      <c r="G95" s="642"/>
      <c r="H95" s="92"/>
      <c r="I95" s="92"/>
    </row>
    <row r="96" ht="16.5" customHeight="1">
      <c r="A96" s="92"/>
      <c r="B96" s="92"/>
      <c r="C96" s="92"/>
      <c r="D96" s="92"/>
      <c r="E96" s="216"/>
      <c r="F96" s="216"/>
      <c r="G96" s="642"/>
      <c r="H96" s="92"/>
      <c r="I96" s="92"/>
    </row>
    <row r="97" ht="16.5" customHeight="1">
      <c r="A97" s="92"/>
      <c r="B97" s="92"/>
      <c r="C97" s="92"/>
      <c r="D97" s="92"/>
      <c r="E97" s="216"/>
      <c r="F97" s="216"/>
      <c r="G97" s="642"/>
      <c r="H97" s="92"/>
      <c r="I97" s="92"/>
    </row>
    <row r="98" ht="16.5" customHeight="1">
      <c r="A98" s="92"/>
      <c r="B98" s="92"/>
      <c r="C98" s="92"/>
      <c r="D98" s="92"/>
      <c r="E98" s="216"/>
      <c r="F98" s="216"/>
      <c r="G98" s="642"/>
      <c r="H98" s="92"/>
      <c r="I98" s="92"/>
    </row>
    <row r="99" ht="16.5" customHeight="1">
      <c r="A99" s="92"/>
      <c r="B99" s="92"/>
      <c r="C99" s="92"/>
      <c r="D99" s="92"/>
      <c r="E99" s="216"/>
      <c r="F99" s="216"/>
      <c r="G99" s="642"/>
      <c r="H99" s="92"/>
      <c r="I99" s="92"/>
    </row>
    <row r="100" ht="16.5" customHeight="1">
      <c r="A100" s="92"/>
      <c r="B100" s="92"/>
      <c r="C100" s="92"/>
      <c r="D100" s="92"/>
      <c r="E100" s="216"/>
      <c r="F100" s="216"/>
      <c r="G100" s="642"/>
      <c r="H100" s="92"/>
      <c r="I100" s="92"/>
    </row>
    <row r="101" ht="16.5" customHeight="1">
      <c r="A101" s="92"/>
      <c r="B101" s="92"/>
      <c r="C101" s="92"/>
      <c r="D101" s="92"/>
      <c r="E101" s="216"/>
      <c r="F101" s="216"/>
      <c r="G101" s="642"/>
      <c r="H101" s="92"/>
      <c r="I101" s="92"/>
    </row>
    <row r="102" ht="16.5" customHeight="1">
      <c r="A102" s="92"/>
      <c r="B102" s="92"/>
      <c r="C102" s="92"/>
      <c r="D102" s="92"/>
      <c r="E102" s="216"/>
      <c r="F102" s="216"/>
      <c r="G102" s="642"/>
      <c r="H102" s="92"/>
      <c r="I102" s="92"/>
    </row>
    <row r="103" ht="16.5" customHeight="1">
      <c r="A103" s="92"/>
      <c r="B103" s="92"/>
      <c r="C103" s="92"/>
      <c r="D103" s="92"/>
      <c r="E103" s="216"/>
      <c r="F103" s="216"/>
      <c r="G103" s="642"/>
      <c r="H103" s="92"/>
      <c r="I103" s="92"/>
    </row>
    <row r="104" ht="16.5" customHeight="1">
      <c r="A104" s="92"/>
      <c r="B104" s="92"/>
      <c r="C104" s="92"/>
      <c r="D104" s="92"/>
      <c r="E104" s="216"/>
      <c r="F104" s="216"/>
      <c r="G104" s="642"/>
      <c r="H104" s="92"/>
      <c r="I104" s="92"/>
    </row>
    <row r="105" ht="16.5" customHeight="1">
      <c r="A105" s="92"/>
      <c r="B105" s="92"/>
      <c r="C105" s="92"/>
      <c r="D105" s="92"/>
      <c r="E105" s="216"/>
      <c r="F105" s="216"/>
      <c r="G105" s="642"/>
      <c r="H105" s="92"/>
      <c r="I105" s="92"/>
    </row>
    <row r="106" ht="16.5" customHeight="1">
      <c r="A106" s="92"/>
      <c r="B106" s="92"/>
      <c r="C106" s="92"/>
      <c r="D106" s="92"/>
      <c r="E106" s="216"/>
      <c r="F106" s="216"/>
      <c r="G106" s="642"/>
      <c r="H106" s="92"/>
      <c r="I106" s="92"/>
    </row>
    <row r="107" ht="16.5" customHeight="1">
      <c r="A107" s="92"/>
      <c r="B107" s="92"/>
      <c r="C107" s="92"/>
      <c r="D107" s="92"/>
      <c r="E107" s="216"/>
      <c r="F107" s="216"/>
      <c r="G107" s="642"/>
      <c r="H107" s="92"/>
      <c r="I107" s="92"/>
    </row>
    <row r="108" ht="16.5" customHeight="1">
      <c r="A108" s="92"/>
      <c r="B108" s="92"/>
      <c r="C108" s="92"/>
      <c r="D108" s="92"/>
      <c r="E108" s="216"/>
      <c r="F108" s="216"/>
      <c r="G108" s="642"/>
      <c r="H108" s="92"/>
      <c r="I108" s="92"/>
    </row>
    <row r="109" ht="16.5" customHeight="1">
      <c r="A109" s="92"/>
      <c r="B109" s="92"/>
      <c r="C109" s="92"/>
      <c r="D109" s="92"/>
      <c r="E109" s="216"/>
      <c r="F109" s="216"/>
      <c r="G109" s="642"/>
      <c r="H109" s="92"/>
      <c r="I109" s="92"/>
    </row>
    <row r="110" ht="16.5" customHeight="1">
      <c r="A110" s="92"/>
      <c r="B110" s="92"/>
      <c r="C110" s="92"/>
      <c r="D110" s="92"/>
      <c r="E110" s="216"/>
      <c r="F110" s="216"/>
      <c r="G110" s="642"/>
      <c r="H110" s="92"/>
      <c r="I110" s="92"/>
    </row>
    <row r="111" ht="16.5" customHeight="1">
      <c r="A111" s="92"/>
      <c r="B111" s="92"/>
      <c r="C111" s="92"/>
      <c r="D111" s="92"/>
      <c r="E111" s="216"/>
      <c r="F111" s="216"/>
      <c r="G111" s="642"/>
      <c r="H111" s="92"/>
      <c r="I111" s="92"/>
    </row>
    <row r="112" ht="16.5" customHeight="1">
      <c r="A112" s="92"/>
      <c r="B112" s="92"/>
      <c r="C112" s="92"/>
      <c r="D112" s="92"/>
      <c r="E112" s="216"/>
      <c r="F112" s="216"/>
      <c r="G112" s="642"/>
      <c r="H112" s="92"/>
      <c r="I112" s="92"/>
    </row>
    <row r="113" ht="16.5" customHeight="1">
      <c r="A113" s="92"/>
      <c r="B113" s="92"/>
      <c r="C113" s="92"/>
      <c r="D113" s="92"/>
      <c r="E113" s="216"/>
      <c r="F113" s="216"/>
      <c r="G113" s="642"/>
      <c r="H113" s="92"/>
      <c r="I113" s="92"/>
    </row>
    <row r="114" ht="16.5" customHeight="1">
      <c r="A114" s="92"/>
      <c r="B114" s="92"/>
      <c r="C114" s="92"/>
      <c r="D114" s="92"/>
      <c r="E114" s="216"/>
      <c r="F114" s="216"/>
      <c r="G114" s="642"/>
      <c r="H114" s="92"/>
      <c r="I114" s="92"/>
    </row>
    <row r="115" ht="16.5" customHeight="1">
      <c r="A115" s="92"/>
      <c r="B115" s="92"/>
      <c r="C115" s="92"/>
      <c r="D115" s="92"/>
      <c r="E115" s="216"/>
      <c r="F115" s="216"/>
      <c r="G115" s="642"/>
      <c r="H115" s="92"/>
      <c r="I115" s="92"/>
    </row>
    <row r="116" ht="16.5" customHeight="1">
      <c r="A116" s="92"/>
      <c r="B116" s="92"/>
      <c r="C116" s="92"/>
      <c r="D116" s="92"/>
      <c r="E116" s="216"/>
      <c r="F116" s="216"/>
      <c r="G116" s="642"/>
      <c r="H116" s="92"/>
      <c r="I116" s="92"/>
    </row>
    <row r="117" ht="16.5" customHeight="1">
      <c r="A117" s="92"/>
      <c r="B117" s="92"/>
      <c r="C117" s="92"/>
      <c r="D117" s="92"/>
      <c r="E117" s="216"/>
      <c r="F117" s="216"/>
      <c r="G117" s="642"/>
      <c r="H117" s="92"/>
      <c r="I117" s="92"/>
    </row>
    <row r="118" ht="16.5" customHeight="1">
      <c r="A118" s="92"/>
      <c r="B118" s="92"/>
      <c r="C118" s="92"/>
      <c r="D118" s="92"/>
      <c r="E118" s="216"/>
      <c r="F118" s="216"/>
      <c r="G118" s="642"/>
      <c r="H118" s="92"/>
      <c r="I118" s="92"/>
    </row>
    <row r="119" ht="16.5" customHeight="1">
      <c r="A119" s="92"/>
      <c r="B119" s="92"/>
      <c r="C119" s="92"/>
      <c r="D119" s="92"/>
      <c r="E119" s="216"/>
      <c r="F119" s="216"/>
      <c r="G119" s="642"/>
      <c r="H119" s="92"/>
      <c r="I119" s="92"/>
    </row>
    <row r="120" ht="16.5" customHeight="1">
      <c r="A120" s="92"/>
      <c r="B120" s="92"/>
      <c r="C120" s="92"/>
      <c r="D120" s="92"/>
      <c r="E120" s="216"/>
      <c r="F120" s="216"/>
      <c r="G120" s="642"/>
      <c r="H120" s="92"/>
      <c r="I120" s="92"/>
    </row>
    <row r="121" ht="16.5" customHeight="1">
      <c r="A121" s="92"/>
      <c r="B121" s="92"/>
      <c r="C121" s="92"/>
      <c r="D121" s="92"/>
      <c r="E121" s="216"/>
      <c r="F121" s="216"/>
      <c r="G121" s="642"/>
      <c r="H121" s="92"/>
      <c r="I121" s="92"/>
    </row>
    <row r="122" ht="16.5" customHeight="1">
      <c r="A122" s="92"/>
      <c r="B122" s="92"/>
      <c r="C122" s="92"/>
      <c r="D122" s="92"/>
      <c r="E122" s="216"/>
      <c r="F122" s="216"/>
      <c r="G122" s="642"/>
      <c r="H122" s="92"/>
      <c r="I122" s="92"/>
    </row>
    <row r="123" ht="16.5" customHeight="1">
      <c r="A123" s="92"/>
      <c r="B123" s="92"/>
      <c r="C123" s="92"/>
      <c r="D123" s="92"/>
      <c r="E123" s="216"/>
      <c r="F123" s="216"/>
      <c r="G123" s="642"/>
      <c r="H123" s="92"/>
      <c r="I123" s="92"/>
    </row>
    <row r="124" ht="16.5" customHeight="1">
      <c r="A124" s="92"/>
      <c r="B124" s="92"/>
      <c r="C124" s="92"/>
      <c r="D124" s="92"/>
      <c r="E124" s="216"/>
      <c r="F124" s="216"/>
      <c r="G124" s="642"/>
      <c r="H124" s="92"/>
      <c r="I124" s="92"/>
    </row>
    <row r="125" ht="16.5" customHeight="1">
      <c r="A125" s="92"/>
      <c r="B125" s="92"/>
      <c r="C125" s="92"/>
      <c r="D125" s="92"/>
      <c r="E125" s="216"/>
      <c r="F125" s="216"/>
      <c r="G125" s="642"/>
      <c r="H125" s="92"/>
      <c r="I125" s="92"/>
    </row>
    <row r="126" ht="16.5" customHeight="1">
      <c r="A126" s="92"/>
      <c r="B126" s="92"/>
      <c r="C126" s="92"/>
      <c r="D126" s="92"/>
      <c r="E126" s="216"/>
      <c r="F126" s="216"/>
      <c r="G126" s="642"/>
      <c r="H126" s="92"/>
      <c r="I126" s="92"/>
    </row>
    <row r="127" ht="16.5" customHeight="1">
      <c r="A127" s="92"/>
      <c r="B127" s="92"/>
      <c r="C127" s="92"/>
      <c r="D127" s="92"/>
      <c r="E127" s="216"/>
      <c r="F127" s="216"/>
      <c r="G127" s="642"/>
      <c r="H127" s="92"/>
      <c r="I127" s="92"/>
    </row>
    <row r="128" ht="16.5" customHeight="1">
      <c r="A128" s="92"/>
      <c r="B128" s="92"/>
      <c r="C128" s="92"/>
      <c r="D128" s="92"/>
      <c r="E128" s="216"/>
      <c r="F128" s="216"/>
      <c r="G128" s="642"/>
      <c r="H128" s="92"/>
      <c r="I128" s="92"/>
    </row>
    <row r="129" ht="16.5" customHeight="1">
      <c r="A129" s="92"/>
      <c r="B129" s="92"/>
      <c r="C129" s="92"/>
      <c r="D129" s="92"/>
      <c r="E129" s="216"/>
      <c r="F129" s="216"/>
      <c r="G129" s="642"/>
      <c r="H129" s="92"/>
      <c r="I129" s="92"/>
    </row>
    <row r="130" ht="16.5" customHeight="1">
      <c r="A130" s="92"/>
      <c r="B130" s="92"/>
      <c r="C130" s="92"/>
      <c r="D130" s="92"/>
      <c r="E130" s="216"/>
      <c r="F130" s="216"/>
      <c r="G130" s="642"/>
      <c r="H130" s="92"/>
      <c r="I130" s="92"/>
    </row>
    <row r="131" ht="16.5" customHeight="1">
      <c r="A131" s="92"/>
      <c r="B131" s="92"/>
      <c r="C131" s="92"/>
      <c r="D131" s="92"/>
      <c r="E131" s="216"/>
      <c r="F131" s="216"/>
      <c r="G131" s="642"/>
      <c r="H131" s="92"/>
      <c r="I131" s="92"/>
    </row>
    <row r="132" ht="16.5" customHeight="1">
      <c r="A132" s="92"/>
      <c r="B132" s="92"/>
      <c r="C132" s="92"/>
      <c r="D132" s="92"/>
      <c r="E132" s="216"/>
      <c r="F132" s="216"/>
      <c r="G132" s="642"/>
      <c r="H132" s="92"/>
      <c r="I132" s="92"/>
    </row>
    <row r="133" ht="16.5" customHeight="1">
      <c r="A133" s="92"/>
      <c r="B133" s="92"/>
      <c r="C133" s="92"/>
      <c r="D133" s="92"/>
      <c r="E133" s="216"/>
      <c r="F133" s="216"/>
      <c r="G133" s="642"/>
      <c r="H133" s="92"/>
      <c r="I133" s="92"/>
    </row>
    <row r="134" ht="16.5" customHeight="1">
      <c r="A134" s="92"/>
      <c r="B134" s="92"/>
      <c r="C134" s="92"/>
      <c r="D134" s="92"/>
      <c r="E134" s="216"/>
      <c r="F134" s="216"/>
      <c r="G134" s="642"/>
      <c r="H134" s="92"/>
      <c r="I134" s="92"/>
    </row>
    <row r="135" ht="16.5" customHeight="1">
      <c r="A135" s="92"/>
      <c r="B135" s="92"/>
      <c r="C135" s="92"/>
      <c r="D135" s="92"/>
      <c r="E135" s="216"/>
      <c r="F135" s="216"/>
      <c r="G135" s="642"/>
      <c r="H135" s="92"/>
      <c r="I135" s="92"/>
    </row>
    <row r="136" ht="16.5" customHeight="1">
      <c r="A136" s="92"/>
      <c r="B136" s="92"/>
      <c r="C136" s="92"/>
      <c r="D136" s="92"/>
      <c r="E136" s="216"/>
      <c r="F136" s="216"/>
      <c r="G136" s="642"/>
      <c r="H136" s="92"/>
      <c r="I136" s="92"/>
    </row>
    <row r="137" ht="16.5" customHeight="1">
      <c r="A137" s="92"/>
      <c r="B137" s="92"/>
      <c r="C137" s="92"/>
      <c r="D137" s="92"/>
      <c r="E137" s="216"/>
      <c r="F137" s="216"/>
      <c r="G137" s="642"/>
      <c r="H137" s="92"/>
      <c r="I137" s="92"/>
    </row>
    <row r="138" ht="16.5" customHeight="1">
      <c r="A138" s="92"/>
      <c r="B138" s="92"/>
      <c r="C138" s="92"/>
      <c r="D138" s="92"/>
      <c r="E138" s="216"/>
      <c r="F138" s="216"/>
      <c r="G138" s="642"/>
      <c r="H138" s="92"/>
      <c r="I138" s="92"/>
    </row>
    <row r="139" ht="16.5" customHeight="1">
      <c r="A139" s="92"/>
      <c r="B139" s="92"/>
      <c r="C139" s="92"/>
      <c r="D139" s="92"/>
      <c r="E139" s="216"/>
      <c r="F139" s="216"/>
      <c r="G139" s="642"/>
      <c r="H139" s="92"/>
      <c r="I139" s="92"/>
    </row>
    <row r="140" ht="16.5" customHeight="1">
      <c r="A140" s="92"/>
      <c r="B140" s="92"/>
      <c r="C140" s="92"/>
      <c r="D140" s="92"/>
      <c r="E140" s="216"/>
      <c r="F140" s="216"/>
      <c r="G140" s="642"/>
      <c r="H140" s="92"/>
      <c r="I140" s="92"/>
    </row>
    <row r="141" ht="16.5" customHeight="1">
      <c r="A141" s="92"/>
      <c r="B141" s="92"/>
      <c r="C141" s="92"/>
      <c r="D141" s="92"/>
      <c r="E141" s="216"/>
      <c r="F141" s="216"/>
      <c r="G141" s="642"/>
      <c r="H141" s="92"/>
      <c r="I141" s="92"/>
    </row>
    <row r="142" ht="16.5" customHeight="1">
      <c r="A142" s="92"/>
      <c r="B142" s="92"/>
      <c r="C142" s="92"/>
      <c r="D142" s="92"/>
      <c r="E142" s="216"/>
      <c r="F142" s="216"/>
      <c r="G142" s="642"/>
      <c r="H142" s="92"/>
      <c r="I142" s="92"/>
    </row>
    <row r="143" ht="16.5" customHeight="1">
      <c r="A143" s="92"/>
      <c r="B143" s="92"/>
      <c r="C143" s="92"/>
      <c r="D143" s="92"/>
      <c r="E143" s="216"/>
      <c r="F143" s="216"/>
      <c r="G143" s="642"/>
      <c r="H143" s="92"/>
      <c r="I143" s="92"/>
    </row>
    <row r="144" ht="16.5" customHeight="1">
      <c r="A144" s="92"/>
      <c r="B144" s="92"/>
      <c r="C144" s="92"/>
      <c r="D144" s="92"/>
      <c r="E144" s="216"/>
      <c r="F144" s="216"/>
      <c r="G144" s="642"/>
      <c r="H144" s="92"/>
      <c r="I144" s="92"/>
    </row>
    <row r="145" ht="16.5" customHeight="1">
      <c r="A145" s="92"/>
      <c r="B145" s="92"/>
      <c r="C145" s="92"/>
      <c r="D145" s="92"/>
      <c r="E145" s="216"/>
      <c r="F145" s="216"/>
      <c r="G145" s="642"/>
      <c r="H145" s="92"/>
      <c r="I145" s="92"/>
    </row>
    <row r="146" ht="16.5" customHeight="1">
      <c r="A146" s="92"/>
      <c r="B146" s="92"/>
      <c r="C146" s="92"/>
      <c r="D146" s="92"/>
      <c r="E146" s="216"/>
      <c r="F146" s="216"/>
      <c r="G146" s="642"/>
      <c r="H146" s="92"/>
      <c r="I146" s="92"/>
    </row>
    <row r="147" ht="16.5" customHeight="1">
      <c r="A147" s="92"/>
      <c r="B147" s="92"/>
      <c r="C147" s="92"/>
      <c r="D147" s="92"/>
      <c r="E147" s="216"/>
      <c r="F147" s="216"/>
      <c r="G147" s="642"/>
      <c r="H147" s="92"/>
      <c r="I147" s="92"/>
    </row>
    <row r="148" ht="16.5" customHeight="1">
      <c r="A148" s="92"/>
      <c r="B148" s="92"/>
      <c r="C148" s="92"/>
      <c r="D148" s="92"/>
      <c r="E148" s="216"/>
      <c r="F148" s="216"/>
      <c r="G148" s="642"/>
      <c r="H148" s="92"/>
      <c r="I148" s="92"/>
    </row>
    <row r="149" ht="16.5" customHeight="1">
      <c r="A149" s="92"/>
      <c r="B149" s="92"/>
      <c r="C149" s="92"/>
      <c r="D149" s="92"/>
      <c r="E149" s="216"/>
      <c r="F149" s="216"/>
      <c r="G149" s="642"/>
      <c r="H149" s="92"/>
      <c r="I149" s="92"/>
    </row>
    <row r="150" ht="16.5" customHeight="1">
      <c r="A150" s="92"/>
      <c r="B150" s="92"/>
      <c r="C150" s="92"/>
      <c r="D150" s="92"/>
      <c r="E150" s="216"/>
      <c r="F150" s="216"/>
      <c r="G150" s="642"/>
      <c r="H150" s="92"/>
      <c r="I150" s="92"/>
    </row>
    <row r="151" ht="16.5" customHeight="1">
      <c r="A151" s="92"/>
      <c r="B151" s="92"/>
      <c r="C151" s="92"/>
      <c r="D151" s="92"/>
      <c r="E151" s="216"/>
      <c r="F151" s="216"/>
      <c r="G151" s="642"/>
      <c r="H151" s="92"/>
      <c r="I151" s="92"/>
    </row>
    <row r="152" ht="16.5" customHeight="1">
      <c r="A152" s="92"/>
      <c r="B152" s="92"/>
      <c r="C152" s="92"/>
      <c r="D152" s="92"/>
      <c r="E152" s="216"/>
      <c r="F152" s="216"/>
      <c r="G152" s="642"/>
      <c r="H152" s="92"/>
      <c r="I152" s="92"/>
    </row>
    <row r="153" ht="16.5" customHeight="1">
      <c r="A153" s="92"/>
      <c r="B153" s="92"/>
      <c r="C153" s="92"/>
      <c r="D153" s="92"/>
      <c r="E153" s="216"/>
      <c r="F153" s="216"/>
      <c r="G153" s="642"/>
      <c r="H153" s="92"/>
      <c r="I153" s="92"/>
    </row>
    <row r="154" ht="16.5" customHeight="1">
      <c r="A154" s="92"/>
      <c r="B154" s="92"/>
      <c r="C154" s="92"/>
      <c r="D154" s="92"/>
      <c r="E154" s="216"/>
      <c r="F154" s="216"/>
      <c r="G154" s="642"/>
      <c r="H154" s="92"/>
      <c r="I154" s="92"/>
    </row>
    <row r="155" ht="16.5" customHeight="1">
      <c r="A155" s="92"/>
      <c r="B155" s="92"/>
      <c r="C155" s="92"/>
      <c r="D155" s="92"/>
      <c r="E155" s="216"/>
      <c r="F155" s="216"/>
      <c r="G155" s="642"/>
      <c r="H155" s="92"/>
      <c r="I155" s="92"/>
    </row>
    <row r="156" ht="16.5" customHeight="1">
      <c r="A156" s="92"/>
      <c r="B156" s="92"/>
      <c r="C156" s="92"/>
      <c r="D156" s="92"/>
      <c r="E156" s="216"/>
      <c r="F156" s="216"/>
      <c r="G156" s="642"/>
      <c r="H156" s="92"/>
      <c r="I156" s="92"/>
    </row>
    <row r="157" ht="16.5" customHeight="1">
      <c r="A157" s="92"/>
      <c r="B157" s="92"/>
      <c r="C157" s="92"/>
      <c r="D157" s="92"/>
      <c r="E157" s="216"/>
      <c r="F157" s="216"/>
      <c r="G157" s="642"/>
      <c r="H157" s="92"/>
      <c r="I157" s="92"/>
    </row>
    <row r="158" ht="16.5" customHeight="1">
      <c r="A158" s="92"/>
      <c r="B158" s="92"/>
      <c r="C158" s="92"/>
      <c r="D158" s="92"/>
      <c r="E158" s="216"/>
      <c r="F158" s="216"/>
      <c r="G158" s="642"/>
      <c r="H158" s="92"/>
      <c r="I158" s="92"/>
    </row>
    <row r="159" ht="16.5" customHeight="1">
      <c r="A159" s="92"/>
      <c r="B159" s="92"/>
      <c r="C159" s="92"/>
      <c r="D159" s="92"/>
      <c r="E159" s="216"/>
      <c r="F159" s="216"/>
      <c r="G159" s="642"/>
      <c r="H159" s="92"/>
      <c r="I159" s="92"/>
    </row>
    <row r="160" ht="16.5" customHeight="1">
      <c r="A160" s="92"/>
      <c r="B160" s="92"/>
      <c r="C160" s="92"/>
      <c r="D160" s="92"/>
      <c r="E160" s="216"/>
      <c r="F160" s="216"/>
      <c r="G160" s="642"/>
      <c r="H160" s="92"/>
      <c r="I160" s="92"/>
    </row>
    <row r="161" ht="16.5" customHeight="1">
      <c r="A161" s="92"/>
      <c r="B161" s="92"/>
      <c r="C161" s="92"/>
      <c r="D161" s="92"/>
      <c r="E161" s="216"/>
      <c r="F161" s="216"/>
      <c r="G161" s="642"/>
      <c r="H161" s="92"/>
      <c r="I161" s="92"/>
    </row>
    <row r="162" ht="16.5" customHeight="1">
      <c r="A162" s="92"/>
      <c r="B162" s="92"/>
      <c r="C162" s="92"/>
      <c r="D162" s="92"/>
      <c r="E162" s="216"/>
      <c r="F162" s="216"/>
      <c r="G162" s="642"/>
      <c r="H162" s="92"/>
      <c r="I162" s="92"/>
    </row>
    <row r="163" ht="16.5" customHeight="1">
      <c r="A163" s="92"/>
      <c r="B163" s="92"/>
      <c r="C163" s="92"/>
      <c r="D163" s="92"/>
      <c r="E163" s="216"/>
      <c r="F163" s="216"/>
      <c r="G163" s="642"/>
      <c r="H163" s="92"/>
      <c r="I163" s="92"/>
    </row>
    <row r="164" ht="16.5" customHeight="1">
      <c r="A164" s="92"/>
      <c r="B164" s="92"/>
      <c r="C164" s="92"/>
      <c r="D164" s="92"/>
      <c r="E164" s="216"/>
      <c r="F164" s="216"/>
      <c r="G164" s="642"/>
      <c r="H164" s="92"/>
      <c r="I164" s="92"/>
    </row>
    <row r="165" ht="16.5" customHeight="1">
      <c r="A165" s="92"/>
      <c r="B165" s="92"/>
      <c r="C165" s="92"/>
      <c r="D165" s="92"/>
      <c r="E165" s="216"/>
      <c r="F165" s="216"/>
      <c r="G165" s="642"/>
      <c r="H165" s="92"/>
      <c r="I165" s="92"/>
    </row>
    <row r="166" ht="16.5" customHeight="1">
      <c r="A166" s="92"/>
      <c r="B166" s="92"/>
      <c r="C166" s="92"/>
      <c r="D166" s="92"/>
      <c r="E166" s="216"/>
      <c r="F166" s="216"/>
      <c r="G166" s="642"/>
      <c r="H166" s="92"/>
      <c r="I166" s="92"/>
    </row>
    <row r="167" ht="16.5" customHeight="1">
      <c r="A167" s="92"/>
      <c r="B167" s="92"/>
      <c r="C167" s="92"/>
      <c r="D167" s="92"/>
      <c r="E167" s="216"/>
      <c r="F167" s="216"/>
      <c r="G167" s="642"/>
      <c r="H167" s="92"/>
      <c r="I167" s="92"/>
    </row>
    <row r="168" ht="16.5" customHeight="1">
      <c r="A168" s="92"/>
      <c r="B168" s="92"/>
      <c r="C168" s="92"/>
      <c r="D168" s="92"/>
      <c r="E168" s="216"/>
      <c r="F168" s="216"/>
      <c r="G168" s="642"/>
      <c r="H168" s="92"/>
      <c r="I168" s="92"/>
    </row>
    <row r="169" ht="16.5" customHeight="1">
      <c r="A169" s="92"/>
      <c r="B169" s="92"/>
      <c r="C169" s="92"/>
      <c r="D169" s="92"/>
      <c r="E169" s="216"/>
      <c r="F169" s="216"/>
      <c r="G169" s="642"/>
      <c r="H169" s="92"/>
      <c r="I169" s="92"/>
    </row>
    <row r="170" ht="16.5" customHeight="1">
      <c r="A170" s="92"/>
      <c r="B170" s="92"/>
      <c r="C170" s="92"/>
      <c r="D170" s="92"/>
      <c r="E170" s="216"/>
      <c r="F170" s="216"/>
      <c r="G170" s="642"/>
      <c r="H170" s="92"/>
      <c r="I170" s="92"/>
    </row>
    <row r="171" ht="16.5" customHeight="1">
      <c r="A171" s="92"/>
      <c r="B171" s="92"/>
      <c r="C171" s="92"/>
      <c r="D171" s="92"/>
      <c r="E171" s="216"/>
      <c r="F171" s="216"/>
      <c r="G171" s="642"/>
      <c r="H171" s="92"/>
      <c r="I171" s="92"/>
    </row>
    <row r="172" ht="16.5" customHeight="1">
      <c r="A172" s="92"/>
      <c r="B172" s="92"/>
      <c r="C172" s="92"/>
      <c r="D172" s="92"/>
      <c r="E172" s="216"/>
      <c r="F172" s="216"/>
      <c r="G172" s="642"/>
      <c r="H172" s="92"/>
      <c r="I172" s="92"/>
    </row>
    <row r="173" ht="16.5" customHeight="1">
      <c r="A173" s="92"/>
      <c r="B173" s="92"/>
      <c r="C173" s="92"/>
      <c r="D173" s="92"/>
      <c r="E173" s="216"/>
      <c r="F173" s="216"/>
      <c r="G173" s="642"/>
      <c r="H173" s="92"/>
      <c r="I173" s="92"/>
    </row>
    <row r="174" ht="16.5" customHeight="1">
      <c r="A174" s="92"/>
      <c r="B174" s="92"/>
      <c r="C174" s="92"/>
      <c r="D174" s="92"/>
      <c r="E174" s="216"/>
      <c r="F174" s="216"/>
      <c r="G174" s="642"/>
      <c r="H174" s="92"/>
      <c r="I174" s="92"/>
    </row>
    <row r="175" ht="16.5" customHeight="1">
      <c r="A175" s="92"/>
      <c r="B175" s="92"/>
      <c r="C175" s="92"/>
      <c r="D175" s="92"/>
      <c r="E175" s="216"/>
      <c r="F175" s="216"/>
      <c r="G175" s="642"/>
      <c r="H175" s="92"/>
      <c r="I175" s="92"/>
    </row>
    <row r="176" ht="16.5" customHeight="1">
      <c r="A176" s="92"/>
      <c r="B176" s="92"/>
      <c r="C176" s="92"/>
      <c r="D176" s="92"/>
      <c r="E176" s="216"/>
      <c r="F176" s="216"/>
      <c r="G176" s="642"/>
      <c r="H176" s="92"/>
      <c r="I176" s="92"/>
    </row>
    <row r="177" ht="16.5" customHeight="1">
      <c r="A177" s="92"/>
      <c r="B177" s="92"/>
      <c r="C177" s="92"/>
      <c r="D177" s="92"/>
      <c r="E177" s="216"/>
      <c r="F177" s="216"/>
      <c r="G177" s="642"/>
      <c r="H177" s="92"/>
      <c r="I177" s="92"/>
    </row>
    <row r="178" ht="16.5" customHeight="1">
      <c r="A178" s="92"/>
      <c r="B178" s="92"/>
      <c r="C178" s="92"/>
      <c r="D178" s="92"/>
      <c r="E178" s="216"/>
      <c r="F178" s="216"/>
      <c r="G178" s="642"/>
      <c r="H178" s="92"/>
      <c r="I178" s="92"/>
    </row>
    <row r="179" ht="16.5" customHeight="1">
      <c r="A179" s="92"/>
      <c r="B179" s="92"/>
      <c r="C179" s="92"/>
      <c r="D179" s="92"/>
      <c r="E179" s="216"/>
      <c r="F179" s="216"/>
      <c r="G179" s="642"/>
      <c r="H179" s="92"/>
      <c r="I179" s="92"/>
    </row>
    <row r="180" ht="16.5" customHeight="1">
      <c r="A180" s="92"/>
      <c r="B180" s="92"/>
      <c r="C180" s="92"/>
      <c r="D180" s="92"/>
      <c r="E180" s="216"/>
      <c r="F180" s="216"/>
      <c r="G180" s="642"/>
      <c r="H180" s="92"/>
      <c r="I180" s="92"/>
    </row>
    <row r="181" ht="16.5" customHeight="1">
      <c r="A181" s="92"/>
      <c r="B181" s="92"/>
      <c r="C181" s="92"/>
      <c r="D181" s="92"/>
      <c r="E181" s="216"/>
      <c r="F181" s="216"/>
      <c r="G181" s="642"/>
      <c r="H181" s="92"/>
      <c r="I181" s="92"/>
    </row>
    <row r="182" ht="16.5" customHeight="1">
      <c r="A182" s="92"/>
      <c r="B182" s="92"/>
      <c r="C182" s="92"/>
      <c r="D182" s="92"/>
      <c r="E182" s="216"/>
      <c r="F182" s="216"/>
      <c r="G182" s="642"/>
      <c r="H182" s="92"/>
      <c r="I182" s="92"/>
    </row>
    <row r="183" ht="16.5" customHeight="1">
      <c r="A183" s="92"/>
      <c r="B183" s="92"/>
      <c r="C183" s="92"/>
      <c r="D183" s="92"/>
      <c r="E183" s="216"/>
      <c r="F183" s="216"/>
      <c r="G183" s="642"/>
      <c r="H183" s="92"/>
      <c r="I183" s="92"/>
    </row>
    <row r="184" ht="16.5" customHeight="1">
      <c r="A184" s="92"/>
      <c r="B184" s="92"/>
      <c r="C184" s="92"/>
      <c r="D184" s="92"/>
      <c r="E184" s="216"/>
      <c r="F184" s="216"/>
      <c r="G184" s="642"/>
      <c r="H184" s="92"/>
      <c r="I184" s="92"/>
    </row>
    <row r="185" ht="16.5" customHeight="1">
      <c r="A185" s="92"/>
      <c r="B185" s="92"/>
      <c r="C185" s="92"/>
      <c r="D185" s="92"/>
      <c r="E185" s="216"/>
      <c r="F185" s="216"/>
      <c r="G185" s="642"/>
      <c r="H185" s="92"/>
      <c r="I185" s="92"/>
    </row>
    <row r="186" ht="16.5" customHeight="1">
      <c r="A186" s="92"/>
      <c r="B186" s="92"/>
      <c r="C186" s="92"/>
      <c r="D186" s="92"/>
      <c r="E186" s="216"/>
      <c r="F186" s="216"/>
      <c r="G186" s="642"/>
      <c r="H186" s="92"/>
      <c r="I186" s="92"/>
    </row>
    <row r="187" ht="16.5" customHeight="1">
      <c r="A187" s="92"/>
      <c r="B187" s="92"/>
      <c r="C187" s="92"/>
      <c r="D187" s="92"/>
      <c r="E187" s="216"/>
      <c r="F187" s="216"/>
      <c r="G187" s="642"/>
      <c r="H187" s="92"/>
      <c r="I187" s="92"/>
    </row>
    <row r="188" ht="16.5" customHeight="1">
      <c r="A188" s="92"/>
      <c r="B188" s="92"/>
      <c r="C188" s="92"/>
      <c r="D188" s="92"/>
      <c r="E188" s="216"/>
      <c r="F188" s="216"/>
      <c r="G188" s="642"/>
      <c r="H188" s="92"/>
      <c r="I188" s="92"/>
    </row>
    <row r="189" ht="16.5" customHeight="1">
      <c r="A189" s="92"/>
      <c r="B189" s="92"/>
      <c r="C189" s="92"/>
      <c r="D189" s="92"/>
      <c r="E189" s="216"/>
      <c r="F189" s="216"/>
      <c r="G189" s="642"/>
      <c r="H189" s="92"/>
      <c r="I189" s="92"/>
    </row>
    <row r="190" ht="16.5" customHeight="1">
      <c r="A190" s="92"/>
      <c r="B190" s="92"/>
      <c r="C190" s="92"/>
      <c r="D190" s="92"/>
      <c r="E190" s="216"/>
      <c r="F190" s="216"/>
      <c r="G190" s="642"/>
      <c r="H190" s="92"/>
      <c r="I190" s="92"/>
    </row>
    <row r="191" ht="16.5" customHeight="1">
      <c r="A191" s="92"/>
      <c r="B191" s="92"/>
      <c r="C191" s="92"/>
      <c r="D191" s="92"/>
      <c r="E191" s="216"/>
      <c r="F191" s="216"/>
      <c r="G191" s="642"/>
      <c r="H191" s="92"/>
      <c r="I191" s="92"/>
    </row>
    <row r="192" ht="16.5" customHeight="1">
      <c r="A192" s="92"/>
      <c r="B192" s="92"/>
      <c r="C192" s="92"/>
      <c r="D192" s="92"/>
      <c r="E192" s="216"/>
      <c r="F192" s="216"/>
      <c r="G192" s="642"/>
      <c r="H192" s="92"/>
      <c r="I192" s="92"/>
    </row>
    <row r="193" ht="16.5" customHeight="1">
      <c r="A193" s="92"/>
      <c r="B193" s="92"/>
      <c r="C193" s="92"/>
      <c r="D193" s="92"/>
      <c r="E193" s="216"/>
      <c r="F193" s="216"/>
      <c r="G193" s="642"/>
      <c r="H193" s="92"/>
      <c r="I193" s="92"/>
    </row>
    <row r="194" ht="16.5" customHeight="1">
      <c r="A194" s="92"/>
      <c r="B194" s="92"/>
      <c r="C194" s="92"/>
      <c r="D194" s="92"/>
      <c r="E194" s="216"/>
      <c r="F194" s="216"/>
      <c r="G194" s="642"/>
      <c r="H194" s="92"/>
      <c r="I194" s="92"/>
    </row>
    <row r="195" ht="16.5" customHeight="1">
      <c r="A195" s="92"/>
      <c r="B195" s="92"/>
      <c r="C195" s="92"/>
      <c r="D195" s="92"/>
      <c r="E195" s="216"/>
      <c r="F195" s="216"/>
      <c r="G195" s="642"/>
      <c r="H195" s="92"/>
      <c r="I195" s="92"/>
    </row>
    <row r="196" ht="16.5" customHeight="1">
      <c r="A196" s="92"/>
      <c r="B196" s="92"/>
      <c r="C196" s="92"/>
      <c r="D196" s="92"/>
      <c r="E196" s="216"/>
      <c r="F196" s="216"/>
      <c r="G196" s="642"/>
      <c r="H196" s="92"/>
      <c r="I196" s="92"/>
    </row>
    <row r="197" ht="16.5" customHeight="1">
      <c r="A197" s="92"/>
      <c r="B197" s="92"/>
      <c r="C197" s="92"/>
      <c r="D197" s="92"/>
      <c r="E197" s="216"/>
      <c r="F197" s="216"/>
      <c r="G197" s="642"/>
      <c r="H197" s="92"/>
      <c r="I197" s="92"/>
    </row>
    <row r="198" ht="16.5" customHeight="1">
      <c r="A198" s="92"/>
      <c r="B198" s="92"/>
      <c r="C198" s="92"/>
      <c r="D198" s="92"/>
      <c r="E198" s="216"/>
      <c r="F198" s="216"/>
      <c r="G198" s="642"/>
      <c r="H198" s="92"/>
      <c r="I198" s="92"/>
    </row>
    <row r="199" ht="16.5" customHeight="1">
      <c r="A199" s="92"/>
      <c r="B199" s="92"/>
      <c r="C199" s="92"/>
      <c r="D199" s="92"/>
      <c r="E199" s="216"/>
      <c r="F199" s="216"/>
      <c r="G199" s="642"/>
      <c r="H199" s="92"/>
      <c r="I199" s="92"/>
    </row>
    <row r="200" ht="16.5" customHeight="1">
      <c r="A200" s="92"/>
      <c r="B200" s="92"/>
      <c r="C200" s="92"/>
      <c r="D200" s="92"/>
      <c r="E200" s="216"/>
      <c r="F200" s="216"/>
      <c r="G200" s="642"/>
      <c r="H200" s="92"/>
      <c r="I200" s="92"/>
    </row>
    <row r="201" ht="16.5" customHeight="1">
      <c r="A201" s="92"/>
      <c r="B201" s="92"/>
      <c r="C201" s="92"/>
      <c r="D201" s="92"/>
      <c r="E201" s="216"/>
      <c r="F201" s="216"/>
      <c r="G201" s="642"/>
      <c r="H201" s="92"/>
      <c r="I201" s="92"/>
    </row>
    <row r="202" ht="16.5" customHeight="1">
      <c r="A202" s="92"/>
      <c r="B202" s="92"/>
      <c r="C202" s="92"/>
      <c r="D202" s="92"/>
      <c r="E202" s="216"/>
      <c r="F202" s="216"/>
      <c r="G202" s="642"/>
      <c r="H202" s="92"/>
      <c r="I202" s="92"/>
    </row>
    <row r="203" ht="16.5" customHeight="1">
      <c r="A203" s="92"/>
      <c r="B203" s="92"/>
      <c r="C203" s="92"/>
      <c r="D203" s="92"/>
      <c r="E203" s="216"/>
      <c r="F203" s="216"/>
      <c r="G203" s="642"/>
      <c r="H203" s="92"/>
      <c r="I203" s="92"/>
    </row>
    <row r="204" ht="16.5" customHeight="1">
      <c r="A204" s="92"/>
      <c r="B204" s="92"/>
      <c r="C204" s="92"/>
      <c r="D204" s="92"/>
      <c r="E204" s="216"/>
      <c r="F204" s="216"/>
      <c r="G204" s="642"/>
      <c r="H204" s="92"/>
      <c r="I204" s="92"/>
    </row>
    <row r="205" ht="16.5" customHeight="1">
      <c r="A205" s="92"/>
      <c r="B205" s="92"/>
      <c r="C205" s="92"/>
      <c r="D205" s="92"/>
      <c r="E205" s="216"/>
      <c r="F205" s="216"/>
      <c r="G205" s="642"/>
      <c r="H205" s="92"/>
      <c r="I205" s="92"/>
    </row>
    <row r="206" ht="16.5" customHeight="1">
      <c r="A206" s="92"/>
      <c r="B206" s="92"/>
      <c r="C206" s="92"/>
      <c r="D206" s="92"/>
      <c r="E206" s="216"/>
      <c r="F206" s="216"/>
      <c r="G206" s="642"/>
      <c r="H206" s="92"/>
      <c r="I206" s="92"/>
    </row>
    <row r="207" ht="16.5" customHeight="1">
      <c r="A207" s="92"/>
      <c r="B207" s="92"/>
      <c r="C207" s="92"/>
      <c r="D207" s="92"/>
      <c r="E207" s="216"/>
      <c r="F207" s="216"/>
      <c r="G207" s="642"/>
      <c r="H207" s="92"/>
      <c r="I207" s="92"/>
    </row>
    <row r="208" ht="16.5" customHeight="1">
      <c r="A208" s="92"/>
      <c r="B208" s="92"/>
      <c r="C208" s="92"/>
      <c r="D208" s="92"/>
      <c r="E208" s="216"/>
      <c r="F208" s="216"/>
      <c r="G208" s="642"/>
      <c r="H208" s="92"/>
      <c r="I208" s="92"/>
    </row>
    <row r="209" ht="16.5" customHeight="1">
      <c r="A209" s="92"/>
      <c r="B209" s="92"/>
      <c r="C209" s="92"/>
      <c r="D209" s="92"/>
      <c r="E209" s="216"/>
      <c r="F209" s="216"/>
      <c r="G209" s="642"/>
      <c r="H209" s="92"/>
      <c r="I209" s="92"/>
    </row>
    <row r="210" ht="16.5" customHeight="1">
      <c r="A210" s="92"/>
      <c r="B210" s="92"/>
      <c r="C210" s="92"/>
      <c r="D210" s="92"/>
      <c r="E210" s="216"/>
      <c r="F210" s="216"/>
      <c r="G210" s="642"/>
      <c r="H210" s="92"/>
      <c r="I210" s="92"/>
    </row>
    <row r="211" ht="16.5" customHeight="1">
      <c r="A211" s="92"/>
      <c r="B211" s="92"/>
      <c r="C211" s="92"/>
      <c r="D211" s="92"/>
      <c r="E211" s="216"/>
      <c r="F211" s="216"/>
      <c r="G211" s="642"/>
      <c r="H211" s="92"/>
      <c r="I211" s="92"/>
    </row>
    <row r="212" ht="16.5" customHeight="1">
      <c r="A212" s="92"/>
      <c r="B212" s="92"/>
      <c r="C212" s="92"/>
      <c r="D212" s="92"/>
      <c r="E212" s="216"/>
      <c r="F212" s="216"/>
      <c r="G212" s="642"/>
      <c r="H212" s="92"/>
      <c r="I212" s="92"/>
    </row>
    <row r="213" ht="16.5" customHeight="1">
      <c r="A213" s="92"/>
      <c r="B213" s="92"/>
      <c r="C213" s="92"/>
      <c r="D213" s="92"/>
      <c r="E213" s="216"/>
      <c r="F213" s="216"/>
      <c r="G213" s="642"/>
      <c r="H213" s="92"/>
      <c r="I213" s="92"/>
    </row>
    <row r="214" ht="16.5" customHeight="1">
      <c r="A214" s="92"/>
      <c r="B214" s="92"/>
      <c r="C214" s="92"/>
      <c r="D214" s="92"/>
      <c r="E214" s="216"/>
      <c r="F214" s="216"/>
      <c r="G214" s="642"/>
      <c r="H214" s="92"/>
      <c r="I214" s="92"/>
    </row>
    <row r="215" ht="16.5" customHeight="1">
      <c r="A215" s="92"/>
      <c r="B215" s="92"/>
      <c r="C215" s="92"/>
      <c r="D215" s="92"/>
      <c r="E215" s="216"/>
      <c r="F215" s="216"/>
      <c r="G215" s="642"/>
      <c r="H215" s="92"/>
      <c r="I215" s="92"/>
    </row>
    <row r="216" ht="16.5" customHeight="1">
      <c r="A216" s="92"/>
      <c r="B216" s="92"/>
      <c r="C216" s="92"/>
      <c r="D216" s="92"/>
      <c r="E216" s="216"/>
      <c r="F216" s="216"/>
      <c r="G216" s="642"/>
      <c r="H216" s="92"/>
      <c r="I216" s="92"/>
    </row>
    <row r="217" ht="16.5" customHeight="1">
      <c r="A217" s="92"/>
      <c r="B217" s="92"/>
      <c r="C217" s="92"/>
      <c r="D217" s="92"/>
      <c r="E217" s="216"/>
      <c r="F217" s="216"/>
      <c r="G217" s="642"/>
      <c r="H217" s="92"/>
      <c r="I217" s="92"/>
    </row>
    <row r="218" ht="16.5" customHeight="1">
      <c r="A218" s="92"/>
      <c r="B218" s="92"/>
      <c r="C218" s="92"/>
      <c r="D218" s="92"/>
      <c r="E218" s="216"/>
      <c r="F218" s="216"/>
      <c r="G218" s="642"/>
      <c r="H218" s="92"/>
      <c r="I218" s="92"/>
    </row>
    <row r="219" ht="16.5" customHeight="1">
      <c r="A219" s="92"/>
      <c r="B219" s="92"/>
      <c r="C219" s="92"/>
      <c r="D219" s="92"/>
      <c r="E219" s="216"/>
      <c r="F219" s="216"/>
      <c r="G219" s="642"/>
      <c r="H219" s="92"/>
      <c r="I219" s="92"/>
    </row>
    <row r="220" ht="16.5" customHeight="1">
      <c r="A220" s="92"/>
      <c r="B220" s="92"/>
      <c r="C220" s="92"/>
      <c r="D220" s="92"/>
      <c r="E220" s="216"/>
      <c r="F220" s="216"/>
      <c r="G220" s="642"/>
      <c r="H220" s="92"/>
      <c r="I220" s="92"/>
    </row>
    <row r="221" ht="16.5" customHeight="1">
      <c r="A221" s="92"/>
      <c r="B221" s="92"/>
      <c r="C221" s="92"/>
      <c r="D221" s="92"/>
      <c r="E221" s="216"/>
      <c r="F221" s="216"/>
      <c r="G221" s="642"/>
      <c r="H221" s="92"/>
      <c r="I221" s="92"/>
    </row>
    <row r="222" ht="16.5" customHeight="1">
      <c r="A222" s="92"/>
      <c r="B222" s="92"/>
      <c r="C222" s="92"/>
      <c r="D222" s="92"/>
      <c r="E222" s="216"/>
      <c r="F222" s="216"/>
      <c r="G222" s="642"/>
      <c r="H222" s="92"/>
      <c r="I222" s="92"/>
    </row>
    <row r="223" ht="16.5" customHeight="1">
      <c r="A223" s="92"/>
      <c r="B223" s="92"/>
      <c r="C223" s="92"/>
      <c r="D223" s="92"/>
      <c r="E223" s="216"/>
      <c r="F223" s="216"/>
      <c r="G223" s="642"/>
      <c r="H223" s="92"/>
      <c r="I223" s="92"/>
    </row>
    <row r="224" ht="16.5" customHeight="1">
      <c r="A224" s="92"/>
      <c r="B224" s="92"/>
      <c r="C224" s="92"/>
      <c r="D224" s="92"/>
      <c r="E224" s="216"/>
      <c r="F224" s="216"/>
      <c r="G224" s="642"/>
      <c r="H224" s="92"/>
      <c r="I224" s="92"/>
    </row>
    <row r="225" ht="16.5" customHeight="1">
      <c r="A225" s="92"/>
      <c r="B225" s="92"/>
      <c r="C225" s="92"/>
      <c r="D225" s="92"/>
      <c r="E225" s="216"/>
      <c r="F225" s="216"/>
      <c r="G225" s="642"/>
      <c r="H225" s="92"/>
      <c r="I225" s="92"/>
    </row>
    <row r="226" ht="16.5" customHeight="1">
      <c r="A226" s="92"/>
      <c r="B226" s="92"/>
      <c r="C226" s="92"/>
      <c r="D226" s="92"/>
      <c r="E226" s="216"/>
      <c r="F226" s="216"/>
      <c r="G226" s="642"/>
      <c r="H226" s="92"/>
      <c r="I226" s="92"/>
    </row>
    <row r="227" ht="16.5" customHeight="1">
      <c r="A227" s="92"/>
      <c r="B227" s="92"/>
      <c r="C227" s="92"/>
      <c r="D227" s="92"/>
      <c r="E227" s="216"/>
      <c r="F227" s="216"/>
      <c r="G227" s="642"/>
      <c r="H227" s="92"/>
      <c r="I227" s="92"/>
    </row>
    <row r="228" ht="16.5" customHeight="1">
      <c r="A228" s="92"/>
      <c r="B228" s="92"/>
      <c r="C228" s="92"/>
      <c r="D228" s="92"/>
      <c r="E228" s="216"/>
      <c r="F228" s="216"/>
      <c r="G228" s="642"/>
      <c r="H228" s="92"/>
      <c r="I228" s="92"/>
    </row>
    <row r="229" ht="16.5" customHeight="1">
      <c r="A229" s="92"/>
      <c r="B229" s="92"/>
      <c r="C229" s="92"/>
      <c r="D229" s="92"/>
      <c r="E229" s="216"/>
      <c r="F229" s="216"/>
      <c r="G229" s="642"/>
      <c r="H229" s="92"/>
      <c r="I229" s="92"/>
    </row>
    <row r="230" ht="16.5" customHeight="1">
      <c r="A230" s="92"/>
      <c r="B230" s="92"/>
      <c r="C230" s="92"/>
      <c r="D230" s="92"/>
      <c r="E230" s="216"/>
      <c r="F230" s="216"/>
      <c r="G230" s="642"/>
      <c r="H230" s="92"/>
      <c r="I230" s="92"/>
    </row>
    <row r="231" ht="16.5" customHeight="1">
      <c r="A231" s="92"/>
      <c r="B231" s="92"/>
      <c r="C231" s="92"/>
      <c r="D231" s="92"/>
      <c r="E231" s="216"/>
      <c r="F231" s="216"/>
      <c r="G231" s="642"/>
      <c r="H231" s="92"/>
      <c r="I231" s="92"/>
    </row>
    <row r="232" ht="16.5" customHeight="1">
      <c r="A232" s="92"/>
      <c r="B232" s="92"/>
      <c r="C232" s="92"/>
      <c r="D232" s="92"/>
      <c r="E232" s="216"/>
      <c r="F232" s="216"/>
      <c r="G232" s="642"/>
      <c r="H232" s="92"/>
      <c r="I232" s="92"/>
    </row>
    <row r="233" ht="16.5" customHeight="1">
      <c r="A233" s="92"/>
      <c r="B233" s="92"/>
      <c r="C233" s="92"/>
      <c r="D233" s="92"/>
      <c r="E233" s="216"/>
      <c r="F233" s="216"/>
      <c r="G233" s="642"/>
      <c r="H233" s="92"/>
      <c r="I233" s="92"/>
    </row>
    <row r="234" ht="16.5" customHeight="1">
      <c r="A234" s="92"/>
      <c r="B234" s="92"/>
      <c r="C234" s="92"/>
      <c r="D234" s="92"/>
      <c r="E234" s="216"/>
      <c r="F234" s="216"/>
      <c r="G234" s="642"/>
      <c r="H234" s="92"/>
      <c r="I234" s="92"/>
    </row>
    <row r="235" ht="16.5" customHeight="1">
      <c r="A235" s="92"/>
      <c r="B235" s="92"/>
      <c r="C235" s="92"/>
      <c r="D235" s="92"/>
      <c r="E235" s="216"/>
      <c r="F235" s="216"/>
      <c r="G235" s="642"/>
      <c r="H235" s="92"/>
      <c r="I235" s="92"/>
    </row>
    <row r="236" ht="16.5" customHeight="1">
      <c r="A236" s="92"/>
      <c r="B236" s="92"/>
      <c r="C236" s="92"/>
      <c r="D236" s="92"/>
      <c r="E236" s="216"/>
      <c r="F236" s="216"/>
      <c r="G236" s="642"/>
      <c r="H236" s="92"/>
      <c r="I236" s="92"/>
    </row>
    <row r="237" ht="16.5" customHeight="1">
      <c r="A237" s="92"/>
      <c r="B237" s="92"/>
      <c r="C237" s="92"/>
      <c r="D237" s="92"/>
      <c r="E237" s="216"/>
      <c r="F237" s="216"/>
      <c r="G237" s="642"/>
      <c r="H237" s="92"/>
      <c r="I237" s="92"/>
    </row>
    <row r="238" ht="16.5" customHeight="1">
      <c r="A238" s="92"/>
      <c r="B238" s="92"/>
      <c r="C238" s="92"/>
      <c r="D238" s="92"/>
      <c r="E238" s="216"/>
      <c r="F238" s="216"/>
      <c r="G238" s="642"/>
      <c r="H238" s="92"/>
      <c r="I238" s="92"/>
    </row>
    <row r="239" ht="16.5" customHeight="1">
      <c r="A239" s="92"/>
      <c r="B239" s="92"/>
      <c r="C239" s="92"/>
      <c r="D239" s="92"/>
      <c r="E239" s="216"/>
      <c r="F239" s="216"/>
      <c r="G239" s="642"/>
      <c r="H239" s="92"/>
      <c r="I239" s="92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</row>
  </sheetData>
  <mergeCells count="17">
    <mergeCell ref="A1:F2"/>
    <mergeCell ref="A3:B3"/>
    <mergeCell ref="C3:C4"/>
    <mergeCell ref="D3:D4"/>
    <mergeCell ref="F3:F4"/>
    <mergeCell ref="G3:G4"/>
    <mergeCell ref="H3:H4"/>
    <mergeCell ref="F19:F22"/>
    <mergeCell ref="F30:F32"/>
    <mergeCell ref="A5:A9"/>
    <mergeCell ref="A10:A14"/>
    <mergeCell ref="A15:A18"/>
    <mergeCell ref="F15:F18"/>
    <mergeCell ref="A19:A22"/>
    <mergeCell ref="A23:A29"/>
    <mergeCell ref="A30:A32"/>
    <mergeCell ref="A33:A39"/>
  </mergeCells>
  <printOptions/>
  <pageMargins bottom="0.75" footer="0.0" header="0.0" left="0.25" right="0.25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0.86"/>
    <col customWidth="1" min="3" max="3" width="11.86"/>
    <col customWidth="1" min="4" max="4" width="12.86"/>
    <col customWidth="1" min="5" max="5" width="12.43"/>
    <col customWidth="1" min="6" max="6" width="21.14"/>
    <col customWidth="1" min="7" max="7" width="27.29"/>
    <col customWidth="1" min="8" max="8" width="10.14"/>
    <col customWidth="1" min="9" max="9" width="8.86"/>
  </cols>
  <sheetData>
    <row r="1" ht="16.5" customHeight="1">
      <c r="A1" s="1" t="s">
        <v>765</v>
      </c>
      <c r="B1" s="2"/>
      <c r="C1" s="2"/>
      <c r="D1" s="2"/>
      <c r="E1" s="2"/>
      <c r="F1" s="2"/>
      <c r="G1" s="642"/>
      <c r="H1" s="92"/>
      <c r="I1" s="92"/>
    </row>
    <row r="2" ht="18.0" customHeight="1">
      <c r="A2" s="58"/>
      <c r="B2" s="82"/>
      <c r="C2" s="82"/>
      <c r="D2" s="82"/>
      <c r="E2" s="82"/>
      <c r="F2" s="82"/>
      <c r="G2" s="642"/>
      <c r="H2" s="92"/>
      <c r="I2" s="92"/>
    </row>
    <row r="3" ht="16.5" customHeight="1">
      <c r="A3" s="320" t="s">
        <v>490</v>
      </c>
      <c r="B3" s="321"/>
      <c r="C3" s="260" t="s">
        <v>438</v>
      </c>
      <c r="D3" s="261" t="s">
        <v>562</v>
      </c>
      <c r="E3" s="410" t="s">
        <v>521</v>
      </c>
      <c r="F3" s="260" t="s">
        <v>714</v>
      </c>
      <c r="G3" s="642"/>
      <c r="H3" s="92"/>
      <c r="I3" s="92"/>
    </row>
    <row r="4" ht="16.5" customHeight="1">
      <c r="A4" s="643" t="s">
        <v>8</v>
      </c>
      <c r="B4" s="322" t="s">
        <v>9</v>
      </c>
      <c r="C4" s="11"/>
      <c r="D4" s="12"/>
      <c r="E4" s="652" t="s">
        <v>715</v>
      </c>
      <c r="F4" s="11"/>
      <c r="G4" s="642"/>
      <c r="H4" s="8"/>
      <c r="I4" s="92"/>
    </row>
    <row r="5" ht="16.5" customHeight="1">
      <c r="A5" s="189" t="s">
        <v>766</v>
      </c>
      <c r="B5" s="408" t="s">
        <v>767</v>
      </c>
      <c r="C5" s="423">
        <f t="shared" ref="C5:C27" si="1">D5*2-1000</f>
        <v>177000</v>
      </c>
      <c r="D5" s="415">
        <v>89000.0</v>
      </c>
      <c r="E5" s="653"/>
      <c r="F5" s="661"/>
      <c r="G5" s="642"/>
      <c r="H5" s="8"/>
      <c r="I5" s="92"/>
    </row>
    <row r="6" ht="16.5" customHeight="1">
      <c r="A6" s="25"/>
      <c r="B6" s="8" t="s">
        <v>257</v>
      </c>
      <c r="C6" s="423">
        <f t="shared" si="1"/>
        <v>797000</v>
      </c>
      <c r="D6" s="424">
        <v>399000.0</v>
      </c>
      <c r="E6" s="653"/>
      <c r="F6" s="26"/>
      <c r="G6" s="642"/>
      <c r="H6" s="8"/>
      <c r="I6" s="92"/>
    </row>
    <row r="7" ht="16.5" customHeight="1">
      <c r="A7" s="25"/>
      <c r="B7" s="8" t="s">
        <v>258</v>
      </c>
      <c r="C7" s="423">
        <f t="shared" si="1"/>
        <v>897000</v>
      </c>
      <c r="D7" s="424">
        <v>449000.0</v>
      </c>
      <c r="E7" s="653"/>
      <c r="F7" s="26"/>
      <c r="G7" s="642"/>
      <c r="H7" s="8"/>
      <c r="I7" s="8"/>
    </row>
    <row r="8" ht="16.5" customHeight="1">
      <c r="A8" s="11"/>
      <c r="B8" s="213" t="s">
        <v>768</v>
      </c>
      <c r="C8" s="430">
        <f t="shared" si="1"/>
        <v>1737000</v>
      </c>
      <c r="D8" s="431">
        <v>869000.0</v>
      </c>
      <c r="E8" s="648"/>
      <c r="F8" s="12"/>
      <c r="G8" s="642"/>
      <c r="H8" s="8"/>
      <c r="I8" s="8"/>
    </row>
    <row r="9" ht="15.75" customHeight="1">
      <c r="A9" s="189" t="s">
        <v>769</v>
      </c>
      <c r="B9" s="459" t="s">
        <v>770</v>
      </c>
      <c r="C9" s="423">
        <f t="shared" si="1"/>
        <v>277000</v>
      </c>
      <c r="D9" s="424">
        <v>139000.0</v>
      </c>
      <c r="E9" s="653"/>
      <c r="F9" s="661"/>
      <c r="G9" s="642"/>
      <c r="H9" s="8"/>
      <c r="I9" s="92"/>
    </row>
    <row r="10" ht="16.5" customHeight="1">
      <c r="A10" s="25"/>
      <c r="B10" s="474" t="s">
        <v>771</v>
      </c>
      <c r="C10" s="423">
        <f t="shared" si="1"/>
        <v>277000</v>
      </c>
      <c r="D10" s="424">
        <v>139000.0</v>
      </c>
      <c r="E10" s="653"/>
      <c r="F10" s="26"/>
      <c r="G10" s="642"/>
      <c r="H10" s="8"/>
      <c r="I10" s="92"/>
    </row>
    <row r="11" ht="16.5" customHeight="1">
      <c r="A11" s="25"/>
      <c r="B11" s="474" t="s">
        <v>772</v>
      </c>
      <c r="C11" s="423">
        <f t="shared" si="1"/>
        <v>657000</v>
      </c>
      <c r="D11" s="424">
        <v>329000.0</v>
      </c>
      <c r="E11" s="653"/>
      <c r="F11" s="26"/>
      <c r="G11" s="642"/>
      <c r="H11" s="8"/>
      <c r="I11" s="92"/>
    </row>
    <row r="12" ht="16.5" customHeight="1">
      <c r="A12" s="11"/>
      <c r="B12" s="195" t="s">
        <v>773</v>
      </c>
      <c r="C12" s="430">
        <f t="shared" si="1"/>
        <v>1497000</v>
      </c>
      <c r="D12" s="431">
        <v>749000.0</v>
      </c>
      <c r="E12" s="655"/>
      <c r="F12" s="12"/>
      <c r="G12" s="642"/>
      <c r="H12" s="8"/>
      <c r="I12" s="92"/>
    </row>
    <row r="13" ht="17.25" customHeight="1">
      <c r="A13" s="189" t="s">
        <v>774</v>
      </c>
      <c r="B13" s="495" t="s">
        <v>308</v>
      </c>
      <c r="C13" s="423">
        <f t="shared" si="1"/>
        <v>1197000</v>
      </c>
      <c r="D13" s="415">
        <v>599000.0</v>
      </c>
      <c r="E13" s="653"/>
      <c r="F13" s="661"/>
      <c r="G13" s="642"/>
      <c r="H13" s="8"/>
      <c r="I13" s="92"/>
    </row>
    <row r="14" ht="16.5" customHeight="1">
      <c r="A14" s="25"/>
      <c r="B14" s="459" t="s">
        <v>775</v>
      </c>
      <c r="C14" s="423">
        <f t="shared" si="1"/>
        <v>637000</v>
      </c>
      <c r="D14" s="424">
        <v>319000.0</v>
      </c>
      <c r="E14" s="653"/>
      <c r="F14" s="26"/>
      <c r="G14" s="642"/>
      <c r="H14" s="8"/>
      <c r="I14" s="92"/>
    </row>
    <row r="15" ht="16.5" customHeight="1">
      <c r="A15" s="25"/>
      <c r="B15" s="459" t="s">
        <v>776</v>
      </c>
      <c r="C15" s="423">
        <f t="shared" si="1"/>
        <v>337000</v>
      </c>
      <c r="D15" s="424">
        <v>169000.0</v>
      </c>
      <c r="E15" s="653"/>
      <c r="F15" s="26"/>
      <c r="G15" s="642"/>
      <c r="H15" s="8"/>
      <c r="I15" s="92"/>
    </row>
    <row r="16" ht="70.5" customHeight="1">
      <c r="A16" s="11"/>
      <c r="B16" s="195" t="s">
        <v>777</v>
      </c>
      <c r="C16" s="430">
        <f t="shared" si="1"/>
        <v>517000</v>
      </c>
      <c r="D16" s="431">
        <v>259000.0</v>
      </c>
      <c r="E16" s="662"/>
      <c r="F16" s="12"/>
      <c r="G16" s="642"/>
      <c r="H16" s="8"/>
      <c r="I16" s="92"/>
    </row>
    <row r="17" ht="16.5" customHeight="1">
      <c r="A17" s="649" t="s">
        <v>778</v>
      </c>
      <c r="B17" s="474" t="s">
        <v>696</v>
      </c>
      <c r="C17" s="423">
        <f t="shared" si="1"/>
        <v>219000</v>
      </c>
      <c r="D17" s="424">
        <v>110000.0</v>
      </c>
      <c r="E17" s="663"/>
      <c r="F17" s="653"/>
      <c r="G17" s="642"/>
      <c r="H17" s="8"/>
      <c r="I17" s="92"/>
    </row>
    <row r="18" ht="16.5" customHeight="1">
      <c r="A18" s="25"/>
      <c r="B18" s="474" t="s">
        <v>779</v>
      </c>
      <c r="C18" s="423">
        <f t="shared" si="1"/>
        <v>219000</v>
      </c>
      <c r="D18" s="424">
        <v>110000.0</v>
      </c>
      <c r="E18" s="653"/>
      <c r="F18" s="653"/>
      <c r="G18" s="642"/>
      <c r="H18" s="8"/>
      <c r="I18" s="8"/>
    </row>
    <row r="19" ht="16.5" customHeight="1">
      <c r="A19" s="25"/>
      <c r="B19" s="474" t="s">
        <v>780</v>
      </c>
      <c r="C19" s="423">
        <f t="shared" si="1"/>
        <v>219000</v>
      </c>
      <c r="D19" s="424">
        <v>110000.0</v>
      </c>
      <c r="E19" s="653"/>
      <c r="F19" s="653"/>
      <c r="G19" s="642"/>
      <c r="H19" s="8"/>
      <c r="I19" s="8"/>
    </row>
    <row r="20" ht="16.5" customHeight="1">
      <c r="A20" s="11"/>
      <c r="B20" s="477" t="s">
        <v>781</v>
      </c>
      <c r="C20" s="430">
        <f t="shared" si="1"/>
        <v>219000</v>
      </c>
      <c r="D20" s="431">
        <v>110000.0</v>
      </c>
      <c r="E20" s="655"/>
      <c r="F20" s="655"/>
      <c r="G20" s="642"/>
      <c r="H20" s="8"/>
      <c r="I20" s="92"/>
    </row>
    <row r="21" ht="16.5" customHeight="1">
      <c r="A21" s="201" t="s">
        <v>703</v>
      </c>
      <c r="B21" s="518" t="s">
        <v>782</v>
      </c>
      <c r="C21" s="423">
        <f t="shared" si="1"/>
        <v>39000</v>
      </c>
      <c r="D21" s="597">
        <v>20000.0</v>
      </c>
      <c r="E21" s="653"/>
      <c r="F21" s="653"/>
      <c r="G21" s="642"/>
      <c r="H21" s="8"/>
      <c r="I21" s="92"/>
    </row>
    <row r="22" ht="16.5" customHeight="1">
      <c r="A22" s="25"/>
      <c r="B22" s="523" t="s">
        <v>783</v>
      </c>
      <c r="C22" s="423">
        <f t="shared" si="1"/>
        <v>77000</v>
      </c>
      <c r="D22" s="475">
        <v>39000.0</v>
      </c>
      <c r="E22" s="653"/>
      <c r="F22" s="653"/>
      <c r="G22" s="642"/>
      <c r="H22" s="8"/>
      <c r="I22" s="92"/>
    </row>
    <row r="23" ht="16.5" customHeight="1">
      <c r="A23" s="25"/>
      <c r="B23" s="518" t="s">
        <v>784</v>
      </c>
      <c r="C23" s="423">
        <f t="shared" si="1"/>
        <v>197000</v>
      </c>
      <c r="D23" s="597">
        <v>99000.0</v>
      </c>
      <c r="E23" s="653"/>
      <c r="F23" s="653"/>
      <c r="G23" s="642"/>
      <c r="H23" s="8"/>
      <c r="I23" s="92"/>
    </row>
    <row r="24" ht="16.5" customHeight="1">
      <c r="A24" s="25"/>
      <c r="B24" s="518" t="s">
        <v>706</v>
      </c>
      <c r="C24" s="423">
        <f t="shared" si="1"/>
        <v>337000</v>
      </c>
      <c r="D24" s="597">
        <v>169000.0</v>
      </c>
      <c r="E24" s="663"/>
      <c r="F24" s="653"/>
      <c r="G24" s="642"/>
      <c r="H24" s="8"/>
      <c r="I24" s="92"/>
    </row>
    <row r="25" ht="16.5" customHeight="1">
      <c r="A25" s="25"/>
      <c r="B25" s="523" t="s">
        <v>785</v>
      </c>
      <c r="C25" s="423">
        <f t="shared" si="1"/>
        <v>197000</v>
      </c>
      <c r="D25" s="475">
        <v>99000.0</v>
      </c>
      <c r="E25" s="653"/>
      <c r="F25" s="653"/>
      <c r="G25" s="642"/>
      <c r="H25" s="8"/>
      <c r="I25" s="92"/>
    </row>
    <row r="26" ht="16.5" customHeight="1">
      <c r="A26" s="25"/>
      <c r="B26" s="518" t="s">
        <v>786</v>
      </c>
      <c r="C26" s="423">
        <f t="shared" si="1"/>
        <v>197000</v>
      </c>
      <c r="D26" s="597">
        <v>99000.0</v>
      </c>
      <c r="E26" s="653"/>
      <c r="F26" s="653"/>
      <c r="G26" s="642"/>
      <c r="H26" s="8"/>
      <c r="I26" s="92"/>
    </row>
    <row r="27" ht="16.5" customHeight="1">
      <c r="A27" s="11"/>
      <c r="B27" s="519" t="s">
        <v>787</v>
      </c>
      <c r="C27" s="430">
        <f t="shared" si="1"/>
        <v>559000</v>
      </c>
      <c r="D27" s="637">
        <v>280000.0</v>
      </c>
      <c r="E27" s="655"/>
      <c r="F27" s="655"/>
      <c r="G27" s="642"/>
      <c r="H27" s="8"/>
      <c r="I27" s="92"/>
    </row>
    <row r="28" ht="16.5" customHeight="1">
      <c r="A28" s="92"/>
      <c r="B28" s="92"/>
      <c r="C28" s="92"/>
      <c r="D28" s="408"/>
      <c r="E28" s="216"/>
      <c r="F28" s="421"/>
      <c r="G28" s="642"/>
      <c r="H28" s="92"/>
      <c r="I28" s="92"/>
    </row>
    <row r="29" ht="16.5" customHeight="1">
      <c r="A29" s="8"/>
      <c r="B29" s="8"/>
      <c r="C29" s="425"/>
      <c r="D29" s="425"/>
      <c r="E29" s="216"/>
      <c r="F29" s="216"/>
      <c r="G29" s="642"/>
      <c r="H29" s="92"/>
      <c r="I29" s="92"/>
    </row>
    <row r="30" ht="16.5" customHeight="1">
      <c r="A30" s="8"/>
      <c r="B30" s="8"/>
      <c r="C30" s="425"/>
      <c r="D30" s="425"/>
      <c r="E30" s="651"/>
      <c r="F30" s="216"/>
      <c r="G30" s="642"/>
      <c r="H30" s="92"/>
      <c r="I30" s="92"/>
    </row>
    <row r="31" ht="16.5" customHeight="1">
      <c r="A31" s="8"/>
      <c r="B31" s="8"/>
      <c r="C31" s="8"/>
      <c r="D31" s="626"/>
      <c r="E31" s="216"/>
      <c r="F31" s="216"/>
      <c r="G31" s="642"/>
      <c r="H31" s="92"/>
      <c r="I31" s="92"/>
    </row>
    <row r="32" ht="16.5" customHeight="1">
      <c r="A32" s="8"/>
      <c r="B32" s="8"/>
      <c r="C32" s="8"/>
      <c r="D32" s="626"/>
      <c r="E32" s="641"/>
      <c r="F32" s="216"/>
      <c r="G32" s="642"/>
      <c r="H32" s="92"/>
      <c r="I32" s="92"/>
    </row>
    <row r="33" ht="16.5" customHeight="1">
      <c r="A33" s="8"/>
      <c r="B33" s="8"/>
      <c r="C33" s="8"/>
      <c r="D33" s="626"/>
      <c r="E33" s="641"/>
      <c r="F33" s="216"/>
      <c r="G33" s="642"/>
      <c r="H33" s="92"/>
      <c r="I33" s="92"/>
    </row>
    <row r="34" ht="16.5" customHeight="1">
      <c r="A34" s="92"/>
      <c r="B34" s="92"/>
      <c r="C34" s="92"/>
      <c r="D34" s="92"/>
      <c r="E34" s="216"/>
      <c r="F34" s="216"/>
      <c r="G34" s="642"/>
      <c r="H34" s="92"/>
      <c r="I34" s="92"/>
    </row>
    <row r="35" ht="16.5" customHeight="1">
      <c r="A35" s="92"/>
      <c r="B35" s="92"/>
      <c r="C35" s="92"/>
      <c r="D35" s="92"/>
      <c r="E35" s="641"/>
      <c r="F35" s="216"/>
      <c r="G35" s="642"/>
      <c r="H35" s="92"/>
      <c r="I35" s="92"/>
    </row>
    <row r="36" ht="16.5" customHeight="1">
      <c r="A36" s="92"/>
      <c r="B36" s="92"/>
      <c r="C36" s="92"/>
      <c r="D36" s="92"/>
      <c r="E36" s="641"/>
      <c r="F36" s="216"/>
      <c r="G36" s="642"/>
      <c r="H36" s="92"/>
      <c r="I36" s="92"/>
    </row>
    <row r="37" ht="16.5" customHeight="1">
      <c r="A37" s="92"/>
      <c r="B37" s="92"/>
      <c r="C37" s="92"/>
      <c r="D37" s="92"/>
      <c r="E37" s="641"/>
      <c r="F37" s="216"/>
      <c r="G37" s="642"/>
      <c r="H37" s="92"/>
      <c r="I37" s="92"/>
    </row>
    <row r="38" ht="16.5" customHeight="1">
      <c r="A38" s="92"/>
      <c r="B38" s="92"/>
      <c r="C38" s="92"/>
      <c r="D38" s="92"/>
      <c r="E38" s="216"/>
      <c r="F38" s="216"/>
      <c r="G38" s="642"/>
      <c r="H38" s="92"/>
      <c r="I38" s="92"/>
    </row>
    <row r="39" ht="16.5" customHeight="1">
      <c r="A39" s="92"/>
      <c r="B39" s="92"/>
      <c r="C39" s="92"/>
      <c r="D39" s="92"/>
      <c r="E39" s="216"/>
      <c r="F39" s="216"/>
      <c r="G39" s="642"/>
      <c r="H39" s="92"/>
      <c r="I39" s="92"/>
    </row>
    <row r="40" ht="16.5" customHeight="1">
      <c r="A40" s="92"/>
      <c r="B40" s="92"/>
      <c r="C40" s="92"/>
      <c r="D40" s="92"/>
      <c r="E40" s="216"/>
      <c r="F40" s="216"/>
      <c r="G40" s="642"/>
      <c r="H40" s="92"/>
      <c r="I40" s="92"/>
    </row>
    <row r="41" ht="16.5" customHeight="1">
      <c r="A41" s="92"/>
      <c r="B41" s="92"/>
      <c r="C41" s="92"/>
      <c r="D41" s="92"/>
      <c r="E41" s="216"/>
      <c r="F41" s="216"/>
      <c r="G41" s="642"/>
      <c r="H41" s="92"/>
      <c r="I41" s="92"/>
    </row>
    <row r="42" ht="16.5" customHeight="1">
      <c r="A42" s="92"/>
      <c r="B42" s="92"/>
      <c r="C42" s="92"/>
      <c r="D42" s="92"/>
      <c r="E42" s="216"/>
      <c r="F42" s="216"/>
      <c r="G42" s="642"/>
      <c r="H42" s="92"/>
      <c r="I42" s="92"/>
    </row>
    <row r="43" ht="16.5" customHeight="1">
      <c r="A43" s="92"/>
      <c r="B43" s="92"/>
      <c r="C43" s="92"/>
      <c r="D43" s="92"/>
      <c r="E43" s="216"/>
      <c r="F43" s="216"/>
      <c r="G43" s="642"/>
      <c r="H43" s="92"/>
      <c r="I43" s="92"/>
    </row>
    <row r="44" ht="16.5" customHeight="1">
      <c r="A44" s="92"/>
      <c r="B44" s="92"/>
      <c r="C44" s="92"/>
      <c r="D44" s="92"/>
      <c r="E44" s="216"/>
      <c r="F44" s="216"/>
      <c r="G44" s="642"/>
      <c r="H44" s="92"/>
      <c r="I44" s="92"/>
    </row>
    <row r="45" ht="16.5" customHeight="1">
      <c r="A45" s="92"/>
      <c r="B45" s="92"/>
      <c r="C45" s="92"/>
      <c r="D45" s="92"/>
      <c r="E45" s="216"/>
      <c r="F45" s="216"/>
      <c r="G45" s="642"/>
      <c r="H45" s="92"/>
      <c r="I45" s="92"/>
    </row>
    <row r="46" ht="16.5" customHeight="1">
      <c r="A46" s="92"/>
      <c r="B46" s="92"/>
      <c r="C46" s="92"/>
      <c r="D46" s="92"/>
      <c r="E46" s="216"/>
      <c r="F46" s="216"/>
      <c r="G46" s="642"/>
      <c r="H46" s="92"/>
      <c r="I46" s="92"/>
    </row>
    <row r="47" ht="16.5" customHeight="1">
      <c r="A47" s="92"/>
      <c r="B47" s="92"/>
      <c r="C47" s="92"/>
      <c r="D47" s="92"/>
      <c r="E47" s="216"/>
      <c r="F47" s="216"/>
      <c r="G47" s="642"/>
      <c r="H47" s="92"/>
      <c r="I47" s="92"/>
    </row>
    <row r="48" ht="16.5" customHeight="1">
      <c r="A48" s="92"/>
      <c r="B48" s="92"/>
      <c r="C48" s="92"/>
      <c r="D48" s="92"/>
      <c r="E48" s="216"/>
      <c r="F48" s="216"/>
      <c r="G48" s="642"/>
      <c r="H48" s="92"/>
      <c r="I48" s="92"/>
    </row>
    <row r="49" ht="16.5" customHeight="1">
      <c r="A49" s="92"/>
      <c r="B49" s="92"/>
      <c r="C49" s="92"/>
      <c r="D49" s="92"/>
      <c r="E49" s="216"/>
      <c r="F49" s="216"/>
      <c r="G49" s="642"/>
      <c r="H49" s="92"/>
      <c r="I49" s="92"/>
    </row>
    <row r="50" ht="16.5" customHeight="1">
      <c r="A50" s="92"/>
      <c r="B50" s="92"/>
      <c r="C50" s="92"/>
      <c r="D50" s="92"/>
      <c r="E50" s="216"/>
      <c r="F50" s="216"/>
      <c r="G50" s="642"/>
      <c r="H50" s="92"/>
      <c r="I50" s="92"/>
    </row>
    <row r="51" ht="16.5" customHeight="1">
      <c r="A51" s="92"/>
      <c r="B51" s="92"/>
      <c r="C51" s="92"/>
      <c r="D51" s="92"/>
      <c r="E51" s="216"/>
      <c r="F51" s="216"/>
      <c r="G51" s="642"/>
      <c r="H51" s="92"/>
      <c r="I51" s="92"/>
    </row>
    <row r="52" ht="16.5" customHeight="1">
      <c r="A52" s="92"/>
      <c r="B52" s="92"/>
      <c r="C52" s="92"/>
      <c r="D52" s="92"/>
      <c r="E52" s="216"/>
      <c r="F52" s="216"/>
      <c r="G52" s="642"/>
      <c r="H52" s="92"/>
      <c r="I52" s="92"/>
    </row>
    <row r="53" ht="16.5" customHeight="1">
      <c r="A53" s="92"/>
      <c r="B53" s="92"/>
      <c r="C53" s="92"/>
      <c r="D53" s="92"/>
      <c r="E53" s="216"/>
      <c r="F53" s="216"/>
      <c r="G53" s="642"/>
      <c r="H53" s="92"/>
      <c r="I53" s="92"/>
    </row>
    <row r="54" ht="16.5" customHeight="1">
      <c r="A54" s="92"/>
      <c r="B54" s="92"/>
      <c r="C54" s="92"/>
      <c r="D54" s="92"/>
      <c r="E54" s="216"/>
      <c r="F54" s="216"/>
      <c r="G54" s="642"/>
      <c r="H54" s="92"/>
      <c r="I54" s="92"/>
    </row>
    <row r="55" ht="16.5" customHeight="1">
      <c r="A55" s="92"/>
      <c r="B55" s="92"/>
      <c r="C55" s="92"/>
      <c r="D55" s="92"/>
      <c r="E55" s="216"/>
      <c r="F55" s="216"/>
      <c r="G55" s="642"/>
      <c r="H55" s="92"/>
      <c r="I55" s="92"/>
    </row>
    <row r="56" ht="16.5" customHeight="1">
      <c r="A56" s="92"/>
      <c r="B56" s="92"/>
      <c r="C56" s="92"/>
      <c r="D56" s="92"/>
      <c r="E56" s="216"/>
      <c r="F56" s="216"/>
      <c r="G56" s="642"/>
      <c r="H56" s="92"/>
      <c r="I56" s="92"/>
    </row>
    <row r="57" ht="16.5" customHeight="1">
      <c r="A57" s="92"/>
      <c r="B57" s="92"/>
      <c r="C57" s="92"/>
      <c r="D57" s="92"/>
      <c r="E57" s="216"/>
      <c r="F57" s="216"/>
      <c r="G57" s="642"/>
      <c r="H57" s="92"/>
      <c r="I57" s="92"/>
    </row>
    <row r="58" ht="16.5" customHeight="1">
      <c r="A58" s="92"/>
      <c r="B58" s="92"/>
      <c r="C58" s="92"/>
      <c r="D58" s="92"/>
      <c r="E58" s="216"/>
      <c r="F58" s="216"/>
      <c r="G58" s="642"/>
      <c r="H58" s="92"/>
      <c r="I58" s="92"/>
    </row>
    <row r="59" ht="16.5" customHeight="1">
      <c r="A59" s="92"/>
      <c r="B59" s="92"/>
      <c r="C59" s="92"/>
      <c r="D59" s="92"/>
      <c r="E59" s="216"/>
      <c r="F59" s="216"/>
      <c r="G59" s="642"/>
      <c r="H59" s="92"/>
      <c r="I59" s="92"/>
    </row>
    <row r="60" ht="16.5" customHeight="1">
      <c r="A60" s="92"/>
      <c r="B60" s="92"/>
      <c r="C60" s="92"/>
      <c r="D60" s="92"/>
      <c r="E60" s="216"/>
      <c r="F60" s="216"/>
      <c r="G60" s="642"/>
      <c r="H60" s="92"/>
      <c r="I60" s="92"/>
    </row>
    <row r="61" ht="16.5" customHeight="1">
      <c r="A61" s="92"/>
      <c r="B61" s="92"/>
      <c r="C61" s="92"/>
      <c r="D61" s="92"/>
      <c r="E61" s="216"/>
      <c r="F61" s="216"/>
      <c r="G61" s="642"/>
      <c r="H61" s="92"/>
      <c r="I61" s="92"/>
    </row>
    <row r="62" ht="16.5" customHeight="1">
      <c r="A62" s="92"/>
      <c r="B62" s="92"/>
      <c r="C62" s="92"/>
      <c r="D62" s="92"/>
      <c r="E62" s="216"/>
      <c r="F62" s="216"/>
      <c r="G62" s="642"/>
      <c r="H62" s="92"/>
      <c r="I62" s="92"/>
    </row>
    <row r="63" ht="16.5" customHeight="1">
      <c r="A63" s="92"/>
      <c r="B63" s="92"/>
      <c r="C63" s="92"/>
      <c r="D63" s="92"/>
      <c r="E63" s="216"/>
      <c r="F63" s="216"/>
      <c r="G63" s="642"/>
      <c r="H63" s="92"/>
      <c r="I63" s="92"/>
    </row>
    <row r="64" ht="16.5" customHeight="1">
      <c r="A64" s="92"/>
      <c r="B64" s="92"/>
      <c r="C64" s="92"/>
      <c r="D64" s="92"/>
      <c r="E64" s="216"/>
      <c r="F64" s="216"/>
      <c r="G64" s="642"/>
      <c r="H64" s="92"/>
      <c r="I64" s="92"/>
    </row>
    <row r="65" ht="16.5" customHeight="1">
      <c r="A65" s="92"/>
      <c r="B65" s="92"/>
      <c r="C65" s="92"/>
      <c r="D65" s="92"/>
      <c r="E65" s="216"/>
      <c r="F65" s="216"/>
      <c r="G65" s="642"/>
      <c r="H65" s="92"/>
      <c r="I65" s="92"/>
    </row>
    <row r="66" ht="16.5" customHeight="1">
      <c r="A66" s="92"/>
      <c r="B66" s="92"/>
      <c r="C66" s="92"/>
      <c r="D66" s="92"/>
      <c r="E66" s="216"/>
      <c r="F66" s="216"/>
      <c r="G66" s="642"/>
      <c r="H66" s="92"/>
      <c r="I66" s="92"/>
    </row>
    <row r="67" ht="16.5" customHeight="1">
      <c r="A67" s="92"/>
      <c r="B67" s="92"/>
      <c r="C67" s="92"/>
      <c r="D67" s="92"/>
      <c r="E67" s="216"/>
      <c r="F67" s="216"/>
      <c r="G67" s="642"/>
      <c r="H67" s="92"/>
      <c r="I67" s="92"/>
    </row>
    <row r="68" ht="16.5" customHeight="1">
      <c r="A68" s="92"/>
      <c r="B68" s="92"/>
      <c r="C68" s="92"/>
      <c r="D68" s="92"/>
      <c r="E68" s="216"/>
      <c r="F68" s="216"/>
      <c r="G68" s="642"/>
      <c r="H68" s="92"/>
      <c r="I68" s="92"/>
    </row>
    <row r="69" ht="16.5" customHeight="1">
      <c r="A69" s="92"/>
      <c r="B69" s="92"/>
      <c r="C69" s="92"/>
      <c r="D69" s="92"/>
      <c r="E69" s="216"/>
      <c r="F69" s="216"/>
      <c r="G69" s="642"/>
      <c r="H69" s="92"/>
      <c r="I69" s="92"/>
    </row>
    <row r="70" ht="16.5" customHeight="1">
      <c r="A70" s="92"/>
      <c r="B70" s="92"/>
      <c r="C70" s="92"/>
      <c r="D70" s="92"/>
      <c r="E70" s="216"/>
      <c r="F70" s="216"/>
      <c r="G70" s="642"/>
      <c r="H70" s="92"/>
      <c r="I70" s="92"/>
    </row>
    <row r="71" ht="16.5" customHeight="1">
      <c r="A71" s="92"/>
      <c r="B71" s="92"/>
      <c r="C71" s="92"/>
      <c r="D71" s="92"/>
      <c r="E71" s="216"/>
      <c r="F71" s="216"/>
      <c r="G71" s="642"/>
      <c r="H71" s="92"/>
      <c r="I71" s="92"/>
    </row>
    <row r="72" ht="16.5" customHeight="1">
      <c r="A72" s="92"/>
      <c r="B72" s="92"/>
      <c r="C72" s="92"/>
      <c r="D72" s="92"/>
      <c r="E72" s="216"/>
      <c r="F72" s="216"/>
      <c r="G72" s="642"/>
      <c r="H72" s="92"/>
      <c r="I72" s="92"/>
    </row>
    <row r="73" ht="16.5" customHeight="1">
      <c r="A73" s="92"/>
      <c r="B73" s="92"/>
      <c r="C73" s="92"/>
      <c r="D73" s="92"/>
      <c r="E73" s="216"/>
      <c r="F73" s="216"/>
      <c r="G73" s="642"/>
      <c r="H73" s="92"/>
      <c r="I73" s="92"/>
    </row>
    <row r="74" ht="16.5" customHeight="1">
      <c r="A74" s="92"/>
      <c r="B74" s="92"/>
      <c r="C74" s="92"/>
      <c r="D74" s="92"/>
      <c r="E74" s="216"/>
      <c r="F74" s="216"/>
      <c r="G74" s="642"/>
      <c r="H74" s="92"/>
      <c r="I74" s="92"/>
    </row>
    <row r="75" ht="16.5" customHeight="1">
      <c r="A75" s="92"/>
      <c r="B75" s="92"/>
      <c r="C75" s="92"/>
      <c r="D75" s="92"/>
      <c r="E75" s="216"/>
      <c r="F75" s="216"/>
      <c r="G75" s="642"/>
      <c r="H75" s="92"/>
      <c r="I75" s="92"/>
    </row>
    <row r="76" ht="16.5" customHeight="1">
      <c r="A76" s="92"/>
      <c r="B76" s="92"/>
      <c r="C76" s="92"/>
      <c r="D76" s="92"/>
      <c r="E76" s="216"/>
      <c r="F76" s="216"/>
      <c r="G76" s="642"/>
      <c r="H76" s="92"/>
      <c r="I76" s="92"/>
    </row>
    <row r="77" ht="16.5" customHeight="1">
      <c r="A77" s="92"/>
      <c r="B77" s="92"/>
      <c r="C77" s="92"/>
      <c r="D77" s="92"/>
      <c r="E77" s="216"/>
      <c r="F77" s="216"/>
      <c r="G77" s="642"/>
      <c r="H77" s="92"/>
      <c r="I77" s="92"/>
    </row>
    <row r="78" ht="16.5" customHeight="1">
      <c r="A78" s="92"/>
      <c r="B78" s="92"/>
      <c r="C78" s="92"/>
      <c r="D78" s="92"/>
      <c r="E78" s="216"/>
      <c r="F78" s="216"/>
      <c r="G78" s="642"/>
      <c r="H78" s="92"/>
      <c r="I78" s="92"/>
    </row>
    <row r="79" ht="16.5" customHeight="1">
      <c r="A79" s="92"/>
      <c r="B79" s="92"/>
      <c r="C79" s="92"/>
      <c r="D79" s="92"/>
      <c r="E79" s="216"/>
      <c r="F79" s="216"/>
      <c r="G79" s="642"/>
      <c r="H79" s="92"/>
      <c r="I79" s="92"/>
    </row>
    <row r="80" ht="16.5" customHeight="1">
      <c r="A80" s="92"/>
      <c r="B80" s="92"/>
      <c r="C80" s="92"/>
      <c r="D80" s="92"/>
      <c r="E80" s="216"/>
      <c r="F80" s="216"/>
      <c r="G80" s="642"/>
      <c r="H80" s="92"/>
      <c r="I80" s="92"/>
    </row>
    <row r="81" ht="16.5" customHeight="1">
      <c r="A81" s="92"/>
      <c r="B81" s="92"/>
      <c r="C81" s="92"/>
      <c r="D81" s="92"/>
      <c r="E81" s="216"/>
      <c r="F81" s="216"/>
      <c r="G81" s="642"/>
      <c r="H81" s="92"/>
      <c r="I81" s="92"/>
    </row>
    <row r="82" ht="16.5" customHeight="1">
      <c r="A82" s="92"/>
      <c r="B82" s="92"/>
      <c r="C82" s="92"/>
      <c r="D82" s="92"/>
      <c r="E82" s="216"/>
      <c r="F82" s="216"/>
      <c r="G82" s="642"/>
      <c r="H82" s="92"/>
      <c r="I82" s="92"/>
    </row>
    <row r="83" ht="16.5" customHeight="1">
      <c r="A83" s="92"/>
      <c r="B83" s="92"/>
      <c r="C83" s="92"/>
      <c r="D83" s="92"/>
      <c r="E83" s="216"/>
      <c r="F83" s="216"/>
      <c r="G83" s="642"/>
      <c r="H83" s="92"/>
      <c r="I83" s="92"/>
    </row>
    <row r="84" ht="16.5" customHeight="1">
      <c r="A84" s="92"/>
      <c r="B84" s="92"/>
      <c r="C84" s="92"/>
      <c r="D84" s="92"/>
      <c r="E84" s="216"/>
      <c r="F84" s="216"/>
      <c r="G84" s="642"/>
      <c r="H84" s="92"/>
      <c r="I84" s="92"/>
    </row>
    <row r="85" ht="16.5" customHeight="1">
      <c r="A85" s="92"/>
      <c r="B85" s="92"/>
      <c r="C85" s="92"/>
      <c r="D85" s="92"/>
      <c r="E85" s="216"/>
      <c r="F85" s="216"/>
      <c r="G85" s="642"/>
      <c r="H85" s="92"/>
      <c r="I85" s="92"/>
    </row>
    <row r="86" ht="16.5" customHeight="1">
      <c r="A86" s="92"/>
      <c r="B86" s="92"/>
      <c r="C86" s="92"/>
      <c r="D86" s="92"/>
      <c r="E86" s="216"/>
      <c r="F86" s="216"/>
      <c r="G86" s="642"/>
      <c r="H86" s="92"/>
      <c r="I86" s="92"/>
    </row>
    <row r="87" ht="16.5" customHeight="1">
      <c r="A87" s="92"/>
      <c r="B87" s="92"/>
      <c r="C87" s="92"/>
      <c r="D87" s="92"/>
      <c r="E87" s="216"/>
      <c r="F87" s="216"/>
      <c r="G87" s="642"/>
      <c r="H87" s="92"/>
      <c r="I87" s="92"/>
    </row>
    <row r="88" ht="16.5" customHeight="1">
      <c r="A88" s="92"/>
      <c r="B88" s="92"/>
      <c r="C88" s="92"/>
      <c r="D88" s="92"/>
      <c r="E88" s="216"/>
      <c r="F88" s="216"/>
      <c r="G88" s="642"/>
      <c r="H88" s="92"/>
      <c r="I88" s="92"/>
    </row>
    <row r="89" ht="16.5" customHeight="1">
      <c r="A89" s="92"/>
      <c r="B89" s="92"/>
      <c r="C89" s="92"/>
      <c r="D89" s="92"/>
      <c r="E89" s="216"/>
      <c r="F89" s="216"/>
      <c r="G89" s="642"/>
      <c r="H89" s="92"/>
      <c r="I89" s="92"/>
    </row>
    <row r="90" ht="16.5" customHeight="1">
      <c r="A90" s="92"/>
      <c r="B90" s="92"/>
      <c r="C90" s="92"/>
      <c r="D90" s="92"/>
      <c r="E90" s="216"/>
      <c r="F90" s="216"/>
      <c r="G90" s="642"/>
      <c r="H90" s="92"/>
      <c r="I90" s="92"/>
    </row>
    <row r="91" ht="16.5" customHeight="1">
      <c r="A91" s="92"/>
      <c r="B91" s="92"/>
      <c r="C91" s="92"/>
      <c r="D91" s="92"/>
      <c r="E91" s="216"/>
      <c r="F91" s="216"/>
      <c r="G91" s="642"/>
      <c r="H91" s="92"/>
      <c r="I91" s="92"/>
    </row>
    <row r="92" ht="16.5" customHeight="1">
      <c r="A92" s="92"/>
      <c r="B92" s="92"/>
      <c r="C92" s="92"/>
      <c r="D92" s="92"/>
      <c r="E92" s="216"/>
      <c r="F92" s="216"/>
      <c r="G92" s="642"/>
      <c r="H92" s="92"/>
      <c r="I92" s="92"/>
    </row>
    <row r="93" ht="16.5" customHeight="1">
      <c r="A93" s="92"/>
      <c r="B93" s="92"/>
      <c r="C93" s="92"/>
      <c r="D93" s="92"/>
      <c r="E93" s="216"/>
      <c r="F93" s="216"/>
      <c r="G93" s="642"/>
      <c r="H93" s="92"/>
      <c r="I93" s="92"/>
    </row>
    <row r="94" ht="16.5" customHeight="1">
      <c r="A94" s="92"/>
      <c r="B94" s="92"/>
      <c r="C94" s="92"/>
      <c r="D94" s="92"/>
      <c r="E94" s="216"/>
      <c r="F94" s="216"/>
      <c r="G94" s="642"/>
      <c r="H94" s="92"/>
      <c r="I94" s="92"/>
    </row>
    <row r="95" ht="16.5" customHeight="1">
      <c r="A95" s="92"/>
      <c r="B95" s="92"/>
      <c r="C95" s="92"/>
      <c r="D95" s="92"/>
      <c r="E95" s="216"/>
      <c r="F95" s="216"/>
      <c r="G95" s="642"/>
      <c r="H95" s="92"/>
      <c r="I95" s="92"/>
    </row>
    <row r="96" ht="16.5" customHeight="1">
      <c r="A96" s="92"/>
      <c r="B96" s="92"/>
      <c r="C96" s="92"/>
      <c r="D96" s="92"/>
      <c r="E96" s="216"/>
      <c r="F96" s="216"/>
      <c r="G96" s="642"/>
      <c r="H96" s="92"/>
      <c r="I96" s="92"/>
    </row>
    <row r="97" ht="16.5" customHeight="1">
      <c r="A97" s="92"/>
      <c r="B97" s="92"/>
      <c r="C97" s="92"/>
      <c r="D97" s="92"/>
      <c r="E97" s="216"/>
      <c r="F97" s="216"/>
      <c r="G97" s="642"/>
      <c r="H97" s="92"/>
      <c r="I97" s="92"/>
    </row>
    <row r="98" ht="16.5" customHeight="1">
      <c r="A98" s="92"/>
      <c r="B98" s="92"/>
      <c r="C98" s="92"/>
      <c r="D98" s="92"/>
      <c r="E98" s="216"/>
      <c r="F98" s="216"/>
      <c r="G98" s="642"/>
      <c r="H98" s="92"/>
      <c r="I98" s="92"/>
    </row>
    <row r="99" ht="16.5" customHeight="1">
      <c r="A99" s="92"/>
      <c r="B99" s="92"/>
      <c r="C99" s="92"/>
      <c r="D99" s="92"/>
      <c r="E99" s="216"/>
      <c r="F99" s="216"/>
      <c r="G99" s="642"/>
      <c r="H99" s="92"/>
      <c r="I99" s="92"/>
    </row>
    <row r="100" ht="16.5" customHeight="1">
      <c r="A100" s="92"/>
      <c r="B100" s="92"/>
      <c r="C100" s="92"/>
      <c r="D100" s="92"/>
      <c r="E100" s="216"/>
      <c r="F100" s="216"/>
      <c r="G100" s="642"/>
      <c r="H100" s="92"/>
      <c r="I100" s="92"/>
    </row>
    <row r="101" ht="16.5" customHeight="1">
      <c r="A101" s="92"/>
      <c r="B101" s="92"/>
      <c r="C101" s="92"/>
      <c r="D101" s="92"/>
      <c r="E101" s="216"/>
      <c r="F101" s="216"/>
      <c r="G101" s="642"/>
      <c r="H101" s="92"/>
      <c r="I101" s="92"/>
    </row>
    <row r="102" ht="16.5" customHeight="1">
      <c r="A102" s="92"/>
      <c r="B102" s="92"/>
      <c r="C102" s="92"/>
      <c r="D102" s="92"/>
      <c r="E102" s="216"/>
      <c r="F102" s="216"/>
      <c r="G102" s="642"/>
      <c r="H102" s="92"/>
      <c r="I102" s="92"/>
    </row>
    <row r="103" ht="16.5" customHeight="1">
      <c r="A103" s="92"/>
      <c r="B103" s="92"/>
      <c r="C103" s="92"/>
      <c r="D103" s="92"/>
      <c r="E103" s="216"/>
      <c r="F103" s="216"/>
      <c r="G103" s="642"/>
      <c r="H103" s="92"/>
      <c r="I103" s="92"/>
    </row>
    <row r="104" ht="16.5" customHeight="1">
      <c r="A104" s="92"/>
      <c r="B104" s="92"/>
      <c r="C104" s="92"/>
      <c r="D104" s="92"/>
      <c r="E104" s="216"/>
      <c r="F104" s="216"/>
      <c r="G104" s="642"/>
      <c r="H104" s="92"/>
      <c r="I104" s="92"/>
    </row>
    <row r="105" ht="16.5" customHeight="1">
      <c r="A105" s="92"/>
      <c r="B105" s="92"/>
      <c r="C105" s="92"/>
      <c r="D105" s="92"/>
      <c r="E105" s="216"/>
      <c r="F105" s="216"/>
      <c r="G105" s="642"/>
      <c r="H105" s="92"/>
      <c r="I105" s="92"/>
    </row>
    <row r="106" ht="16.5" customHeight="1">
      <c r="A106" s="92"/>
      <c r="B106" s="92"/>
      <c r="C106" s="92"/>
      <c r="D106" s="92"/>
      <c r="E106" s="216"/>
      <c r="F106" s="216"/>
      <c r="G106" s="642"/>
      <c r="H106" s="92"/>
      <c r="I106" s="92"/>
    </row>
    <row r="107" ht="16.5" customHeight="1">
      <c r="A107" s="92"/>
      <c r="B107" s="92"/>
      <c r="C107" s="92"/>
      <c r="D107" s="92"/>
      <c r="E107" s="216"/>
      <c r="F107" s="216"/>
      <c r="G107" s="642"/>
      <c r="H107" s="92"/>
      <c r="I107" s="92"/>
    </row>
    <row r="108" ht="16.5" customHeight="1">
      <c r="A108" s="92"/>
      <c r="B108" s="92"/>
      <c r="C108" s="92"/>
      <c r="D108" s="92"/>
      <c r="E108" s="216"/>
      <c r="F108" s="216"/>
      <c r="G108" s="642"/>
      <c r="H108" s="92"/>
      <c r="I108" s="92"/>
    </row>
    <row r="109" ht="16.5" customHeight="1">
      <c r="A109" s="92"/>
      <c r="B109" s="92"/>
      <c r="C109" s="92"/>
      <c r="D109" s="92"/>
      <c r="E109" s="216"/>
      <c r="F109" s="216"/>
      <c r="G109" s="642"/>
      <c r="H109" s="92"/>
      <c r="I109" s="92"/>
    </row>
    <row r="110" ht="16.5" customHeight="1">
      <c r="A110" s="92"/>
      <c r="B110" s="92"/>
      <c r="C110" s="92"/>
      <c r="D110" s="92"/>
      <c r="E110" s="216"/>
      <c r="F110" s="216"/>
      <c r="G110" s="642"/>
      <c r="H110" s="92"/>
      <c r="I110" s="92"/>
    </row>
    <row r="111" ht="16.5" customHeight="1">
      <c r="A111" s="92"/>
      <c r="B111" s="92"/>
      <c r="C111" s="92"/>
      <c r="D111" s="92"/>
      <c r="E111" s="216"/>
      <c r="F111" s="216"/>
      <c r="G111" s="642"/>
      <c r="H111" s="92"/>
      <c r="I111" s="92"/>
    </row>
    <row r="112" ht="16.5" customHeight="1">
      <c r="A112" s="92"/>
      <c r="B112" s="92"/>
      <c r="C112" s="92"/>
      <c r="D112" s="92"/>
      <c r="E112" s="216"/>
      <c r="F112" s="216"/>
      <c r="G112" s="642"/>
      <c r="H112" s="92"/>
      <c r="I112" s="92"/>
    </row>
    <row r="113" ht="16.5" customHeight="1">
      <c r="A113" s="92"/>
      <c r="B113" s="92"/>
      <c r="C113" s="92"/>
      <c r="D113" s="92"/>
      <c r="E113" s="216"/>
      <c r="F113" s="216"/>
      <c r="G113" s="642"/>
      <c r="H113" s="92"/>
      <c r="I113" s="92"/>
    </row>
    <row r="114" ht="16.5" customHeight="1">
      <c r="A114" s="92"/>
      <c r="B114" s="92"/>
      <c r="C114" s="92"/>
      <c r="D114" s="92"/>
      <c r="E114" s="216"/>
      <c r="F114" s="216"/>
      <c r="G114" s="642"/>
      <c r="H114" s="92"/>
      <c r="I114" s="92"/>
    </row>
    <row r="115" ht="16.5" customHeight="1">
      <c r="A115" s="92"/>
      <c r="B115" s="92"/>
      <c r="C115" s="92"/>
      <c r="D115" s="92"/>
      <c r="E115" s="216"/>
      <c r="F115" s="216"/>
      <c r="G115" s="642"/>
      <c r="H115" s="92"/>
      <c r="I115" s="92"/>
    </row>
    <row r="116" ht="16.5" customHeight="1">
      <c r="A116" s="92"/>
      <c r="B116" s="92"/>
      <c r="C116" s="92"/>
      <c r="D116" s="92"/>
      <c r="E116" s="216"/>
      <c r="F116" s="216"/>
      <c r="G116" s="642"/>
      <c r="H116" s="92"/>
      <c r="I116" s="92"/>
    </row>
    <row r="117" ht="16.5" customHeight="1">
      <c r="A117" s="92"/>
      <c r="B117" s="92"/>
      <c r="C117" s="92"/>
      <c r="D117" s="92"/>
      <c r="E117" s="216"/>
      <c r="F117" s="216"/>
      <c r="G117" s="642"/>
      <c r="H117" s="92"/>
      <c r="I117" s="92"/>
    </row>
    <row r="118" ht="16.5" customHeight="1">
      <c r="A118" s="92"/>
      <c r="B118" s="92"/>
      <c r="C118" s="92"/>
      <c r="D118" s="92"/>
      <c r="E118" s="216"/>
      <c r="F118" s="216"/>
      <c r="G118" s="642"/>
      <c r="H118" s="92"/>
      <c r="I118" s="92"/>
    </row>
    <row r="119" ht="16.5" customHeight="1">
      <c r="A119" s="92"/>
      <c r="B119" s="92"/>
      <c r="C119" s="92"/>
      <c r="D119" s="92"/>
      <c r="E119" s="216"/>
      <c r="F119" s="216"/>
      <c r="G119" s="642"/>
      <c r="H119" s="92"/>
      <c r="I119" s="92"/>
    </row>
    <row r="120" ht="16.5" customHeight="1">
      <c r="A120" s="92"/>
      <c r="B120" s="92"/>
      <c r="C120" s="92"/>
      <c r="D120" s="92"/>
      <c r="E120" s="216"/>
      <c r="F120" s="216"/>
      <c r="G120" s="642"/>
      <c r="H120" s="92"/>
      <c r="I120" s="92"/>
    </row>
    <row r="121" ht="16.5" customHeight="1">
      <c r="A121" s="92"/>
      <c r="B121" s="92"/>
      <c r="C121" s="92"/>
      <c r="D121" s="92"/>
      <c r="E121" s="216"/>
      <c r="F121" s="216"/>
      <c r="G121" s="642"/>
      <c r="H121" s="92"/>
      <c r="I121" s="92"/>
    </row>
    <row r="122" ht="16.5" customHeight="1">
      <c r="A122" s="92"/>
      <c r="B122" s="92"/>
      <c r="C122" s="92"/>
      <c r="D122" s="92"/>
      <c r="E122" s="216"/>
      <c r="F122" s="216"/>
      <c r="G122" s="642"/>
      <c r="H122" s="92"/>
      <c r="I122" s="92"/>
    </row>
    <row r="123" ht="16.5" customHeight="1">
      <c r="A123" s="92"/>
      <c r="B123" s="92"/>
      <c r="C123" s="92"/>
      <c r="D123" s="92"/>
      <c r="E123" s="216"/>
      <c r="F123" s="216"/>
      <c r="G123" s="642"/>
      <c r="H123" s="92"/>
      <c r="I123" s="92"/>
    </row>
    <row r="124" ht="16.5" customHeight="1">
      <c r="A124" s="92"/>
      <c r="B124" s="92"/>
      <c r="C124" s="92"/>
      <c r="D124" s="92"/>
      <c r="E124" s="216"/>
      <c r="F124" s="216"/>
      <c r="G124" s="642"/>
      <c r="H124" s="92"/>
      <c r="I124" s="92"/>
    </row>
    <row r="125" ht="16.5" customHeight="1">
      <c r="A125" s="92"/>
      <c r="B125" s="92"/>
      <c r="C125" s="92"/>
      <c r="D125" s="92"/>
      <c r="E125" s="216"/>
      <c r="F125" s="216"/>
      <c r="G125" s="642"/>
      <c r="H125" s="92"/>
      <c r="I125" s="92"/>
    </row>
    <row r="126" ht="16.5" customHeight="1">
      <c r="A126" s="92"/>
      <c r="B126" s="92"/>
      <c r="C126" s="92"/>
      <c r="D126" s="92"/>
      <c r="E126" s="216"/>
      <c r="F126" s="216"/>
      <c r="G126" s="642"/>
      <c r="H126" s="92"/>
      <c r="I126" s="92"/>
    </row>
    <row r="127" ht="16.5" customHeight="1">
      <c r="A127" s="92"/>
      <c r="B127" s="92"/>
      <c r="C127" s="92"/>
      <c r="D127" s="92"/>
      <c r="E127" s="216"/>
      <c r="F127" s="216"/>
      <c r="G127" s="642"/>
      <c r="H127" s="92"/>
      <c r="I127" s="92"/>
    </row>
    <row r="128" ht="16.5" customHeight="1">
      <c r="A128" s="92"/>
      <c r="B128" s="92"/>
      <c r="C128" s="92"/>
      <c r="D128" s="92"/>
      <c r="E128" s="216"/>
      <c r="F128" s="216"/>
      <c r="G128" s="642"/>
      <c r="H128" s="92"/>
      <c r="I128" s="92"/>
    </row>
    <row r="129" ht="16.5" customHeight="1">
      <c r="A129" s="92"/>
      <c r="B129" s="92"/>
      <c r="C129" s="92"/>
      <c r="D129" s="92"/>
      <c r="E129" s="216"/>
      <c r="F129" s="216"/>
      <c r="G129" s="642"/>
      <c r="H129" s="92"/>
      <c r="I129" s="92"/>
    </row>
    <row r="130" ht="16.5" customHeight="1">
      <c r="A130" s="92"/>
      <c r="B130" s="92"/>
      <c r="C130" s="92"/>
      <c r="D130" s="92"/>
      <c r="E130" s="216"/>
      <c r="F130" s="216"/>
      <c r="G130" s="642"/>
      <c r="H130" s="92"/>
      <c r="I130" s="92"/>
    </row>
    <row r="131" ht="16.5" customHeight="1">
      <c r="A131" s="92"/>
      <c r="B131" s="92"/>
      <c r="C131" s="92"/>
      <c r="D131" s="92"/>
      <c r="E131" s="216"/>
      <c r="F131" s="216"/>
      <c r="G131" s="642"/>
      <c r="H131" s="92"/>
      <c r="I131" s="92"/>
    </row>
    <row r="132" ht="16.5" customHeight="1">
      <c r="A132" s="92"/>
      <c r="B132" s="92"/>
      <c r="C132" s="92"/>
      <c r="D132" s="92"/>
      <c r="E132" s="216"/>
      <c r="F132" s="216"/>
      <c r="G132" s="642"/>
      <c r="H132" s="92"/>
      <c r="I132" s="92"/>
    </row>
    <row r="133" ht="16.5" customHeight="1">
      <c r="A133" s="92"/>
      <c r="B133" s="92"/>
      <c r="C133" s="92"/>
      <c r="D133" s="92"/>
      <c r="E133" s="216"/>
      <c r="F133" s="216"/>
      <c r="G133" s="642"/>
      <c r="H133" s="92"/>
      <c r="I133" s="92"/>
    </row>
    <row r="134" ht="16.5" customHeight="1">
      <c r="A134" s="92"/>
      <c r="B134" s="92"/>
      <c r="C134" s="92"/>
      <c r="D134" s="92"/>
      <c r="E134" s="216"/>
      <c r="F134" s="216"/>
      <c r="G134" s="642"/>
      <c r="H134" s="92"/>
      <c r="I134" s="92"/>
    </row>
    <row r="135" ht="16.5" customHeight="1">
      <c r="A135" s="92"/>
      <c r="B135" s="92"/>
      <c r="C135" s="92"/>
      <c r="D135" s="92"/>
      <c r="E135" s="216"/>
      <c r="F135" s="216"/>
      <c r="G135" s="642"/>
      <c r="H135" s="92"/>
      <c r="I135" s="92"/>
    </row>
    <row r="136" ht="16.5" customHeight="1">
      <c r="A136" s="92"/>
      <c r="B136" s="92"/>
      <c r="C136" s="92"/>
      <c r="D136" s="92"/>
      <c r="E136" s="216"/>
      <c r="F136" s="216"/>
      <c r="G136" s="642"/>
      <c r="H136" s="92"/>
      <c r="I136" s="92"/>
    </row>
    <row r="137" ht="16.5" customHeight="1">
      <c r="A137" s="92"/>
      <c r="B137" s="92"/>
      <c r="C137" s="92"/>
      <c r="D137" s="92"/>
      <c r="E137" s="216"/>
      <c r="F137" s="216"/>
      <c r="G137" s="642"/>
      <c r="H137" s="92"/>
      <c r="I137" s="92"/>
    </row>
    <row r="138" ht="16.5" customHeight="1">
      <c r="A138" s="92"/>
      <c r="B138" s="92"/>
      <c r="C138" s="92"/>
      <c r="D138" s="92"/>
      <c r="E138" s="216"/>
      <c r="F138" s="216"/>
      <c r="G138" s="642"/>
      <c r="H138" s="92"/>
      <c r="I138" s="92"/>
    </row>
    <row r="139" ht="16.5" customHeight="1">
      <c r="A139" s="92"/>
      <c r="B139" s="92"/>
      <c r="C139" s="92"/>
      <c r="D139" s="92"/>
      <c r="E139" s="216"/>
      <c r="F139" s="216"/>
      <c r="G139" s="642"/>
      <c r="H139" s="92"/>
      <c r="I139" s="92"/>
    </row>
    <row r="140" ht="16.5" customHeight="1">
      <c r="A140" s="92"/>
      <c r="B140" s="92"/>
      <c r="C140" s="92"/>
      <c r="D140" s="92"/>
      <c r="E140" s="216"/>
      <c r="F140" s="216"/>
      <c r="G140" s="642"/>
      <c r="H140" s="92"/>
      <c r="I140" s="92"/>
    </row>
    <row r="141" ht="16.5" customHeight="1">
      <c r="A141" s="92"/>
      <c r="B141" s="92"/>
      <c r="C141" s="92"/>
      <c r="D141" s="92"/>
      <c r="E141" s="216"/>
      <c r="F141" s="216"/>
      <c r="G141" s="642"/>
      <c r="H141" s="92"/>
      <c r="I141" s="92"/>
    </row>
    <row r="142" ht="16.5" customHeight="1">
      <c r="A142" s="92"/>
      <c r="B142" s="92"/>
      <c r="C142" s="92"/>
      <c r="D142" s="92"/>
      <c r="E142" s="216"/>
      <c r="F142" s="216"/>
      <c r="G142" s="642"/>
      <c r="H142" s="92"/>
      <c r="I142" s="92"/>
    </row>
    <row r="143" ht="16.5" customHeight="1">
      <c r="A143" s="92"/>
      <c r="B143" s="92"/>
      <c r="C143" s="92"/>
      <c r="D143" s="92"/>
      <c r="E143" s="216"/>
      <c r="F143" s="216"/>
      <c r="G143" s="642"/>
      <c r="H143" s="92"/>
      <c r="I143" s="92"/>
    </row>
    <row r="144" ht="16.5" customHeight="1">
      <c r="A144" s="92"/>
      <c r="B144" s="92"/>
      <c r="C144" s="92"/>
      <c r="D144" s="92"/>
      <c r="E144" s="216"/>
      <c r="F144" s="216"/>
      <c r="G144" s="642"/>
      <c r="H144" s="92"/>
      <c r="I144" s="92"/>
    </row>
    <row r="145" ht="16.5" customHeight="1">
      <c r="A145" s="92"/>
      <c r="B145" s="92"/>
      <c r="C145" s="92"/>
      <c r="D145" s="92"/>
      <c r="E145" s="216"/>
      <c r="F145" s="216"/>
      <c r="G145" s="642"/>
      <c r="H145" s="92"/>
      <c r="I145" s="92"/>
    </row>
    <row r="146" ht="16.5" customHeight="1">
      <c r="A146" s="92"/>
      <c r="B146" s="92"/>
      <c r="C146" s="92"/>
      <c r="D146" s="92"/>
      <c r="E146" s="216"/>
      <c r="F146" s="216"/>
      <c r="G146" s="642"/>
      <c r="H146" s="92"/>
      <c r="I146" s="92"/>
    </row>
    <row r="147" ht="16.5" customHeight="1">
      <c r="A147" s="92"/>
      <c r="B147" s="92"/>
      <c r="C147" s="92"/>
      <c r="D147" s="92"/>
      <c r="E147" s="216"/>
      <c r="F147" s="216"/>
      <c r="G147" s="642"/>
      <c r="H147" s="92"/>
      <c r="I147" s="92"/>
    </row>
    <row r="148" ht="16.5" customHeight="1">
      <c r="A148" s="92"/>
      <c r="B148" s="92"/>
      <c r="C148" s="92"/>
      <c r="D148" s="92"/>
      <c r="E148" s="216"/>
      <c r="F148" s="216"/>
      <c r="G148" s="642"/>
      <c r="H148" s="92"/>
      <c r="I148" s="92"/>
    </row>
    <row r="149" ht="16.5" customHeight="1">
      <c r="A149" s="92"/>
      <c r="B149" s="92"/>
      <c r="C149" s="92"/>
      <c r="D149" s="92"/>
      <c r="E149" s="216"/>
      <c r="F149" s="216"/>
      <c r="G149" s="642"/>
      <c r="H149" s="92"/>
      <c r="I149" s="92"/>
    </row>
    <row r="150" ht="16.5" customHeight="1">
      <c r="A150" s="92"/>
      <c r="B150" s="92"/>
      <c r="C150" s="92"/>
      <c r="D150" s="92"/>
      <c r="E150" s="216"/>
      <c r="F150" s="216"/>
      <c r="G150" s="642"/>
      <c r="H150" s="92"/>
      <c r="I150" s="92"/>
    </row>
    <row r="151" ht="16.5" customHeight="1">
      <c r="A151" s="92"/>
      <c r="B151" s="92"/>
      <c r="C151" s="92"/>
      <c r="D151" s="92"/>
      <c r="E151" s="216"/>
      <c r="F151" s="216"/>
      <c r="G151" s="642"/>
      <c r="H151" s="92"/>
      <c r="I151" s="92"/>
    </row>
    <row r="152" ht="16.5" customHeight="1">
      <c r="A152" s="92"/>
      <c r="B152" s="92"/>
      <c r="C152" s="92"/>
      <c r="D152" s="92"/>
      <c r="E152" s="216"/>
      <c r="F152" s="216"/>
      <c r="G152" s="642"/>
      <c r="H152" s="92"/>
      <c r="I152" s="92"/>
    </row>
    <row r="153" ht="16.5" customHeight="1">
      <c r="A153" s="92"/>
      <c r="B153" s="92"/>
      <c r="C153" s="92"/>
      <c r="D153" s="92"/>
      <c r="E153" s="216"/>
      <c r="F153" s="216"/>
      <c r="G153" s="642"/>
      <c r="H153" s="92"/>
      <c r="I153" s="92"/>
    </row>
    <row r="154" ht="16.5" customHeight="1">
      <c r="A154" s="92"/>
      <c r="B154" s="92"/>
      <c r="C154" s="92"/>
      <c r="D154" s="92"/>
      <c r="E154" s="216"/>
      <c r="F154" s="216"/>
      <c r="G154" s="642"/>
      <c r="H154" s="92"/>
      <c r="I154" s="92"/>
    </row>
    <row r="155" ht="16.5" customHeight="1">
      <c r="A155" s="92"/>
      <c r="B155" s="92"/>
      <c r="C155" s="92"/>
      <c r="D155" s="92"/>
      <c r="E155" s="216"/>
      <c r="F155" s="216"/>
      <c r="G155" s="642"/>
      <c r="H155" s="92"/>
      <c r="I155" s="92"/>
    </row>
    <row r="156" ht="16.5" customHeight="1">
      <c r="A156" s="92"/>
      <c r="B156" s="92"/>
      <c r="C156" s="92"/>
      <c r="D156" s="92"/>
      <c r="E156" s="216"/>
      <c r="F156" s="216"/>
      <c r="G156" s="642"/>
      <c r="H156" s="92"/>
      <c r="I156" s="92"/>
    </row>
    <row r="157" ht="16.5" customHeight="1">
      <c r="A157" s="92"/>
      <c r="B157" s="92"/>
      <c r="C157" s="92"/>
      <c r="D157" s="92"/>
      <c r="E157" s="216"/>
      <c r="F157" s="216"/>
      <c r="G157" s="642"/>
      <c r="H157" s="92"/>
      <c r="I157" s="92"/>
    </row>
    <row r="158" ht="16.5" customHeight="1">
      <c r="A158" s="92"/>
      <c r="B158" s="92"/>
      <c r="C158" s="92"/>
      <c r="D158" s="92"/>
      <c r="E158" s="216"/>
      <c r="F158" s="216"/>
      <c r="G158" s="642"/>
      <c r="H158" s="92"/>
      <c r="I158" s="92"/>
    </row>
    <row r="159" ht="16.5" customHeight="1">
      <c r="A159" s="92"/>
      <c r="B159" s="92"/>
      <c r="C159" s="92"/>
      <c r="D159" s="92"/>
      <c r="E159" s="216"/>
      <c r="F159" s="216"/>
      <c r="G159" s="642"/>
      <c r="H159" s="92"/>
      <c r="I159" s="92"/>
    </row>
    <row r="160" ht="16.5" customHeight="1">
      <c r="A160" s="92"/>
      <c r="B160" s="92"/>
      <c r="C160" s="92"/>
      <c r="D160" s="92"/>
      <c r="E160" s="216"/>
      <c r="F160" s="216"/>
      <c r="G160" s="642"/>
      <c r="H160" s="92"/>
      <c r="I160" s="92"/>
    </row>
    <row r="161" ht="16.5" customHeight="1">
      <c r="A161" s="92"/>
      <c r="B161" s="92"/>
      <c r="C161" s="92"/>
      <c r="D161" s="92"/>
      <c r="E161" s="216"/>
      <c r="F161" s="216"/>
      <c r="G161" s="642"/>
      <c r="H161" s="92"/>
      <c r="I161" s="92"/>
    </row>
    <row r="162" ht="16.5" customHeight="1">
      <c r="A162" s="92"/>
      <c r="B162" s="92"/>
      <c r="C162" s="92"/>
      <c r="D162" s="92"/>
      <c r="E162" s="216"/>
      <c r="F162" s="216"/>
      <c r="G162" s="642"/>
      <c r="H162" s="92"/>
      <c r="I162" s="92"/>
    </row>
    <row r="163" ht="16.5" customHeight="1">
      <c r="A163" s="92"/>
      <c r="B163" s="92"/>
      <c r="C163" s="92"/>
      <c r="D163" s="92"/>
      <c r="E163" s="216"/>
      <c r="F163" s="216"/>
      <c r="G163" s="642"/>
      <c r="H163" s="92"/>
      <c r="I163" s="92"/>
    </row>
    <row r="164" ht="16.5" customHeight="1">
      <c r="A164" s="92"/>
      <c r="B164" s="92"/>
      <c r="C164" s="92"/>
      <c r="D164" s="92"/>
      <c r="E164" s="216"/>
      <c r="F164" s="216"/>
      <c r="G164" s="642"/>
      <c r="H164" s="92"/>
      <c r="I164" s="92"/>
    </row>
    <row r="165" ht="16.5" customHeight="1">
      <c r="A165" s="92"/>
      <c r="B165" s="92"/>
      <c r="C165" s="92"/>
      <c r="D165" s="92"/>
      <c r="E165" s="216"/>
      <c r="F165" s="216"/>
      <c r="G165" s="642"/>
      <c r="H165" s="92"/>
      <c r="I165" s="92"/>
    </row>
    <row r="166" ht="16.5" customHeight="1">
      <c r="A166" s="92"/>
      <c r="B166" s="92"/>
      <c r="C166" s="92"/>
      <c r="D166" s="92"/>
      <c r="E166" s="216"/>
      <c r="F166" s="216"/>
      <c r="G166" s="642"/>
      <c r="H166" s="92"/>
      <c r="I166" s="92"/>
    </row>
    <row r="167" ht="16.5" customHeight="1">
      <c r="A167" s="92"/>
      <c r="B167" s="92"/>
      <c r="C167" s="92"/>
      <c r="D167" s="92"/>
      <c r="E167" s="216"/>
      <c r="F167" s="216"/>
      <c r="G167" s="642"/>
      <c r="H167" s="92"/>
      <c r="I167" s="92"/>
    </row>
    <row r="168" ht="16.5" customHeight="1">
      <c r="A168" s="92"/>
      <c r="B168" s="92"/>
      <c r="C168" s="92"/>
      <c r="D168" s="92"/>
      <c r="E168" s="216"/>
      <c r="F168" s="216"/>
      <c r="G168" s="642"/>
      <c r="H168" s="92"/>
      <c r="I168" s="92"/>
    </row>
    <row r="169" ht="16.5" customHeight="1">
      <c r="A169" s="92"/>
      <c r="B169" s="92"/>
      <c r="C169" s="92"/>
      <c r="D169" s="92"/>
      <c r="E169" s="216"/>
      <c r="F169" s="216"/>
      <c r="G169" s="642"/>
      <c r="H169" s="92"/>
      <c r="I169" s="92"/>
    </row>
    <row r="170" ht="16.5" customHeight="1">
      <c r="A170" s="92"/>
      <c r="B170" s="92"/>
      <c r="C170" s="92"/>
      <c r="D170" s="92"/>
      <c r="E170" s="216"/>
      <c r="F170" s="216"/>
      <c r="G170" s="642"/>
      <c r="H170" s="92"/>
      <c r="I170" s="92"/>
    </row>
    <row r="171" ht="16.5" customHeight="1">
      <c r="A171" s="92"/>
      <c r="B171" s="92"/>
      <c r="C171" s="92"/>
      <c r="D171" s="92"/>
      <c r="E171" s="216"/>
      <c r="F171" s="216"/>
      <c r="G171" s="642"/>
      <c r="H171" s="92"/>
      <c r="I171" s="92"/>
    </row>
    <row r="172" ht="16.5" customHeight="1">
      <c r="A172" s="92"/>
      <c r="B172" s="92"/>
      <c r="C172" s="92"/>
      <c r="D172" s="92"/>
      <c r="E172" s="216"/>
      <c r="F172" s="216"/>
      <c r="G172" s="642"/>
      <c r="H172" s="92"/>
      <c r="I172" s="92"/>
    </row>
    <row r="173" ht="16.5" customHeight="1">
      <c r="A173" s="92"/>
      <c r="B173" s="92"/>
      <c r="C173" s="92"/>
      <c r="D173" s="92"/>
      <c r="E173" s="216"/>
      <c r="F173" s="216"/>
      <c r="G173" s="642"/>
      <c r="H173" s="92"/>
      <c r="I173" s="92"/>
    </row>
    <row r="174" ht="16.5" customHeight="1">
      <c r="A174" s="92"/>
      <c r="B174" s="92"/>
      <c r="C174" s="92"/>
      <c r="D174" s="92"/>
      <c r="E174" s="216"/>
      <c r="F174" s="216"/>
      <c r="G174" s="642"/>
      <c r="H174" s="92"/>
      <c r="I174" s="92"/>
    </row>
    <row r="175" ht="16.5" customHeight="1">
      <c r="A175" s="92"/>
      <c r="B175" s="92"/>
      <c r="C175" s="92"/>
      <c r="D175" s="92"/>
      <c r="E175" s="216"/>
      <c r="F175" s="216"/>
      <c r="G175" s="642"/>
      <c r="H175" s="92"/>
      <c r="I175" s="92"/>
    </row>
    <row r="176" ht="16.5" customHeight="1">
      <c r="A176" s="92"/>
      <c r="B176" s="92"/>
      <c r="C176" s="92"/>
      <c r="D176" s="92"/>
      <c r="E176" s="216"/>
      <c r="F176" s="216"/>
      <c r="G176" s="642"/>
      <c r="H176" s="92"/>
      <c r="I176" s="92"/>
    </row>
    <row r="177" ht="16.5" customHeight="1">
      <c r="A177" s="92"/>
      <c r="B177" s="92"/>
      <c r="C177" s="92"/>
      <c r="D177" s="92"/>
      <c r="E177" s="216"/>
      <c r="F177" s="216"/>
      <c r="G177" s="642"/>
      <c r="H177" s="92"/>
      <c r="I177" s="92"/>
    </row>
    <row r="178" ht="16.5" customHeight="1">
      <c r="A178" s="92"/>
      <c r="B178" s="92"/>
      <c r="C178" s="92"/>
      <c r="D178" s="92"/>
      <c r="E178" s="216"/>
      <c r="F178" s="216"/>
      <c r="G178" s="642"/>
      <c r="H178" s="92"/>
      <c r="I178" s="92"/>
    </row>
    <row r="179" ht="16.5" customHeight="1">
      <c r="A179" s="92"/>
      <c r="B179" s="92"/>
      <c r="C179" s="92"/>
      <c r="D179" s="92"/>
      <c r="E179" s="216"/>
      <c r="F179" s="216"/>
      <c r="G179" s="642"/>
      <c r="H179" s="92"/>
      <c r="I179" s="92"/>
    </row>
    <row r="180" ht="16.5" customHeight="1">
      <c r="A180" s="92"/>
      <c r="B180" s="92"/>
      <c r="C180" s="92"/>
      <c r="D180" s="92"/>
      <c r="E180" s="216"/>
      <c r="F180" s="216"/>
      <c r="G180" s="642"/>
      <c r="H180" s="92"/>
      <c r="I180" s="92"/>
    </row>
    <row r="181" ht="16.5" customHeight="1">
      <c r="A181" s="92"/>
      <c r="B181" s="92"/>
      <c r="C181" s="92"/>
      <c r="D181" s="92"/>
      <c r="E181" s="216"/>
      <c r="F181" s="216"/>
      <c r="G181" s="642"/>
      <c r="H181" s="92"/>
      <c r="I181" s="92"/>
    </row>
    <row r="182" ht="16.5" customHeight="1">
      <c r="A182" s="92"/>
      <c r="B182" s="92"/>
      <c r="C182" s="92"/>
      <c r="D182" s="92"/>
      <c r="E182" s="216"/>
      <c r="F182" s="216"/>
      <c r="G182" s="642"/>
      <c r="H182" s="92"/>
      <c r="I182" s="92"/>
    </row>
    <row r="183" ht="16.5" customHeight="1">
      <c r="A183" s="92"/>
      <c r="B183" s="92"/>
      <c r="C183" s="92"/>
      <c r="D183" s="92"/>
      <c r="E183" s="216"/>
      <c r="F183" s="216"/>
      <c r="G183" s="642"/>
      <c r="H183" s="92"/>
      <c r="I183" s="92"/>
    </row>
    <row r="184" ht="16.5" customHeight="1">
      <c r="A184" s="92"/>
      <c r="B184" s="92"/>
      <c r="C184" s="92"/>
      <c r="D184" s="92"/>
      <c r="E184" s="216"/>
      <c r="F184" s="216"/>
      <c r="G184" s="642"/>
      <c r="H184" s="92"/>
      <c r="I184" s="92"/>
    </row>
    <row r="185" ht="16.5" customHeight="1">
      <c r="A185" s="92"/>
      <c r="B185" s="92"/>
      <c r="C185" s="92"/>
      <c r="D185" s="92"/>
      <c r="E185" s="216"/>
      <c r="F185" s="216"/>
      <c r="G185" s="642"/>
      <c r="H185" s="92"/>
      <c r="I185" s="92"/>
    </row>
    <row r="186" ht="16.5" customHeight="1">
      <c r="A186" s="92"/>
      <c r="B186" s="92"/>
      <c r="C186" s="92"/>
      <c r="D186" s="92"/>
      <c r="E186" s="216"/>
      <c r="F186" s="216"/>
      <c r="G186" s="642"/>
      <c r="H186" s="92"/>
      <c r="I186" s="92"/>
    </row>
    <row r="187" ht="16.5" customHeight="1">
      <c r="A187" s="92"/>
      <c r="B187" s="92"/>
      <c r="C187" s="92"/>
      <c r="D187" s="92"/>
      <c r="E187" s="216"/>
      <c r="F187" s="216"/>
      <c r="G187" s="642"/>
      <c r="H187" s="92"/>
      <c r="I187" s="92"/>
    </row>
    <row r="188" ht="16.5" customHeight="1">
      <c r="A188" s="92"/>
      <c r="B188" s="92"/>
      <c r="C188" s="92"/>
      <c r="D188" s="92"/>
      <c r="E188" s="216"/>
      <c r="F188" s="216"/>
      <c r="G188" s="642"/>
      <c r="H188" s="92"/>
      <c r="I188" s="92"/>
    </row>
    <row r="189" ht="16.5" customHeight="1">
      <c r="A189" s="92"/>
      <c r="B189" s="92"/>
      <c r="C189" s="92"/>
      <c r="D189" s="92"/>
      <c r="E189" s="216"/>
      <c r="F189" s="216"/>
      <c r="G189" s="642"/>
      <c r="H189" s="92"/>
      <c r="I189" s="92"/>
    </row>
    <row r="190" ht="16.5" customHeight="1">
      <c r="A190" s="92"/>
      <c r="B190" s="92"/>
      <c r="C190" s="92"/>
      <c r="D190" s="92"/>
      <c r="E190" s="216"/>
      <c r="F190" s="216"/>
      <c r="G190" s="642"/>
      <c r="H190" s="92"/>
      <c r="I190" s="92"/>
    </row>
    <row r="191" ht="16.5" customHeight="1">
      <c r="A191" s="92"/>
      <c r="B191" s="92"/>
      <c r="C191" s="92"/>
      <c r="D191" s="92"/>
      <c r="E191" s="216"/>
      <c r="F191" s="216"/>
      <c r="G191" s="642"/>
      <c r="H191" s="92"/>
      <c r="I191" s="92"/>
    </row>
    <row r="192" ht="16.5" customHeight="1">
      <c r="A192" s="92"/>
      <c r="B192" s="92"/>
      <c r="C192" s="92"/>
      <c r="D192" s="92"/>
      <c r="E192" s="216"/>
      <c r="F192" s="216"/>
      <c r="G192" s="642"/>
      <c r="H192" s="92"/>
      <c r="I192" s="92"/>
    </row>
    <row r="193" ht="16.5" customHeight="1">
      <c r="A193" s="92"/>
      <c r="B193" s="92"/>
      <c r="C193" s="92"/>
      <c r="D193" s="92"/>
      <c r="E193" s="216"/>
      <c r="F193" s="216"/>
      <c r="G193" s="642"/>
      <c r="H193" s="92"/>
      <c r="I193" s="92"/>
    </row>
    <row r="194" ht="16.5" customHeight="1">
      <c r="A194" s="92"/>
      <c r="B194" s="92"/>
      <c r="C194" s="92"/>
      <c r="D194" s="92"/>
      <c r="E194" s="216"/>
      <c r="F194" s="216"/>
      <c r="G194" s="642"/>
      <c r="H194" s="92"/>
      <c r="I194" s="92"/>
    </row>
    <row r="195" ht="16.5" customHeight="1">
      <c r="A195" s="92"/>
      <c r="B195" s="92"/>
      <c r="C195" s="92"/>
      <c r="D195" s="92"/>
      <c r="E195" s="216"/>
      <c r="F195" s="216"/>
      <c r="G195" s="642"/>
      <c r="H195" s="92"/>
      <c r="I195" s="92"/>
    </row>
    <row r="196" ht="16.5" customHeight="1">
      <c r="A196" s="92"/>
      <c r="B196" s="92"/>
      <c r="C196" s="92"/>
      <c r="D196" s="92"/>
      <c r="E196" s="216"/>
      <c r="F196" s="216"/>
      <c r="G196" s="642"/>
      <c r="H196" s="92"/>
      <c r="I196" s="92"/>
    </row>
    <row r="197" ht="16.5" customHeight="1">
      <c r="A197" s="92"/>
      <c r="B197" s="92"/>
      <c r="C197" s="92"/>
      <c r="D197" s="92"/>
      <c r="E197" s="216"/>
      <c r="F197" s="216"/>
      <c r="G197" s="642"/>
      <c r="H197" s="92"/>
      <c r="I197" s="92"/>
    </row>
    <row r="198" ht="16.5" customHeight="1">
      <c r="A198" s="92"/>
      <c r="B198" s="92"/>
      <c r="C198" s="92"/>
      <c r="D198" s="92"/>
      <c r="E198" s="216"/>
      <c r="F198" s="216"/>
      <c r="G198" s="642"/>
      <c r="H198" s="92"/>
      <c r="I198" s="92"/>
    </row>
    <row r="199" ht="16.5" customHeight="1">
      <c r="A199" s="92"/>
      <c r="B199" s="92"/>
      <c r="C199" s="92"/>
      <c r="D199" s="92"/>
      <c r="E199" s="216"/>
      <c r="F199" s="216"/>
      <c r="G199" s="642"/>
      <c r="H199" s="92"/>
      <c r="I199" s="92"/>
    </row>
    <row r="200" ht="16.5" customHeight="1">
      <c r="A200" s="92"/>
      <c r="B200" s="92"/>
      <c r="C200" s="92"/>
      <c r="D200" s="92"/>
      <c r="E200" s="216"/>
      <c r="F200" s="216"/>
      <c r="G200" s="642"/>
      <c r="H200" s="92"/>
      <c r="I200" s="92"/>
    </row>
    <row r="201" ht="16.5" customHeight="1">
      <c r="A201" s="92"/>
      <c r="B201" s="92"/>
      <c r="C201" s="92"/>
      <c r="D201" s="92"/>
      <c r="E201" s="216"/>
      <c r="F201" s="216"/>
      <c r="G201" s="642"/>
      <c r="H201" s="92"/>
      <c r="I201" s="92"/>
    </row>
    <row r="202" ht="16.5" customHeight="1">
      <c r="A202" s="92"/>
      <c r="B202" s="92"/>
      <c r="C202" s="92"/>
      <c r="D202" s="92"/>
      <c r="E202" s="216"/>
      <c r="F202" s="216"/>
      <c r="G202" s="642"/>
      <c r="H202" s="92"/>
      <c r="I202" s="92"/>
    </row>
    <row r="203" ht="16.5" customHeight="1">
      <c r="A203" s="92"/>
      <c r="B203" s="92"/>
      <c r="C203" s="92"/>
      <c r="D203" s="92"/>
      <c r="E203" s="216"/>
      <c r="F203" s="216"/>
      <c r="G203" s="642"/>
      <c r="H203" s="92"/>
      <c r="I203" s="92"/>
    </row>
    <row r="204" ht="16.5" customHeight="1">
      <c r="A204" s="92"/>
      <c r="B204" s="92"/>
      <c r="C204" s="92"/>
      <c r="D204" s="92"/>
      <c r="E204" s="216"/>
      <c r="F204" s="216"/>
      <c r="G204" s="642"/>
      <c r="H204" s="92"/>
      <c r="I204" s="92"/>
    </row>
    <row r="205" ht="16.5" customHeight="1">
      <c r="A205" s="92"/>
      <c r="B205" s="92"/>
      <c r="C205" s="92"/>
      <c r="D205" s="92"/>
      <c r="E205" s="216"/>
      <c r="F205" s="216"/>
      <c r="G205" s="642"/>
      <c r="H205" s="92"/>
      <c r="I205" s="92"/>
    </row>
    <row r="206" ht="16.5" customHeight="1">
      <c r="A206" s="92"/>
      <c r="B206" s="92"/>
      <c r="C206" s="92"/>
      <c r="D206" s="92"/>
      <c r="E206" s="216"/>
      <c r="F206" s="216"/>
      <c r="G206" s="642"/>
      <c r="H206" s="92"/>
      <c r="I206" s="92"/>
    </row>
    <row r="207" ht="16.5" customHeight="1">
      <c r="A207" s="92"/>
      <c r="B207" s="92"/>
      <c r="C207" s="92"/>
      <c r="D207" s="92"/>
      <c r="E207" s="216"/>
      <c r="F207" s="216"/>
      <c r="G207" s="642"/>
      <c r="H207" s="92"/>
      <c r="I207" s="92"/>
    </row>
    <row r="208" ht="16.5" customHeight="1">
      <c r="A208" s="92"/>
      <c r="B208" s="92"/>
      <c r="C208" s="92"/>
      <c r="D208" s="92"/>
      <c r="E208" s="216"/>
      <c r="F208" s="216"/>
      <c r="G208" s="642"/>
      <c r="H208" s="92"/>
      <c r="I208" s="92"/>
    </row>
    <row r="209" ht="16.5" customHeight="1">
      <c r="A209" s="92"/>
      <c r="B209" s="92"/>
      <c r="C209" s="92"/>
      <c r="D209" s="92"/>
      <c r="E209" s="216"/>
      <c r="F209" s="216"/>
      <c r="G209" s="642"/>
      <c r="H209" s="92"/>
      <c r="I209" s="92"/>
    </row>
    <row r="210" ht="16.5" customHeight="1">
      <c r="A210" s="92"/>
      <c r="B210" s="92"/>
      <c r="C210" s="92"/>
      <c r="D210" s="92"/>
      <c r="E210" s="216"/>
      <c r="F210" s="216"/>
      <c r="G210" s="642"/>
      <c r="H210" s="92"/>
      <c r="I210" s="92"/>
    </row>
    <row r="211" ht="16.5" customHeight="1">
      <c r="A211" s="92"/>
      <c r="B211" s="92"/>
      <c r="C211" s="92"/>
      <c r="D211" s="92"/>
      <c r="E211" s="216"/>
      <c r="F211" s="216"/>
      <c r="G211" s="642"/>
      <c r="H211" s="92"/>
      <c r="I211" s="92"/>
    </row>
    <row r="212" ht="16.5" customHeight="1">
      <c r="A212" s="92"/>
      <c r="B212" s="92"/>
      <c r="C212" s="92"/>
      <c r="D212" s="92"/>
      <c r="E212" s="216"/>
      <c r="F212" s="216"/>
      <c r="G212" s="642"/>
      <c r="H212" s="92"/>
      <c r="I212" s="92"/>
    </row>
    <row r="213" ht="16.5" customHeight="1">
      <c r="A213" s="92"/>
      <c r="B213" s="92"/>
      <c r="C213" s="92"/>
      <c r="D213" s="92"/>
      <c r="E213" s="216"/>
      <c r="F213" s="216"/>
      <c r="G213" s="642"/>
      <c r="H213" s="92"/>
      <c r="I213" s="92"/>
    </row>
    <row r="214" ht="16.5" customHeight="1">
      <c r="A214" s="92"/>
      <c r="B214" s="92"/>
      <c r="C214" s="92"/>
      <c r="D214" s="92"/>
      <c r="E214" s="216"/>
      <c r="F214" s="216"/>
      <c r="G214" s="642"/>
      <c r="H214" s="92"/>
      <c r="I214" s="92"/>
    </row>
    <row r="215" ht="16.5" customHeight="1">
      <c r="A215" s="92"/>
      <c r="B215" s="92"/>
      <c r="C215" s="92"/>
      <c r="D215" s="92"/>
      <c r="E215" s="216"/>
      <c r="F215" s="216"/>
      <c r="G215" s="642"/>
      <c r="H215" s="92"/>
      <c r="I215" s="92"/>
    </row>
    <row r="216" ht="16.5" customHeight="1">
      <c r="A216" s="92"/>
      <c r="B216" s="92"/>
      <c r="C216" s="92"/>
      <c r="D216" s="92"/>
      <c r="E216" s="216"/>
      <c r="F216" s="216"/>
      <c r="G216" s="642"/>
      <c r="H216" s="92"/>
      <c r="I216" s="92"/>
    </row>
    <row r="217" ht="16.5" customHeight="1">
      <c r="A217" s="92"/>
      <c r="B217" s="92"/>
      <c r="C217" s="92"/>
      <c r="D217" s="92"/>
      <c r="E217" s="216"/>
      <c r="F217" s="216"/>
      <c r="G217" s="642"/>
      <c r="H217" s="92"/>
      <c r="I217" s="92"/>
    </row>
    <row r="218" ht="16.5" customHeight="1">
      <c r="A218" s="92"/>
      <c r="B218" s="92"/>
      <c r="C218" s="92"/>
      <c r="D218" s="92"/>
      <c r="E218" s="216"/>
      <c r="F218" s="216"/>
      <c r="G218" s="642"/>
      <c r="H218" s="92"/>
      <c r="I218" s="92"/>
    </row>
    <row r="219" ht="16.5" customHeight="1">
      <c r="A219" s="92"/>
      <c r="B219" s="92"/>
      <c r="C219" s="92"/>
      <c r="D219" s="92"/>
      <c r="E219" s="216"/>
      <c r="F219" s="216"/>
      <c r="G219" s="642"/>
      <c r="H219" s="92"/>
      <c r="I219" s="92"/>
    </row>
    <row r="220" ht="16.5" customHeight="1">
      <c r="A220" s="92"/>
      <c r="B220" s="92"/>
      <c r="C220" s="92"/>
      <c r="D220" s="92"/>
      <c r="E220" s="216"/>
      <c r="F220" s="216"/>
      <c r="G220" s="642"/>
      <c r="H220" s="92"/>
      <c r="I220" s="92"/>
    </row>
    <row r="221" ht="16.5" customHeight="1">
      <c r="A221" s="92"/>
      <c r="B221" s="92"/>
      <c r="C221" s="92"/>
      <c r="D221" s="92"/>
      <c r="E221" s="216"/>
      <c r="F221" s="216"/>
      <c r="G221" s="642"/>
      <c r="H221" s="92"/>
      <c r="I221" s="92"/>
    </row>
    <row r="222" ht="16.5" customHeight="1">
      <c r="A222" s="92"/>
      <c r="B222" s="92"/>
      <c r="C222" s="92"/>
      <c r="D222" s="92"/>
      <c r="E222" s="216"/>
      <c r="F222" s="216"/>
      <c r="G222" s="642"/>
      <c r="H222" s="92"/>
      <c r="I222" s="92"/>
    </row>
    <row r="223" ht="16.5" customHeight="1">
      <c r="A223" s="92"/>
      <c r="B223" s="92"/>
      <c r="C223" s="92"/>
      <c r="D223" s="92"/>
      <c r="E223" s="216"/>
      <c r="F223" s="216"/>
      <c r="G223" s="642"/>
      <c r="H223" s="92"/>
      <c r="I223" s="92"/>
    </row>
    <row r="224" ht="16.5" customHeight="1">
      <c r="A224" s="92"/>
      <c r="B224" s="92"/>
      <c r="C224" s="92"/>
      <c r="D224" s="92"/>
      <c r="E224" s="216"/>
      <c r="F224" s="216"/>
      <c r="G224" s="642"/>
      <c r="H224" s="92"/>
      <c r="I224" s="92"/>
    </row>
    <row r="225" ht="16.5" customHeight="1">
      <c r="A225" s="92"/>
      <c r="B225" s="92"/>
      <c r="C225" s="92"/>
      <c r="D225" s="92"/>
      <c r="E225" s="216"/>
      <c r="F225" s="216"/>
      <c r="G225" s="642"/>
      <c r="H225" s="92"/>
      <c r="I225" s="92"/>
    </row>
    <row r="226" ht="16.5" customHeight="1">
      <c r="A226" s="92"/>
      <c r="B226" s="92"/>
      <c r="C226" s="92"/>
      <c r="D226" s="92"/>
      <c r="E226" s="216"/>
      <c r="F226" s="216"/>
      <c r="G226" s="642"/>
      <c r="H226" s="92"/>
      <c r="I226" s="92"/>
    </row>
    <row r="227" ht="16.5" customHeight="1">
      <c r="A227" s="92"/>
      <c r="B227" s="92"/>
      <c r="C227" s="92"/>
      <c r="D227" s="92"/>
      <c r="E227" s="216"/>
      <c r="F227" s="216"/>
      <c r="G227" s="642"/>
      <c r="H227" s="92"/>
      <c r="I227" s="92"/>
    </row>
    <row r="228" ht="15.75" customHeight="1">
      <c r="A228" s="92"/>
      <c r="B228" s="92"/>
      <c r="C228" s="92"/>
      <c r="D228" s="92"/>
      <c r="E228" s="92"/>
      <c r="F228" s="92"/>
      <c r="G228" s="92"/>
      <c r="H228" s="92"/>
      <c r="I228" s="92"/>
    </row>
    <row r="229" ht="15.75" customHeight="1">
      <c r="A229" s="92"/>
      <c r="B229" s="92"/>
      <c r="C229" s="92"/>
      <c r="D229" s="92"/>
      <c r="E229" s="92"/>
      <c r="F229" s="92"/>
      <c r="G229" s="92"/>
      <c r="H229" s="92"/>
      <c r="I229" s="92"/>
    </row>
    <row r="230" ht="15.75" customHeight="1">
      <c r="A230" s="92"/>
      <c r="B230" s="92"/>
      <c r="C230" s="92"/>
      <c r="D230" s="92"/>
      <c r="E230" s="92"/>
      <c r="F230" s="92"/>
      <c r="G230" s="92"/>
      <c r="H230" s="92"/>
      <c r="I230" s="92"/>
    </row>
    <row r="231" ht="15.75" customHeight="1">
      <c r="A231" s="92"/>
      <c r="B231" s="92"/>
      <c r="C231" s="92"/>
      <c r="D231" s="92"/>
      <c r="E231" s="92"/>
      <c r="F231" s="92"/>
      <c r="G231" s="92"/>
      <c r="H231" s="92"/>
      <c r="I231" s="92"/>
    </row>
    <row r="232" ht="15.75" customHeight="1">
      <c r="A232" s="92"/>
      <c r="B232" s="92"/>
      <c r="C232" s="92"/>
      <c r="D232" s="92"/>
      <c r="E232" s="92"/>
      <c r="F232" s="92"/>
      <c r="G232" s="92"/>
      <c r="H232" s="92"/>
      <c r="I232" s="92"/>
    </row>
    <row r="233" ht="15.75" customHeight="1">
      <c r="A233" s="92"/>
      <c r="B233" s="92"/>
      <c r="C233" s="92"/>
      <c r="D233" s="92"/>
      <c r="E233" s="92"/>
      <c r="F233" s="92"/>
      <c r="G233" s="92"/>
      <c r="H233" s="92"/>
      <c r="I233" s="92"/>
    </row>
    <row r="234" ht="15.75" customHeight="1">
      <c r="A234" s="92"/>
      <c r="B234" s="92"/>
      <c r="C234" s="92"/>
      <c r="D234" s="92"/>
      <c r="E234" s="92"/>
      <c r="F234" s="92"/>
      <c r="G234" s="92"/>
      <c r="H234" s="92"/>
      <c r="I234" s="92"/>
    </row>
    <row r="235" ht="15.75" customHeight="1">
      <c r="A235" s="92"/>
      <c r="B235" s="92"/>
      <c r="C235" s="92"/>
      <c r="D235" s="92"/>
      <c r="E235" s="92"/>
      <c r="F235" s="92"/>
      <c r="G235" s="92"/>
      <c r="H235" s="92"/>
      <c r="I235" s="92"/>
    </row>
    <row r="236" ht="15.75" customHeight="1">
      <c r="A236" s="92"/>
      <c r="B236" s="92"/>
      <c r="C236" s="92"/>
      <c r="D236" s="92"/>
      <c r="E236" s="92"/>
      <c r="F236" s="92"/>
      <c r="G236" s="92"/>
      <c r="H236" s="92"/>
      <c r="I236" s="92"/>
    </row>
    <row r="237" ht="15.75" customHeight="1">
      <c r="A237" s="92"/>
      <c r="B237" s="92"/>
      <c r="C237" s="92"/>
      <c r="D237" s="92"/>
      <c r="E237" s="92"/>
      <c r="F237" s="92"/>
      <c r="G237" s="92"/>
      <c r="H237" s="92"/>
      <c r="I237" s="92"/>
    </row>
    <row r="238" ht="15.75" customHeight="1">
      <c r="A238" s="92"/>
      <c r="B238" s="92"/>
      <c r="C238" s="92"/>
      <c r="D238" s="92"/>
      <c r="E238" s="92"/>
      <c r="F238" s="92"/>
      <c r="G238" s="92"/>
      <c r="H238" s="92"/>
      <c r="I238" s="92"/>
    </row>
    <row r="239" ht="15.75" customHeight="1">
      <c r="A239" s="92"/>
      <c r="B239" s="92"/>
      <c r="C239" s="92"/>
      <c r="D239" s="92"/>
      <c r="E239" s="92"/>
      <c r="F239" s="92"/>
      <c r="G239" s="92"/>
      <c r="H239" s="92"/>
      <c r="I239" s="92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</row>
  </sheetData>
  <mergeCells count="13">
    <mergeCell ref="F5:F8"/>
    <mergeCell ref="F9:F12"/>
    <mergeCell ref="F3:F4"/>
    <mergeCell ref="F13:F16"/>
    <mergeCell ref="A17:A20"/>
    <mergeCell ref="A21:A27"/>
    <mergeCell ref="A1:F2"/>
    <mergeCell ref="A3:B3"/>
    <mergeCell ref="C3:C4"/>
    <mergeCell ref="D3:D4"/>
    <mergeCell ref="A5:A8"/>
    <mergeCell ref="A9:A12"/>
    <mergeCell ref="A13:A16"/>
  </mergeCells>
  <printOptions/>
  <pageMargins bottom="0.75" footer="0.0" header="0.0" left="0.25" right="0.25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57.57"/>
    <col customWidth="1" min="3" max="3" width="11.86"/>
    <col customWidth="1" min="4" max="4" width="12.86"/>
    <col customWidth="1" min="5" max="5" width="12.43"/>
    <col customWidth="1" min="6" max="6" width="21.14"/>
    <col customWidth="1" min="7" max="7" width="27.29"/>
    <col customWidth="1" min="8" max="8" width="10.14"/>
    <col customWidth="1" min="9" max="9" width="8.86"/>
  </cols>
  <sheetData>
    <row r="1" ht="16.5" customHeight="1">
      <c r="A1" s="1" t="s">
        <v>788</v>
      </c>
      <c r="B1" s="2"/>
      <c r="C1" s="2"/>
      <c r="D1" s="2"/>
      <c r="E1" s="2"/>
      <c r="F1" s="2"/>
      <c r="G1" s="642"/>
      <c r="H1" s="92"/>
      <c r="I1" s="92"/>
    </row>
    <row r="2" ht="18.0" customHeight="1">
      <c r="A2" s="58"/>
      <c r="B2" s="82"/>
      <c r="C2" s="82"/>
      <c r="D2" s="82"/>
      <c r="E2" s="82"/>
      <c r="F2" s="82"/>
      <c r="G2" s="642"/>
      <c r="H2" s="92"/>
      <c r="I2" s="92"/>
    </row>
    <row r="3" ht="16.5" customHeight="1">
      <c r="A3" s="320" t="s">
        <v>490</v>
      </c>
      <c r="B3" s="409"/>
      <c r="C3" s="260" t="s">
        <v>438</v>
      </c>
      <c r="D3" s="261" t="s">
        <v>562</v>
      </c>
      <c r="E3" s="410" t="s">
        <v>521</v>
      </c>
      <c r="F3" s="260" t="s">
        <v>789</v>
      </c>
      <c r="G3" s="642"/>
      <c r="H3" s="92"/>
      <c r="I3" s="92"/>
    </row>
    <row r="4" ht="16.5" customHeight="1">
      <c r="A4" s="643" t="s">
        <v>8</v>
      </c>
      <c r="B4" s="643" t="s">
        <v>9</v>
      </c>
      <c r="C4" s="11"/>
      <c r="D4" s="12"/>
      <c r="E4" s="652" t="s">
        <v>11</v>
      </c>
      <c r="F4" s="11"/>
      <c r="G4" s="642"/>
      <c r="H4" s="8"/>
      <c r="I4" s="92"/>
    </row>
    <row r="5" ht="16.5" customHeight="1">
      <c r="A5" s="189" t="s">
        <v>790</v>
      </c>
      <c r="B5" s="212" t="s">
        <v>791</v>
      </c>
      <c r="C5" s="423">
        <f t="shared" ref="C5:C8" si="1">D5*2-1000</f>
        <v>557000</v>
      </c>
      <c r="D5" s="423">
        <v>279000.0</v>
      </c>
      <c r="E5" s="282"/>
      <c r="F5" s="636"/>
      <c r="G5" s="642"/>
      <c r="H5" s="8"/>
      <c r="I5" s="92"/>
    </row>
    <row r="6" ht="16.5" customHeight="1">
      <c r="A6" s="25"/>
      <c r="B6" s="212" t="s">
        <v>792</v>
      </c>
      <c r="C6" s="423">
        <f t="shared" si="1"/>
        <v>717000</v>
      </c>
      <c r="D6" s="423">
        <v>359000.0</v>
      </c>
      <c r="E6" s="636"/>
      <c r="F6" s="636"/>
      <c r="G6" s="642"/>
      <c r="H6" s="8"/>
      <c r="I6" s="92"/>
    </row>
    <row r="7" ht="16.5" customHeight="1">
      <c r="A7" s="25"/>
      <c r="B7" s="664" t="s">
        <v>637</v>
      </c>
      <c r="C7" s="423">
        <f t="shared" si="1"/>
        <v>577000</v>
      </c>
      <c r="D7" s="423">
        <v>289000.0</v>
      </c>
      <c r="E7" s="665"/>
      <c r="F7" s="636"/>
      <c r="G7" s="642"/>
      <c r="H7" s="8"/>
      <c r="I7" s="8"/>
    </row>
    <row r="8" ht="16.5" customHeight="1">
      <c r="A8" s="25"/>
      <c r="B8" s="308" t="s">
        <v>793</v>
      </c>
      <c r="C8" s="423">
        <f t="shared" si="1"/>
        <v>1497000</v>
      </c>
      <c r="D8" s="423">
        <v>749000.0</v>
      </c>
      <c r="E8" s="216"/>
      <c r="F8" s="636"/>
      <c r="G8" s="642"/>
      <c r="H8" s="8"/>
      <c r="I8" s="8"/>
    </row>
    <row r="9" ht="16.5" customHeight="1">
      <c r="A9" s="25"/>
      <c r="B9" s="308" t="s">
        <v>794</v>
      </c>
      <c r="C9" s="423">
        <v>197000.0</v>
      </c>
      <c r="D9" s="423">
        <v>99000.0</v>
      </c>
      <c r="E9" s="216"/>
      <c r="F9" s="636"/>
      <c r="G9" s="642"/>
      <c r="H9" s="8"/>
      <c r="I9" s="8"/>
    </row>
    <row r="10" ht="15.75" customHeight="1">
      <c r="A10" s="11"/>
      <c r="B10" s="312" t="s">
        <v>795</v>
      </c>
      <c r="C10" s="430">
        <v>1737000.0</v>
      </c>
      <c r="D10" s="430">
        <v>869000.0</v>
      </c>
      <c r="E10" s="640"/>
      <c r="F10" s="640"/>
      <c r="G10" s="642"/>
      <c r="H10" s="8"/>
      <c r="I10" s="92"/>
    </row>
    <row r="11">
      <c r="A11" s="189" t="s">
        <v>796</v>
      </c>
      <c r="B11" s="666" t="s">
        <v>797</v>
      </c>
      <c r="C11" s="423">
        <f t="shared" ref="C11:C36" si="2">D11*2-1000</f>
        <v>77000</v>
      </c>
      <c r="D11" s="423">
        <v>39000.0</v>
      </c>
      <c r="E11" s="636"/>
      <c r="F11" s="667"/>
      <c r="G11" s="642"/>
      <c r="H11" s="8"/>
      <c r="I11" s="92"/>
    </row>
    <row r="12">
      <c r="A12" s="25"/>
      <c r="B12" s="668" t="s">
        <v>798</v>
      </c>
      <c r="C12" s="423">
        <f t="shared" si="2"/>
        <v>717000</v>
      </c>
      <c r="D12" s="423">
        <v>359000.0</v>
      </c>
      <c r="E12" s="636"/>
      <c r="F12" s="667"/>
      <c r="G12" s="642"/>
      <c r="H12" s="8"/>
      <c r="I12" s="92"/>
    </row>
    <row r="13" ht="16.5" customHeight="1">
      <c r="A13" s="25"/>
      <c r="B13" s="212" t="s">
        <v>799</v>
      </c>
      <c r="C13" s="423">
        <f t="shared" si="2"/>
        <v>1197000</v>
      </c>
      <c r="D13" s="423">
        <v>599000.0</v>
      </c>
      <c r="E13" s="636"/>
      <c r="F13" s="667"/>
      <c r="G13" s="642"/>
      <c r="H13" s="8"/>
      <c r="I13" s="92"/>
    </row>
    <row r="14" ht="16.5" customHeight="1">
      <c r="A14" s="25"/>
      <c r="B14" s="212" t="s">
        <v>800</v>
      </c>
      <c r="C14" s="423">
        <f t="shared" si="2"/>
        <v>1157000</v>
      </c>
      <c r="D14" s="423">
        <v>579000.0</v>
      </c>
      <c r="E14" s="636"/>
      <c r="F14" s="667"/>
      <c r="G14" s="642"/>
      <c r="H14" s="8"/>
      <c r="I14" s="92"/>
    </row>
    <row r="15" ht="18.0" customHeight="1">
      <c r="A15" s="11"/>
      <c r="B15" s="312" t="s">
        <v>801</v>
      </c>
      <c r="C15" s="430">
        <f t="shared" si="2"/>
        <v>1197000</v>
      </c>
      <c r="D15" s="430">
        <v>599000.0</v>
      </c>
      <c r="E15" s="669"/>
      <c r="F15" s="667"/>
      <c r="G15" s="642"/>
      <c r="H15" s="8"/>
      <c r="I15" s="92"/>
    </row>
    <row r="16" ht="16.5" customHeight="1">
      <c r="A16" s="189" t="s">
        <v>802</v>
      </c>
      <c r="B16" s="304" t="s">
        <v>803</v>
      </c>
      <c r="C16" s="423">
        <f t="shared" si="2"/>
        <v>157000</v>
      </c>
      <c r="D16" s="414">
        <v>79000.0</v>
      </c>
      <c r="E16" s="636"/>
      <c r="F16" s="282"/>
      <c r="G16" s="642"/>
      <c r="H16" s="8"/>
      <c r="I16" s="92"/>
    </row>
    <row r="17" ht="16.5" customHeight="1">
      <c r="A17" s="25"/>
      <c r="B17" s="308" t="s">
        <v>804</v>
      </c>
      <c r="C17" s="423">
        <f t="shared" si="2"/>
        <v>127000</v>
      </c>
      <c r="D17" s="423">
        <v>64000.0</v>
      </c>
      <c r="E17" s="636"/>
      <c r="F17" s="636"/>
      <c r="G17" s="670"/>
      <c r="H17" s="8"/>
      <c r="I17" s="92"/>
    </row>
    <row r="18" ht="16.5" customHeight="1">
      <c r="A18" s="25"/>
      <c r="B18" s="308" t="s">
        <v>684</v>
      </c>
      <c r="C18" s="423">
        <f t="shared" si="2"/>
        <v>235000</v>
      </c>
      <c r="D18" s="423">
        <v>118000.0</v>
      </c>
      <c r="E18" s="423"/>
      <c r="F18" s="636"/>
      <c r="G18" s="642"/>
      <c r="H18" s="8"/>
      <c r="I18" s="92"/>
    </row>
    <row r="19" ht="16.5" customHeight="1">
      <c r="A19" s="25"/>
      <c r="B19" s="308" t="s">
        <v>743</v>
      </c>
      <c r="C19" s="423">
        <f t="shared" si="2"/>
        <v>457000</v>
      </c>
      <c r="D19" s="423">
        <v>229000.0</v>
      </c>
      <c r="E19" s="671"/>
      <c r="F19" s="636"/>
      <c r="G19" s="642"/>
      <c r="H19" s="8"/>
      <c r="I19" s="92"/>
    </row>
    <row r="20" ht="16.5" customHeight="1">
      <c r="A20" s="11"/>
      <c r="B20" s="312" t="s">
        <v>805</v>
      </c>
      <c r="C20" s="430">
        <f t="shared" si="2"/>
        <v>117000</v>
      </c>
      <c r="D20" s="430">
        <v>59000.0</v>
      </c>
      <c r="E20" s="636"/>
      <c r="F20" s="640"/>
      <c r="G20" s="642"/>
      <c r="H20" s="8"/>
      <c r="I20" s="92"/>
    </row>
    <row r="21" ht="16.5" customHeight="1">
      <c r="A21" s="649" t="s">
        <v>806</v>
      </c>
      <c r="B21" s="212" t="s">
        <v>807</v>
      </c>
      <c r="C21" s="423">
        <f t="shared" si="2"/>
        <v>317000</v>
      </c>
      <c r="D21" s="425">
        <v>159000.0</v>
      </c>
      <c r="E21" s="282"/>
      <c r="F21" s="667"/>
      <c r="G21" s="642"/>
      <c r="H21" s="8"/>
      <c r="I21" s="92"/>
    </row>
    <row r="22" ht="16.5" customHeight="1">
      <c r="A22" s="25"/>
      <c r="B22" s="212" t="s">
        <v>808</v>
      </c>
      <c r="C22" s="423">
        <f t="shared" si="2"/>
        <v>377000</v>
      </c>
      <c r="D22" s="425">
        <v>189000.0</v>
      </c>
      <c r="E22" s="636"/>
      <c r="F22" s="667"/>
      <c r="G22" s="642"/>
      <c r="H22" s="8"/>
      <c r="I22" s="8"/>
    </row>
    <row r="23" ht="16.5" customHeight="1">
      <c r="A23" s="25"/>
      <c r="B23" s="212" t="s">
        <v>809</v>
      </c>
      <c r="C23" s="423">
        <f t="shared" si="2"/>
        <v>197000</v>
      </c>
      <c r="D23" s="425">
        <v>99000.0</v>
      </c>
      <c r="E23" s="636"/>
      <c r="F23" s="667"/>
      <c r="G23" s="642"/>
      <c r="H23" s="8"/>
      <c r="I23" s="8"/>
    </row>
    <row r="24" ht="16.5" customHeight="1">
      <c r="A24" s="11"/>
      <c r="B24" s="212" t="s">
        <v>810</v>
      </c>
      <c r="C24" s="430">
        <f t="shared" si="2"/>
        <v>117000</v>
      </c>
      <c r="D24" s="425">
        <v>59000.0</v>
      </c>
      <c r="E24" s="636"/>
      <c r="F24" s="667"/>
      <c r="G24" s="642"/>
      <c r="H24" s="8"/>
      <c r="I24" s="92"/>
    </row>
    <row r="25" ht="16.5" customHeight="1">
      <c r="A25" s="178" t="s">
        <v>811</v>
      </c>
      <c r="B25" s="208" t="s">
        <v>812</v>
      </c>
      <c r="C25" s="423">
        <f t="shared" si="2"/>
        <v>157000</v>
      </c>
      <c r="D25" s="416">
        <v>79000.0</v>
      </c>
      <c r="E25" s="282"/>
      <c r="F25" s="672"/>
      <c r="G25" s="642"/>
      <c r="H25" s="8"/>
      <c r="I25" s="92"/>
    </row>
    <row r="26" ht="16.5" customHeight="1">
      <c r="A26" s="28"/>
      <c r="B26" s="212" t="s">
        <v>813</v>
      </c>
      <c r="C26" s="423">
        <f t="shared" si="2"/>
        <v>157000</v>
      </c>
      <c r="D26" s="425">
        <v>79000.0</v>
      </c>
      <c r="E26" s="636"/>
      <c r="F26" s="667"/>
      <c r="G26" s="642"/>
      <c r="H26" s="8"/>
      <c r="I26" s="92"/>
    </row>
    <row r="27" ht="16.5" customHeight="1">
      <c r="A27" s="28"/>
      <c r="B27" s="212" t="s">
        <v>814</v>
      </c>
      <c r="C27" s="423">
        <f t="shared" si="2"/>
        <v>357000</v>
      </c>
      <c r="D27" s="425">
        <v>179000.0</v>
      </c>
      <c r="E27" s="636"/>
      <c r="F27" s="667"/>
      <c r="G27" s="642"/>
      <c r="H27" s="8"/>
      <c r="I27" s="92"/>
    </row>
    <row r="28" ht="16.5" customHeight="1">
      <c r="A28" s="28"/>
      <c r="B28" s="212" t="s">
        <v>815</v>
      </c>
      <c r="C28" s="423">
        <f t="shared" si="2"/>
        <v>77000</v>
      </c>
      <c r="D28" s="425">
        <v>39000.0</v>
      </c>
      <c r="E28" s="636"/>
      <c r="F28" s="667"/>
      <c r="G28" s="642"/>
      <c r="H28" s="8"/>
      <c r="I28" s="92"/>
    </row>
    <row r="29" ht="16.5" customHeight="1">
      <c r="A29" s="28"/>
      <c r="B29" s="214" t="s">
        <v>816</v>
      </c>
      <c r="C29" s="430">
        <f t="shared" si="2"/>
        <v>377000</v>
      </c>
      <c r="D29" s="425">
        <v>189000.0</v>
      </c>
      <c r="E29" s="636"/>
      <c r="F29" s="667"/>
      <c r="G29" s="642"/>
      <c r="H29" s="8"/>
      <c r="I29" s="92"/>
    </row>
    <row r="30" ht="16.5" customHeight="1">
      <c r="A30" s="189" t="s">
        <v>817</v>
      </c>
      <c r="B30" s="495" t="s">
        <v>818</v>
      </c>
      <c r="C30" s="423">
        <f t="shared" si="2"/>
        <v>55000</v>
      </c>
      <c r="D30" s="673">
        <v>28000.0</v>
      </c>
      <c r="E30" s="282"/>
      <c r="F30" s="624"/>
      <c r="G30" s="642"/>
      <c r="H30" s="8"/>
      <c r="I30" s="92"/>
    </row>
    <row r="31" ht="16.5" customHeight="1">
      <c r="A31" s="25"/>
      <c r="B31" s="523" t="s">
        <v>704</v>
      </c>
      <c r="C31" s="423">
        <f t="shared" si="2"/>
        <v>117000</v>
      </c>
      <c r="D31" s="475">
        <v>59000.0</v>
      </c>
      <c r="E31" s="636"/>
      <c r="F31" s="636"/>
      <c r="G31" s="642"/>
      <c r="H31" s="8"/>
      <c r="I31" s="92"/>
    </row>
    <row r="32" ht="16.5" customHeight="1">
      <c r="A32" s="25"/>
      <c r="B32" s="518" t="s">
        <v>819</v>
      </c>
      <c r="C32" s="423">
        <f t="shared" si="2"/>
        <v>97000</v>
      </c>
      <c r="D32" s="597">
        <v>49000.0</v>
      </c>
      <c r="E32" s="667"/>
      <c r="F32" s="636"/>
      <c r="G32" s="642"/>
      <c r="H32" s="8"/>
      <c r="I32" s="92"/>
    </row>
    <row r="33" ht="16.5" customHeight="1">
      <c r="A33" s="25"/>
      <c r="B33" s="518" t="s">
        <v>820</v>
      </c>
      <c r="C33" s="423">
        <f t="shared" si="2"/>
        <v>157000</v>
      </c>
      <c r="D33" s="597">
        <v>79000.0</v>
      </c>
      <c r="E33" s="533"/>
      <c r="F33" s="636"/>
      <c r="G33" s="642"/>
      <c r="H33" s="8"/>
      <c r="I33" s="92"/>
    </row>
    <row r="34" ht="16.5" customHeight="1">
      <c r="A34" s="25"/>
      <c r="B34" s="523" t="s">
        <v>626</v>
      </c>
      <c r="C34" s="423">
        <f t="shared" si="2"/>
        <v>257000</v>
      </c>
      <c r="D34" s="475">
        <v>129000.0</v>
      </c>
      <c r="E34" s="636"/>
      <c r="F34" s="624"/>
      <c r="G34" s="642"/>
      <c r="H34" s="8"/>
      <c r="I34" s="92"/>
    </row>
    <row r="35" ht="16.5" customHeight="1">
      <c r="A35" s="25"/>
      <c r="B35" s="518" t="s">
        <v>705</v>
      </c>
      <c r="C35" s="423">
        <f t="shared" si="2"/>
        <v>257000</v>
      </c>
      <c r="D35" s="597">
        <v>129000.0</v>
      </c>
      <c r="E35" s="216"/>
      <c r="F35" s="636"/>
      <c r="G35" s="642"/>
      <c r="H35" s="8"/>
      <c r="I35" s="92"/>
    </row>
    <row r="36" ht="16.5" customHeight="1">
      <c r="A36" s="11"/>
      <c r="B36" s="519" t="s">
        <v>821</v>
      </c>
      <c r="C36" s="430">
        <f t="shared" si="2"/>
        <v>337000</v>
      </c>
      <c r="D36" s="637">
        <v>169000.0</v>
      </c>
      <c r="E36" s="674"/>
      <c r="F36" s="636"/>
      <c r="G36" s="642"/>
      <c r="H36" s="92"/>
      <c r="I36" s="92"/>
    </row>
    <row r="37" ht="16.5" customHeight="1">
      <c r="A37" s="92"/>
      <c r="B37" s="92"/>
      <c r="C37" s="92"/>
      <c r="D37" s="408"/>
      <c r="E37" s="216"/>
      <c r="F37" s="421"/>
      <c r="G37" s="642"/>
      <c r="H37" s="92"/>
      <c r="I37" s="92"/>
    </row>
    <row r="38" ht="16.5" customHeight="1">
      <c r="A38" s="92"/>
      <c r="B38" s="92"/>
      <c r="C38" s="92"/>
      <c r="D38" s="92"/>
      <c r="E38" s="216"/>
      <c r="F38" s="216"/>
      <c r="G38" s="642"/>
      <c r="H38" s="92"/>
      <c r="I38" s="92"/>
    </row>
    <row r="39" ht="16.5" customHeight="1">
      <c r="A39" s="92"/>
      <c r="B39" s="8"/>
      <c r="C39" s="92"/>
      <c r="D39" s="626"/>
      <c r="E39" s="651"/>
      <c r="F39" s="216"/>
      <c r="G39" s="642"/>
      <c r="H39" s="92"/>
      <c r="I39" s="92"/>
    </row>
    <row r="40" ht="16.5" customHeight="1">
      <c r="A40" s="92"/>
      <c r="B40" s="92"/>
      <c r="C40" s="92"/>
      <c r="D40" s="92"/>
      <c r="E40" s="216"/>
      <c r="F40" s="216"/>
      <c r="G40" s="642"/>
      <c r="H40" s="92"/>
      <c r="I40" s="92"/>
    </row>
    <row r="41" ht="16.5" customHeight="1">
      <c r="A41" s="92"/>
      <c r="B41" s="92"/>
      <c r="C41" s="92"/>
      <c r="D41" s="626"/>
      <c r="E41" s="641"/>
      <c r="F41" s="216"/>
      <c r="G41" s="642"/>
      <c r="H41" s="92"/>
      <c r="I41" s="92"/>
    </row>
    <row r="42" ht="16.5" customHeight="1">
      <c r="A42" s="92"/>
      <c r="B42" s="92"/>
      <c r="C42" s="92"/>
      <c r="D42" s="626"/>
      <c r="E42" s="641"/>
      <c r="F42" s="216"/>
      <c r="G42" s="642"/>
      <c r="H42" s="92"/>
      <c r="I42" s="92"/>
    </row>
    <row r="43" ht="16.5" customHeight="1">
      <c r="A43" s="92"/>
      <c r="B43" s="92"/>
      <c r="C43" s="92"/>
      <c r="D43" s="92"/>
      <c r="E43" s="216"/>
      <c r="F43" s="216"/>
      <c r="G43" s="642"/>
      <c r="H43" s="92"/>
      <c r="I43" s="92"/>
    </row>
    <row r="44" ht="16.5" customHeight="1">
      <c r="A44" s="92"/>
      <c r="B44" s="92"/>
      <c r="C44" s="92"/>
      <c r="D44" s="92"/>
      <c r="E44" s="641"/>
      <c r="F44" s="216"/>
      <c r="G44" s="642"/>
      <c r="H44" s="92"/>
      <c r="I44" s="92"/>
    </row>
    <row r="45" ht="16.5" customHeight="1">
      <c r="A45" s="92"/>
      <c r="B45" s="92"/>
      <c r="C45" s="92"/>
      <c r="D45" s="92"/>
      <c r="E45" s="641"/>
      <c r="F45" s="216"/>
      <c r="G45" s="642"/>
      <c r="H45" s="92"/>
      <c r="I45" s="92"/>
    </row>
    <row r="46" ht="16.5" customHeight="1">
      <c r="A46" s="92"/>
      <c r="B46" s="92"/>
      <c r="C46" s="92"/>
      <c r="D46" s="92"/>
      <c r="E46" s="641"/>
      <c r="F46" s="216"/>
      <c r="G46" s="642"/>
      <c r="H46" s="92"/>
      <c r="I46" s="92"/>
    </row>
    <row r="47" ht="16.5" customHeight="1">
      <c r="A47" s="92"/>
      <c r="B47" s="92"/>
      <c r="C47" s="92"/>
      <c r="D47" s="92"/>
      <c r="E47" s="216"/>
      <c r="F47" s="216"/>
      <c r="G47" s="642"/>
      <c r="H47" s="92"/>
      <c r="I47" s="92"/>
    </row>
    <row r="48" ht="16.5" customHeight="1">
      <c r="A48" s="92"/>
      <c r="B48" s="92"/>
      <c r="C48" s="92"/>
      <c r="D48" s="92"/>
      <c r="E48" s="216"/>
      <c r="F48" s="216"/>
      <c r="G48" s="642"/>
      <c r="H48" s="92"/>
      <c r="I48" s="92"/>
    </row>
    <row r="49" ht="16.5" customHeight="1">
      <c r="A49" s="92"/>
      <c r="B49" s="92"/>
      <c r="C49" s="92"/>
      <c r="D49" s="92"/>
      <c r="E49" s="216"/>
      <c r="F49" s="216"/>
      <c r="G49" s="642"/>
      <c r="H49" s="92"/>
      <c r="I49" s="92"/>
    </row>
    <row r="50" ht="16.5" customHeight="1">
      <c r="A50" s="92"/>
      <c r="B50" s="92"/>
      <c r="C50" s="92"/>
      <c r="D50" s="92"/>
      <c r="E50" s="216"/>
      <c r="F50" s="216"/>
      <c r="G50" s="642"/>
      <c r="H50" s="92"/>
      <c r="I50" s="92"/>
    </row>
    <row r="51" ht="16.5" customHeight="1">
      <c r="A51" s="92"/>
      <c r="B51" s="92"/>
      <c r="C51" s="92"/>
      <c r="D51" s="92"/>
      <c r="E51" s="216"/>
      <c r="F51" s="216"/>
      <c r="G51" s="642"/>
      <c r="H51" s="92"/>
      <c r="I51" s="92"/>
    </row>
    <row r="52" ht="16.5" customHeight="1">
      <c r="A52" s="92"/>
      <c r="B52" s="92"/>
      <c r="C52" s="92"/>
      <c r="D52" s="92"/>
      <c r="E52" s="216"/>
      <c r="F52" s="216"/>
      <c r="G52" s="642"/>
      <c r="H52" s="92"/>
      <c r="I52" s="92"/>
    </row>
    <row r="53" ht="16.5" customHeight="1">
      <c r="A53" s="92"/>
      <c r="B53" s="92"/>
      <c r="C53" s="92"/>
      <c r="D53" s="92"/>
      <c r="E53" s="216"/>
      <c r="F53" s="216"/>
      <c r="G53" s="642"/>
      <c r="H53" s="92"/>
      <c r="I53" s="92"/>
    </row>
    <row r="54" ht="16.5" customHeight="1">
      <c r="A54" s="92"/>
      <c r="B54" s="92"/>
      <c r="C54" s="92"/>
      <c r="D54" s="92"/>
      <c r="E54" s="216"/>
      <c r="F54" s="216"/>
      <c r="G54" s="642"/>
      <c r="H54" s="92"/>
      <c r="I54" s="92"/>
    </row>
    <row r="55" ht="16.5" customHeight="1">
      <c r="A55" s="92"/>
      <c r="B55" s="92"/>
      <c r="C55" s="92"/>
      <c r="D55" s="92"/>
      <c r="E55" s="216"/>
      <c r="F55" s="216"/>
      <c r="G55" s="642"/>
      <c r="H55" s="92"/>
      <c r="I55" s="92"/>
    </row>
    <row r="56" ht="16.5" customHeight="1">
      <c r="A56" s="92"/>
      <c r="B56" s="92"/>
      <c r="C56" s="92"/>
      <c r="D56" s="92"/>
      <c r="E56" s="216"/>
      <c r="F56" s="216"/>
      <c r="G56" s="642"/>
      <c r="H56" s="92"/>
      <c r="I56" s="92"/>
    </row>
    <row r="57" ht="16.5" customHeight="1">
      <c r="A57" s="92"/>
      <c r="B57" s="92"/>
      <c r="C57" s="92"/>
      <c r="D57" s="92"/>
      <c r="E57" s="216"/>
      <c r="F57" s="216"/>
      <c r="G57" s="642"/>
      <c r="H57" s="92"/>
      <c r="I57" s="92"/>
    </row>
    <row r="58" ht="16.5" customHeight="1">
      <c r="A58" s="92"/>
      <c r="B58" s="92"/>
      <c r="C58" s="92"/>
      <c r="D58" s="92"/>
      <c r="E58" s="216"/>
      <c r="F58" s="216"/>
      <c r="G58" s="642"/>
      <c r="H58" s="92"/>
      <c r="I58" s="92"/>
    </row>
    <row r="59" ht="16.5" customHeight="1">
      <c r="A59" s="92"/>
      <c r="B59" s="92"/>
      <c r="C59" s="92"/>
      <c r="D59" s="92"/>
      <c r="E59" s="216"/>
      <c r="F59" s="216"/>
      <c r="G59" s="642"/>
      <c r="H59" s="92"/>
      <c r="I59" s="92"/>
    </row>
    <row r="60" ht="16.5" customHeight="1">
      <c r="A60" s="92"/>
      <c r="B60" s="92"/>
      <c r="C60" s="92"/>
      <c r="D60" s="92"/>
      <c r="E60" s="216"/>
      <c r="F60" s="216"/>
      <c r="G60" s="642"/>
      <c r="H60" s="92"/>
      <c r="I60" s="92"/>
    </row>
    <row r="61" ht="16.5" customHeight="1">
      <c r="A61" s="92"/>
      <c r="B61" s="92"/>
      <c r="C61" s="92"/>
      <c r="D61" s="92"/>
      <c r="E61" s="216"/>
      <c r="F61" s="216"/>
      <c r="G61" s="642"/>
      <c r="H61" s="92"/>
      <c r="I61" s="92"/>
    </row>
    <row r="62" ht="16.5" customHeight="1">
      <c r="A62" s="92"/>
      <c r="B62" s="92"/>
      <c r="C62" s="92"/>
      <c r="D62" s="92"/>
      <c r="E62" s="216"/>
      <c r="F62" s="216"/>
      <c r="G62" s="642"/>
      <c r="H62" s="92"/>
      <c r="I62" s="92"/>
    </row>
    <row r="63" ht="16.5" customHeight="1">
      <c r="A63" s="92"/>
      <c r="B63" s="92"/>
      <c r="C63" s="92"/>
      <c r="D63" s="92"/>
      <c r="E63" s="216"/>
      <c r="F63" s="216"/>
      <c r="G63" s="642"/>
      <c r="H63" s="92"/>
      <c r="I63" s="92"/>
    </row>
    <row r="64" ht="16.5" customHeight="1">
      <c r="A64" s="92"/>
      <c r="B64" s="92"/>
      <c r="C64" s="92"/>
      <c r="D64" s="92"/>
      <c r="E64" s="216"/>
      <c r="F64" s="216"/>
      <c r="G64" s="642"/>
      <c r="H64" s="92"/>
      <c r="I64" s="92"/>
    </row>
    <row r="65" ht="16.5" customHeight="1">
      <c r="A65" s="92"/>
      <c r="B65" s="92"/>
      <c r="C65" s="92"/>
      <c r="D65" s="92"/>
      <c r="E65" s="216"/>
      <c r="F65" s="216"/>
      <c r="G65" s="642"/>
      <c r="H65" s="92"/>
      <c r="I65" s="92"/>
    </row>
    <row r="66" ht="16.5" customHeight="1">
      <c r="A66" s="92"/>
      <c r="B66" s="92"/>
      <c r="C66" s="92"/>
      <c r="D66" s="92"/>
      <c r="E66" s="216"/>
      <c r="F66" s="216"/>
      <c r="G66" s="642"/>
      <c r="H66" s="92"/>
      <c r="I66" s="92"/>
    </row>
    <row r="67" ht="16.5" customHeight="1">
      <c r="A67" s="92"/>
      <c r="B67" s="92"/>
      <c r="C67" s="92"/>
      <c r="D67" s="92"/>
      <c r="E67" s="216"/>
      <c r="F67" s="216"/>
      <c r="G67" s="642"/>
      <c r="H67" s="92"/>
      <c r="I67" s="92"/>
    </row>
    <row r="68" ht="16.5" customHeight="1">
      <c r="A68" s="92"/>
      <c r="B68" s="92"/>
      <c r="C68" s="92"/>
      <c r="D68" s="92"/>
      <c r="E68" s="216"/>
      <c r="F68" s="216"/>
      <c r="G68" s="642"/>
      <c r="H68" s="92"/>
      <c r="I68" s="92"/>
    </row>
    <row r="69" ht="16.5" customHeight="1">
      <c r="A69" s="92"/>
      <c r="B69" s="92"/>
      <c r="C69" s="92"/>
      <c r="D69" s="92"/>
      <c r="E69" s="216"/>
      <c r="F69" s="216"/>
      <c r="G69" s="642"/>
      <c r="H69" s="92"/>
      <c r="I69" s="92"/>
    </row>
    <row r="70" ht="16.5" customHeight="1">
      <c r="A70" s="92"/>
      <c r="B70" s="92"/>
      <c r="C70" s="92"/>
      <c r="D70" s="92"/>
      <c r="E70" s="216"/>
      <c r="F70" s="216"/>
      <c r="G70" s="642"/>
      <c r="H70" s="92"/>
      <c r="I70" s="92"/>
    </row>
    <row r="71" ht="16.5" customHeight="1">
      <c r="A71" s="92"/>
      <c r="B71" s="92"/>
      <c r="C71" s="92"/>
      <c r="D71" s="92"/>
      <c r="E71" s="216"/>
      <c r="F71" s="216"/>
      <c r="G71" s="642"/>
      <c r="H71" s="92"/>
      <c r="I71" s="92"/>
    </row>
    <row r="72" ht="16.5" customHeight="1">
      <c r="A72" s="92"/>
      <c r="B72" s="92"/>
      <c r="C72" s="92"/>
      <c r="D72" s="92"/>
      <c r="E72" s="216"/>
      <c r="F72" s="216"/>
      <c r="G72" s="642"/>
      <c r="H72" s="92"/>
      <c r="I72" s="92"/>
    </row>
    <row r="73" ht="16.5" customHeight="1">
      <c r="A73" s="92"/>
      <c r="B73" s="92"/>
      <c r="C73" s="92"/>
      <c r="D73" s="92"/>
      <c r="E73" s="216"/>
      <c r="F73" s="216"/>
      <c r="G73" s="642"/>
      <c r="H73" s="92"/>
      <c r="I73" s="92"/>
    </row>
    <row r="74" ht="16.5" customHeight="1">
      <c r="A74" s="92"/>
      <c r="B74" s="92"/>
      <c r="C74" s="92"/>
      <c r="D74" s="92"/>
      <c r="E74" s="216"/>
      <c r="F74" s="216"/>
      <c r="G74" s="642"/>
      <c r="H74" s="92"/>
      <c r="I74" s="92"/>
    </row>
    <row r="75" ht="16.5" customHeight="1">
      <c r="A75" s="92"/>
      <c r="B75" s="92"/>
      <c r="C75" s="92"/>
      <c r="D75" s="92"/>
      <c r="E75" s="216"/>
      <c r="F75" s="216"/>
      <c r="G75" s="642"/>
      <c r="H75" s="92"/>
      <c r="I75" s="92"/>
    </row>
    <row r="76" ht="16.5" customHeight="1">
      <c r="A76" s="92"/>
      <c r="B76" s="92"/>
      <c r="C76" s="92"/>
      <c r="D76" s="92"/>
      <c r="E76" s="216"/>
      <c r="F76" s="216"/>
      <c r="G76" s="642"/>
      <c r="H76" s="92"/>
      <c r="I76" s="92"/>
    </row>
    <row r="77" ht="16.5" customHeight="1">
      <c r="A77" s="92"/>
      <c r="B77" s="92"/>
      <c r="C77" s="92"/>
      <c r="D77" s="92"/>
      <c r="E77" s="216"/>
      <c r="F77" s="216"/>
      <c r="G77" s="642"/>
      <c r="H77" s="92"/>
      <c r="I77" s="92"/>
    </row>
    <row r="78" ht="16.5" customHeight="1">
      <c r="A78" s="92"/>
      <c r="B78" s="92"/>
      <c r="C78" s="92"/>
      <c r="D78" s="92"/>
      <c r="E78" s="216"/>
      <c r="F78" s="216"/>
      <c r="G78" s="642"/>
      <c r="H78" s="92"/>
      <c r="I78" s="92"/>
    </row>
    <row r="79" ht="16.5" customHeight="1">
      <c r="A79" s="92"/>
      <c r="B79" s="92"/>
      <c r="C79" s="92"/>
      <c r="D79" s="92"/>
      <c r="E79" s="216"/>
      <c r="F79" s="216"/>
      <c r="G79" s="642"/>
      <c r="H79" s="92"/>
      <c r="I79" s="92"/>
    </row>
    <row r="80" ht="16.5" customHeight="1">
      <c r="A80" s="92"/>
      <c r="B80" s="92"/>
      <c r="C80" s="92"/>
      <c r="D80" s="92"/>
      <c r="E80" s="216"/>
      <c r="F80" s="216"/>
      <c r="G80" s="642"/>
      <c r="H80" s="92"/>
      <c r="I80" s="92"/>
    </row>
    <row r="81" ht="16.5" customHeight="1">
      <c r="A81" s="92"/>
      <c r="B81" s="92"/>
      <c r="C81" s="92"/>
      <c r="D81" s="92"/>
      <c r="E81" s="216"/>
      <c r="F81" s="216"/>
      <c r="G81" s="642"/>
      <c r="H81" s="92"/>
      <c r="I81" s="92"/>
    </row>
    <row r="82" ht="16.5" customHeight="1">
      <c r="A82" s="92"/>
      <c r="B82" s="92"/>
      <c r="C82" s="92"/>
      <c r="D82" s="92"/>
      <c r="E82" s="216"/>
      <c r="F82" s="216"/>
      <c r="G82" s="642"/>
      <c r="H82" s="92"/>
      <c r="I82" s="92"/>
    </row>
    <row r="83" ht="16.5" customHeight="1">
      <c r="A83" s="92"/>
      <c r="B83" s="92"/>
      <c r="C83" s="92"/>
      <c r="D83" s="92"/>
      <c r="E83" s="216"/>
      <c r="F83" s="216"/>
      <c r="G83" s="642"/>
      <c r="H83" s="92"/>
      <c r="I83" s="92"/>
    </row>
    <row r="84" ht="16.5" customHeight="1">
      <c r="A84" s="92"/>
      <c r="B84" s="92"/>
      <c r="C84" s="92"/>
      <c r="D84" s="92"/>
      <c r="E84" s="216"/>
      <c r="F84" s="216"/>
      <c r="G84" s="642"/>
      <c r="H84" s="92"/>
      <c r="I84" s="92"/>
    </row>
    <row r="85" ht="16.5" customHeight="1">
      <c r="A85" s="92"/>
      <c r="B85" s="92"/>
      <c r="C85" s="92"/>
      <c r="D85" s="92"/>
      <c r="E85" s="216"/>
      <c r="F85" s="216"/>
      <c r="G85" s="642"/>
      <c r="H85" s="92"/>
      <c r="I85" s="92"/>
    </row>
    <row r="86" ht="16.5" customHeight="1">
      <c r="A86" s="92"/>
      <c r="B86" s="92"/>
      <c r="C86" s="92"/>
      <c r="D86" s="92"/>
      <c r="E86" s="216"/>
      <c r="F86" s="216"/>
      <c r="G86" s="642"/>
      <c r="H86" s="92"/>
      <c r="I86" s="92"/>
    </row>
    <row r="87" ht="16.5" customHeight="1">
      <c r="A87" s="92"/>
      <c r="B87" s="92"/>
      <c r="C87" s="92"/>
      <c r="D87" s="92"/>
      <c r="E87" s="216"/>
      <c r="F87" s="216"/>
      <c r="G87" s="642"/>
      <c r="H87" s="92"/>
      <c r="I87" s="92"/>
    </row>
    <row r="88" ht="16.5" customHeight="1">
      <c r="A88" s="92"/>
      <c r="B88" s="92"/>
      <c r="C88" s="92"/>
      <c r="D88" s="92"/>
      <c r="E88" s="216"/>
      <c r="F88" s="216"/>
      <c r="G88" s="642"/>
      <c r="H88" s="92"/>
      <c r="I88" s="92"/>
    </row>
    <row r="89" ht="16.5" customHeight="1">
      <c r="A89" s="92"/>
      <c r="B89" s="92"/>
      <c r="C89" s="92"/>
      <c r="D89" s="92"/>
      <c r="E89" s="216"/>
      <c r="F89" s="216"/>
      <c r="G89" s="642"/>
      <c r="H89" s="92"/>
      <c r="I89" s="92"/>
    </row>
    <row r="90" ht="16.5" customHeight="1">
      <c r="A90" s="92"/>
      <c r="B90" s="92"/>
      <c r="C90" s="92"/>
      <c r="D90" s="92"/>
      <c r="E90" s="216"/>
      <c r="F90" s="216"/>
      <c r="G90" s="642"/>
      <c r="H90" s="92"/>
      <c r="I90" s="92"/>
    </row>
    <row r="91" ht="16.5" customHeight="1">
      <c r="A91" s="92"/>
      <c r="B91" s="92"/>
      <c r="C91" s="92"/>
      <c r="D91" s="92"/>
      <c r="E91" s="216"/>
      <c r="F91" s="216"/>
      <c r="G91" s="642"/>
      <c r="H91" s="92"/>
      <c r="I91" s="92"/>
    </row>
    <row r="92" ht="16.5" customHeight="1">
      <c r="A92" s="92"/>
      <c r="B92" s="92"/>
      <c r="C92" s="92"/>
      <c r="D92" s="92"/>
      <c r="E92" s="216"/>
      <c r="F92" s="216"/>
      <c r="G92" s="642"/>
      <c r="H92" s="92"/>
      <c r="I92" s="92"/>
    </row>
    <row r="93" ht="16.5" customHeight="1">
      <c r="A93" s="92"/>
      <c r="B93" s="92"/>
      <c r="C93" s="92"/>
      <c r="D93" s="92"/>
      <c r="E93" s="216"/>
      <c r="F93" s="216"/>
      <c r="G93" s="642"/>
      <c r="H93" s="92"/>
      <c r="I93" s="92"/>
    </row>
    <row r="94" ht="16.5" customHeight="1">
      <c r="A94" s="92"/>
      <c r="B94" s="92"/>
      <c r="C94" s="92"/>
      <c r="D94" s="92"/>
      <c r="E94" s="216"/>
      <c r="F94" s="216"/>
      <c r="G94" s="642"/>
      <c r="H94" s="92"/>
      <c r="I94" s="92"/>
    </row>
    <row r="95" ht="16.5" customHeight="1">
      <c r="A95" s="92"/>
      <c r="B95" s="92"/>
      <c r="C95" s="92"/>
      <c r="D95" s="92"/>
      <c r="E95" s="216"/>
      <c r="F95" s="216"/>
      <c r="G95" s="642"/>
      <c r="H95" s="92"/>
      <c r="I95" s="92"/>
    </row>
    <row r="96" ht="16.5" customHeight="1">
      <c r="A96" s="92"/>
      <c r="B96" s="92"/>
      <c r="C96" s="92"/>
      <c r="D96" s="92"/>
      <c r="E96" s="216"/>
      <c r="F96" s="216"/>
      <c r="G96" s="642"/>
      <c r="H96" s="92"/>
      <c r="I96" s="92"/>
    </row>
    <row r="97" ht="16.5" customHeight="1">
      <c r="A97" s="92"/>
      <c r="B97" s="92"/>
      <c r="C97" s="92"/>
      <c r="D97" s="92"/>
      <c r="E97" s="216"/>
      <c r="F97" s="216"/>
      <c r="G97" s="642"/>
      <c r="H97" s="92"/>
      <c r="I97" s="92"/>
    </row>
    <row r="98" ht="16.5" customHeight="1">
      <c r="A98" s="92"/>
      <c r="B98" s="92"/>
      <c r="C98" s="92"/>
      <c r="D98" s="92"/>
      <c r="E98" s="216"/>
      <c r="F98" s="216"/>
      <c r="G98" s="642"/>
      <c r="H98" s="92"/>
      <c r="I98" s="92"/>
    </row>
    <row r="99" ht="16.5" customHeight="1">
      <c r="A99" s="92"/>
      <c r="B99" s="92"/>
      <c r="C99" s="92"/>
      <c r="D99" s="92"/>
      <c r="E99" s="216"/>
      <c r="F99" s="216"/>
      <c r="G99" s="642"/>
      <c r="H99" s="92"/>
      <c r="I99" s="92"/>
    </row>
    <row r="100" ht="16.5" customHeight="1">
      <c r="A100" s="92"/>
      <c r="B100" s="92"/>
      <c r="C100" s="92"/>
      <c r="D100" s="92"/>
      <c r="E100" s="216"/>
      <c r="F100" s="216"/>
      <c r="G100" s="642"/>
      <c r="H100" s="92"/>
      <c r="I100" s="92"/>
    </row>
    <row r="101" ht="16.5" customHeight="1">
      <c r="A101" s="92"/>
      <c r="B101" s="92"/>
      <c r="C101" s="92"/>
      <c r="D101" s="92"/>
      <c r="E101" s="216"/>
      <c r="F101" s="216"/>
      <c r="G101" s="642"/>
      <c r="H101" s="92"/>
      <c r="I101" s="92"/>
    </row>
    <row r="102" ht="16.5" customHeight="1">
      <c r="A102" s="92"/>
      <c r="B102" s="92"/>
      <c r="C102" s="92"/>
      <c r="D102" s="92"/>
      <c r="E102" s="216"/>
      <c r="F102" s="216"/>
      <c r="G102" s="642"/>
      <c r="H102" s="92"/>
      <c r="I102" s="92"/>
    </row>
    <row r="103" ht="16.5" customHeight="1">
      <c r="A103" s="92"/>
      <c r="B103" s="92"/>
      <c r="C103" s="92"/>
      <c r="D103" s="92"/>
      <c r="E103" s="216"/>
      <c r="F103" s="216"/>
      <c r="G103" s="642"/>
      <c r="H103" s="92"/>
      <c r="I103" s="92"/>
    </row>
    <row r="104" ht="16.5" customHeight="1">
      <c r="A104" s="92"/>
      <c r="B104" s="92"/>
      <c r="C104" s="92"/>
      <c r="D104" s="92"/>
      <c r="E104" s="216"/>
      <c r="F104" s="216"/>
      <c r="G104" s="642"/>
      <c r="H104" s="92"/>
      <c r="I104" s="92"/>
    </row>
    <row r="105" ht="16.5" customHeight="1">
      <c r="A105" s="92"/>
      <c r="B105" s="92"/>
      <c r="C105" s="92"/>
      <c r="D105" s="92"/>
      <c r="E105" s="216"/>
      <c r="F105" s="216"/>
      <c r="G105" s="642"/>
      <c r="H105" s="92"/>
      <c r="I105" s="92"/>
    </row>
    <row r="106" ht="16.5" customHeight="1">
      <c r="A106" s="92"/>
      <c r="B106" s="92"/>
      <c r="C106" s="92"/>
      <c r="D106" s="92"/>
      <c r="E106" s="216"/>
      <c r="F106" s="216"/>
      <c r="G106" s="642"/>
      <c r="H106" s="92"/>
      <c r="I106" s="92"/>
    </row>
    <row r="107" ht="16.5" customHeight="1">
      <c r="A107" s="92"/>
      <c r="B107" s="92"/>
      <c r="C107" s="92"/>
      <c r="D107" s="92"/>
      <c r="E107" s="216"/>
      <c r="F107" s="216"/>
      <c r="G107" s="642"/>
      <c r="H107" s="92"/>
      <c r="I107" s="92"/>
    </row>
    <row r="108" ht="16.5" customHeight="1">
      <c r="A108" s="92"/>
      <c r="B108" s="92"/>
      <c r="C108" s="92"/>
      <c r="D108" s="92"/>
      <c r="E108" s="216"/>
      <c r="F108" s="216"/>
      <c r="G108" s="642"/>
      <c r="H108" s="92"/>
      <c r="I108" s="92"/>
    </row>
    <row r="109" ht="16.5" customHeight="1">
      <c r="A109" s="92"/>
      <c r="B109" s="92"/>
      <c r="C109" s="92"/>
      <c r="D109" s="92"/>
      <c r="E109" s="216"/>
      <c r="F109" s="216"/>
      <c r="G109" s="642"/>
      <c r="H109" s="92"/>
      <c r="I109" s="92"/>
    </row>
    <row r="110" ht="16.5" customHeight="1">
      <c r="A110" s="92"/>
      <c r="B110" s="92"/>
      <c r="C110" s="92"/>
      <c r="D110" s="92"/>
      <c r="E110" s="216"/>
      <c r="F110" s="216"/>
      <c r="G110" s="642"/>
      <c r="H110" s="92"/>
      <c r="I110" s="92"/>
    </row>
    <row r="111" ht="16.5" customHeight="1">
      <c r="A111" s="92"/>
      <c r="B111" s="92"/>
      <c r="C111" s="92"/>
      <c r="D111" s="92"/>
      <c r="E111" s="216"/>
      <c r="F111" s="216"/>
      <c r="G111" s="642"/>
      <c r="H111" s="92"/>
      <c r="I111" s="92"/>
    </row>
    <row r="112" ht="16.5" customHeight="1">
      <c r="A112" s="92"/>
      <c r="B112" s="92"/>
      <c r="C112" s="92"/>
      <c r="D112" s="92"/>
      <c r="E112" s="216"/>
      <c r="F112" s="216"/>
      <c r="G112" s="642"/>
      <c r="H112" s="92"/>
      <c r="I112" s="92"/>
    </row>
    <row r="113" ht="16.5" customHeight="1">
      <c r="A113" s="92"/>
      <c r="B113" s="92"/>
      <c r="C113" s="92"/>
      <c r="D113" s="92"/>
      <c r="E113" s="216"/>
      <c r="F113" s="216"/>
      <c r="G113" s="642"/>
      <c r="H113" s="92"/>
      <c r="I113" s="92"/>
    </row>
    <row r="114" ht="16.5" customHeight="1">
      <c r="A114" s="92"/>
      <c r="B114" s="92"/>
      <c r="C114" s="92"/>
      <c r="D114" s="92"/>
      <c r="E114" s="216"/>
      <c r="F114" s="216"/>
      <c r="G114" s="642"/>
      <c r="H114" s="92"/>
      <c r="I114" s="92"/>
    </row>
    <row r="115" ht="16.5" customHeight="1">
      <c r="A115" s="92"/>
      <c r="B115" s="92"/>
      <c r="C115" s="92"/>
      <c r="D115" s="92"/>
      <c r="E115" s="216"/>
      <c r="F115" s="216"/>
      <c r="G115" s="642"/>
      <c r="H115" s="92"/>
      <c r="I115" s="92"/>
    </row>
    <row r="116" ht="16.5" customHeight="1">
      <c r="A116" s="92"/>
      <c r="B116" s="92"/>
      <c r="C116" s="92"/>
      <c r="D116" s="92"/>
      <c r="E116" s="216"/>
      <c r="F116" s="216"/>
      <c r="G116" s="642"/>
      <c r="H116" s="92"/>
      <c r="I116" s="92"/>
    </row>
    <row r="117" ht="16.5" customHeight="1">
      <c r="A117" s="92"/>
      <c r="B117" s="92"/>
      <c r="C117" s="92"/>
      <c r="D117" s="92"/>
      <c r="E117" s="216"/>
      <c r="F117" s="216"/>
      <c r="G117" s="642"/>
      <c r="H117" s="92"/>
      <c r="I117" s="92"/>
    </row>
    <row r="118" ht="16.5" customHeight="1">
      <c r="A118" s="92"/>
      <c r="B118" s="92"/>
      <c r="C118" s="92"/>
      <c r="D118" s="92"/>
      <c r="E118" s="216"/>
      <c r="F118" s="216"/>
      <c r="G118" s="642"/>
      <c r="H118" s="92"/>
      <c r="I118" s="92"/>
    </row>
    <row r="119" ht="16.5" customHeight="1">
      <c r="A119" s="92"/>
      <c r="B119" s="92"/>
      <c r="C119" s="92"/>
      <c r="D119" s="92"/>
      <c r="E119" s="216"/>
      <c r="F119" s="216"/>
      <c r="G119" s="642"/>
      <c r="H119" s="92"/>
      <c r="I119" s="92"/>
    </row>
    <row r="120" ht="16.5" customHeight="1">
      <c r="A120" s="92"/>
      <c r="B120" s="92"/>
      <c r="C120" s="92"/>
      <c r="D120" s="92"/>
      <c r="E120" s="216"/>
      <c r="F120" s="216"/>
      <c r="G120" s="642"/>
      <c r="H120" s="92"/>
      <c r="I120" s="92"/>
    </row>
    <row r="121" ht="16.5" customHeight="1">
      <c r="A121" s="92"/>
      <c r="B121" s="92"/>
      <c r="C121" s="92"/>
      <c r="D121" s="92"/>
      <c r="E121" s="216"/>
      <c r="F121" s="216"/>
      <c r="G121" s="642"/>
      <c r="H121" s="92"/>
      <c r="I121" s="92"/>
    </row>
    <row r="122" ht="16.5" customHeight="1">
      <c r="A122" s="92"/>
      <c r="B122" s="92"/>
      <c r="C122" s="92"/>
      <c r="D122" s="92"/>
      <c r="E122" s="216"/>
      <c r="F122" s="216"/>
      <c r="G122" s="642"/>
      <c r="H122" s="92"/>
      <c r="I122" s="92"/>
    </row>
    <row r="123" ht="16.5" customHeight="1">
      <c r="A123" s="92"/>
      <c r="B123" s="92"/>
      <c r="C123" s="92"/>
      <c r="D123" s="92"/>
      <c r="E123" s="216"/>
      <c r="F123" s="216"/>
      <c r="G123" s="642"/>
      <c r="H123" s="92"/>
      <c r="I123" s="92"/>
    </row>
    <row r="124" ht="16.5" customHeight="1">
      <c r="A124" s="92"/>
      <c r="B124" s="92"/>
      <c r="C124" s="92"/>
      <c r="D124" s="92"/>
      <c r="E124" s="216"/>
      <c r="F124" s="216"/>
      <c r="G124" s="642"/>
      <c r="H124" s="92"/>
      <c r="I124" s="92"/>
    </row>
    <row r="125" ht="16.5" customHeight="1">
      <c r="A125" s="92"/>
      <c r="B125" s="92"/>
      <c r="C125" s="92"/>
      <c r="D125" s="92"/>
      <c r="E125" s="216"/>
      <c r="F125" s="216"/>
      <c r="G125" s="642"/>
      <c r="H125" s="92"/>
      <c r="I125" s="92"/>
    </row>
    <row r="126" ht="16.5" customHeight="1">
      <c r="A126" s="92"/>
      <c r="B126" s="92"/>
      <c r="C126" s="92"/>
      <c r="D126" s="92"/>
      <c r="E126" s="216"/>
      <c r="F126" s="216"/>
      <c r="G126" s="642"/>
      <c r="H126" s="92"/>
      <c r="I126" s="92"/>
    </row>
    <row r="127" ht="16.5" customHeight="1">
      <c r="A127" s="92"/>
      <c r="B127" s="92"/>
      <c r="C127" s="92"/>
      <c r="D127" s="92"/>
      <c r="E127" s="216"/>
      <c r="F127" s="216"/>
      <c r="G127" s="642"/>
      <c r="H127" s="92"/>
      <c r="I127" s="92"/>
    </row>
    <row r="128" ht="16.5" customHeight="1">
      <c r="A128" s="92"/>
      <c r="B128" s="92"/>
      <c r="C128" s="92"/>
      <c r="D128" s="92"/>
      <c r="E128" s="216"/>
      <c r="F128" s="216"/>
      <c r="G128" s="642"/>
      <c r="H128" s="92"/>
      <c r="I128" s="92"/>
    </row>
    <row r="129" ht="16.5" customHeight="1">
      <c r="A129" s="92"/>
      <c r="B129" s="92"/>
      <c r="C129" s="92"/>
      <c r="D129" s="92"/>
      <c r="E129" s="216"/>
      <c r="F129" s="216"/>
      <c r="G129" s="642"/>
      <c r="H129" s="92"/>
      <c r="I129" s="92"/>
    </row>
    <row r="130" ht="16.5" customHeight="1">
      <c r="A130" s="92"/>
      <c r="B130" s="92"/>
      <c r="C130" s="92"/>
      <c r="D130" s="92"/>
      <c r="E130" s="216"/>
      <c r="F130" s="216"/>
      <c r="G130" s="642"/>
      <c r="H130" s="92"/>
      <c r="I130" s="92"/>
    </row>
    <row r="131" ht="16.5" customHeight="1">
      <c r="A131" s="92"/>
      <c r="B131" s="92"/>
      <c r="C131" s="92"/>
      <c r="D131" s="92"/>
      <c r="E131" s="216"/>
      <c r="F131" s="216"/>
      <c r="G131" s="642"/>
      <c r="H131" s="92"/>
      <c r="I131" s="92"/>
    </row>
    <row r="132" ht="16.5" customHeight="1">
      <c r="A132" s="92"/>
      <c r="B132" s="92"/>
      <c r="C132" s="92"/>
      <c r="D132" s="92"/>
      <c r="E132" s="216"/>
      <c r="F132" s="216"/>
      <c r="G132" s="642"/>
      <c r="H132" s="92"/>
      <c r="I132" s="92"/>
    </row>
    <row r="133" ht="16.5" customHeight="1">
      <c r="A133" s="92"/>
      <c r="B133" s="92"/>
      <c r="C133" s="92"/>
      <c r="D133" s="92"/>
      <c r="E133" s="216"/>
      <c r="F133" s="216"/>
      <c r="G133" s="642"/>
      <c r="H133" s="92"/>
      <c r="I133" s="92"/>
    </row>
    <row r="134" ht="16.5" customHeight="1">
      <c r="A134" s="92"/>
      <c r="B134" s="92"/>
      <c r="C134" s="92"/>
      <c r="D134" s="92"/>
      <c r="E134" s="216"/>
      <c r="F134" s="216"/>
      <c r="G134" s="642"/>
      <c r="H134" s="92"/>
      <c r="I134" s="92"/>
    </row>
    <row r="135" ht="16.5" customHeight="1">
      <c r="A135" s="92"/>
      <c r="B135" s="92"/>
      <c r="C135" s="92"/>
      <c r="D135" s="92"/>
      <c r="E135" s="216"/>
      <c r="F135" s="216"/>
      <c r="G135" s="642"/>
      <c r="H135" s="92"/>
      <c r="I135" s="92"/>
    </row>
    <row r="136" ht="16.5" customHeight="1">
      <c r="A136" s="92"/>
      <c r="B136" s="92"/>
      <c r="C136" s="92"/>
      <c r="D136" s="92"/>
      <c r="E136" s="216"/>
      <c r="F136" s="216"/>
      <c r="G136" s="642"/>
      <c r="H136" s="92"/>
      <c r="I136" s="92"/>
    </row>
    <row r="137" ht="16.5" customHeight="1">
      <c r="A137" s="92"/>
      <c r="B137" s="92"/>
      <c r="C137" s="92"/>
      <c r="D137" s="92"/>
      <c r="E137" s="216"/>
      <c r="F137" s="216"/>
      <c r="G137" s="642"/>
      <c r="H137" s="92"/>
      <c r="I137" s="92"/>
    </row>
    <row r="138" ht="16.5" customHeight="1">
      <c r="A138" s="92"/>
      <c r="B138" s="92"/>
      <c r="C138" s="92"/>
      <c r="D138" s="92"/>
      <c r="E138" s="216"/>
      <c r="F138" s="216"/>
      <c r="G138" s="642"/>
      <c r="H138" s="92"/>
      <c r="I138" s="92"/>
    </row>
    <row r="139" ht="16.5" customHeight="1">
      <c r="A139" s="92"/>
      <c r="B139" s="92"/>
      <c r="C139" s="92"/>
      <c r="D139" s="92"/>
      <c r="E139" s="216"/>
      <c r="F139" s="216"/>
      <c r="G139" s="642"/>
      <c r="H139" s="92"/>
      <c r="I139" s="92"/>
    </row>
    <row r="140" ht="16.5" customHeight="1">
      <c r="A140" s="92"/>
      <c r="B140" s="92"/>
      <c r="C140" s="92"/>
      <c r="D140" s="92"/>
      <c r="E140" s="216"/>
      <c r="F140" s="216"/>
      <c r="G140" s="642"/>
      <c r="H140" s="92"/>
      <c r="I140" s="92"/>
    </row>
    <row r="141" ht="16.5" customHeight="1">
      <c r="A141" s="92"/>
      <c r="B141" s="92"/>
      <c r="C141" s="92"/>
      <c r="D141" s="92"/>
      <c r="E141" s="216"/>
      <c r="F141" s="216"/>
      <c r="G141" s="642"/>
      <c r="H141" s="92"/>
      <c r="I141" s="92"/>
    </row>
    <row r="142" ht="16.5" customHeight="1">
      <c r="A142" s="92"/>
      <c r="B142" s="92"/>
      <c r="C142" s="92"/>
      <c r="D142" s="92"/>
      <c r="E142" s="216"/>
      <c r="F142" s="216"/>
      <c r="G142" s="642"/>
      <c r="H142" s="92"/>
      <c r="I142" s="92"/>
    </row>
    <row r="143" ht="16.5" customHeight="1">
      <c r="A143" s="92"/>
      <c r="B143" s="92"/>
      <c r="C143" s="92"/>
      <c r="D143" s="92"/>
      <c r="E143" s="216"/>
      <c r="F143" s="216"/>
      <c r="G143" s="642"/>
      <c r="H143" s="92"/>
      <c r="I143" s="92"/>
    </row>
    <row r="144" ht="16.5" customHeight="1">
      <c r="A144" s="92"/>
      <c r="B144" s="92"/>
      <c r="C144" s="92"/>
      <c r="D144" s="92"/>
      <c r="E144" s="216"/>
      <c r="F144" s="216"/>
      <c r="G144" s="642"/>
      <c r="H144" s="92"/>
      <c r="I144" s="92"/>
    </row>
    <row r="145" ht="16.5" customHeight="1">
      <c r="A145" s="92"/>
      <c r="B145" s="92"/>
      <c r="C145" s="92"/>
      <c r="D145" s="92"/>
      <c r="E145" s="216"/>
      <c r="F145" s="216"/>
      <c r="G145" s="642"/>
      <c r="H145" s="92"/>
      <c r="I145" s="92"/>
    </row>
    <row r="146" ht="16.5" customHeight="1">
      <c r="A146" s="92"/>
      <c r="B146" s="92"/>
      <c r="C146" s="92"/>
      <c r="D146" s="92"/>
      <c r="E146" s="216"/>
      <c r="F146" s="216"/>
      <c r="G146" s="642"/>
      <c r="H146" s="92"/>
      <c r="I146" s="92"/>
    </row>
    <row r="147" ht="16.5" customHeight="1">
      <c r="A147" s="92"/>
      <c r="B147" s="92"/>
      <c r="C147" s="92"/>
      <c r="D147" s="92"/>
      <c r="E147" s="216"/>
      <c r="F147" s="216"/>
      <c r="G147" s="642"/>
      <c r="H147" s="92"/>
      <c r="I147" s="92"/>
    </row>
    <row r="148" ht="16.5" customHeight="1">
      <c r="A148" s="92"/>
      <c r="B148" s="92"/>
      <c r="C148" s="92"/>
      <c r="D148" s="92"/>
      <c r="E148" s="216"/>
      <c r="F148" s="216"/>
      <c r="G148" s="642"/>
      <c r="H148" s="92"/>
      <c r="I148" s="92"/>
    </row>
    <row r="149" ht="16.5" customHeight="1">
      <c r="A149" s="92"/>
      <c r="B149" s="92"/>
      <c r="C149" s="92"/>
      <c r="D149" s="92"/>
      <c r="E149" s="216"/>
      <c r="F149" s="216"/>
      <c r="G149" s="642"/>
      <c r="H149" s="92"/>
      <c r="I149" s="92"/>
    </row>
    <row r="150" ht="16.5" customHeight="1">
      <c r="A150" s="92"/>
      <c r="B150" s="92"/>
      <c r="C150" s="92"/>
      <c r="D150" s="92"/>
      <c r="E150" s="216"/>
      <c r="F150" s="216"/>
      <c r="G150" s="642"/>
      <c r="H150" s="92"/>
      <c r="I150" s="92"/>
    </row>
    <row r="151" ht="16.5" customHeight="1">
      <c r="A151" s="92"/>
      <c r="B151" s="92"/>
      <c r="C151" s="92"/>
      <c r="D151" s="92"/>
      <c r="E151" s="216"/>
      <c r="F151" s="216"/>
      <c r="G151" s="642"/>
      <c r="H151" s="92"/>
      <c r="I151" s="92"/>
    </row>
    <row r="152" ht="16.5" customHeight="1">
      <c r="A152" s="92"/>
      <c r="B152" s="92"/>
      <c r="C152" s="92"/>
      <c r="D152" s="92"/>
      <c r="E152" s="216"/>
      <c r="F152" s="216"/>
      <c r="G152" s="642"/>
      <c r="H152" s="92"/>
      <c r="I152" s="92"/>
    </row>
    <row r="153" ht="16.5" customHeight="1">
      <c r="A153" s="92"/>
      <c r="B153" s="92"/>
      <c r="C153" s="92"/>
      <c r="D153" s="92"/>
      <c r="E153" s="216"/>
      <c r="F153" s="216"/>
      <c r="G153" s="642"/>
      <c r="H153" s="92"/>
      <c r="I153" s="92"/>
    </row>
    <row r="154" ht="16.5" customHeight="1">
      <c r="A154" s="92"/>
      <c r="B154" s="92"/>
      <c r="C154" s="92"/>
      <c r="D154" s="92"/>
      <c r="E154" s="216"/>
      <c r="F154" s="216"/>
      <c r="G154" s="642"/>
      <c r="H154" s="92"/>
      <c r="I154" s="92"/>
    </row>
    <row r="155" ht="16.5" customHeight="1">
      <c r="A155" s="92"/>
      <c r="B155" s="92"/>
      <c r="C155" s="92"/>
      <c r="D155" s="92"/>
      <c r="E155" s="216"/>
      <c r="F155" s="216"/>
      <c r="G155" s="642"/>
      <c r="H155" s="92"/>
      <c r="I155" s="92"/>
    </row>
    <row r="156" ht="16.5" customHeight="1">
      <c r="A156" s="92"/>
      <c r="B156" s="92"/>
      <c r="C156" s="92"/>
      <c r="D156" s="92"/>
      <c r="E156" s="216"/>
      <c r="F156" s="216"/>
      <c r="G156" s="642"/>
      <c r="H156" s="92"/>
      <c r="I156" s="92"/>
    </row>
    <row r="157" ht="16.5" customHeight="1">
      <c r="A157" s="92"/>
      <c r="B157" s="92"/>
      <c r="C157" s="92"/>
      <c r="D157" s="92"/>
      <c r="E157" s="216"/>
      <c r="F157" s="216"/>
      <c r="G157" s="642"/>
      <c r="H157" s="92"/>
      <c r="I157" s="92"/>
    </row>
    <row r="158" ht="16.5" customHeight="1">
      <c r="A158" s="92"/>
      <c r="B158" s="92"/>
      <c r="C158" s="92"/>
      <c r="D158" s="92"/>
      <c r="E158" s="216"/>
      <c r="F158" s="216"/>
      <c r="G158" s="642"/>
      <c r="H158" s="92"/>
      <c r="I158" s="92"/>
    </row>
    <row r="159" ht="16.5" customHeight="1">
      <c r="A159" s="92"/>
      <c r="B159" s="92"/>
      <c r="C159" s="92"/>
      <c r="D159" s="92"/>
      <c r="E159" s="216"/>
      <c r="F159" s="216"/>
      <c r="G159" s="642"/>
      <c r="H159" s="92"/>
      <c r="I159" s="92"/>
    </row>
    <row r="160" ht="16.5" customHeight="1">
      <c r="A160" s="92"/>
      <c r="B160" s="92"/>
      <c r="C160" s="92"/>
      <c r="D160" s="92"/>
      <c r="E160" s="216"/>
      <c r="F160" s="216"/>
      <c r="G160" s="642"/>
      <c r="H160" s="92"/>
      <c r="I160" s="92"/>
    </row>
    <row r="161" ht="16.5" customHeight="1">
      <c r="A161" s="92"/>
      <c r="B161" s="92"/>
      <c r="C161" s="92"/>
      <c r="D161" s="92"/>
      <c r="E161" s="216"/>
      <c r="F161" s="216"/>
      <c r="G161" s="642"/>
      <c r="H161" s="92"/>
      <c r="I161" s="92"/>
    </row>
    <row r="162" ht="16.5" customHeight="1">
      <c r="A162" s="92"/>
      <c r="B162" s="92"/>
      <c r="C162" s="92"/>
      <c r="D162" s="92"/>
      <c r="E162" s="216"/>
      <c r="F162" s="216"/>
      <c r="G162" s="642"/>
      <c r="H162" s="92"/>
      <c r="I162" s="92"/>
    </row>
    <row r="163" ht="16.5" customHeight="1">
      <c r="A163" s="92"/>
      <c r="B163" s="92"/>
      <c r="C163" s="92"/>
      <c r="D163" s="92"/>
      <c r="E163" s="216"/>
      <c r="F163" s="216"/>
      <c r="G163" s="642"/>
      <c r="H163" s="92"/>
      <c r="I163" s="92"/>
    </row>
    <row r="164" ht="16.5" customHeight="1">
      <c r="A164" s="92"/>
      <c r="B164" s="92"/>
      <c r="C164" s="92"/>
      <c r="D164" s="92"/>
      <c r="E164" s="216"/>
      <c r="F164" s="216"/>
      <c r="G164" s="642"/>
      <c r="H164" s="92"/>
      <c r="I164" s="92"/>
    </row>
    <row r="165" ht="16.5" customHeight="1">
      <c r="A165" s="92"/>
      <c r="B165" s="92"/>
      <c r="C165" s="92"/>
      <c r="D165" s="92"/>
      <c r="E165" s="216"/>
      <c r="F165" s="216"/>
      <c r="G165" s="642"/>
      <c r="H165" s="92"/>
      <c r="I165" s="92"/>
    </row>
    <row r="166" ht="16.5" customHeight="1">
      <c r="A166" s="92"/>
      <c r="B166" s="92"/>
      <c r="C166" s="92"/>
      <c r="D166" s="92"/>
      <c r="E166" s="216"/>
      <c r="F166" s="216"/>
      <c r="G166" s="642"/>
      <c r="H166" s="92"/>
      <c r="I166" s="92"/>
    </row>
    <row r="167" ht="16.5" customHeight="1">
      <c r="A167" s="92"/>
      <c r="B167" s="92"/>
      <c r="C167" s="92"/>
      <c r="D167" s="92"/>
      <c r="E167" s="216"/>
      <c r="F167" s="216"/>
      <c r="G167" s="642"/>
      <c r="H167" s="92"/>
      <c r="I167" s="92"/>
    </row>
    <row r="168" ht="16.5" customHeight="1">
      <c r="A168" s="92"/>
      <c r="B168" s="92"/>
      <c r="C168" s="92"/>
      <c r="D168" s="92"/>
      <c r="E168" s="216"/>
      <c r="F168" s="216"/>
      <c r="G168" s="642"/>
      <c r="H168" s="92"/>
      <c r="I168" s="92"/>
    </row>
    <row r="169" ht="16.5" customHeight="1">
      <c r="A169" s="92"/>
      <c r="B169" s="92"/>
      <c r="C169" s="92"/>
      <c r="D169" s="92"/>
      <c r="E169" s="216"/>
      <c r="F169" s="216"/>
      <c r="G169" s="642"/>
      <c r="H169" s="92"/>
      <c r="I169" s="92"/>
    </row>
    <row r="170" ht="16.5" customHeight="1">
      <c r="A170" s="92"/>
      <c r="B170" s="92"/>
      <c r="C170" s="92"/>
      <c r="D170" s="92"/>
      <c r="E170" s="216"/>
      <c r="F170" s="216"/>
      <c r="G170" s="642"/>
      <c r="H170" s="92"/>
      <c r="I170" s="92"/>
    </row>
    <row r="171" ht="16.5" customHeight="1">
      <c r="A171" s="92"/>
      <c r="B171" s="92"/>
      <c r="C171" s="92"/>
      <c r="D171" s="92"/>
      <c r="E171" s="216"/>
      <c r="F171" s="216"/>
      <c r="G171" s="642"/>
      <c r="H171" s="92"/>
      <c r="I171" s="92"/>
    </row>
    <row r="172" ht="16.5" customHeight="1">
      <c r="A172" s="92"/>
      <c r="B172" s="92"/>
      <c r="C172" s="92"/>
      <c r="D172" s="92"/>
      <c r="E172" s="216"/>
      <c r="F172" s="216"/>
      <c r="G172" s="642"/>
      <c r="H172" s="92"/>
      <c r="I172" s="92"/>
    </row>
    <row r="173" ht="16.5" customHeight="1">
      <c r="A173" s="92"/>
      <c r="B173" s="92"/>
      <c r="C173" s="92"/>
      <c r="D173" s="92"/>
      <c r="E173" s="216"/>
      <c r="F173" s="216"/>
      <c r="G173" s="642"/>
      <c r="H173" s="92"/>
      <c r="I173" s="92"/>
    </row>
    <row r="174" ht="16.5" customHeight="1">
      <c r="A174" s="92"/>
      <c r="B174" s="92"/>
      <c r="C174" s="92"/>
      <c r="D174" s="92"/>
      <c r="E174" s="216"/>
      <c r="F174" s="216"/>
      <c r="G174" s="642"/>
      <c r="H174" s="92"/>
      <c r="I174" s="92"/>
    </row>
    <row r="175" ht="16.5" customHeight="1">
      <c r="A175" s="92"/>
      <c r="B175" s="92"/>
      <c r="C175" s="92"/>
      <c r="D175" s="92"/>
      <c r="E175" s="216"/>
      <c r="F175" s="216"/>
      <c r="G175" s="642"/>
      <c r="H175" s="92"/>
      <c r="I175" s="92"/>
    </row>
    <row r="176" ht="16.5" customHeight="1">
      <c r="A176" s="92"/>
      <c r="B176" s="92"/>
      <c r="C176" s="92"/>
      <c r="D176" s="92"/>
      <c r="E176" s="216"/>
      <c r="F176" s="216"/>
      <c r="G176" s="642"/>
      <c r="H176" s="92"/>
      <c r="I176" s="92"/>
    </row>
    <row r="177" ht="16.5" customHeight="1">
      <c r="A177" s="92"/>
      <c r="B177" s="92"/>
      <c r="C177" s="92"/>
      <c r="D177" s="92"/>
      <c r="E177" s="216"/>
      <c r="F177" s="216"/>
      <c r="G177" s="642"/>
      <c r="H177" s="92"/>
      <c r="I177" s="92"/>
    </row>
    <row r="178" ht="16.5" customHeight="1">
      <c r="A178" s="92"/>
      <c r="B178" s="92"/>
      <c r="C178" s="92"/>
      <c r="D178" s="92"/>
      <c r="E178" s="216"/>
      <c r="F178" s="216"/>
      <c r="G178" s="642"/>
      <c r="H178" s="92"/>
      <c r="I178" s="92"/>
    </row>
    <row r="179" ht="16.5" customHeight="1">
      <c r="A179" s="92"/>
      <c r="B179" s="92"/>
      <c r="C179" s="92"/>
      <c r="D179" s="92"/>
      <c r="E179" s="216"/>
      <c r="F179" s="216"/>
      <c r="G179" s="642"/>
      <c r="H179" s="92"/>
      <c r="I179" s="92"/>
    </row>
    <row r="180" ht="16.5" customHeight="1">
      <c r="A180" s="92"/>
      <c r="B180" s="92"/>
      <c r="C180" s="92"/>
      <c r="D180" s="92"/>
      <c r="E180" s="216"/>
      <c r="F180" s="216"/>
      <c r="G180" s="642"/>
      <c r="H180" s="92"/>
      <c r="I180" s="92"/>
    </row>
    <row r="181" ht="16.5" customHeight="1">
      <c r="A181" s="92"/>
      <c r="B181" s="92"/>
      <c r="C181" s="92"/>
      <c r="D181" s="92"/>
      <c r="E181" s="216"/>
      <c r="F181" s="216"/>
      <c r="G181" s="642"/>
      <c r="H181" s="92"/>
      <c r="I181" s="92"/>
    </row>
    <row r="182" ht="16.5" customHeight="1">
      <c r="A182" s="92"/>
      <c r="B182" s="92"/>
      <c r="C182" s="92"/>
      <c r="D182" s="92"/>
      <c r="E182" s="216"/>
      <c r="F182" s="216"/>
      <c r="G182" s="642"/>
      <c r="H182" s="92"/>
      <c r="I182" s="92"/>
    </row>
    <row r="183" ht="16.5" customHeight="1">
      <c r="A183" s="92"/>
      <c r="B183" s="92"/>
      <c r="C183" s="92"/>
      <c r="D183" s="92"/>
      <c r="E183" s="216"/>
      <c r="F183" s="216"/>
      <c r="G183" s="642"/>
      <c r="H183" s="92"/>
      <c r="I183" s="92"/>
    </row>
    <row r="184" ht="16.5" customHeight="1">
      <c r="A184" s="92"/>
      <c r="B184" s="92"/>
      <c r="C184" s="92"/>
      <c r="D184" s="92"/>
      <c r="E184" s="216"/>
      <c r="F184" s="216"/>
      <c r="G184" s="642"/>
      <c r="H184" s="92"/>
      <c r="I184" s="92"/>
    </row>
    <row r="185" ht="16.5" customHeight="1">
      <c r="A185" s="92"/>
      <c r="B185" s="92"/>
      <c r="C185" s="92"/>
      <c r="D185" s="92"/>
      <c r="E185" s="216"/>
      <c r="F185" s="216"/>
      <c r="G185" s="642"/>
      <c r="H185" s="92"/>
      <c r="I185" s="92"/>
    </row>
    <row r="186" ht="16.5" customHeight="1">
      <c r="A186" s="92"/>
      <c r="B186" s="92"/>
      <c r="C186" s="92"/>
      <c r="D186" s="92"/>
      <c r="E186" s="216"/>
      <c r="F186" s="216"/>
      <c r="G186" s="642"/>
      <c r="H186" s="92"/>
      <c r="I186" s="92"/>
    </row>
    <row r="187" ht="16.5" customHeight="1">
      <c r="A187" s="92"/>
      <c r="B187" s="92"/>
      <c r="C187" s="92"/>
      <c r="D187" s="92"/>
      <c r="E187" s="216"/>
      <c r="F187" s="216"/>
      <c r="G187" s="642"/>
      <c r="H187" s="92"/>
      <c r="I187" s="92"/>
    </row>
    <row r="188" ht="16.5" customHeight="1">
      <c r="A188" s="92"/>
      <c r="B188" s="92"/>
      <c r="C188" s="92"/>
      <c r="D188" s="92"/>
      <c r="E188" s="216"/>
      <c r="F188" s="216"/>
      <c r="G188" s="642"/>
      <c r="H188" s="92"/>
      <c r="I188" s="92"/>
    </row>
    <row r="189" ht="16.5" customHeight="1">
      <c r="A189" s="92"/>
      <c r="B189" s="92"/>
      <c r="C189" s="92"/>
      <c r="D189" s="92"/>
      <c r="E189" s="216"/>
      <c r="F189" s="216"/>
      <c r="G189" s="642"/>
      <c r="H189" s="92"/>
      <c r="I189" s="92"/>
    </row>
    <row r="190" ht="16.5" customHeight="1">
      <c r="A190" s="92"/>
      <c r="B190" s="92"/>
      <c r="C190" s="92"/>
      <c r="D190" s="92"/>
      <c r="E190" s="216"/>
      <c r="F190" s="216"/>
      <c r="G190" s="642"/>
      <c r="H190" s="92"/>
      <c r="I190" s="92"/>
    </row>
    <row r="191" ht="16.5" customHeight="1">
      <c r="A191" s="92"/>
      <c r="B191" s="92"/>
      <c r="C191" s="92"/>
      <c r="D191" s="92"/>
      <c r="E191" s="216"/>
      <c r="F191" s="216"/>
      <c r="G191" s="642"/>
      <c r="H191" s="92"/>
      <c r="I191" s="92"/>
    </row>
    <row r="192" ht="16.5" customHeight="1">
      <c r="A192" s="92"/>
      <c r="B192" s="92"/>
      <c r="C192" s="92"/>
      <c r="D192" s="92"/>
      <c r="E192" s="216"/>
      <c r="F192" s="216"/>
      <c r="G192" s="642"/>
      <c r="H192" s="92"/>
      <c r="I192" s="92"/>
    </row>
    <row r="193" ht="16.5" customHeight="1">
      <c r="A193" s="92"/>
      <c r="B193" s="92"/>
      <c r="C193" s="92"/>
      <c r="D193" s="92"/>
      <c r="E193" s="216"/>
      <c r="F193" s="216"/>
      <c r="G193" s="642"/>
      <c r="H193" s="92"/>
      <c r="I193" s="92"/>
    </row>
    <row r="194" ht="16.5" customHeight="1">
      <c r="A194" s="92"/>
      <c r="B194" s="92"/>
      <c r="C194" s="92"/>
      <c r="D194" s="92"/>
      <c r="E194" s="216"/>
      <c r="F194" s="216"/>
      <c r="G194" s="642"/>
      <c r="H194" s="92"/>
      <c r="I194" s="92"/>
    </row>
    <row r="195" ht="16.5" customHeight="1">
      <c r="A195" s="92"/>
      <c r="B195" s="92"/>
      <c r="C195" s="92"/>
      <c r="D195" s="92"/>
      <c r="E195" s="216"/>
      <c r="F195" s="216"/>
      <c r="G195" s="642"/>
      <c r="H195" s="92"/>
      <c r="I195" s="92"/>
    </row>
    <row r="196" ht="16.5" customHeight="1">
      <c r="A196" s="92"/>
      <c r="B196" s="92"/>
      <c r="C196" s="92"/>
      <c r="D196" s="92"/>
      <c r="E196" s="216"/>
      <c r="F196" s="216"/>
      <c r="G196" s="642"/>
      <c r="H196" s="92"/>
      <c r="I196" s="92"/>
    </row>
    <row r="197" ht="16.5" customHeight="1">
      <c r="A197" s="92"/>
      <c r="B197" s="92"/>
      <c r="C197" s="92"/>
      <c r="D197" s="92"/>
      <c r="E197" s="216"/>
      <c r="F197" s="216"/>
      <c r="G197" s="642"/>
      <c r="H197" s="92"/>
      <c r="I197" s="92"/>
    </row>
    <row r="198" ht="16.5" customHeight="1">
      <c r="A198" s="92"/>
      <c r="B198" s="92"/>
      <c r="C198" s="92"/>
      <c r="D198" s="92"/>
      <c r="E198" s="216"/>
      <c r="F198" s="216"/>
      <c r="G198" s="642"/>
      <c r="H198" s="92"/>
      <c r="I198" s="92"/>
    </row>
    <row r="199" ht="16.5" customHeight="1">
      <c r="A199" s="92"/>
      <c r="B199" s="92"/>
      <c r="C199" s="92"/>
      <c r="D199" s="92"/>
      <c r="E199" s="216"/>
      <c r="F199" s="216"/>
      <c r="G199" s="642"/>
      <c r="H199" s="92"/>
      <c r="I199" s="92"/>
    </row>
    <row r="200" ht="16.5" customHeight="1">
      <c r="A200" s="92"/>
      <c r="B200" s="92"/>
      <c r="C200" s="92"/>
      <c r="D200" s="92"/>
      <c r="E200" s="216"/>
      <c r="F200" s="216"/>
      <c r="G200" s="642"/>
      <c r="H200" s="92"/>
      <c r="I200" s="92"/>
    </row>
    <row r="201" ht="16.5" customHeight="1">
      <c r="A201" s="92"/>
      <c r="B201" s="92"/>
      <c r="C201" s="92"/>
      <c r="D201" s="92"/>
      <c r="E201" s="216"/>
      <c r="F201" s="216"/>
      <c r="G201" s="642"/>
      <c r="H201" s="92"/>
      <c r="I201" s="92"/>
    </row>
    <row r="202" ht="16.5" customHeight="1">
      <c r="A202" s="92"/>
      <c r="B202" s="92"/>
      <c r="C202" s="92"/>
      <c r="D202" s="92"/>
      <c r="E202" s="216"/>
      <c r="F202" s="216"/>
      <c r="G202" s="642"/>
      <c r="H202" s="92"/>
      <c r="I202" s="92"/>
    </row>
    <row r="203" ht="16.5" customHeight="1">
      <c r="A203" s="92"/>
      <c r="B203" s="92"/>
      <c r="C203" s="92"/>
      <c r="D203" s="92"/>
      <c r="E203" s="216"/>
      <c r="F203" s="216"/>
      <c r="G203" s="642"/>
      <c r="H203" s="92"/>
      <c r="I203" s="92"/>
    </row>
    <row r="204" ht="16.5" customHeight="1">
      <c r="A204" s="92"/>
      <c r="B204" s="92"/>
      <c r="C204" s="92"/>
      <c r="D204" s="92"/>
      <c r="E204" s="216"/>
      <c r="F204" s="216"/>
      <c r="G204" s="642"/>
      <c r="H204" s="92"/>
      <c r="I204" s="92"/>
    </row>
    <row r="205" ht="16.5" customHeight="1">
      <c r="A205" s="92"/>
      <c r="B205" s="92"/>
      <c r="C205" s="92"/>
      <c r="D205" s="92"/>
      <c r="E205" s="216"/>
      <c r="F205" s="216"/>
      <c r="G205" s="642"/>
      <c r="H205" s="92"/>
      <c r="I205" s="92"/>
    </row>
    <row r="206" ht="16.5" customHeight="1">
      <c r="A206" s="92"/>
      <c r="B206" s="92"/>
      <c r="C206" s="92"/>
      <c r="D206" s="92"/>
      <c r="E206" s="216"/>
      <c r="F206" s="216"/>
      <c r="G206" s="642"/>
      <c r="H206" s="92"/>
      <c r="I206" s="92"/>
    </row>
    <row r="207" ht="16.5" customHeight="1">
      <c r="A207" s="92"/>
      <c r="B207" s="92"/>
      <c r="C207" s="92"/>
      <c r="D207" s="92"/>
      <c r="E207" s="216"/>
      <c r="F207" s="216"/>
      <c r="G207" s="642"/>
      <c r="H207" s="92"/>
      <c r="I207" s="92"/>
    </row>
    <row r="208" ht="16.5" customHeight="1">
      <c r="A208" s="92"/>
      <c r="B208" s="92"/>
      <c r="C208" s="92"/>
      <c r="D208" s="92"/>
      <c r="E208" s="216"/>
      <c r="F208" s="216"/>
      <c r="G208" s="642"/>
      <c r="H208" s="92"/>
      <c r="I208" s="92"/>
    </row>
    <row r="209" ht="16.5" customHeight="1">
      <c r="A209" s="92"/>
      <c r="B209" s="92"/>
      <c r="C209" s="92"/>
      <c r="D209" s="92"/>
      <c r="E209" s="216"/>
      <c r="F209" s="216"/>
      <c r="G209" s="642"/>
      <c r="H209" s="92"/>
      <c r="I209" s="92"/>
    </row>
    <row r="210" ht="16.5" customHeight="1">
      <c r="A210" s="92"/>
      <c r="B210" s="92"/>
      <c r="C210" s="92"/>
      <c r="D210" s="92"/>
      <c r="E210" s="216"/>
      <c r="F210" s="216"/>
      <c r="G210" s="642"/>
      <c r="H210" s="92"/>
      <c r="I210" s="92"/>
    </row>
    <row r="211" ht="16.5" customHeight="1">
      <c r="A211" s="92"/>
      <c r="B211" s="92"/>
      <c r="C211" s="92"/>
      <c r="D211" s="92"/>
      <c r="E211" s="216"/>
      <c r="F211" s="216"/>
      <c r="G211" s="642"/>
      <c r="H211" s="92"/>
      <c r="I211" s="92"/>
    </row>
    <row r="212" ht="16.5" customHeight="1">
      <c r="A212" s="92"/>
      <c r="B212" s="92"/>
      <c r="C212" s="92"/>
      <c r="D212" s="92"/>
      <c r="E212" s="216"/>
      <c r="F212" s="216"/>
      <c r="G212" s="642"/>
      <c r="H212" s="92"/>
      <c r="I212" s="92"/>
    </row>
    <row r="213" ht="16.5" customHeight="1">
      <c r="A213" s="92"/>
      <c r="B213" s="92"/>
      <c r="C213" s="92"/>
      <c r="D213" s="92"/>
      <c r="E213" s="216"/>
      <c r="F213" s="216"/>
      <c r="G213" s="642"/>
      <c r="H213" s="92"/>
      <c r="I213" s="92"/>
    </row>
    <row r="214" ht="16.5" customHeight="1">
      <c r="A214" s="92"/>
      <c r="B214" s="92"/>
      <c r="C214" s="92"/>
      <c r="D214" s="92"/>
      <c r="E214" s="216"/>
      <c r="F214" s="216"/>
      <c r="G214" s="642"/>
      <c r="H214" s="92"/>
      <c r="I214" s="92"/>
    </row>
    <row r="215" ht="16.5" customHeight="1">
      <c r="A215" s="92"/>
      <c r="B215" s="92"/>
      <c r="C215" s="92"/>
      <c r="D215" s="92"/>
      <c r="E215" s="216"/>
      <c r="F215" s="216"/>
      <c r="G215" s="642"/>
      <c r="H215" s="92"/>
      <c r="I215" s="92"/>
    </row>
    <row r="216" ht="16.5" customHeight="1">
      <c r="A216" s="92"/>
      <c r="B216" s="92"/>
      <c r="C216" s="92"/>
      <c r="D216" s="92"/>
      <c r="E216" s="216"/>
      <c r="F216" s="216"/>
      <c r="G216" s="642"/>
      <c r="H216" s="92"/>
      <c r="I216" s="92"/>
    </row>
    <row r="217" ht="16.5" customHeight="1">
      <c r="A217" s="92"/>
      <c r="B217" s="92"/>
      <c r="C217" s="92"/>
      <c r="D217" s="92"/>
      <c r="E217" s="216"/>
      <c r="F217" s="216"/>
      <c r="G217" s="642"/>
      <c r="H217" s="92"/>
      <c r="I217" s="92"/>
    </row>
    <row r="218" ht="16.5" customHeight="1">
      <c r="A218" s="92"/>
      <c r="B218" s="92"/>
      <c r="C218" s="92"/>
      <c r="D218" s="92"/>
      <c r="E218" s="216"/>
      <c r="F218" s="216"/>
      <c r="G218" s="642"/>
      <c r="H218" s="92"/>
      <c r="I218" s="92"/>
    </row>
    <row r="219" ht="16.5" customHeight="1">
      <c r="A219" s="92"/>
      <c r="B219" s="92"/>
      <c r="C219" s="92"/>
      <c r="D219" s="92"/>
      <c r="E219" s="216"/>
      <c r="F219" s="216"/>
      <c r="G219" s="642"/>
      <c r="H219" s="92"/>
      <c r="I219" s="92"/>
    </row>
    <row r="220" ht="16.5" customHeight="1">
      <c r="A220" s="92"/>
      <c r="B220" s="92"/>
      <c r="C220" s="92"/>
      <c r="D220" s="92"/>
      <c r="E220" s="216"/>
      <c r="F220" s="216"/>
      <c r="G220" s="642"/>
      <c r="H220" s="92"/>
      <c r="I220" s="92"/>
    </row>
    <row r="221" ht="16.5" customHeight="1">
      <c r="A221" s="92"/>
      <c r="B221" s="92"/>
      <c r="C221" s="92"/>
      <c r="D221" s="92"/>
      <c r="E221" s="216"/>
      <c r="F221" s="216"/>
      <c r="G221" s="642"/>
      <c r="H221" s="92"/>
      <c r="I221" s="92"/>
    </row>
    <row r="222" ht="16.5" customHeight="1">
      <c r="A222" s="92"/>
      <c r="B222" s="92"/>
      <c r="C222" s="92"/>
      <c r="D222" s="92"/>
      <c r="E222" s="216"/>
      <c r="F222" s="216"/>
      <c r="G222" s="642"/>
      <c r="H222" s="92"/>
      <c r="I222" s="92"/>
    </row>
    <row r="223" ht="16.5" customHeight="1">
      <c r="A223" s="92"/>
      <c r="B223" s="92"/>
      <c r="C223" s="92"/>
      <c r="D223" s="92"/>
      <c r="E223" s="216"/>
      <c r="F223" s="216"/>
      <c r="G223" s="642"/>
      <c r="H223" s="92"/>
      <c r="I223" s="92"/>
    </row>
    <row r="224" ht="16.5" customHeight="1">
      <c r="A224" s="92"/>
      <c r="B224" s="92"/>
      <c r="C224" s="92"/>
      <c r="D224" s="92"/>
      <c r="E224" s="216"/>
      <c r="F224" s="216"/>
      <c r="G224" s="642"/>
      <c r="H224" s="92"/>
      <c r="I224" s="92"/>
    </row>
    <row r="225" ht="16.5" customHeight="1">
      <c r="A225" s="92"/>
      <c r="B225" s="92"/>
      <c r="C225" s="92"/>
      <c r="D225" s="92"/>
      <c r="E225" s="216"/>
      <c r="F225" s="216"/>
      <c r="G225" s="642"/>
      <c r="H225" s="92"/>
      <c r="I225" s="92"/>
    </row>
    <row r="226" ht="16.5" customHeight="1">
      <c r="A226" s="92"/>
      <c r="B226" s="92"/>
      <c r="C226" s="92"/>
      <c r="D226" s="92"/>
      <c r="E226" s="216"/>
      <c r="F226" s="216"/>
      <c r="G226" s="642"/>
      <c r="H226" s="92"/>
      <c r="I226" s="92"/>
    </row>
    <row r="227" ht="16.5" customHeight="1">
      <c r="A227" s="92"/>
      <c r="B227" s="92"/>
      <c r="C227" s="92"/>
      <c r="D227" s="92"/>
      <c r="E227" s="216"/>
      <c r="F227" s="216"/>
      <c r="G227" s="642"/>
      <c r="H227" s="92"/>
      <c r="I227" s="92"/>
    </row>
    <row r="228" ht="16.5" customHeight="1">
      <c r="A228" s="92"/>
      <c r="B228" s="92"/>
      <c r="C228" s="92"/>
      <c r="D228" s="92"/>
      <c r="E228" s="216"/>
      <c r="F228" s="216"/>
      <c r="G228" s="642"/>
      <c r="H228" s="92"/>
      <c r="I228" s="92"/>
    </row>
    <row r="229" ht="16.5" customHeight="1">
      <c r="A229" s="92"/>
      <c r="B229" s="92"/>
      <c r="C229" s="92"/>
      <c r="D229" s="92"/>
      <c r="E229" s="216"/>
      <c r="F229" s="216"/>
      <c r="G229" s="642"/>
      <c r="H229" s="92"/>
      <c r="I229" s="92"/>
    </row>
    <row r="230" ht="16.5" customHeight="1">
      <c r="A230" s="92"/>
      <c r="B230" s="92"/>
      <c r="C230" s="92"/>
      <c r="D230" s="92"/>
      <c r="E230" s="216"/>
      <c r="F230" s="216"/>
      <c r="G230" s="642"/>
      <c r="H230" s="92"/>
      <c r="I230" s="92"/>
    </row>
    <row r="231" ht="16.5" customHeight="1">
      <c r="A231" s="92"/>
      <c r="B231" s="92"/>
      <c r="C231" s="92"/>
      <c r="D231" s="92"/>
      <c r="E231" s="216"/>
      <c r="F231" s="216"/>
      <c r="G231" s="642"/>
      <c r="H231" s="92"/>
      <c r="I231" s="92"/>
    </row>
    <row r="232" ht="16.5" customHeight="1">
      <c r="A232" s="92"/>
      <c r="B232" s="92"/>
      <c r="C232" s="92"/>
      <c r="D232" s="92"/>
      <c r="E232" s="216"/>
      <c r="F232" s="216"/>
      <c r="G232" s="642"/>
      <c r="H232" s="92"/>
      <c r="I232" s="92"/>
    </row>
    <row r="233" ht="16.5" customHeight="1">
      <c r="A233" s="92"/>
      <c r="B233" s="92"/>
      <c r="C233" s="92"/>
      <c r="D233" s="92"/>
      <c r="E233" s="216"/>
      <c r="F233" s="216"/>
      <c r="G233" s="642"/>
      <c r="H233" s="92"/>
      <c r="I233" s="92"/>
    </row>
    <row r="234" ht="16.5" customHeight="1">
      <c r="A234" s="92"/>
      <c r="B234" s="92"/>
      <c r="C234" s="92"/>
      <c r="D234" s="92"/>
      <c r="E234" s="216"/>
      <c r="F234" s="216"/>
      <c r="G234" s="642"/>
      <c r="H234" s="92"/>
      <c r="I234" s="92"/>
    </row>
    <row r="235" ht="16.5" customHeight="1">
      <c r="A235" s="92"/>
      <c r="B235" s="92"/>
      <c r="C235" s="92"/>
      <c r="D235" s="92"/>
      <c r="E235" s="216"/>
      <c r="F235" s="216"/>
      <c r="G235" s="642"/>
      <c r="H235" s="92"/>
      <c r="I235" s="92"/>
    </row>
    <row r="236" ht="16.5" customHeight="1">
      <c r="A236" s="92"/>
      <c r="B236" s="92"/>
      <c r="C236" s="92"/>
      <c r="D236" s="92"/>
      <c r="E236" s="216"/>
      <c r="F236" s="216"/>
      <c r="G236" s="642"/>
      <c r="H236" s="92"/>
      <c r="I236" s="92"/>
    </row>
    <row r="237" ht="15.75" customHeight="1">
      <c r="A237" s="92"/>
      <c r="B237" s="92"/>
      <c r="C237" s="92"/>
      <c r="D237" s="92"/>
      <c r="E237" s="92"/>
      <c r="F237" s="92"/>
      <c r="G237" s="92"/>
      <c r="H237" s="92"/>
      <c r="I237" s="92"/>
    </row>
    <row r="238" ht="15.75" customHeight="1">
      <c r="A238" s="92"/>
      <c r="B238" s="92"/>
      <c r="C238" s="92"/>
      <c r="D238" s="92"/>
      <c r="E238" s="92"/>
      <c r="F238" s="92"/>
      <c r="G238" s="92"/>
      <c r="H238" s="92"/>
      <c r="I238" s="92"/>
    </row>
    <row r="239" ht="15.75" customHeight="1">
      <c r="A239" s="92"/>
      <c r="B239" s="92"/>
      <c r="C239" s="92"/>
      <c r="D239" s="92"/>
      <c r="E239" s="92"/>
      <c r="F239" s="92"/>
      <c r="G239" s="92"/>
      <c r="H239" s="92"/>
      <c r="I239" s="92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</row>
  </sheetData>
  <mergeCells count="11">
    <mergeCell ref="A16:A20"/>
    <mergeCell ref="A21:A24"/>
    <mergeCell ref="A25:A29"/>
    <mergeCell ref="A30:A36"/>
    <mergeCell ref="A1:F2"/>
    <mergeCell ref="A3:B3"/>
    <mergeCell ref="C3:C4"/>
    <mergeCell ref="D3:D4"/>
    <mergeCell ref="F3:F4"/>
    <mergeCell ref="A5:A10"/>
    <mergeCell ref="A11:A15"/>
  </mergeCells>
  <printOptions/>
  <pageMargins bottom="0.75" footer="0.0" header="0.0" left="0.25" right="0.25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2.0"/>
    <col customWidth="1" min="3" max="3" width="91.0"/>
    <col customWidth="1" min="4" max="4" width="13.57"/>
    <col customWidth="1" min="5" max="5" width="14.71"/>
    <col customWidth="1" min="6" max="6" width="18.14"/>
    <col customWidth="1" min="7" max="7" width="15.57"/>
    <col customWidth="1" min="8" max="26" width="10.14"/>
  </cols>
  <sheetData>
    <row r="1" ht="16.5" customHeight="1">
      <c r="A1" s="675" t="s">
        <v>822</v>
      </c>
      <c r="F1" s="642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8.0" customHeight="1">
      <c r="F2" s="64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676" t="s">
        <v>823</v>
      </c>
      <c r="B3" s="677" t="s">
        <v>8</v>
      </c>
      <c r="C3" s="678" t="s">
        <v>9</v>
      </c>
      <c r="D3" s="260" t="s">
        <v>438</v>
      </c>
      <c r="E3" s="261" t="s">
        <v>562</v>
      </c>
      <c r="F3" s="261" t="s">
        <v>824</v>
      </c>
      <c r="G3" s="261" t="s">
        <v>825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11"/>
      <c r="B4" s="11"/>
      <c r="C4" s="12"/>
      <c r="D4" s="25"/>
      <c r="E4" s="26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636">
        <v>1.0</v>
      </c>
      <c r="B5" s="679" t="s">
        <v>826</v>
      </c>
      <c r="C5" s="680" t="s">
        <v>827</v>
      </c>
      <c r="D5" s="681"/>
      <c r="E5" s="682"/>
      <c r="F5" s="683"/>
      <c r="G5" s="68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25"/>
      <c r="B6" s="25"/>
      <c r="C6" s="685" t="s">
        <v>828</v>
      </c>
      <c r="D6" s="681"/>
      <c r="E6" s="686"/>
      <c r="F6" s="642"/>
      <c r="G6" s="684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25"/>
      <c r="B7" s="25"/>
      <c r="C7" s="685" t="s">
        <v>829</v>
      </c>
      <c r="D7" s="681">
        <f t="shared" ref="D7:D39" si="1">E7*2-1000</f>
        <v>457000</v>
      </c>
      <c r="E7" s="686">
        <v>229000.0</v>
      </c>
      <c r="F7" s="642"/>
      <c r="G7" s="684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25"/>
      <c r="B8" s="25"/>
      <c r="C8" s="685" t="s">
        <v>830</v>
      </c>
      <c r="D8" s="681">
        <f t="shared" si="1"/>
        <v>797000</v>
      </c>
      <c r="E8" s="686">
        <v>399000.0</v>
      </c>
      <c r="F8" s="642"/>
      <c r="G8" s="684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25"/>
      <c r="B9" s="25"/>
      <c r="C9" s="685" t="s">
        <v>831</v>
      </c>
      <c r="D9" s="681">
        <f t="shared" si="1"/>
        <v>1297000</v>
      </c>
      <c r="E9" s="686">
        <v>649000.0</v>
      </c>
      <c r="F9" s="642"/>
      <c r="G9" s="684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0.25" customHeight="1">
      <c r="A10" s="25"/>
      <c r="B10" s="25"/>
      <c r="C10" s="685" t="s">
        <v>832</v>
      </c>
      <c r="D10" s="681">
        <f t="shared" si="1"/>
        <v>1157000</v>
      </c>
      <c r="E10" s="686">
        <v>579000.0</v>
      </c>
      <c r="F10" s="642"/>
      <c r="G10" s="68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25"/>
      <c r="B11" s="25"/>
      <c r="C11" s="685" t="s">
        <v>833</v>
      </c>
      <c r="D11" s="681">
        <f t="shared" si="1"/>
        <v>1897000</v>
      </c>
      <c r="E11" s="686">
        <v>949000.0</v>
      </c>
      <c r="F11" s="642"/>
      <c r="G11" s="684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25"/>
      <c r="B12" s="25"/>
      <c r="C12" s="685" t="s">
        <v>834</v>
      </c>
      <c r="D12" s="681">
        <f t="shared" si="1"/>
        <v>897000</v>
      </c>
      <c r="E12" s="686">
        <v>449000.0</v>
      </c>
      <c r="F12" s="670"/>
      <c r="G12" s="684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1"/>
      <c r="B13" s="11"/>
      <c r="C13" s="687" t="s">
        <v>835</v>
      </c>
      <c r="D13" s="688">
        <f t="shared" si="1"/>
        <v>2197000</v>
      </c>
      <c r="E13" s="689">
        <v>1099000.0</v>
      </c>
      <c r="F13" s="683"/>
      <c r="G13" s="684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282">
        <v>2.0</v>
      </c>
      <c r="B14" s="690" t="s">
        <v>836</v>
      </c>
      <c r="C14" s="691" t="s">
        <v>837</v>
      </c>
      <c r="D14" s="692">
        <f t="shared" si="1"/>
        <v>197000</v>
      </c>
      <c r="E14" s="692">
        <v>99000.0</v>
      </c>
      <c r="F14" s="642"/>
      <c r="G14" s="68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25"/>
      <c r="B15" s="25"/>
      <c r="C15" s="693" t="s">
        <v>838</v>
      </c>
      <c r="D15" s="681">
        <f t="shared" si="1"/>
        <v>77000</v>
      </c>
      <c r="E15" s="681">
        <v>39000.0</v>
      </c>
      <c r="F15" s="642"/>
      <c r="G15" s="684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25"/>
      <c r="B16" s="25"/>
      <c r="C16" s="693" t="s">
        <v>839</v>
      </c>
      <c r="D16" s="681">
        <f t="shared" si="1"/>
        <v>197000</v>
      </c>
      <c r="E16" s="681">
        <v>99000.0</v>
      </c>
      <c r="F16" s="642"/>
      <c r="G16" s="684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25"/>
      <c r="B17" s="25"/>
      <c r="C17" s="693" t="s">
        <v>840</v>
      </c>
      <c r="D17" s="681">
        <f t="shared" si="1"/>
        <v>117000</v>
      </c>
      <c r="E17" s="681">
        <v>59000.0</v>
      </c>
      <c r="F17" s="642"/>
      <c r="G17" s="684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25"/>
      <c r="B18" s="25"/>
      <c r="C18" s="694" t="s">
        <v>841</v>
      </c>
      <c r="D18" s="681">
        <f t="shared" si="1"/>
        <v>837000</v>
      </c>
      <c r="E18" s="681">
        <v>419000.0</v>
      </c>
      <c r="F18" s="642"/>
      <c r="G18" s="684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25"/>
      <c r="B19" s="25"/>
      <c r="C19" s="694" t="s">
        <v>842</v>
      </c>
      <c r="D19" s="681">
        <f t="shared" si="1"/>
        <v>437000</v>
      </c>
      <c r="E19" s="681">
        <v>219000.0</v>
      </c>
      <c r="F19" s="642"/>
      <c r="G19" s="684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11"/>
      <c r="B20" s="11"/>
      <c r="C20" s="695" t="s">
        <v>843</v>
      </c>
      <c r="D20" s="688">
        <f t="shared" si="1"/>
        <v>317000</v>
      </c>
      <c r="E20" s="688">
        <v>159000.0</v>
      </c>
      <c r="F20" s="642"/>
      <c r="G20" s="684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282">
        <v>3.0</v>
      </c>
      <c r="B21" s="690" t="s">
        <v>844</v>
      </c>
      <c r="C21" s="691" t="s">
        <v>845</v>
      </c>
      <c r="D21" s="692">
        <f t="shared" si="1"/>
        <v>717000</v>
      </c>
      <c r="E21" s="692">
        <v>359000.0</v>
      </c>
      <c r="F21" s="642"/>
      <c r="G21" s="684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25"/>
      <c r="B22" s="25"/>
      <c r="C22" s="694" t="s">
        <v>846</v>
      </c>
      <c r="D22" s="681">
        <f t="shared" si="1"/>
        <v>1157000</v>
      </c>
      <c r="E22" s="681">
        <v>579000.0</v>
      </c>
      <c r="F22" s="642"/>
      <c r="G22" s="684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25"/>
      <c r="B23" s="25"/>
      <c r="C23" s="694" t="s">
        <v>847</v>
      </c>
      <c r="D23" s="681">
        <f t="shared" si="1"/>
        <v>797000</v>
      </c>
      <c r="E23" s="681">
        <v>399000.0</v>
      </c>
      <c r="F23" s="642"/>
      <c r="G23" s="684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11"/>
      <c r="B24" s="11"/>
      <c r="C24" s="696" t="s">
        <v>848</v>
      </c>
      <c r="D24" s="688">
        <f t="shared" si="1"/>
        <v>1779000</v>
      </c>
      <c r="E24" s="688">
        <v>890000.0</v>
      </c>
      <c r="F24" s="642"/>
      <c r="G24" s="684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282">
        <v>4.0</v>
      </c>
      <c r="B25" s="690" t="s">
        <v>849</v>
      </c>
      <c r="C25" s="697" t="s">
        <v>812</v>
      </c>
      <c r="D25" s="692">
        <f t="shared" si="1"/>
        <v>177000</v>
      </c>
      <c r="E25" s="692">
        <v>89000.0</v>
      </c>
      <c r="F25" s="642"/>
      <c r="G25" s="684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25"/>
      <c r="B26" s="25"/>
      <c r="C26" s="694" t="s">
        <v>850</v>
      </c>
      <c r="D26" s="681">
        <f t="shared" si="1"/>
        <v>1497000</v>
      </c>
      <c r="E26" s="681">
        <v>749000.0</v>
      </c>
      <c r="F26" s="642"/>
      <c r="G26" s="684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25"/>
      <c r="B27" s="25"/>
      <c r="C27" s="694" t="s">
        <v>851</v>
      </c>
      <c r="D27" s="681">
        <f t="shared" si="1"/>
        <v>257000</v>
      </c>
      <c r="E27" s="681">
        <v>129000.0</v>
      </c>
      <c r="F27" s="642"/>
      <c r="G27" s="684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11"/>
      <c r="B28" s="11"/>
      <c r="C28" s="696" t="s">
        <v>727</v>
      </c>
      <c r="D28" s="688">
        <f t="shared" si="1"/>
        <v>197000</v>
      </c>
      <c r="E28" s="688">
        <v>99000.0</v>
      </c>
      <c r="F28" s="642"/>
      <c r="G28" s="684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282">
        <v>5.0</v>
      </c>
      <c r="B29" s="698" t="s">
        <v>852</v>
      </c>
      <c r="C29" s="691" t="s">
        <v>853</v>
      </c>
      <c r="D29" s="692">
        <f t="shared" si="1"/>
        <v>317000</v>
      </c>
      <c r="E29" s="692">
        <v>159000.0</v>
      </c>
      <c r="F29" s="642"/>
      <c r="G29" s="684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25"/>
      <c r="B30" s="25"/>
      <c r="C30" s="693" t="s">
        <v>854</v>
      </c>
      <c r="D30" s="681">
        <f t="shared" si="1"/>
        <v>417000</v>
      </c>
      <c r="E30" s="681">
        <v>209000.0</v>
      </c>
      <c r="F30" s="642"/>
      <c r="G30" s="684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25"/>
      <c r="B31" s="25"/>
      <c r="C31" s="693" t="s">
        <v>855</v>
      </c>
      <c r="D31" s="681">
        <f t="shared" si="1"/>
        <v>777000</v>
      </c>
      <c r="E31" s="681">
        <v>389000.0</v>
      </c>
      <c r="F31" s="642"/>
      <c r="G31" s="684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11"/>
      <c r="B32" s="25"/>
      <c r="C32" s="695" t="s">
        <v>856</v>
      </c>
      <c r="D32" s="688">
        <f t="shared" si="1"/>
        <v>77000</v>
      </c>
      <c r="E32" s="688">
        <v>39000.0</v>
      </c>
      <c r="F32" s="642"/>
      <c r="G32" s="684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82">
        <v>6.0</v>
      </c>
      <c r="B33" s="699" t="s">
        <v>857</v>
      </c>
      <c r="C33" s="700" t="s">
        <v>858</v>
      </c>
      <c r="D33" s="692">
        <f t="shared" si="1"/>
        <v>797000</v>
      </c>
      <c r="E33" s="701">
        <v>399000.0</v>
      </c>
      <c r="F33" s="642"/>
      <c r="G33" s="684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25"/>
      <c r="B34" s="25"/>
      <c r="C34" s="680" t="s">
        <v>859</v>
      </c>
      <c r="D34" s="681">
        <f t="shared" si="1"/>
        <v>157000</v>
      </c>
      <c r="E34" s="682">
        <v>79000.0</v>
      </c>
      <c r="F34" s="642"/>
      <c r="G34" s="684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25"/>
      <c r="B35" s="25"/>
      <c r="C35" s="685" t="s">
        <v>783</v>
      </c>
      <c r="D35" s="681">
        <f t="shared" si="1"/>
        <v>77000</v>
      </c>
      <c r="E35" s="686">
        <v>39000.0</v>
      </c>
      <c r="F35" s="642"/>
      <c r="G35" s="684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25"/>
      <c r="B36" s="25"/>
      <c r="C36" s="685" t="s">
        <v>860</v>
      </c>
      <c r="D36" s="681">
        <f t="shared" si="1"/>
        <v>157000</v>
      </c>
      <c r="E36" s="686">
        <v>79000.0</v>
      </c>
      <c r="F36" s="642"/>
      <c r="G36" s="684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25"/>
      <c r="B37" s="25"/>
      <c r="C37" s="680" t="s">
        <v>861</v>
      </c>
      <c r="D37" s="681">
        <f t="shared" si="1"/>
        <v>197000</v>
      </c>
      <c r="E37" s="682">
        <v>99000.0</v>
      </c>
      <c r="F37" s="642"/>
      <c r="G37" s="684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25"/>
      <c r="B38" s="25"/>
      <c r="C38" s="685" t="s">
        <v>862</v>
      </c>
      <c r="D38" s="681">
        <f t="shared" si="1"/>
        <v>177000</v>
      </c>
      <c r="E38" s="686">
        <v>89000.0</v>
      </c>
      <c r="F38" s="642"/>
      <c r="G38" s="684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11"/>
      <c r="B39" s="11"/>
      <c r="C39" s="687" t="s">
        <v>863</v>
      </c>
      <c r="D39" s="688">
        <f t="shared" si="1"/>
        <v>97000</v>
      </c>
      <c r="E39" s="689">
        <v>49000.0</v>
      </c>
      <c r="F39" s="642"/>
      <c r="G39" s="684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702"/>
      <c r="D40" s="8"/>
      <c r="E40" s="8"/>
      <c r="F40" s="642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8"/>
      <c r="D41" s="8"/>
      <c r="E41" s="8"/>
      <c r="F41" s="642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8"/>
      <c r="D42" s="8"/>
      <c r="E42" s="8"/>
      <c r="F42" s="642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8"/>
      <c r="D43" s="8"/>
      <c r="E43" s="8"/>
      <c r="F43" s="642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8"/>
      <c r="D44" s="8"/>
      <c r="E44" s="8"/>
      <c r="F44" s="642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8"/>
      <c r="D45" s="8"/>
      <c r="E45" s="8"/>
      <c r="F45" s="642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8"/>
      <c r="D46" s="8"/>
      <c r="E46" s="8"/>
      <c r="F46" s="642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8"/>
      <c r="D47" s="8"/>
      <c r="E47" s="8"/>
      <c r="F47" s="642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"/>
      <c r="D48" s="8"/>
      <c r="E48" s="8"/>
      <c r="F48" s="642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"/>
      <c r="D49" s="8"/>
      <c r="E49" s="8"/>
      <c r="F49" s="642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"/>
      <c r="D50" s="8"/>
      <c r="E50" s="8"/>
      <c r="F50" s="642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"/>
      <c r="D51" s="8"/>
      <c r="E51" s="8"/>
      <c r="F51" s="642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"/>
      <c r="D52" s="8"/>
      <c r="E52" s="8"/>
      <c r="F52" s="642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"/>
      <c r="D53" s="8"/>
      <c r="E53" s="8"/>
      <c r="F53" s="642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"/>
      <c r="D54" s="8"/>
      <c r="E54" s="8"/>
      <c r="F54" s="642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"/>
      <c r="D55" s="8"/>
      <c r="E55" s="8"/>
      <c r="F55" s="642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"/>
      <c r="D56" s="8"/>
      <c r="E56" s="8"/>
      <c r="F56" s="642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"/>
      <c r="D57" s="8"/>
      <c r="E57" s="8"/>
      <c r="F57" s="642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"/>
      <c r="D58" s="8"/>
      <c r="E58" s="8"/>
      <c r="F58" s="642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"/>
      <c r="D59" s="8"/>
      <c r="E59" s="8"/>
      <c r="F59" s="642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"/>
      <c r="D60" s="8"/>
      <c r="E60" s="8"/>
      <c r="F60" s="683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"/>
      <c r="D61" s="8"/>
      <c r="E61" s="8"/>
      <c r="F61" s="642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"/>
      <c r="D62" s="8"/>
      <c r="E62" s="8"/>
      <c r="F62" s="642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"/>
      <c r="D63" s="8"/>
      <c r="E63" s="8"/>
      <c r="F63" s="642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"/>
      <c r="D64" s="8"/>
      <c r="E64" s="8"/>
      <c r="F64" s="642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"/>
      <c r="D65" s="8"/>
      <c r="E65" s="8"/>
      <c r="F65" s="642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"/>
      <c r="D66" s="8"/>
      <c r="E66" s="8"/>
      <c r="F66" s="642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"/>
      <c r="D67" s="8"/>
      <c r="E67" s="8"/>
      <c r="F67" s="642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"/>
      <c r="D68" s="8"/>
      <c r="E68" s="8"/>
      <c r="F68" s="642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"/>
      <c r="D69" s="8"/>
      <c r="E69" s="8"/>
      <c r="F69" s="642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"/>
      <c r="D70" s="8"/>
      <c r="E70" s="8"/>
      <c r="F70" s="642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"/>
      <c r="D71" s="8"/>
      <c r="E71" s="8"/>
      <c r="F71" s="642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"/>
      <c r="D72" s="8"/>
      <c r="E72" s="8"/>
      <c r="F72" s="642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"/>
      <c r="D73" s="8"/>
      <c r="E73" s="8"/>
      <c r="F73" s="642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"/>
      <c r="D74" s="8"/>
      <c r="E74" s="8"/>
      <c r="F74" s="642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"/>
      <c r="D75" s="8"/>
      <c r="E75" s="8"/>
      <c r="F75" s="642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"/>
      <c r="D76" s="8"/>
      <c r="E76" s="8"/>
      <c r="F76" s="642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"/>
      <c r="D77" s="8"/>
      <c r="E77" s="8"/>
      <c r="F77" s="642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"/>
      <c r="D78" s="8"/>
      <c r="E78" s="8"/>
      <c r="F78" s="642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"/>
      <c r="D79" s="8"/>
      <c r="E79" s="8"/>
      <c r="F79" s="642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"/>
      <c r="D80" s="8"/>
      <c r="E80" s="8"/>
      <c r="F80" s="642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"/>
      <c r="D81" s="8"/>
      <c r="E81" s="8"/>
      <c r="F81" s="642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"/>
      <c r="D82" s="8"/>
      <c r="E82" s="8"/>
      <c r="F82" s="642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"/>
      <c r="D83" s="8"/>
      <c r="E83" s="8"/>
      <c r="F83" s="642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"/>
      <c r="D84" s="8"/>
      <c r="E84" s="8"/>
      <c r="F84" s="642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"/>
      <c r="D85" s="8"/>
      <c r="E85" s="8"/>
      <c r="F85" s="642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"/>
      <c r="D86" s="8"/>
      <c r="E86" s="8"/>
      <c r="F86" s="642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"/>
      <c r="D87" s="8"/>
      <c r="E87" s="8"/>
      <c r="F87" s="642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"/>
      <c r="D88" s="8"/>
      <c r="E88" s="8"/>
      <c r="F88" s="642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"/>
      <c r="D89" s="8"/>
      <c r="E89" s="8"/>
      <c r="F89" s="642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"/>
      <c r="D90" s="8"/>
      <c r="E90" s="8"/>
      <c r="F90" s="642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"/>
      <c r="D91" s="8"/>
      <c r="E91" s="8"/>
      <c r="F91" s="642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"/>
      <c r="D92" s="8"/>
      <c r="E92" s="8"/>
      <c r="F92" s="642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"/>
      <c r="D93" s="8"/>
      <c r="E93" s="8"/>
      <c r="F93" s="642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"/>
      <c r="D94" s="8"/>
      <c r="E94" s="8"/>
      <c r="F94" s="642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"/>
      <c r="D95" s="8"/>
      <c r="E95" s="8"/>
      <c r="F95" s="642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"/>
      <c r="D96" s="8"/>
      <c r="E96" s="8"/>
      <c r="F96" s="642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"/>
      <c r="D97" s="8"/>
      <c r="E97" s="8"/>
      <c r="F97" s="642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"/>
      <c r="D98" s="8"/>
      <c r="E98" s="8"/>
      <c r="F98" s="642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"/>
      <c r="D99" s="8"/>
      <c r="E99" s="8"/>
      <c r="F99" s="642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"/>
      <c r="D100" s="8"/>
      <c r="E100" s="8"/>
      <c r="F100" s="642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"/>
      <c r="D101" s="8"/>
      <c r="E101" s="8"/>
      <c r="F101" s="642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"/>
      <c r="D102" s="8"/>
      <c r="E102" s="8"/>
      <c r="F102" s="642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"/>
      <c r="D103" s="8"/>
      <c r="E103" s="8"/>
      <c r="F103" s="642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"/>
      <c r="D104" s="8"/>
      <c r="E104" s="8"/>
      <c r="F104" s="642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"/>
      <c r="D105" s="8"/>
      <c r="E105" s="8"/>
      <c r="F105" s="642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"/>
      <c r="D106" s="8"/>
      <c r="E106" s="8"/>
      <c r="F106" s="642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"/>
      <c r="D107" s="8"/>
      <c r="E107" s="8"/>
      <c r="F107" s="642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"/>
      <c r="D108" s="8"/>
      <c r="E108" s="8"/>
      <c r="F108" s="642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"/>
      <c r="D109" s="8"/>
      <c r="E109" s="8"/>
      <c r="F109" s="642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"/>
      <c r="D110" s="8"/>
      <c r="E110" s="8"/>
      <c r="F110" s="642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"/>
      <c r="D111" s="8"/>
      <c r="E111" s="8"/>
      <c r="F111" s="642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"/>
      <c r="D112" s="8"/>
      <c r="E112" s="8"/>
      <c r="F112" s="642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"/>
      <c r="D113" s="8"/>
      <c r="E113" s="8"/>
      <c r="F113" s="642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"/>
      <c r="D114" s="8"/>
      <c r="E114" s="8"/>
      <c r="F114" s="642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"/>
      <c r="D115" s="8"/>
      <c r="E115" s="8"/>
      <c r="F115" s="642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"/>
      <c r="D116" s="8"/>
      <c r="E116" s="8"/>
      <c r="F116" s="642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"/>
      <c r="D117" s="8"/>
      <c r="E117" s="8"/>
      <c r="F117" s="642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"/>
      <c r="D118" s="8"/>
      <c r="E118" s="8"/>
      <c r="F118" s="642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"/>
      <c r="D119" s="8"/>
      <c r="E119" s="8"/>
      <c r="F119" s="642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"/>
      <c r="D120" s="8"/>
      <c r="E120" s="8"/>
      <c r="F120" s="642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"/>
      <c r="D121" s="8"/>
      <c r="E121" s="8"/>
      <c r="F121" s="642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"/>
      <c r="D122" s="8"/>
      <c r="E122" s="8"/>
      <c r="F122" s="642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"/>
      <c r="D123" s="8"/>
      <c r="E123" s="8"/>
      <c r="F123" s="642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"/>
      <c r="D124" s="8"/>
      <c r="E124" s="8"/>
      <c r="F124" s="642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"/>
      <c r="D125" s="8"/>
      <c r="E125" s="8"/>
      <c r="F125" s="642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"/>
      <c r="D126" s="8"/>
      <c r="E126" s="8"/>
      <c r="F126" s="642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"/>
      <c r="D127" s="8"/>
      <c r="E127" s="8"/>
      <c r="F127" s="642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"/>
      <c r="D128" s="8"/>
      <c r="E128" s="8"/>
      <c r="F128" s="642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"/>
      <c r="D129" s="8"/>
      <c r="E129" s="8"/>
      <c r="F129" s="642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"/>
      <c r="D130" s="8"/>
      <c r="E130" s="8"/>
      <c r="F130" s="642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"/>
      <c r="D131" s="8"/>
      <c r="E131" s="8"/>
      <c r="F131" s="642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"/>
      <c r="D132" s="8"/>
      <c r="E132" s="8"/>
      <c r="F132" s="642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"/>
      <c r="D133" s="8"/>
      <c r="E133" s="8"/>
      <c r="F133" s="642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"/>
      <c r="D134" s="8"/>
      <c r="E134" s="8"/>
      <c r="F134" s="642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"/>
      <c r="D135" s="8"/>
      <c r="E135" s="8"/>
      <c r="F135" s="642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"/>
      <c r="D136" s="8"/>
      <c r="E136" s="8"/>
      <c r="F136" s="642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"/>
      <c r="D137" s="8"/>
      <c r="E137" s="8"/>
      <c r="F137" s="642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"/>
      <c r="D138" s="8"/>
      <c r="E138" s="8"/>
      <c r="F138" s="642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"/>
      <c r="D139" s="8"/>
      <c r="E139" s="8"/>
      <c r="F139" s="642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"/>
      <c r="D140" s="8"/>
      <c r="E140" s="8"/>
      <c r="F140" s="642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"/>
      <c r="D141" s="8"/>
      <c r="E141" s="8"/>
      <c r="F141" s="642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"/>
      <c r="D142" s="8"/>
      <c r="E142" s="8"/>
      <c r="F142" s="642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"/>
      <c r="D143" s="8"/>
      <c r="E143" s="8"/>
      <c r="F143" s="642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"/>
      <c r="D144" s="8"/>
      <c r="E144" s="8"/>
      <c r="F144" s="642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"/>
      <c r="D145" s="8"/>
      <c r="E145" s="8"/>
      <c r="F145" s="642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"/>
      <c r="D146" s="8"/>
      <c r="E146" s="8"/>
      <c r="F146" s="642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"/>
      <c r="D147" s="8"/>
      <c r="E147" s="8"/>
      <c r="F147" s="642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"/>
      <c r="D148" s="8"/>
      <c r="E148" s="8"/>
      <c r="F148" s="642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"/>
      <c r="D149" s="8"/>
      <c r="E149" s="8"/>
      <c r="F149" s="642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"/>
      <c r="D150" s="8"/>
      <c r="E150" s="8"/>
      <c r="F150" s="642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"/>
      <c r="D151" s="8"/>
      <c r="E151" s="8"/>
      <c r="F151" s="642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"/>
      <c r="D152" s="8"/>
      <c r="E152" s="8"/>
      <c r="F152" s="642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8"/>
      <c r="D153" s="8"/>
      <c r="E153" s="8"/>
      <c r="F153" s="642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8"/>
      <c r="D154" s="8"/>
      <c r="E154" s="8"/>
      <c r="F154" s="642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8"/>
      <c r="D155" s="8"/>
      <c r="E155" s="8"/>
      <c r="F155" s="642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8"/>
      <c r="D156" s="8"/>
      <c r="E156" s="8"/>
      <c r="F156" s="642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8"/>
      <c r="D157" s="8"/>
      <c r="E157" s="8"/>
      <c r="F157" s="642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8"/>
      <c r="D158" s="8"/>
      <c r="E158" s="8"/>
      <c r="F158" s="642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8"/>
      <c r="D159" s="8"/>
      <c r="E159" s="8"/>
      <c r="F159" s="642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8"/>
      <c r="D160" s="8"/>
      <c r="E160" s="8"/>
      <c r="F160" s="642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8"/>
      <c r="D161" s="8"/>
      <c r="E161" s="8"/>
      <c r="F161" s="642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8"/>
      <c r="D162" s="8"/>
      <c r="E162" s="8"/>
      <c r="F162" s="642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8"/>
      <c r="D163" s="8"/>
      <c r="E163" s="8"/>
      <c r="F163" s="642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8"/>
      <c r="D164" s="8"/>
      <c r="E164" s="8"/>
      <c r="F164" s="642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8"/>
      <c r="D165" s="8"/>
      <c r="E165" s="8"/>
      <c r="F165" s="642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8"/>
      <c r="D166" s="8"/>
      <c r="E166" s="8"/>
      <c r="F166" s="642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8"/>
      <c r="D167" s="8"/>
      <c r="E167" s="8"/>
      <c r="F167" s="642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8"/>
      <c r="D168" s="8"/>
      <c r="E168" s="8"/>
      <c r="F168" s="642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8"/>
      <c r="D169" s="8"/>
      <c r="E169" s="8"/>
      <c r="F169" s="642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8"/>
      <c r="D170" s="8"/>
      <c r="E170" s="8"/>
      <c r="F170" s="642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8"/>
      <c r="D171" s="8"/>
      <c r="E171" s="8"/>
      <c r="F171" s="642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8"/>
      <c r="D172" s="8"/>
      <c r="E172" s="8"/>
      <c r="F172" s="642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8"/>
      <c r="D173" s="8"/>
      <c r="E173" s="8"/>
      <c r="F173" s="642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8"/>
      <c r="D174" s="8"/>
      <c r="E174" s="8"/>
      <c r="F174" s="642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8"/>
      <c r="D175" s="8"/>
      <c r="E175" s="8"/>
      <c r="F175" s="642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8"/>
      <c r="D176" s="8"/>
      <c r="E176" s="8"/>
      <c r="F176" s="642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8"/>
      <c r="D177" s="8"/>
      <c r="E177" s="8"/>
      <c r="F177" s="642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8"/>
      <c r="D178" s="8"/>
      <c r="E178" s="8"/>
      <c r="F178" s="642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8"/>
      <c r="D179" s="8"/>
      <c r="E179" s="8"/>
      <c r="F179" s="642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8"/>
      <c r="D180" s="8"/>
      <c r="E180" s="8"/>
      <c r="F180" s="642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8"/>
      <c r="D181" s="8"/>
      <c r="E181" s="8"/>
      <c r="F181" s="642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8"/>
      <c r="D182" s="8"/>
      <c r="E182" s="8"/>
      <c r="F182" s="642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8"/>
      <c r="D183" s="8"/>
      <c r="E183" s="8"/>
      <c r="F183" s="642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8"/>
      <c r="D184" s="8"/>
      <c r="E184" s="8"/>
      <c r="F184" s="642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8"/>
      <c r="D185" s="8"/>
      <c r="E185" s="8"/>
      <c r="F185" s="642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8"/>
      <c r="D186" s="8"/>
      <c r="E186" s="8"/>
      <c r="F186" s="642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8"/>
      <c r="F187" s="642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8"/>
      <c r="D188" s="8"/>
      <c r="E188" s="8"/>
      <c r="F188" s="642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8"/>
      <c r="D189" s="8"/>
      <c r="E189" s="8"/>
      <c r="F189" s="642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8"/>
      <c r="D190" s="8"/>
      <c r="E190" s="8"/>
      <c r="F190" s="642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8"/>
      <c r="D191" s="8"/>
      <c r="E191" s="8"/>
      <c r="F191" s="642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8"/>
      <c r="D192" s="8"/>
      <c r="E192" s="8"/>
      <c r="F192" s="642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8"/>
      <c r="F193" s="642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8"/>
      <c r="D194" s="8"/>
      <c r="E194" s="8"/>
      <c r="F194" s="642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8"/>
      <c r="D195" s="8"/>
      <c r="E195" s="8"/>
      <c r="F195" s="642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8"/>
      <c r="D196" s="8"/>
      <c r="E196" s="8"/>
      <c r="F196" s="642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8"/>
      <c r="D197" s="8"/>
      <c r="E197" s="8"/>
      <c r="F197" s="642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8"/>
      <c r="D198" s="8"/>
      <c r="E198" s="8"/>
      <c r="F198" s="642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8"/>
      <c r="D199" s="8"/>
      <c r="E199" s="8"/>
      <c r="F199" s="642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8"/>
      <c r="D200" s="8"/>
      <c r="E200" s="8"/>
      <c r="F200" s="642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8"/>
      <c r="D201" s="8"/>
      <c r="E201" s="8"/>
      <c r="F201" s="642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8"/>
      <c r="D202" s="8"/>
      <c r="E202" s="8"/>
      <c r="F202" s="642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8"/>
      <c r="D203" s="8"/>
      <c r="E203" s="8"/>
      <c r="F203" s="642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8"/>
      <c r="D204" s="8"/>
      <c r="E204" s="8"/>
      <c r="F204" s="642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8"/>
      <c r="D205" s="8"/>
      <c r="E205" s="8"/>
      <c r="F205" s="642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8"/>
      <c r="D206" s="8"/>
      <c r="E206" s="8"/>
      <c r="F206" s="642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8"/>
      <c r="D207" s="8"/>
      <c r="E207" s="8"/>
      <c r="F207" s="642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8"/>
      <c r="D208" s="8"/>
      <c r="E208" s="8"/>
      <c r="F208" s="642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8"/>
      <c r="D209" s="8"/>
      <c r="E209" s="8"/>
      <c r="F209" s="642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8"/>
      <c r="D210" s="8"/>
      <c r="E210" s="8"/>
      <c r="F210" s="642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8"/>
      <c r="D211" s="8"/>
      <c r="E211" s="8"/>
      <c r="F211" s="642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8"/>
      <c r="D212" s="8"/>
      <c r="E212" s="8"/>
      <c r="F212" s="642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8"/>
      <c r="D213" s="8"/>
      <c r="E213" s="8"/>
      <c r="F213" s="642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8"/>
      <c r="D214" s="8"/>
      <c r="E214" s="8"/>
      <c r="F214" s="642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8"/>
      <c r="D215" s="8"/>
      <c r="E215" s="8"/>
      <c r="F215" s="642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8"/>
      <c r="D216" s="8"/>
      <c r="E216" s="8"/>
      <c r="F216" s="642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8"/>
      <c r="D217" s="8"/>
      <c r="E217" s="8"/>
      <c r="F217" s="642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8"/>
      <c r="D218" s="8"/>
      <c r="E218" s="8"/>
      <c r="F218" s="642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8"/>
      <c r="D219" s="8"/>
      <c r="E219" s="8"/>
      <c r="F219" s="642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8"/>
      <c r="D220" s="8"/>
      <c r="E220" s="8"/>
      <c r="F220" s="642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8"/>
      <c r="D221" s="8"/>
      <c r="E221" s="8"/>
      <c r="F221" s="642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8"/>
      <c r="D222" s="8"/>
      <c r="E222" s="8"/>
      <c r="F222" s="642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8"/>
      <c r="D223" s="8"/>
      <c r="E223" s="8"/>
      <c r="F223" s="642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8"/>
      <c r="D224" s="8"/>
      <c r="E224" s="8"/>
      <c r="F224" s="642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8"/>
      <c r="D225" s="8"/>
      <c r="E225" s="8"/>
      <c r="F225" s="642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8"/>
      <c r="D226" s="8"/>
      <c r="E226" s="8"/>
      <c r="F226" s="642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8"/>
      <c r="D227" s="8"/>
      <c r="E227" s="8"/>
      <c r="F227" s="642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8"/>
      <c r="D228" s="8"/>
      <c r="E228" s="8"/>
      <c r="F228" s="642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8"/>
      <c r="D229" s="8"/>
      <c r="E229" s="8"/>
      <c r="F229" s="642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8"/>
      <c r="D230" s="8"/>
      <c r="E230" s="8"/>
      <c r="F230" s="642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8"/>
      <c r="D231" s="8"/>
      <c r="E231" s="8"/>
      <c r="F231" s="642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8"/>
      <c r="D232" s="8"/>
      <c r="E232" s="8"/>
      <c r="F232" s="642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8"/>
      <c r="D233" s="8"/>
      <c r="E233" s="8"/>
      <c r="F233" s="642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8"/>
      <c r="D234" s="8"/>
      <c r="E234" s="8"/>
      <c r="F234" s="642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8"/>
      <c r="D235" s="8"/>
      <c r="E235" s="8"/>
      <c r="F235" s="642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8"/>
      <c r="D236" s="8"/>
      <c r="E236" s="8"/>
      <c r="F236" s="642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8"/>
      <c r="D237" s="8"/>
      <c r="E237" s="8"/>
      <c r="F237" s="642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8"/>
      <c r="D238" s="8"/>
      <c r="E238" s="8"/>
      <c r="F238" s="642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8"/>
      <c r="D239" s="8"/>
      <c r="E239" s="8"/>
      <c r="F239" s="642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15.75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ht="15.75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ht="15.75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ht="15.75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ht="15.75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ht="15.75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ht="15.7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ht="15.7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ht="15.7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ht="15.7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ht="15.7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ht="15.7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ht="15.7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ht="15.7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ht="15.7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ht="15.7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ht="15.7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ht="15.7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ht="15.7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mergeCells count="20">
    <mergeCell ref="A1:E2"/>
    <mergeCell ref="B3:B4"/>
    <mergeCell ref="C3:C4"/>
    <mergeCell ref="D3:D4"/>
    <mergeCell ref="E3:E4"/>
    <mergeCell ref="F3:F4"/>
    <mergeCell ref="G3:G4"/>
    <mergeCell ref="A25:A28"/>
    <mergeCell ref="B25:B28"/>
    <mergeCell ref="A29:A32"/>
    <mergeCell ref="B29:B32"/>
    <mergeCell ref="A33:A39"/>
    <mergeCell ref="B33:B39"/>
    <mergeCell ref="A3:A4"/>
    <mergeCell ref="A5:A13"/>
    <mergeCell ref="B5:B13"/>
    <mergeCell ref="A14:A20"/>
    <mergeCell ref="B14:B20"/>
    <mergeCell ref="A21:A24"/>
    <mergeCell ref="B21:B24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2025-11-13T04:30:22Z</dcterms:created>
  <dc:creator>WhatsLifeStudio</dc:creator>
</cp:coreProperties>
</file>